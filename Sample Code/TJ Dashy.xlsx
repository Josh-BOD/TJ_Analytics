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dommett/Documents/"/>
    </mc:Choice>
  </mc:AlternateContent>
  <xr:revisionPtr revIDLastSave="0" documentId="8_{DC288E16-B2FB-CE40-9F54-EE06E9CDFC6C}" xr6:coauthVersionLast="47" xr6:coauthVersionMax="47" xr10:uidLastSave="{00000000-0000-0000-0000-000000000000}"/>
  <bookViews>
    <workbookView xWindow="0" yWindow="0" windowWidth="51200" windowHeight="21600" activeTab="1" xr2:uid="{88A3354B-5059-DE43-8546-DC2B483E11FE}"/>
  </bookViews>
  <sheets>
    <sheet name="Change Analysis" sheetId="5" r:id="rId1"/>
    <sheet name="Overall Analysis" sheetId="2" r:id="rId2"/>
    <sheet name="Nov Extract" sheetId="1" r:id="rId3"/>
    <sheet name="Mapping" sheetId="3" r:id="rId4"/>
    <sheet name="Specific Extracts" sheetId="4" r:id="rId5"/>
  </sheets>
  <definedNames>
    <definedName name="_xlnm._FilterDatabase" localSheetId="3" hidden="1">Mapping!$A$1:$D$1044</definedName>
    <definedName name="_xlnm._FilterDatabase" localSheetId="2" hidden="1">'Nov Extract'!$A$1:$AD$1044</definedName>
  </definedNames>
  <calcPr calcId="191029"/>
  <pivotCaches>
    <pivotCache cacheId="85" r:id="rId6"/>
    <pivotCache cacheId="89" r:id="rId7"/>
    <pivotCache cacheId="10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0" i="5" l="1"/>
  <c r="V160" i="5"/>
  <c r="W159" i="5"/>
  <c r="V159" i="5"/>
  <c r="W158" i="5"/>
  <c r="V158" i="5"/>
  <c r="W157" i="5"/>
  <c r="V157" i="5"/>
  <c r="W156" i="5"/>
  <c r="V156" i="5"/>
  <c r="W155" i="5"/>
  <c r="V155" i="5"/>
  <c r="W154" i="5"/>
  <c r="V154" i="5"/>
  <c r="W153" i="5"/>
  <c r="V153" i="5"/>
  <c r="W152" i="5"/>
  <c r="V152" i="5"/>
  <c r="W151" i="5"/>
  <c r="V151" i="5"/>
  <c r="W150" i="5"/>
  <c r="V150" i="5"/>
  <c r="W149" i="5"/>
  <c r="V149" i="5"/>
  <c r="W148" i="5"/>
  <c r="V148" i="5"/>
  <c r="W147" i="5"/>
  <c r="V147" i="5"/>
  <c r="W146" i="5"/>
  <c r="V146" i="5"/>
  <c r="W145" i="5"/>
  <c r="V145" i="5"/>
  <c r="W144" i="5"/>
  <c r="V144" i="5"/>
  <c r="W143" i="5"/>
  <c r="V143" i="5"/>
  <c r="W142" i="5"/>
  <c r="V142" i="5"/>
  <c r="W141" i="5"/>
  <c r="V141" i="5"/>
  <c r="W140" i="5"/>
  <c r="V140" i="5"/>
  <c r="W139" i="5"/>
  <c r="V139" i="5"/>
  <c r="W138" i="5"/>
  <c r="V138" i="5"/>
  <c r="W137" i="5"/>
  <c r="V137" i="5"/>
  <c r="W136" i="5"/>
  <c r="V136" i="5"/>
  <c r="W135" i="5"/>
  <c r="V135" i="5"/>
  <c r="W134" i="5"/>
  <c r="V134" i="5"/>
  <c r="W133" i="5"/>
  <c r="V133" i="5"/>
  <c r="W132" i="5"/>
  <c r="V132" i="5"/>
  <c r="W131" i="5"/>
  <c r="V131" i="5"/>
  <c r="W130" i="5"/>
  <c r="V130" i="5"/>
  <c r="W129" i="5"/>
  <c r="V129" i="5"/>
  <c r="W128" i="5"/>
  <c r="V128" i="5"/>
  <c r="W127" i="5"/>
  <c r="V127" i="5"/>
  <c r="W126" i="5"/>
  <c r="V126" i="5"/>
  <c r="W125" i="5"/>
  <c r="V125" i="5"/>
  <c r="W124" i="5"/>
  <c r="V124" i="5"/>
  <c r="W123" i="5"/>
  <c r="V123" i="5"/>
  <c r="W122" i="5"/>
  <c r="V122" i="5"/>
  <c r="W121" i="5"/>
  <c r="V121" i="5"/>
  <c r="W120" i="5"/>
  <c r="V120" i="5"/>
  <c r="W119" i="5"/>
  <c r="V119" i="5"/>
  <c r="W118" i="5"/>
  <c r="V118" i="5"/>
  <c r="W117" i="5"/>
  <c r="V117" i="5"/>
  <c r="W116" i="5"/>
  <c r="V116" i="5"/>
  <c r="W115" i="5"/>
  <c r="V115" i="5"/>
  <c r="W114" i="5"/>
  <c r="V114" i="5"/>
  <c r="W113" i="5"/>
  <c r="V113" i="5"/>
  <c r="W112" i="5"/>
  <c r="V112" i="5"/>
  <c r="W111" i="5"/>
  <c r="V111" i="5"/>
  <c r="W110" i="5"/>
  <c r="V110" i="5"/>
  <c r="W109" i="5"/>
  <c r="V109" i="5"/>
  <c r="W108" i="5"/>
  <c r="V108" i="5"/>
  <c r="W107" i="5"/>
  <c r="V107" i="5"/>
  <c r="W106" i="5"/>
  <c r="V106" i="5"/>
  <c r="W105" i="5"/>
  <c r="V105" i="5"/>
  <c r="W104" i="5"/>
  <c r="V104" i="5"/>
  <c r="W103" i="5"/>
  <c r="V103" i="5"/>
  <c r="W102" i="5"/>
  <c r="V102" i="5"/>
  <c r="W101" i="5"/>
  <c r="V101" i="5"/>
  <c r="W100" i="5"/>
  <c r="V100" i="5"/>
  <c r="W99" i="5"/>
  <c r="V99" i="5"/>
  <c r="W98" i="5"/>
  <c r="V98" i="5"/>
  <c r="W97" i="5"/>
  <c r="V97" i="5"/>
  <c r="W96" i="5"/>
  <c r="V96" i="5"/>
  <c r="W95" i="5"/>
  <c r="V95" i="5"/>
  <c r="W94" i="5"/>
  <c r="V94" i="5"/>
  <c r="W93" i="5"/>
  <c r="V93" i="5"/>
  <c r="W92" i="5"/>
  <c r="V92" i="5"/>
  <c r="W91" i="5"/>
  <c r="V91" i="5"/>
  <c r="W90" i="5"/>
  <c r="V90" i="5"/>
  <c r="W89" i="5"/>
  <c r="V89" i="5"/>
  <c r="W88" i="5"/>
  <c r="V88" i="5"/>
  <c r="W87" i="5"/>
  <c r="V87" i="5"/>
  <c r="W86" i="5"/>
  <c r="V86" i="5"/>
  <c r="W85" i="5"/>
  <c r="V85" i="5"/>
  <c r="W84" i="5"/>
  <c r="V84" i="5"/>
  <c r="W83" i="5"/>
  <c r="V83" i="5"/>
  <c r="W82" i="5"/>
  <c r="V82" i="5"/>
  <c r="W81" i="5"/>
  <c r="V81" i="5"/>
  <c r="W80" i="5"/>
  <c r="V80" i="5"/>
  <c r="W79" i="5"/>
  <c r="V79" i="5"/>
  <c r="W78" i="5"/>
  <c r="V78" i="5"/>
  <c r="W77" i="5"/>
  <c r="V77" i="5"/>
  <c r="W76" i="5"/>
  <c r="V76" i="5"/>
  <c r="W75" i="5"/>
  <c r="V75" i="5"/>
  <c r="W74" i="5"/>
  <c r="V74" i="5"/>
  <c r="W73" i="5"/>
  <c r="V73" i="5"/>
  <c r="W72" i="5"/>
  <c r="V72" i="5"/>
  <c r="W71" i="5"/>
  <c r="V71" i="5"/>
  <c r="W70" i="5"/>
  <c r="V70" i="5"/>
  <c r="W69" i="5"/>
  <c r="V69" i="5"/>
  <c r="W68" i="5"/>
  <c r="V68" i="5"/>
  <c r="W67" i="5"/>
  <c r="V67" i="5"/>
  <c r="W66" i="5"/>
  <c r="V66" i="5"/>
  <c r="W65" i="5"/>
  <c r="V65" i="5"/>
  <c r="W64" i="5"/>
  <c r="V64" i="5"/>
  <c r="W63" i="5"/>
  <c r="V63" i="5"/>
  <c r="W62" i="5"/>
  <c r="V62" i="5"/>
  <c r="W61" i="5"/>
  <c r="V61" i="5"/>
  <c r="W60" i="5"/>
  <c r="V60" i="5"/>
  <c r="W59" i="5"/>
  <c r="V59" i="5"/>
  <c r="W58" i="5"/>
  <c r="V58" i="5"/>
  <c r="W57" i="5"/>
  <c r="V57" i="5"/>
  <c r="W56" i="5"/>
  <c r="V56" i="5"/>
  <c r="W55" i="5"/>
  <c r="V55" i="5"/>
  <c r="W54" i="5"/>
  <c r="V54" i="5"/>
  <c r="W53" i="5"/>
  <c r="V53" i="5"/>
  <c r="W52" i="5"/>
  <c r="V52" i="5"/>
  <c r="W51" i="5"/>
  <c r="V51" i="5"/>
  <c r="W50" i="5"/>
  <c r="V50" i="5"/>
  <c r="W49" i="5"/>
  <c r="V49" i="5"/>
  <c r="W48" i="5"/>
  <c r="V48" i="5"/>
  <c r="W47" i="5"/>
  <c r="V47" i="5"/>
  <c r="W46" i="5"/>
  <c r="V46" i="5"/>
  <c r="W45" i="5"/>
  <c r="V45" i="5"/>
  <c r="W44" i="5"/>
  <c r="V44" i="5"/>
  <c r="W43" i="5"/>
  <c r="V43" i="5"/>
  <c r="W42" i="5"/>
  <c r="V42" i="5"/>
  <c r="W41" i="5"/>
  <c r="V41" i="5"/>
  <c r="W34" i="5"/>
  <c r="V34" i="5"/>
  <c r="W33" i="5"/>
  <c r="V33" i="5"/>
  <c r="W32" i="5"/>
  <c r="V32" i="5"/>
  <c r="W31" i="5"/>
  <c r="V31" i="5"/>
  <c r="W30" i="5"/>
  <c r="V30" i="5"/>
  <c r="W29" i="5"/>
  <c r="V29" i="5"/>
  <c r="W28" i="5"/>
  <c r="V28" i="5"/>
  <c r="W27" i="5"/>
  <c r="V27" i="5"/>
  <c r="W26" i="5"/>
  <c r="V26" i="5"/>
  <c r="W25" i="5"/>
  <c r="V25" i="5"/>
  <c r="W24" i="5"/>
  <c r="V24" i="5"/>
  <c r="W23" i="5"/>
  <c r="V23" i="5"/>
  <c r="W22" i="5"/>
  <c r="V22" i="5"/>
  <c r="W21" i="5"/>
  <c r="V21" i="5"/>
  <c r="W20" i="5"/>
  <c r="V20" i="5"/>
  <c r="W19" i="5"/>
  <c r="V19" i="5"/>
  <c r="W18" i="5"/>
  <c r="V18" i="5"/>
  <c r="W17" i="5"/>
  <c r="V17" i="5"/>
  <c r="W16" i="5"/>
  <c r="V16" i="5"/>
  <c r="W15" i="5"/>
  <c r="V15" i="5"/>
  <c r="W14" i="5"/>
  <c r="V14" i="5"/>
  <c r="W13" i="5"/>
  <c r="V13" i="5"/>
  <c r="W12" i="5"/>
  <c r="V12" i="5"/>
  <c r="W11" i="5"/>
  <c r="V11" i="5"/>
  <c r="W10" i="5"/>
  <c r="V10" i="5"/>
  <c r="W9" i="5"/>
  <c r="V9" i="5"/>
  <c r="W8" i="5"/>
  <c r="V8" i="5"/>
  <c r="W7" i="5"/>
  <c r="V7" i="5"/>
  <c r="W6" i="5"/>
  <c r="V6" i="5"/>
  <c r="W5" i="5"/>
  <c r="V5" i="5"/>
  <c r="W4" i="5"/>
  <c r="V4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G8" i="5"/>
  <c r="G7" i="5"/>
  <c r="G6" i="5"/>
  <c r="F8" i="5"/>
  <c r="F7" i="5"/>
  <c r="F6" i="5"/>
  <c r="AF2087" i="4"/>
  <c r="AE2087" i="4"/>
  <c r="AD2087" i="4"/>
  <c r="AF2086" i="4"/>
  <c r="AE2086" i="4"/>
  <c r="AD2086" i="4"/>
  <c r="AF2085" i="4"/>
  <c r="AE2085" i="4"/>
  <c r="AD2085" i="4"/>
  <c r="AF2084" i="4"/>
  <c r="AE2084" i="4"/>
  <c r="AD2084" i="4"/>
  <c r="AF2083" i="4"/>
  <c r="AE2083" i="4"/>
  <c r="AD2083" i="4"/>
  <c r="AF2082" i="4"/>
  <c r="AE2082" i="4"/>
  <c r="AD2082" i="4"/>
  <c r="AF2081" i="4"/>
  <c r="AE2081" i="4"/>
  <c r="AD2081" i="4"/>
  <c r="AF2080" i="4"/>
  <c r="AE2080" i="4"/>
  <c r="AD2080" i="4"/>
  <c r="AF2079" i="4"/>
  <c r="AE2079" i="4"/>
  <c r="AD2079" i="4"/>
  <c r="AF2078" i="4"/>
  <c r="AE2078" i="4"/>
  <c r="AD2078" i="4"/>
  <c r="AF2077" i="4"/>
  <c r="AE2077" i="4"/>
  <c r="AD2077" i="4"/>
  <c r="AF2076" i="4"/>
  <c r="AE2076" i="4"/>
  <c r="AD2076" i="4"/>
  <c r="AF2075" i="4"/>
  <c r="AE2075" i="4"/>
  <c r="AD2075" i="4"/>
  <c r="AF2074" i="4"/>
  <c r="AE2074" i="4"/>
  <c r="AD2074" i="4"/>
  <c r="AF2073" i="4"/>
  <c r="AE2073" i="4"/>
  <c r="AD2073" i="4"/>
  <c r="AF2072" i="4"/>
  <c r="AE2072" i="4"/>
  <c r="AD2072" i="4"/>
  <c r="AF2071" i="4"/>
  <c r="AE2071" i="4"/>
  <c r="AD2071" i="4"/>
  <c r="AF2070" i="4"/>
  <c r="AE2070" i="4"/>
  <c r="AD2070" i="4"/>
  <c r="AF2069" i="4"/>
  <c r="AE2069" i="4"/>
  <c r="AD2069" i="4"/>
  <c r="AF2068" i="4"/>
  <c r="AE2068" i="4"/>
  <c r="AD2068" i="4"/>
  <c r="AF2067" i="4"/>
  <c r="AE2067" i="4"/>
  <c r="AD2067" i="4"/>
  <c r="AF2066" i="4"/>
  <c r="AE2066" i="4"/>
  <c r="AD2066" i="4"/>
  <c r="AF2065" i="4"/>
  <c r="AE2065" i="4"/>
  <c r="AD2065" i="4"/>
  <c r="AF2064" i="4"/>
  <c r="AE2064" i="4"/>
  <c r="AD2064" i="4"/>
  <c r="AF2063" i="4"/>
  <c r="AE2063" i="4"/>
  <c r="AD2063" i="4"/>
  <c r="AF2062" i="4"/>
  <c r="AE2062" i="4"/>
  <c r="AD2062" i="4"/>
  <c r="AF2061" i="4"/>
  <c r="AE2061" i="4"/>
  <c r="AD2061" i="4"/>
  <c r="AF2060" i="4"/>
  <c r="AE2060" i="4"/>
  <c r="AD2060" i="4"/>
  <c r="AF2059" i="4"/>
  <c r="AE2059" i="4"/>
  <c r="AD2059" i="4"/>
  <c r="AF2058" i="4"/>
  <c r="AE2058" i="4"/>
  <c r="AD2058" i="4"/>
  <c r="AF2057" i="4"/>
  <c r="AE2057" i="4"/>
  <c r="AD2057" i="4"/>
  <c r="AF2056" i="4"/>
  <c r="AE2056" i="4"/>
  <c r="AD2056" i="4"/>
  <c r="AF2055" i="4"/>
  <c r="AE2055" i="4"/>
  <c r="AD2055" i="4"/>
  <c r="AF2054" i="4"/>
  <c r="AE2054" i="4"/>
  <c r="AD2054" i="4"/>
  <c r="AF2053" i="4"/>
  <c r="AE2053" i="4"/>
  <c r="AD2053" i="4"/>
  <c r="AF2052" i="4"/>
  <c r="AE2052" i="4"/>
  <c r="AD2052" i="4"/>
  <c r="AF2051" i="4"/>
  <c r="AE2051" i="4"/>
  <c r="AD2051" i="4"/>
  <c r="AF2050" i="4"/>
  <c r="AE2050" i="4"/>
  <c r="AD2050" i="4"/>
  <c r="AF2049" i="4"/>
  <c r="AE2049" i="4"/>
  <c r="AD2049" i="4"/>
  <c r="AF2048" i="4"/>
  <c r="AE2048" i="4"/>
  <c r="AD2048" i="4"/>
  <c r="AF2047" i="4"/>
  <c r="AE2047" i="4"/>
  <c r="AD2047" i="4"/>
  <c r="AF2046" i="4"/>
  <c r="AE2046" i="4"/>
  <c r="AD2046" i="4"/>
  <c r="AF2045" i="4"/>
  <c r="AE2045" i="4"/>
  <c r="AD2045" i="4"/>
  <c r="AF2044" i="4"/>
  <c r="AE2044" i="4"/>
  <c r="AD2044" i="4"/>
  <c r="AF2043" i="4"/>
  <c r="AE2043" i="4"/>
  <c r="AD2043" i="4"/>
  <c r="AF2042" i="4"/>
  <c r="AE2042" i="4"/>
  <c r="AD2042" i="4"/>
  <c r="AF2041" i="4"/>
  <c r="AE2041" i="4"/>
  <c r="AD2041" i="4"/>
  <c r="AF2040" i="4"/>
  <c r="AE2040" i="4"/>
  <c r="AD2040" i="4"/>
  <c r="AF2039" i="4"/>
  <c r="AE2039" i="4"/>
  <c r="AD2039" i="4"/>
  <c r="AF2038" i="4"/>
  <c r="AE2038" i="4"/>
  <c r="AD2038" i="4"/>
  <c r="AF2037" i="4"/>
  <c r="AE2037" i="4"/>
  <c r="AD2037" i="4"/>
  <c r="AF2036" i="4"/>
  <c r="AE2036" i="4"/>
  <c r="AD2036" i="4"/>
  <c r="AF2035" i="4"/>
  <c r="AE2035" i="4"/>
  <c r="AD2035" i="4"/>
  <c r="AF2034" i="4"/>
  <c r="AE2034" i="4"/>
  <c r="AD2034" i="4"/>
  <c r="AF2033" i="4"/>
  <c r="AE2033" i="4"/>
  <c r="AD2033" i="4"/>
  <c r="AF2032" i="4"/>
  <c r="AE2032" i="4"/>
  <c r="AD2032" i="4"/>
  <c r="AF2031" i="4"/>
  <c r="AE2031" i="4"/>
  <c r="AD2031" i="4"/>
  <c r="AF2030" i="4"/>
  <c r="AE2030" i="4"/>
  <c r="AD2030" i="4"/>
  <c r="AF2029" i="4"/>
  <c r="AE2029" i="4"/>
  <c r="AD2029" i="4"/>
  <c r="AF2028" i="4"/>
  <c r="AE2028" i="4"/>
  <c r="AD2028" i="4"/>
  <c r="AF2027" i="4"/>
  <c r="AE2027" i="4"/>
  <c r="AD2027" i="4"/>
  <c r="AF2026" i="4"/>
  <c r="AE2026" i="4"/>
  <c r="AD2026" i="4"/>
  <c r="AF2025" i="4"/>
  <c r="AE2025" i="4"/>
  <c r="AD2025" i="4"/>
  <c r="AF2024" i="4"/>
  <c r="AE2024" i="4"/>
  <c r="AD2024" i="4"/>
  <c r="AF2023" i="4"/>
  <c r="AE2023" i="4"/>
  <c r="AD2023" i="4"/>
  <c r="AF2022" i="4"/>
  <c r="AE2022" i="4"/>
  <c r="AD2022" i="4"/>
  <c r="AF2021" i="4"/>
  <c r="AE2021" i="4"/>
  <c r="AD2021" i="4"/>
  <c r="AF2020" i="4"/>
  <c r="AE2020" i="4"/>
  <c r="AD2020" i="4"/>
  <c r="AF2019" i="4"/>
  <c r="AE2019" i="4"/>
  <c r="AD2019" i="4"/>
  <c r="AF2018" i="4"/>
  <c r="AE2018" i="4"/>
  <c r="AD2018" i="4"/>
  <c r="AF2017" i="4"/>
  <c r="AE2017" i="4"/>
  <c r="AD2017" i="4"/>
  <c r="AF2016" i="4"/>
  <c r="AE2016" i="4"/>
  <c r="AD2016" i="4"/>
  <c r="AF2015" i="4"/>
  <c r="AE2015" i="4"/>
  <c r="AD2015" i="4"/>
  <c r="AF2014" i="4"/>
  <c r="AE2014" i="4"/>
  <c r="AD2014" i="4"/>
  <c r="AF2013" i="4"/>
  <c r="AE2013" i="4"/>
  <c r="AD2013" i="4"/>
  <c r="AF2012" i="4"/>
  <c r="AE2012" i="4"/>
  <c r="AD2012" i="4"/>
  <c r="AF2011" i="4"/>
  <c r="AE2011" i="4"/>
  <c r="AD2011" i="4"/>
  <c r="AF2010" i="4"/>
  <c r="AE2010" i="4"/>
  <c r="AD2010" i="4"/>
  <c r="AF2009" i="4"/>
  <c r="AE2009" i="4"/>
  <c r="AD2009" i="4"/>
  <c r="AF2008" i="4"/>
  <c r="AE2008" i="4"/>
  <c r="AD2008" i="4"/>
  <c r="AF2007" i="4"/>
  <c r="AE2007" i="4"/>
  <c r="AD2007" i="4"/>
  <c r="AF2006" i="4"/>
  <c r="AE2006" i="4"/>
  <c r="AD2006" i="4"/>
  <c r="AF2005" i="4"/>
  <c r="AE2005" i="4"/>
  <c r="AD2005" i="4"/>
  <c r="AF2004" i="4"/>
  <c r="AE2004" i="4"/>
  <c r="AD2004" i="4"/>
  <c r="AF2003" i="4"/>
  <c r="AE2003" i="4"/>
  <c r="AD2003" i="4"/>
  <c r="AF2002" i="4"/>
  <c r="AE2002" i="4"/>
  <c r="AD2002" i="4"/>
  <c r="AF2001" i="4"/>
  <c r="AE2001" i="4"/>
  <c r="AD2001" i="4"/>
  <c r="AF2000" i="4"/>
  <c r="AE2000" i="4"/>
  <c r="AD2000" i="4"/>
  <c r="AF1999" i="4"/>
  <c r="AE1999" i="4"/>
  <c r="AD1999" i="4"/>
  <c r="AF1998" i="4"/>
  <c r="AE1998" i="4"/>
  <c r="AD1998" i="4"/>
  <c r="AF1997" i="4"/>
  <c r="AE1997" i="4"/>
  <c r="AD1997" i="4"/>
  <c r="AF1996" i="4"/>
  <c r="AE1996" i="4"/>
  <c r="AD1996" i="4"/>
  <c r="AF1995" i="4"/>
  <c r="AE1995" i="4"/>
  <c r="AD1995" i="4"/>
  <c r="AF1994" i="4"/>
  <c r="AE1994" i="4"/>
  <c r="AD1994" i="4"/>
  <c r="AF1993" i="4"/>
  <c r="AE1993" i="4"/>
  <c r="AD1993" i="4"/>
  <c r="AF1992" i="4"/>
  <c r="AE1992" i="4"/>
  <c r="AD1992" i="4"/>
  <c r="AF1991" i="4"/>
  <c r="AE1991" i="4"/>
  <c r="AD1991" i="4"/>
  <c r="AF1990" i="4"/>
  <c r="AE1990" i="4"/>
  <c r="AD1990" i="4"/>
  <c r="AF1989" i="4"/>
  <c r="AE1989" i="4"/>
  <c r="AD1989" i="4"/>
  <c r="AF1988" i="4"/>
  <c r="AE1988" i="4"/>
  <c r="AD1988" i="4"/>
  <c r="AF1987" i="4"/>
  <c r="AE1987" i="4"/>
  <c r="AD1987" i="4"/>
  <c r="AF1986" i="4"/>
  <c r="AE1986" i="4"/>
  <c r="AD1986" i="4"/>
  <c r="AF1985" i="4"/>
  <c r="AE1985" i="4"/>
  <c r="AD1985" i="4"/>
  <c r="AF1984" i="4"/>
  <c r="AE1984" i="4"/>
  <c r="AD1984" i="4"/>
  <c r="AF1983" i="4"/>
  <c r="AE1983" i="4"/>
  <c r="AD1983" i="4"/>
  <c r="AF1982" i="4"/>
  <c r="AE1982" i="4"/>
  <c r="AD1982" i="4"/>
  <c r="AF1981" i="4"/>
  <c r="AE1981" i="4"/>
  <c r="AD1981" i="4"/>
  <c r="AF1980" i="4"/>
  <c r="AE1980" i="4"/>
  <c r="AD1980" i="4"/>
  <c r="AF1979" i="4"/>
  <c r="AE1979" i="4"/>
  <c r="AD1979" i="4"/>
  <c r="AF1978" i="4"/>
  <c r="AE1978" i="4"/>
  <c r="AD1978" i="4"/>
  <c r="AF1977" i="4"/>
  <c r="AE1977" i="4"/>
  <c r="AD1977" i="4"/>
  <c r="AF1976" i="4"/>
  <c r="AE1976" i="4"/>
  <c r="AD1976" i="4"/>
  <c r="AF1975" i="4"/>
  <c r="AE1975" i="4"/>
  <c r="AD1975" i="4"/>
  <c r="AF1974" i="4"/>
  <c r="AE1974" i="4"/>
  <c r="AD1974" i="4"/>
  <c r="AF1973" i="4"/>
  <c r="AE1973" i="4"/>
  <c r="AD1973" i="4"/>
  <c r="AF1972" i="4"/>
  <c r="AE1972" i="4"/>
  <c r="AD1972" i="4"/>
  <c r="AF1971" i="4"/>
  <c r="AE1971" i="4"/>
  <c r="AD1971" i="4"/>
  <c r="AF1970" i="4"/>
  <c r="AE1970" i="4"/>
  <c r="AD1970" i="4"/>
  <c r="AF1969" i="4"/>
  <c r="AE1969" i="4"/>
  <c r="AD1969" i="4"/>
  <c r="AF1968" i="4"/>
  <c r="AE1968" i="4"/>
  <c r="AD1968" i="4"/>
  <c r="AF1967" i="4"/>
  <c r="AE1967" i="4"/>
  <c r="AD1967" i="4"/>
  <c r="AF1966" i="4"/>
  <c r="AE1966" i="4"/>
  <c r="AD1966" i="4"/>
  <c r="AF1965" i="4"/>
  <c r="AE1965" i="4"/>
  <c r="AD1965" i="4"/>
  <c r="AF1964" i="4"/>
  <c r="AE1964" i="4"/>
  <c r="AD1964" i="4"/>
  <c r="AF1963" i="4"/>
  <c r="AE1963" i="4"/>
  <c r="AD1963" i="4"/>
  <c r="AF1962" i="4"/>
  <c r="AE1962" i="4"/>
  <c r="AD1962" i="4"/>
  <c r="AF1961" i="4"/>
  <c r="AE1961" i="4"/>
  <c r="AD1961" i="4"/>
  <c r="AF1960" i="4"/>
  <c r="AE1960" i="4"/>
  <c r="AD1960" i="4"/>
  <c r="AF1959" i="4"/>
  <c r="AE1959" i="4"/>
  <c r="AD1959" i="4"/>
  <c r="AF1958" i="4"/>
  <c r="AE1958" i="4"/>
  <c r="AD1958" i="4"/>
  <c r="AF1957" i="4"/>
  <c r="AE1957" i="4"/>
  <c r="AD1957" i="4"/>
  <c r="AF1956" i="4"/>
  <c r="AE1956" i="4"/>
  <c r="AD1956" i="4"/>
  <c r="AF1955" i="4"/>
  <c r="AE1955" i="4"/>
  <c r="AD1955" i="4"/>
  <c r="AF1954" i="4"/>
  <c r="AE1954" i="4"/>
  <c r="AD1954" i="4"/>
  <c r="AF1953" i="4"/>
  <c r="AE1953" i="4"/>
  <c r="AD1953" i="4"/>
  <c r="AF1952" i="4"/>
  <c r="AE1952" i="4"/>
  <c r="AD1952" i="4"/>
  <c r="AF1951" i="4"/>
  <c r="AE1951" i="4"/>
  <c r="AD1951" i="4"/>
  <c r="AF1950" i="4"/>
  <c r="AE1950" i="4"/>
  <c r="AD1950" i="4"/>
  <c r="AF1949" i="4"/>
  <c r="AE1949" i="4"/>
  <c r="AD1949" i="4"/>
  <c r="AF1948" i="4"/>
  <c r="AE1948" i="4"/>
  <c r="AD1948" i="4"/>
  <c r="AF1947" i="4"/>
  <c r="AE1947" i="4"/>
  <c r="AD1947" i="4"/>
  <c r="AF1946" i="4"/>
  <c r="AE1946" i="4"/>
  <c r="AD1946" i="4"/>
  <c r="AF1945" i="4"/>
  <c r="AE1945" i="4"/>
  <c r="AD1945" i="4"/>
  <c r="AF1944" i="4"/>
  <c r="AE1944" i="4"/>
  <c r="AD1944" i="4"/>
  <c r="AF1943" i="4"/>
  <c r="AE1943" i="4"/>
  <c r="AD1943" i="4"/>
  <c r="AF1942" i="4"/>
  <c r="AE1942" i="4"/>
  <c r="AD1942" i="4"/>
  <c r="AF1941" i="4"/>
  <c r="AE1941" i="4"/>
  <c r="AD1941" i="4"/>
  <c r="AF1940" i="4"/>
  <c r="AE1940" i="4"/>
  <c r="AD1940" i="4"/>
  <c r="AF1939" i="4"/>
  <c r="AE1939" i="4"/>
  <c r="AD1939" i="4"/>
  <c r="AF1938" i="4"/>
  <c r="AE1938" i="4"/>
  <c r="AD1938" i="4"/>
  <c r="AF1937" i="4"/>
  <c r="AE1937" i="4"/>
  <c r="AD1937" i="4"/>
  <c r="AF1936" i="4"/>
  <c r="AE1936" i="4"/>
  <c r="AD1936" i="4"/>
  <c r="AF1935" i="4"/>
  <c r="AE1935" i="4"/>
  <c r="AD1935" i="4"/>
  <c r="AF1934" i="4"/>
  <c r="AE1934" i="4"/>
  <c r="AD1934" i="4"/>
  <c r="AF1933" i="4"/>
  <c r="AE1933" i="4"/>
  <c r="AD1933" i="4"/>
  <c r="AF1932" i="4"/>
  <c r="AE1932" i="4"/>
  <c r="AD1932" i="4"/>
  <c r="AF1931" i="4"/>
  <c r="AE1931" i="4"/>
  <c r="AD1931" i="4"/>
  <c r="AF1930" i="4"/>
  <c r="AE1930" i="4"/>
  <c r="AD1930" i="4"/>
  <c r="AF1929" i="4"/>
  <c r="AE1929" i="4"/>
  <c r="AD1929" i="4"/>
  <c r="AF1928" i="4"/>
  <c r="AE1928" i="4"/>
  <c r="AD1928" i="4"/>
  <c r="AF1927" i="4"/>
  <c r="AE1927" i="4"/>
  <c r="AD1927" i="4"/>
  <c r="AF1926" i="4"/>
  <c r="AE1926" i="4"/>
  <c r="AD1926" i="4"/>
  <c r="AF1925" i="4"/>
  <c r="AE1925" i="4"/>
  <c r="AD1925" i="4"/>
  <c r="AF1924" i="4"/>
  <c r="AE1924" i="4"/>
  <c r="AD1924" i="4"/>
  <c r="AF1923" i="4"/>
  <c r="AE1923" i="4"/>
  <c r="AD1923" i="4"/>
  <c r="AF1922" i="4"/>
  <c r="AE1922" i="4"/>
  <c r="AD1922" i="4"/>
  <c r="AF1921" i="4"/>
  <c r="AE1921" i="4"/>
  <c r="AD1921" i="4"/>
  <c r="AF1920" i="4"/>
  <c r="AE1920" i="4"/>
  <c r="AD1920" i="4"/>
  <c r="AF1919" i="4"/>
  <c r="AE1919" i="4"/>
  <c r="AD1919" i="4"/>
  <c r="AF1918" i="4"/>
  <c r="AE1918" i="4"/>
  <c r="AD1918" i="4"/>
  <c r="AF1917" i="4"/>
  <c r="AE1917" i="4"/>
  <c r="AD1917" i="4"/>
  <c r="AF1916" i="4"/>
  <c r="AE1916" i="4"/>
  <c r="AD1916" i="4"/>
  <c r="AF1915" i="4"/>
  <c r="AE1915" i="4"/>
  <c r="AD1915" i="4"/>
  <c r="AF1914" i="4"/>
  <c r="AE1914" i="4"/>
  <c r="AD1914" i="4"/>
  <c r="AF1913" i="4"/>
  <c r="AE1913" i="4"/>
  <c r="AD1913" i="4"/>
  <c r="AF1912" i="4"/>
  <c r="AE1912" i="4"/>
  <c r="AD1912" i="4"/>
  <c r="AF1911" i="4"/>
  <c r="AE1911" i="4"/>
  <c r="AD1911" i="4"/>
  <c r="AF1910" i="4"/>
  <c r="AE1910" i="4"/>
  <c r="AD1910" i="4"/>
  <c r="AF1909" i="4"/>
  <c r="AE1909" i="4"/>
  <c r="AD1909" i="4"/>
  <c r="AF1908" i="4"/>
  <c r="AE1908" i="4"/>
  <c r="AD1908" i="4"/>
  <c r="AF1907" i="4"/>
  <c r="AE1907" i="4"/>
  <c r="AD1907" i="4"/>
  <c r="AF1906" i="4"/>
  <c r="AE1906" i="4"/>
  <c r="AD1906" i="4"/>
  <c r="AF1905" i="4"/>
  <c r="AE1905" i="4"/>
  <c r="AD1905" i="4"/>
  <c r="AF1904" i="4"/>
  <c r="AE1904" i="4"/>
  <c r="AD1904" i="4"/>
  <c r="AF1903" i="4"/>
  <c r="AE1903" i="4"/>
  <c r="AD1903" i="4"/>
  <c r="AF1902" i="4"/>
  <c r="AE1902" i="4"/>
  <c r="AD1902" i="4"/>
  <c r="AF1901" i="4"/>
  <c r="AE1901" i="4"/>
  <c r="AD1901" i="4"/>
  <c r="AF1900" i="4"/>
  <c r="AE1900" i="4"/>
  <c r="AD1900" i="4"/>
  <c r="AF1899" i="4"/>
  <c r="AE1899" i="4"/>
  <c r="AD1899" i="4"/>
  <c r="AF1898" i="4"/>
  <c r="AE1898" i="4"/>
  <c r="AD1898" i="4"/>
  <c r="AF1897" i="4"/>
  <c r="AE1897" i="4"/>
  <c r="AD1897" i="4"/>
  <c r="AF1896" i="4"/>
  <c r="AE1896" i="4"/>
  <c r="AD1896" i="4"/>
  <c r="AF1895" i="4"/>
  <c r="AE1895" i="4"/>
  <c r="AD1895" i="4"/>
  <c r="AF1894" i="4"/>
  <c r="AE1894" i="4"/>
  <c r="AD1894" i="4"/>
  <c r="AF1893" i="4"/>
  <c r="AE1893" i="4"/>
  <c r="AD1893" i="4"/>
  <c r="AF1892" i="4"/>
  <c r="AE1892" i="4"/>
  <c r="AD1892" i="4"/>
  <c r="AF1891" i="4"/>
  <c r="AE1891" i="4"/>
  <c r="AD1891" i="4"/>
  <c r="AF1890" i="4"/>
  <c r="AE1890" i="4"/>
  <c r="AD1890" i="4"/>
  <c r="AF1889" i="4"/>
  <c r="AE1889" i="4"/>
  <c r="AD1889" i="4"/>
  <c r="AF1888" i="4"/>
  <c r="AE1888" i="4"/>
  <c r="AD1888" i="4"/>
  <c r="AF1887" i="4"/>
  <c r="AE1887" i="4"/>
  <c r="AD1887" i="4"/>
  <c r="AF1886" i="4"/>
  <c r="AE1886" i="4"/>
  <c r="AD1886" i="4"/>
  <c r="AF1885" i="4"/>
  <c r="AE1885" i="4"/>
  <c r="AD1885" i="4"/>
  <c r="AF1884" i="4"/>
  <c r="AE1884" i="4"/>
  <c r="AD1884" i="4"/>
  <c r="AF1883" i="4"/>
  <c r="AE1883" i="4"/>
  <c r="AD1883" i="4"/>
  <c r="AF1882" i="4"/>
  <c r="AE1882" i="4"/>
  <c r="AD1882" i="4"/>
  <c r="AF1881" i="4"/>
  <c r="AE1881" i="4"/>
  <c r="AD1881" i="4"/>
  <c r="AF1880" i="4"/>
  <c r="AE1880" i="4"/>
  <c r="AD1880" i="4"/>
  <c r="AF1879" i="4"/>
  <c r="AE1879" i="4"/>
  <c r="AD1879" i="4"/>
  <c r="AF1878" i="4"/>
  <c r="AE1878" i="4"/>
  <c r="AD1878" i="4"/>
  <c r="AF1877" i="4"/>
  <c r="AE1877" i="4"/>
  <c r="AD1877" i="4"/>
  <c r="AF1876" i="4"/>
  <c r="AE1876" i="4"/>
  <c r="AD1876" i="4"/>
  <c r="AF1875" i="4"/>
  <c r="AE1875" i="4"/>
  <c r="AD1875" i="4"/>
  <c r="AF1874" i="4"/>
  <c r="AE1874" i="4"/>
  <c r="AD1874" i="4"/>
  <c r="AF1873" i="4"/>
  <c r="AE1873" i="4"/>
  <c r="AD1873" i="4"/>
  <c r="AF1872" i="4"/>
  <c r="AE1872" i="4"/>
  <c r="AD1872" i="4"/>
  <c r="AF1871" i="4"/>
  <c r="AE1871" i="4"/>
  <c r="AD1871" i="4"/>
  <c r="AF1870" i="4"/>
  <c r="AE1870" i="4"/>
  <c r="AD1870" i="4"/>
  <c r="AF1869" i="4"/>
  <c r="AE1869" i="4"/>
  <c r="AD1869" i="4"/>
  <c r="AF1868" i="4"/>
  <c r="AE1868" i="4"/>
  <c r="AD1868" i="4"/>
  <c r="AF1867" i="4"/>
  <c r="AE1867" i="4"/>
  <c r="AD1867" i="4"/>
  <c r="AF1866" i="4"/>
  <c r="AE1866" i="4"/>
  <c r="AD1866" i="4"/>
  <c r="AF1865" i="4"/>
  <c r="AE1865" i="4"/>
  <c r="AD1865" i="4"/>
  <c r="AF1864" i="4"/>
  <c r="AE1864" i="4"/>
  <c r="AD1864" i="4"/>
  <c r="AF1863" i="4"/>
  <c r="AE1863" i="4"/>
  <c r="AD1863" i="4"/>
  <c r="AF1862" i="4"/>
  <c r="AE1862" i="4"/>
  <c r="AD1862" i="4"/>
  <c r="AF1861" i="4"/>
  <c r="AE1861" i="4"/>
  <c r="AD1861" i="4"/>
  <c r="AF1860" i="4"/>
  <c r="AE1860" i="4"/>
  <c r="AD1860" i="4"/>
  <c r="AF1859" i="4"/>
  <c r="AE1859" i="4"/>
  <c r="AD1859" i="4"/>
  <c r="AF1858" i="4"/>
  <c r="AE1858" i="4"/>
  <c r="AD1858" i="4"/>
  <c r="AF1857" i="4"/>
  <c r="AE1857" i="4"/>
  <c r="AD1857" i="4"/>
  <c r="AF1856" i="4"/>
  <c r="AE1856" i="4"/>
  <c r="AD1856" i="4"/>
  <c r="AF1855" i="4"/>
  <c r="AE1855" i="4"/>
  <c r="AD1855" i="4"/>
  <c r="AF1854" i="4"/>
  <c r="AE1854" i="4"/>
  <c r="AD1854" i="4"/>
  <c r="AF1853" i="4"/>
  <c r="AE1853" i="4"/>
  <c r="AD1853" i="4"/>
  <c r="AF1852" i="4"/>
  <c r="AE1852" i="4"/>
  <c r="AD1852" i="4"/>
  <c r="AF1851" i="4"/>
  <c r="AE1851" i="4"/>
  <c r="AD1851" i="4"/>
  <c r="AF1850" i="4"/>
  <c r="AE1850" i="4"/>
  <c r="AD1850" i="4"/>
  <c r="AF1849" i="4"/>
  <c r="AE1849" i="4"/>
  <c r="AD1849" i="4"/>
  <c r="AF1848" i="4"/>
  <c r="AE1848" i="4"/>
  <c r="AD1848" i="4"/>
  <c r="AF1847" i="4"/>
  <c r="AE1847" i="4"/>
  <c r="AD1847" i="4"/>
  <c r="AF1846" i="4"/>
  <c r="AE1846" i="4"/>
  <c r="AD1846" i="4"/>
  <c r="AF1845" i="4"/>
  <c r="AE1845" i="4"/>
  <c r="AD1845" i="4"/>
  <c r="AF1844" i="4"/>
  <c r="AE1844" i="4"/>
  <c r="AD1844" i="4"/>
  <c r="AF1843" i="4"/>
  <c r="AE1843" i="4"/>
  <c r="AD1843" i="4"/>
  <c r="AF1842" i="4"/>
  <c r="AE1842" i="4"/>
  <c r="AD1842" i="4"/>
  <c r="AF1841" i="4"/>
  <c r="AE1841" i="4"/>
  <c r="AD1841" i="4"/>
  <c r="AF1840" i="4"/>
  <c r="AE1840" i="4"/>
  <c r="AD1840" i="4"/>
  <c r="AF1839" i="4"/>
  <c r="AE1839" i="4"/>
  <c r="AD1839" i="4"/>
  <c r="AF1838" i="4"/>
  <c r="AE1838" i="4"/>
  <c r="AD1838" i="4"/>
  <c r="AF1837" i="4"/>
  <c r="AE1837" i="4"/>
  <c r="AD1837" i="4"/>
  <c r="AF1836" i="4"/>
  <c r="AE1836" i="4"/>
  <c r="AD1836" i="4"/>
  <c r="AF1835" i="4"/>
  <c r="AE1835" i="4"/>
  <c r="AD1835" i="4"/>
  <c r="AF1834" i="4"/>
  <c r="AE1834" i="4"/>
  <c r="AD1834" i="4"/>
  <c r="AF1833" i="4"/>
  <c r="AE1833" i="4"/>
  <c r="AD1833" i="4"/>
  <c r="AF1832" i="4"/>
  <c r="AE1832" i="4"/>
  <c r="AD1832" i="4"/>
  <c r="AF1831" i="4"/>
  <c r="AE1831" i="4"/>
  <c r="AD1831" i="4"/>
  <c r="AF1830" i="4"/>
  <c r="AE1830" i="4"/>
  <c r="AD1830" i="4"/>
  <c r="AF1829" i="4"/>
  <c r="AE1829" i="4"/>
  <c r="AD1829" i="4"/>
  <c r="AF1828" i="4"/>
  <c r="AE1828" i="4"/>
  <c r="AD1828" i="4"/>
  <c r="AF1827" i="4"/>
  <c r="AE1827" i="4"/>
  <c r="AD1827" i="4"/>
  <c r="AF1826" i="4"/>
  <c r="AE1826" i="4"/>
  <c r="AD1826" i="4"/>
  <c r="AF1825" i="4"/>
  <c r="AE1825" i="4"/>
  <c r="AD1825" i="4"/>
  <c r="AF1824" i="4"/>
  <c r="AE1824" i="4"/>
  <c r="AD1824" i="4"/>
  <c r="AF1823" i="4"/>
  <c r="AE1823" i="4"/>
  <c r="AD1823" i="4"/>
  <c r="AF1822" i="4"/>
  <c r="AE1822" i="4"/>
  <c r="AD1822" i="4"/>
  <c r="AF1821" i="4"/>
  <c r="AE1821" i="4"/>
  <c r="AD1821" i="4"/>
  <c r="AF1820" i="4"/>
  <c r="AE1820" i="4"/>
  <c r="AD1820" i="4"/>
  <c r="AF1819" i="4"/>
  <c r="AE1819" i="4"/>
  <c r="AD1819" i="4"/>
  <c r="AF1818" i="4"/>
  <c r="AE1818" i="4"/>
  <c r="AD1818" i="4"/>
  <c r="AF1817" i="4"/>
  <c r="AE1817" i="4"/>
  <c r="AD1817" i="4"/>
  <c r="AF1816" i="4"/>
  <c r="AE1816" i="4"/>
  <c r="AD1816" i="4"/>
  <c r="AF1815" i="4"/>
  <c r="AE1815" i="4"/>
  <c r="AD1815" i="4"/>
  <c r="AF1814" i="4"/>
  <c r="AE1814" i="4"/>
  <c r="AD1814" i="4"/>
  <c r="AF1813" i="4"/>
  <c r="AE1813" i="4"/>
  <c r="AD1813" i="4"/>
  <c r="AF1812" i="4"/>
  <c r="AE1812" i="4"/>
  <c r="AD1812" i="4"/>
  <c r="AF1811" i="4"/>
  <c r="AE1811" i="4"/>
  <c r="AD1811" i="4"/>
  <c r="AF1810" i="4"/>
  <c r="AE1810" i="4"/>
  <c r="AD1810" i="4"/>
  <c r="AF1809" i="4"/>
  <c r="AE1809" i="4"/>
  <c r="AD1809" i="4"/>
  <c r="AF1808" i="4"/>
  <c r="AE1808" i="4"/>
  <c r="AD1808" i="4"/>
  <c r="AF1807" i="4"/>
  <c r="AE1807" i="4"/>
  <c r="AD1807" i="4"/>
  <c r="AF1806" i="4"/>
  <c r="AE1806" i="4"/>
  <c r="AD1806" i="4"/>
  <c r="AF1805" i="4"/>
  <c r="AE1805" i="4"/>
  <c r="AD1805" i="4"/>
  <c r="AF1804" i="4"/>
  <c r="AE1804" i="4"/>
  <c r="AD1804" i="4"/>
  <c r="AF1803" i="4"/>
  <c r="AE1803" i="4"/>
  <c r="AD1803" i="4"/>
  <c r="AF1802" i="4"/>
  <c r="AE1802" i="4"/>
  <c r="AD1802" i="4"/>
  <c r="AF1801" i="4"/>
  <c r="AE1801" i="4"/>
  <c r="AD1801" i="4"/>
  <c r="AF1800" i="4"/>
  <c r="AE1800" i="4"/>
  <c r="AD1800" i="4"/>
  <c r="AF1799" i="4"/>
  <c r="AE1799" i="4"/>
  <c r="AD1799" i="4"/>
  <c r="AF1798" i="4"/>
  <c r="AE1798" i="4"/>
  <c r="AD1798" i="4"/>
  <c r="AF1797" i="4"/>
  <c r="AE1797" i="4"/>
  <c r="AD1797" i="4"/>
  <c r="AF1796" i="4"/>
  <c r="AE1796" i="4"/>
  <c r="AD1796" i="4"/>
  <c r="AF1795" i="4"/>
  <c r="AE1795" i="4"/>
  <c r="AD1795" i="4"/>
  <c r="AF1794" i="4"/>
  <c r="AE1794" i="4"/>
  <c r="AD1794" i="4"/>
  <c r="AF1793" i="4"/>
  <c r="AE1793" i="4"/>
  <c r="AD1793" i="4"/>
  <c r="AF1792" i="4"/>
  <c r="AE1792" i="4"/>
  <c r="AD1792" i="4"/>
  <c r="AF1791" i="4"/>
  <c r="AE1791" i="4"/>
  <c r="AD1791" i="4"/>
  <c r="AF1790" i="4"/>
  <c r="AE1790" i="4"/>
  <c r="AD1790" i="4"/>
  <c r="AF1789" i="4"/>
  <c r="AE1789" i="4"/>
  <c r="AD1789" i="4"/>
  <c r="AF1788" i="4"/>
  <c r="AE1788" i="4"/>
  <c r="AD1788" i="4"/>
  <c r="AF1787" i="4"/>
  <c r="AE1787" i="4"/>
  <c r="AD1787" i="4"/>
  <c r="AF1786" i="4"/>
  <c r="AE1786" i="4"/>
  <c r="AD1786" i="4"/>
  <c r="AF1785" i="4"/>
  <c r="AE1785" i="4"/>
  <c r="AD1785" i="4"/>
  <c r="AF1784" i="4"/>
  <c r="AE1784" i="4"/>
  <c r="AD1784" i="4"/>
  <c r="AF1783" i="4"/>
  <c r="AE1783" i="4"/>
  <c r="AD1783" i="4"/>
  <c r="AF1782" i="4"/>
  <c r="AE1782" i="4"/>
  <c r="AD1782" i="4"/>
  <c r="AF1781" i="4"/>
  <c r="AE1781" i="4"/>
  <c r="AD1781" i="4"/>
  <c r="AF1780" i="4"/>
  <c r="AE1780" i="4"/>
  <c r="AD1780" i="4"/>
  <c r="AF1779" i="4"/>
  <c r="AE1779" i="4"/>
  <c r="AD1779" i="4"/>
  <c r="AF1778" i="4"/>
  <c r="AE1778" i="4"/>
  <c r="AD1778" i="4"/>
  <c r="AF1777" i="4"/>
  <c r="AE1777" i="4"/>
  <c r="AD1777" i="4"/>
  <c r="AF1776" i="4"/>
  <c r="AE1776" i="4"/>
  <c r="AD1776" i="4"/>
  <c r="AF1775" i="4"/>
  <c r="AE1775" i="4"/>
  <c r="AD1775" i="4"/>
  <c r="AF1774" i="4"/>
  <c r="AE1774" i="4"/>
  <c r="AD1774" i="4"/>
  <c r="AF1773" i="4"/>
  <c r="AE1773" i="4"/>
  <c r="AD1773" i="4"/>
  <c r="AF1772" i="4"/>
  <c r="AE1772" i="4"/>
  <c r="AD1772" i="4"/>
  <c r="AF1771" i="4"/>
  <c r="AE1771" i="4"/>
  <c r="AD1771" i="4"/>
  <c r="AF1770" i="4"/>
  <c r="AE1770" i="4"/>
  <c r="AD1770" i="4"/>
  <c r="AF1769" i="4"/>
  <c r="AE1769" i="4"/>
  <c r="AD1769" i="4"/>
  <c r="AF1768" i="4"/>
  <c r="AE1768" i="4"/>
  <c r="AD1768" i="4"/>
  <c r="AF1767" i="4"/>
  <c r="AE1767" i="4"/>
  <c r="AD1767" i="4"/>
  <c r="AF1766" i="4"/>
  <c r="AE1766" i="4"/>
  <c r="AD1766" i="4"/>
  <c r="AF1765" i="4"/>
  <c r="AE1765" i="4"/>
  <c r="AD1765" i="4"/>
  <c r="AF1764" i="4"/>
  <c r="AE1764" i="4"/>
  <c r="AD1764" i="4"/>
  <c r="AF1763" i="4"/>
  <c r="AE1763" i="4"/>
  <c r="AD1763" i="4"/>
  <c r="AF1762" i="4"/>
  <c r="AE1762" i="4"/>
  <c r="AD1762" i="4"/>
  <c r="AF1761" i="4"/>
  <c r="AE1761" i="4"/>
  <c r="AD1761" i="4"/>
  <c r="AF1760" i="4"/>
  <c r="AE1760" i="4"/>
  <c r="AD1760" i="4"/>
  <c r="AF1759" i="4"/>
  <c r="AE1759" i="4"/>
  <c r="AD1759" i="4"/>
  <c r="AF1758" i="4"/>
  <c r="AE1758" i="4"/>
  <c r="AD1758" i="4"/>
  <c r="AF1757" i="4"/>
  <c r="AE1757" i="4"/>
  <c r="AD1757" i="4"/>
  <c r="AF1756" i="4"/>
  <c r="AE1756" i="4"/>
  <c r="AD1756" i="4"/>
  <c r="AF1755" i="4"/>
  <c r="AE1755" i="4"/>
  <c r="AD1755" i="4"/>
  <c r="AF1754" i="4"/>
  <c r="AE1754" i="4"/>
  <c r="AD1754" i="4"/>
  <c r="AF1753" i="4"/>
  <c r="AE1753" i="4"/>
  <c r="AD1753" i="4"/>
  <c r="AF1752" i="4"/>
  <c r="AE1752" i="4"/>
  <c r="AD1752" i="4"/>
  <c r="AF1751" i="4"/>
  <c r="AE1751" i="4"/>
  <c r="AD1751" i="4"/>
  <c r="AF1750" i="4"/>
  <c r="AE1750" i="4"/>
  <c r="AD1750" i="4"/>
  <c r="AF1749" i="4"/>
  <c r="AE1749" i="4"/>
  <c r="AD1749" i="4"/>
  <c r="AF1748" i="4"/>
  <c r="AE1748" i="4"/>
  <c r="AD1748" i="4"/>
  <c r="AF1747" i="4"/>
  <c r="AE1747" i="4"/>
  <c r="AD1747" i="4"/>
  <c r="AF1746" i="4"/>
  <c r="AE1746" i="4"/>
  <c r="AD1746" i="4"/>
  <c r="AF1745" i="4"/>
  <c r="AE1745" i="4"/>
  <c r="AD1745" i="4"/>
  <c r="AF1744" i="4"/>
  <c r="AE1744" i="4"/>
  <c r="AD1744" i="4"/>
  <c r="AF1743" i="4"/>
  <c r="AE1743" i="4"/>
  <c r="AD1743" i="4"/>
  <c r="AF1742" i="4"/>
  <c r="AE1742" i="4"/>
  <c r="AD1742" i="4"/>
  <c r="AF1741" i="4"/>
  <c r="AE1741" i="4"/>
  <c r="AD1741" i="4"/>
  <c r="AF1740" i="4"/>
  <c r="AE1740" i="4"/>
  <c r="AD1740" i="4"/>
  <c r="AF1739" i="4"/>
  <c r="AE1739" i="4"/>
  <c r="AD1739" i="4"/>
  <c r="AF1738" i="4"/>
  <c r="AE1738" i="4"/>
  <c r="AD1738" i="4"/>
  <c r="AF1737" i="4"/>
  <c r="AE1737" i="4"/>
  <c r="AD1737" i="4"/>
  <c r="AF1736" i="4"/>
  <c r="AE1736" i="4"/>
  <c r="AD1736" i="4"/>
  <c r="AF1735" i="4"/>
  <c r="AE1735" i="4"/>
  <c r="AD1735" i="4"/>
  <c r="AF1734" i="4"/>
  <c r="AE1734" i="4"/>
  <c r="AD1734" i="4"/>
  <c r="AF1733" i="4"/>
  <c r="AE1733" i="4"/>
  <c r="AD1733" i="4"/>
  <c r="AF1732" i="4"/>
  <c r="AE1732" i="4"/>
  <c r="AD1732" i="4"/>
  <c r="AF1731" i="4"/>
  <c r="AE1731" i="4"/>
  <c r="AD1731" i="4"/>
  <c r="AF1730" i="4"/>
  <c r="AE1730" i="4"/>
  <c r="AD1730" i="4"/>
  <c r="AF1729" i="4"/>
  <c r="AE1729" i="4"/>
  <c r="AD1729" i="4"/>
  <c r="AF1728" i="4"/>
  <c r="AE1728" i="4"/>
  <c r="AD1728" i="4"/>
  <c r="AF1727" i="4"/>
  <c r="AE1727" i="4"/>
  <c r="AD1727" i="4"/>
  <c r="AF1726" i="4"/>
  <c r="AE1726" i="4"/>
  <c r="AD1726" i="4"/>
  <c r="AF1725" i="4"/>
  <c r="AE1725" i="4"/>
  <c r="AD1725" i="4"/>
  <c r="AF1724" i="4"/>
  <c r="AE1724" i="4"/>
  <c r="AD1724" i="4"/>
  <c r="AF1723" i="4"/>
  <c r="AE1723" i="4"/>
  <c r="AD1723" i="4"/>
  <c r="AF1722" i="4"/>
  <c r="AE1722" i="4"/>
  <c r="AD1722" i="4"/>
  <c r="AF1721" i="4"/>
  <c r="AE1721" i="4"/>
  <c r="AD1721" i="4"/>
  <c r="AF1720" i="4"/>
  <c r="AE1720" i="4"/>
  <c r="AD1720" i="4"/>
  <c r="AF1719" i="4"/>
  <c r="AE1719" i="4"/>
  <c r="AD1719" i="4"/>
  <c r="AF1718" i="4"/>
  <c r="AE1718" i="4"/>
  <c r="AD1718" i="4"/>
  <c r="AF1717" i="4"/>
  <c r="AE1717" i="4"/>
  <c r="AD1717" i="4"/>
  <c r="AF1716" i="4"/>
  <c r="AE1716" i="4"/>
  <c r="AD1716" i="4"/>
  <c r="AF1715" i="4"/>
  <c r="AE1715" i="4"/>
  <c r="AD1715" i="4"/>
  <c r="AF1714" i="4"/>
  <c r="AE1714" i="4"/>
  <c r="AD1714" i="4"/>
  <c r="AF1713" i="4"/>
  <c r="AE1713" i="4"/>
  <c r="AD1713" i="4"/>
  <c r="AF1712" i="4"/>
  <c r="AE1712" i="4"/>
  <c r="AD1712" i="4"/>
  <c r="AF1711" i="4"/>
  <c r="AE1711" i="4"/>
  <c r="AD1711" i="4"/>
  <c r="AF1710" i="4"/>
  <c r="AE1710" i="4"/>
  <c r="AD1710" i="4"/>
  <c r="AF1709" i="4"/>
  <c r="AE1709" i="4"/>
  <c r="AD1709" i="4"/>
  <c r="AF1708" i="4"/>
  <c r="AE1708" i="4"/>
  <c r="AD1708" i="4"/>
  <c r="AF1707" i="4"/>
  <c r="AE1707" i="4"/>
  <c r="AD1707" i="4"/>
  <c r="AF1706" i="4"/>
  <c r="AE1706" i="4"/>
  <c r="AD1706" i="4"/>
  <c r="AF1705" i="4"/>
  <c r="AE1705" i="4"/>
  <c r="AD1705" i="4"/>
  <c r="AF1704" i="4"/>
  <c r="AE1704" i="4"/>
  <c r="AD1704" i="4"/>
  <c r="AF1703" i="4"/>
  <c r="AE1703" i="4"/>
  <c r="AD1703" i="4"/>
  <c r="AF1702" i="4"/>
  <c r="AE1702" i="4"/>
  <c r="AD1702" i="4"/>
  <c r="AF1701" i="4"/>
  <c r="AE1701" i="4"/>
  <c r="AD1701" i="4"/>
  <c r="AF1700" i="4"/>
  <c r="AE1700" i="4"/>
  <c r="AD1700" i="4"/>
  <c r="AF1699" i="4"/>
  <c r="AE1699" i="4"/>
  <c r="AD1699" i="4"/>
  <c r="AF1698" i="4"/>
  <c r="AE1698" i="4"/>
  <c r="AD1698" i="4"/>
  <c r="AF1697" i="4"/>
  <c r="AE1697" i="4"/>
  <c r="AD1697" i="4"/>
  <c r="AF1696" i="4"/>
  <c r="AE1696" i="4"/>
  <c r="AD1696" i="4"/>
  <c r="AF1695" i="4"/>
  <c r="AE1695" i="4"/>
  <c r="AD1695" i="4"/>
  <c r="AF1694" i="4"/>
  <c r="AE1694" i="4"/>
  <c r="AD1694" i="4"/>
  <c r="AF1693" i="4"/>
  <c r="AE1693" i="4"/>
  <c r="AD1693" i="4"/>
  <c r="AF1692" i="4"/>
  <c r="AE1692" i="4"/>
  <c r="AD1692" i="4"/>
  <c r="AF1691" i="4"/>
  <c r="AE1691" i="4"/>
  <c r="AD1691" i="4"/>
  <c r="AF1690" i="4"/>
  <c r="AE1690" i="4"/>
  <c r="AD1690" i="4"/>
  <c r="AF1689" i="4"/>
  <c r="AE1689" i="4"/>
  <c r="AD1689" i="4"/>
  <c r="AF1688" i="4"/>
  <c r="AE1688" i="4"/>
  <c r="AD1688" i="4"/>
  <c r="AF1687" i="4"/>
  <c r="AE1687" i="4"/>
  <c r="AD1687" i="4"/>
  <c r="AF1686" i="4"/>
  <c r="AE1686" i="4"/>
  <c r="AD1686" i="4"/>
  <c r="AF1685" i="4"/>
  <c r="AE1685" i="4"/>
  <c r="AD1685" i="4"/>
  <c r="AF1684" i="4"/>
  <c r="AE1684" i="4"/>
  <c r="AD1684" i="4"/>
  <c r="AF1683" i="4"/>
  <c r="AE1683" i="4"/>
  <c r="AD1683" i="4"/>
  <c r="AF1682" i="4"/>
  <c r="AE1682" i="4"/>
  <c r="AD1682" i="4"/>
  <c r="AF1681" i="4"/>
  <c r="AE1681" i="4"/>
  <c r="AD1681" i="4"/>
  <c r="AF1680" i="4"/>
  <c r="AE1680" i="4"/>
  <c r="AD1680" i="4"/>
  <c r="AF1679" i="4"/>
  <c r="AE1679" i="4"/>
  <c r="AD1679" i="4"/>
  <c r="AF1678" i="4"/>
  <c r="AE1678" i="4"/>
  <c r="AD1678" i="4"/>
  <c r="AF1677" i="4"/>
  <c r="AE1677" i="4"/>
  <c r="AD1677" i="4"/>
  <c r="AF1676" i="4"/>
  <c r="AE1676" i="4"/>
  <c r="AD1676" i="4"/>
  <c r="AF1675" i="4"/>
  <c r="AE1675" i="4"/>
  <c r="AD1675" i="4"/>
  <c r="AF1674" i="4"/>
  <c r="AE1674" i="4"/>
  <c r="AD1674" i="4"/>
  <c r="AF1673" i="4"/>
  <c r="AE1673" i="4"/>
  <c r="AD1673" i="4"/>
  <c r="AF1672" i="4"/>
  <c r="AE1672" i="4"/>
  <c r="AD1672" i="4"/>
  <c r="AF1671" i="4"/>
  <c r="AE1671" i="4"/>
  <c r="AD1671" i="4"/>
  <c r="AF1670" i="4"/>
  <c r="AE1670" i="4"/>
  <c r="AD1670" i="4"/>
  <c r="AF1669" i="4"/>
  <c r="AE1669" i="4"/>
  <c r="AD1669" i="4"/>
  <c r="AF1668" i="4"/>
  <c r="AE1668" i="4"/>
  <c r="AD1668" i="4"/>
  <c r="AF1667" i="4"/>
  <c r="AE1667" i="4"/>
  <c r="AD1667" i="4"/>
  <c r="AF1666" i="4"/>
  <c r="AE1666" i="4"/>
  <c r="AD1666" i="4"/>
  <c r="AF1665" i="4"/>
  <c r="AE1665" i="4"/>
  <c r="AD1665" i="4"/>
  <c r="AF1664" i="4"/>
  <c r="AE1664" i="4"/>
  <c r="AD1664" i="4"/>
  <c r="AF1663" i="4"/>
  <c r="AE1663" i="4"/>
  <c r="AD1663" i="4"/>
  <c r="AF1662" i="4"/>
  <c r="AE1662" i="4"/>
  <c r="AD1662" i="4"/>
  <c r="AF1661" i="4"/>
  <c r="AE1661" i="4"/>
  <c r="AD1661" i="4"/>
  <c r="AF1660" i="4"/>
  <c r="AE1660" i="4"/>
  <c r="AD1660" i="4"/>
  <c r="AF1659" i="4"/>
  <c r="AE1659" i="4"/>
  <c r="AD1659" i="4"/>
  <c r="AF1658" i="4"/>
  <c r="AE1658" i="4"/>
  <c r="AD1658" i="4"/>
  <c r="AF1657" i="4"/>
  <c r="AE1657" i="4"/>
  <c r="AD1657" i="4"/>
  <c r="AF1656" i="4"/>
  <c r="AE1656" i="4"/>
  <c r="AD1656" i="4"/>
  <c r="AF1655" i="4"/>
  <c r="AE1655" i="4"/>
  <c r="AD1655" i="4"/>
  <c r="AF1654" i="4"/>
  <c r="AE1654" i="4"/>
  <c r="AD1654" i="4"/>
  <c r="AF1653" i="4"/>
  <c r="AE1653" i="4"/>
  <c r="AD1653" i="4"/>
  <c r="AF1652" i="4"/>
  <c r="AE1652" i="4"/>
  <c r="AD1652" i="4"/>
  <c r="AF1651" i="4"/>
  <c r="AE1651" i="4"/>
  <c r="AD1651" i="4"/>
  <c r="AF1650" i="4"/>
  <c r="AE1650" i="4"/>
  <c r="AD1650" i="4"/>
  <c r="AF1649" i="4"/>
  <c r="AE1649" i="4"/>
  <c r="AD1649" i="4"/>
  <c r="AF1648" i="4"/>
  <c r="AE1648" i="4"/>
  <c r="AD1648" i="4"/>
  <c r="AF1647" i="4"/>
  <c r="AE1647" i="4"/>
  <c r="AD1647" i="4"/>
  <c r="AF1646" i="4"/>
  <c r="AE1646" i="4"/>
  <c r="AD1646" i="4"/>
  <c r="AF1645" i="4"/>
  <c r="AE1645" i="4"/>
  <c r="AD1645" i="4"/>
  <c r="AF1644" i="4"/>
  <c r="AE1644" i="4"/>
  <c r="AD1644" i="4"/>
  <c r="AF1643" i="4"/>
  <c r="AE1643" i="4"/>
  <c r="AD1643" i="4"/>
  <c r="AF1642" i="4"/>
  <c r="AE1642" i="4"/>
  <c r="AD1642" i="4"/>
  <c r="AF1641" i="4"/>
  <c r="AE1641" i="4"/>
  <c r="AD1641" i="4"/>
  <c r="AF1640" i="4"/>
  <c r="AE1640" i="4"/>
  <c r="AD1640" i="4"/>
  <c r="AF1639" i="4"/>
  <c r="AE1639" i="4"/>
  <c r="AD1639" i="4"/>
  <c r="AF1638" i="4"/>
  <c r="AE1638" i="4"/>
  <c r="AD1638" i="4"/>
  <c r="AF1637" i="4"/>
  <c r="AE1637" i="4"/>
  <c r="AD1637" i="4"/>
  <c r="AF1636" i="4"/>
  <c r="AE1636" i="4"/>
  <c r="AD1636" i="4"/>
  <c r="AF1635" i="4"/>
  <c r="AE1635" i="4"/>
  <c r="AD1635" i="4"/>
  <c r="AF1634" i="4"/>
  <c r="AE1634" i="4"/>
  <c r="AD1634" i="4"/>
  <c r="AF1633" i="4"/>
  <c r="AE1633" i="4"/>
  <c r="AD1633" i="4"/>
  <c r="AF1632" i="4"/>
  <c r="AE1632" i="4"/>
  <c r="AD1632" i="4"/>
  <c r="AF1631" i="4"/>
  <c r="AE1631" i="4"/>
  <c r="AD1631" i="4"/>
  <c r="AF1630" i="4"/>
  <c r="AE1630" i="4"/>
  <c r="AD1630" i="4"/>
  <c r="AF1629" i="4"/>
  <c r="AE1629" i="4"/>
  <c r="AD1629" i="4"/>
  <c r="AF1628" i="4"/>
  <c r="AE1628" i="4"/>
  <c r="AD1628" i="4"/>
  <c r="AF1627" i="4"/>
  <c r="AE1627" i="4"/>
  <c r="AD1627" i="4"/>
  <c r="AF1626" i="4"/>
  <c r="AE1626" i="4"/>
  <c r="AD1626" i="4"/>
  <c r="AF1625" i="4"/>
  <c r="AE1625" i="4"/>
  <c r="AD1625" i="4"/>
  <c r="AF1624" i="4"/>
  <c r="AE1624" i="4"/>
  <c r="AD1624" i="4"/>
  <c r="AF1623" i="4"/>
  <c r="AE1623" i="4"/>
  <c r="AD1623" i="4"/>
  <c r="AF1622" i="4"/>
  <c r="AE1622" i="4"/>
  <c r="AD1622" i="4"/>
  <c r="AF1621" i="4"/>
  <c r="AE1621" i="4"/>
  <c r="AD1621" i="4"/>
  <c r="AF1620" i="4"/>
  <c r="AE1620" i="4"/>
  <c r="AD1620" i="4"/>
  <c r="AF1619" i="4"/>
  <c r="AE1619" i="4"/>
  <c r="AD1619" i="4"/>
  <c r="AF1618" i="4"/>
  <c r="AE1618" i="4"/>
  <c r="AD1618" i="4"/>
  <c r="AF1617" i="4"/>
  <c r="AE1617" i="4"/>
  <c r="AD1617" i="4"/>
  <c r="AF1616" i="4"/>
  <c r="AE1616" i="4"/>
  <c r="AD1616" i="4"/>
  <c r="AF1615" i="4"/>
  <c r="AE1615" i="4"/>
  <c r="AD1615" i="4"/>
  <c r="AF1614" i="4"/>
  <c r="AE1614" i="4"/>
  <c r="AD1614" i="4"/>
  <c r="AF1613" i="4"/>
  <c r="AE1613" i="4"/>
  <c r="AD1613" i="4"/>
  <c r="AF1612" i="4"/>
  <c r="AE1612" i="4"/>
  <c r="AD1612" i="4"/>
  <c r="AF1611" i="4"/>
  <c r="AE1611" i="4"/>
  <c r="AD1611" i="4"/>
  <c r="AF1610" i="4"/>
  <c r="AE1610" i="4"/>
  <c r="AD1610" i="4"/>
  <c r="AF1609" i="4"/>
  <c r="AE1609" i="4"/>
  <c r="AD1609" i="4"/>
  <c r="AF1608" i="4"/>
  <c r="AE1608" i="4"/>
  <c r="AD1608" i="4"/>
  <c r="AF1607" i="4"/>
  <c r="AE1607" i="4"/>
  <c r="AD1607" i="4"/>
  <c r="AF1606" i="4"/>
  <c r="AE1606" i="4"/>
  <c r="AD1606" i="4"/>
  <c r="AF1605" i="4"/>
  <c r="AE1605" i="4"/>
  <c r="AD1605" i="4"/>
  <c r="AF1604" i="4"/>
  <c r="AE1604" i="4"/>
  <c r="AD1604" i="4"/>
  <c r="AF1603" i="4"/>
  <c r="AE1603" i="4"/>
  <c r="AD1603" i="4"/>
  <c r="AF1602" i="4"/>
  <c r="AE1602" i="4"/>
  <c r="AD1602" i="4"/>
  <c r="AF1601" i="4"/>
  <c r="AE1601" i="4"/>
  <c r="AD1601" i="4"/>
  <c r="AF1600" i="4"/>
  <c r="AE1600" i="4"/>
  <c r="AD1600" i="4"/>
  <c r="AF1599" i="4"/>
  <c r="AE1599" i="4"/>
  <c r="AD1599" i="4"/>
  <c r="AF1598" i="4"/>
  <c r="AE1598" i="4"/>
  <c r="AD1598" i="4"/>
  <c r="AF1597" i="4"/>
  <c r="AE1597" i="4"/>
  <c r="AD1597" i="4"/>
  <c r="AF1596" i="4"/>
  <c r="AE1596" i="4"/>
  <c r="AD1596" i="4"/>
  <c r="AF1595" i="4"/>
  <c r="AE1595" i="4"/>
  <c r="AD1595" i="4"/>
  <c r="AF1594" i="4"/>
  <c r="AE1594" i="4"/>
  <c r="AD1594" i="4"/>
  <c r="AF1593" i="4"/>
  <c r="AE1593" i="4"/>
  <c r="AD1593" i="4"/>
  <c r="AF1592" i="4"/>
  <c r="AE1592" i="4"/>
  <c r="AD1592" i="4"/>
  <c r="AF1591" i="4"/>
  <c r="AE1591" i="4"/>
  <c r="AD1591" i="4"/>
  <c r="AF1590" i="4"/>
  <c r="AE1590" i="4"/>
  <c r="AD1590" i="4"/>
  <c r="AF1589" i="4"/>
  <c r="AE1589" i="4"/>
  <c r="AD1589" i="4"/>
  <c r="AF1588" i="4"/>
  <c r="AE1588" i="4"/>
  <c r="AD1588" i="4"/>
  <c r="AF1587" i="4"/>
  <c r="AE1587" i="4"/>
  <c r="AD1587" i="4"/>
  <c r="AF1586" i="4"/>
  <c r="AE1586" i="4"/>
  <c r="AD1586" i="4"/>
  <c r="AF1585" i="4"/>
  <c r="AE1585" i="4"/>
  <c r="AD1585" i="4"/>
  <c r="AF1584" i="4"/>
  <c r="AE1584" i="4"/>
  <c r="AD1584" i="4"/>
  <c r="AF1583" i="4"/>
  <c r="AE1583" i="4"/>
  <c r="AD1583" i="4"/>
  <c r="AF1582" i="4"/>
  <c r="AE1582" i="4"/>
  <c r="AD1582" i="4"/>
  <c r="AF1581" i="4"/>
  <c r="AE1581" i="4"/>
  <c r="AD1581" i="4"/>
  <c r="AF1580" i="4"/>
  <c r="AE1580" i="4"/>
  <c r="AD1580" i="4"/>
  <c r="AF1579" i="4"/>
  <c r="AE1579" i="4"/>
  <c r="AD1579" i="4"/>
  <c r="AF1578" i="4"/>
  <c r="AE1578" i="4"/>
  <c r="AD1578" i="4"/>
  <c r="AF1577" i="4"/>
  <c r="AE1577" i="4"/>
  <c r="AD1577" i="4"/>
  <c r="AF1576" i="4"/>
  <c r="AE1576" i="4"/>
  <c r="AD1576" i="4"/>
  <c r="AF1575" i="4"/>
  <c r="AE1575" i="4"/>
  <c r="AD1575" i="4"/>
  <c r="AF1574" i="4"/>
  <c r="AE1574" i="4"/>
  <c r="AD1574" i="4"/>
  <c r="AF1573" i="4"/>
  <c r="AE1573" i="4"/>
  <c r="AD1573" i="4"/>
  <c r="AF1572" i="4"/>
  <c r="AE1572" i="4"/>
  <c r="AD1572" i="4"/>
  <c r="AF1571" i="4"/>
  <c r="AE1571" i="4"/>
  <c r="AD1571" i="4"/>
  <c r="AF1570" i="4"/>
  <c r="AE1570" i="4"/>
  <c r="AD1570" i="4"/>
  <c r="AF1569" i="4"/>
  <c r="AE1569" i="4"/>
  <c r="AD1569" i="4"/>
  <c r="AF1568" i="4"/>
  <c r="AE1568" i="4"/>
  <c r="AD1568" i="4"/>
  <c r="AF1567" i="4"/>
  <c r="AE1567" i="4"/>
  <c r="AD1567" i="4"/>
  <c r="AF1566" i="4"/>
  <c r="AE1566" i="4"/>
  <c r="AD1566" i="4"/>
  <c r="AF1565" i="4"/>
  <c r="AE1565" i="4"/>
  <c r="AD1565" i="4"/>
  <c r="AF1564" i="4"/>
  <c r="AE1564" i="4"/>
  <c r="AD1564" i="4"/>
  <c r="AF1563" i="4"/>
  <c r="AE1563" i="4"/>
  <c r="AD1563" i="4"/>
  <c r="AF1562" i="4"/>
  <c r="AE1562" i="4"/>
  <c r="AD1562" i="4"/>
  <c r="AF1561" i="4"/>
  <c r="AE1561" i="4"/>
  <c r="AD1561" i="4"/>
  <c r="AF1560" i="4"/>
  <c r="AE1560" i="4"/>
  <c r="AD1560" i="4"/>
  <c r="AF1559" i="4"/>
  <c r="AE1559" i="4"/>
  <c r="AD1559" i="4"/>
  <c r="AF1558" i="4"/>
  <c r="AE1558" i="4"/>
  <c r="AD1558" i="4"/>
  <c r="AF1557" i="4"/>
  <c r="AE1557" i="4"/>
  <c r="AD1557" i="4"/>
  <c r="AF1556" i="4"/>
  <c r="AE1556" i="4"/>
  <c r="AD1556" i="4"/>
  <c r="AF1555" i="4"/>
  <c r="AE1555" i="4"/>
  <c r="AD1555" i="4"/>
  <c r="AF1554" i="4"/>
  <c r="AE1554" i="4"/>
  <c r="AD1554" i="4"/>
  <c r="AF1553" i="4"/>
  <c r="AE1553" i="4"/>
  <c r="AD1553" i="4"/>
  <c r="AF1552" i="4"/>
  <c r="AE1552" i="4"/>
  <c r="AD1552" i="4"/>
  <c r="AF1551" i="4"/>
  <c r="AE1551" i="4"/>
  <c r="AD1551" i="4"/>
  <c r="AF1550" i="4"/>
  <c r="AE1550" i="4"/>
  <c r="AD1550" i="4"/>
  <c r="AF1549" i="4"/>
  <c r="AE1549" i="4"/>
  <c r="AD1549" i="4"/>
  <c r="AF1548" i="4"/>
  <c r="AE1548" i="4"/>
  <c r="AD1548" i="4"/>
  <c r="AF1547" i="4"/>
  <c r="AE1547" i="4"/>
  <c r="AD1547" i="4"/>
  <c r="AF1546" i="4"/>
  <c r="AE1546" i="4"/>
  <c r="AD1546" i="4"/>
  <c r="AF1545" i="4"/>
  <c r="AE1545" i="4"/>
  <c r="AD1545" i="4"/>
  <c r="AF1544" i="4"/>
  <c r="AE1544" i="4"/>
  <c r="AD1544" i="4"/>
  <c r="AF1543" i="4"/>
  <c r="AE1543" i="4"/>
  <c r="AD1543" i="4"/>
  <c r="AF1542" i="4"/>
  <c r="AE1542" i="4"/>
  <c r="AD1542" i="4"/>
  <c r="AF1541" i="4"/>
  <c r="AE1541" i="4"/>
  <c r="AD1541" i="4"/>
  <c r="AF1540" i="4"/>
  <c r="AE1540" i="4"/>
  <c r="AD1540" i="4"/>
  <c r="AF1539" i="4"/>
  <c r="AE1539" i="4"/>
  <c r="AD1539" i="4"/>
  <c r="AF1538" i="4"/>
  <c r="AE1538" i="4"/>
  <c r="AD1538" i="4"/>
  <c r="AF1537" i="4"/>
  <c r="AE1537" i="4"/>
  <c r="AD1537" i="4"/>
  <c r="AF1536" i="4"/>
  <c r="AE1536" i="4"/>
  <c r="AD1536" i="4"/>
  <c r="AF1535" i="4"/>
  <c r="AE1535" i="4"/>
  <c r="AD1535" i="4"/>
  <c r="AF1534" i="4"/>
  <c r="AE1534" i="4"/>
  <c r="AD1534" i="4"/>
  <c r="AF1533" i="4"/>
  <c r="AE1533" i="4"/>
  <c r="AD1533" i="4"/>
  <c r="AF1532" i="4"/>
  <c r="AE1532" i="4"/>
  <c r="AD1532" i="4"/>
  <c r="AF1531" i="4"/>
  <c r="AE1531" i="4"/>
  <c r="AD1531" i="4"/>
  <c r="AF1530" i="4"/>
  <c r="AE1530" i="4"/>
  <c r="AD1530" i="4"/>
  <c r="AF1529" i="4"/>
  <c r="AE1529" i="4"/>
  <c r="AD1529" i="4"/>
  <c r="AF1528" i="4"/>
  <c r="AE1528" i="4"/>
  <c r="AD1528" i="4"/>
  <c r="AF1527" i="4"/>
  <c r="AE1527" i="4"/>
  <c r="AD1527" i="4"/>
  <c r="AF1526" i="4"/>
  <c r="AE1526" i="4"/>
  <c r="AD1526" i="4"/>
  <c r="AF1525" i="4"/>
  <c r="AE1525" i="4"/>
  <c r="AD1525" i="4"/>
  <c r="AF1524" i="4"/>
  <c r="AE1524" i="4"/>
  <c r="AD1524" i="4"/>
  <c r="AF1523" i="4"/>
  <c r="AE1523" i="4"/>
  <c r="AD1523" i="4"/>
  <c r="AF1522" i="4"/>
  <c r="AE1522" i="4"/>
  <c r="AD1522" i="4"/>
  <c r="AF1521" i="4"/>
  <c r="AE1521" i="4"/>
  <c r="AD1521" i="4"/>
  <c r="AF1520" i="4"/>
  <c r="AE1520" i="4"/>
  <c r="AD1520" i="4"/>
  <c r="AF1519" i="4"/>
  <c r="AE1519" i="4"/>
  <c r="AD1519" i="4"/>
  <c r="AF1518" i="4"/>
  <c r="AE1518" i="4"/>
  <c r="AD1518" i="4"/>
  <c r="AF1517" i="4"/>
  <c r="AE1517" i="4"/>
  <c r="AD1517" i="4"/>
  <c r="AF1516" i="4"/>
  <c r="AE1516" i="4"/>
  <c r="AD1516" i="4"/>
  <c r="AF1515" i="4"/>
  <c r="AE1515" i="4"/>
  <c r="AD1515" i="4"/>
  <c r="AF1514" i="4"/>
  <c r="AE1514" i="4"/>
  <c r="AD1514" i="4"/>
  <c r="AF1513" i="4"/>
  <c r="AE1513" i="4"/>
  <c r="AD1513" i="4"/>
  <c r="AF1512" i="4"/>
  <c r="AE1512" i="4"/>
  <c r="AD1512" i="4"/>
  <c r="AF1511" i="4"/>
  <c r="AE1511" i="4"/>
  <c r="AD1511" i="4"/>
  <c r="AF1510" i="4"/>
  <c r="AE1510" i="4"/>
  <c r="AD1510" i="4"/>
  <c r="AF1509" i="4"/>
  <c r="AE1509" i="4"/>
  <c r="AD1509" i="4"/>
  <c r="AF1508" i="4"/>
  <c r="AE1508" i="4"/>
  <c r="AD1508" i="4"/>
  <c r="AF1507" i="4"/>
  <c r="AE1507" i="4"/>
  <c r="AD1507" i="4"/>
  <c r="AF1506" i="4"/>
  <c r="AE1506" i="4"/>
  <c r="AD1506" i="4"/>
  <c r="AF1505" i="4"/>
  <c r="AE1505" i="4"/>
  <c r="AD1505" i="4"/>
  <c r="AF1504" i="4"/>
  <c r="AE1504" i="4"/>
  <c r="AD1504" i="4"/>
  <c r="AF1503" i="4"/>
  <c r="AE1503" i="4"/>
  <c r="AD1503" i="4"/>
  <c r="AF1502" i="4"/>
  <c r="AE1502" i="4"/>
  <c r="AD1502" i="4"/>
  <c r="AF1501" i="4"/>
  <c r="AE1501" i="4"/>
  <c r="AD1501" i="4"/>
  <c r="AF1500" i="4"/>
  <c r="AE1500" i="4"/>
  <c r="AD1500" i="4"/>
  <c r="AF1499" i="4"/>
  <c r="AE1499" i="4"/>
  <c r="AD1499" i="4"/>
  <c r="AF1498" i="4"/>
  <c r="AE1498" i="4"/>
  <c r="AD1498" i="4"/>
  <c r="AF1497" i="4"/>
  <c r="AE1497" i="4"/>
  <c r="AD1497" i="4"/>
  <c r="AF1496" i="4"/>
  <c r="AE1496" i="4"/>
  <c r="AD1496" i="4"/>
  <c r="AF1495" i="4"/>
  <c r="AE1495" i="4"/>
  <c r="AD1495" i="4"/>
  <c r="AF1494" i="4"/>
  <c r="AE1494" i="4"/>
  <c r="AD1494" i="4"/>
  <c r="AF1493" i="4"/>
  <c r="AE1493" i="4"/>
  <c r="AD1493" i="4"/>
  <c r="AF1492" i="4"/>
  <c r="AE1492" i="4"/>
  <c r="AD1492" i="4"/>
  <c r="AF1491" i="4"/>
  <c r="AE1491" i="4"/>
  <c r="AD1491" i="4"/>
  <c r="AF1490" i="4"/>
  <c r="AE1490" i="4"/>
  <c r="AD1490" i="4"/>
  <c r="AF1489" i="4"/>
  <c r="AE1489" i="4"/>
  <c r="AD1489" i="4"/>
  <c r="AF1488" i="4"/>
  <c r="AE1488" i="4"/>
  <c r="AD1488" i="4"/>
  <c r="AF1487" i="4"/>
  <c r="AE1487" i="4"/>
  <c r="AD1487" i="4"/>
  <c r="AF1486" i="4"/>
  <c r="AE1486" i="4"/>
  <c r="AD1486" i="4"/>
  <c r="AF1485" i="4"/>
  <c r="AE1485" i="4"/>
  <c r="AD1485" i="4"/>
  <c r="AF1484" i="4"/>
  <c r="AE1484" i="4"/>
  <c r="AD1484" i="4"/>
  <c r="AF1483" i="4"/>
  <c r="AE1483" i="4"/>
  <c r="AD1483" i="4"/>
  <c r="AF1482" i="4"/>
  <c r="AE1482" i="4"/>
  <c r="AD1482" i="4"/>
  <c r="AF1481" i="4"/>
  <c r="AE1481" i="4"/>
  <c r="AD1481" i="4"/>
  <c r="AF1480" i="4"/>
  <c r="AE1480" i="4"/>
  <c r="AD1480" i="4"/>
  <c r="AF1479" i="4"/>
  <c r="AE1479" i="4"/>
  <c r="AD1479" i="4"/>
  <c r="AF1478" i="4"/>
  <c r="AE1478" i="4"/>
  <c r="AD1478" i="4"/>
  <c r="AF1477" i="4"/>
  <c r="AE1477" i="4"/>
  <c r="AD1477" i="4"/>
  <c r="AF1476" i="4"/>
  <c r="AE1476" i="4"/>
  <c r="AD1476" i="4"/>
  <c r="AF1475" i="4"/>
  <c r="AE1475" i="4"/>
  <c r="AD1475" i="4"/>
  <c r="AF1474" i="4"/>
  <c r="AE1474" i="4"/>
  <c r="AD1474" i="4"/>
  <c r="AF1473" i="4"/>
  <c r="AE1473" i="4"/>
  <c r="AD1473" i="4"/>
  <c r="AF1472" i="4"/>
  <c r="AE1472" i="4"/>
  <c r="AD1472" i="4"/>
  <c r="AF1471" i="4"/>
  <c r="AE1471" i="4"/>
  <c r="AD1471" i="4"/>
  <c r="AF1470" i="4"/>
  <c r="AE1470" i="4"/>
  <c r="AD1470" i="4"/>
  <c r="AF1469" i="4"/>
  <c r="AE1469" i="4"/>
  <c r="AD1469" i="4"/>
  <c r="AF1468" i="4"/>
  <c r="AE1468" i="4"/>
  <c r="AD1468" i="4"/>
  <c r="AF1467" i="4"/>
  <c r="AE1467" i="4"/>
  <c r="AD1467" i="4"/>
  <c r="AF1466" i="4"/>
  <c r="AE1466" i="4"/>
  <c r="AD1466" i="4"/>
  <c r="AF1465" i="4"/>
  <c r="AE1465" i="4"/>
  <c r="AD1465" i="4"/>
  <c r="AF1464" i="4"/>
  <c r="AE1464" i="4"/>
  <c r="AD1464" i="4"/>
  <c r="AF1463" i="4"/>
  <c r="AE1463" i="4"/>
  <c r="AD1463" i="4"/>
  <c r="AF1462" i="4"/>
  <c r="AE1462" i="4"/>
  <c r="AD1462" i="4"/>
  <c r="AF1461" i="4"/>
  <c r="AE1461" i="4"/>
  <c r="AD1461" i="4"/>
  <c r="AF1460" i="4"/>
  <c r="AE1460" i="4"/>
  <c r="AD1460" i="4"/>
  <c r="AF1459" i="4"/>
  <c r="AE1459" i="4"/>
  <c r="AD1459" i="4"/>
  <c r="AF1458" i="4"/>
  <c r="AE1458" i="4"/>
  <c r="AD1458" i="4"/>
  <c r="AF1457" i="4"/>
  <c r="AE1457" i="4"/>
  <c r="AD1457" i="4"/>
  <c r="AF1456" i="4"/>
  <c r="AE1456" i="4"/>
  <c r="AD1456" i="4"/>
  <c r="AF1455" i="4"/>
  <c r="AE1455" i="4"/>
  <c r="AD1455" i="4"/>
  <c r="AF1454" i="4"/>
  <c r="AE1454" i="4"/>
  <c r="AD1454" i="4"/>
  <c r="AF1453" i="4"/>
  <c r="AE1453" i="4"/>
  <c r="AD1453" i="4"/>
  <c r="AF1452" i="4"/>
  <c r="AE1452" i="4"/>
  <c r="AD1452" i="4"/>
  <c r="AF1451" i="4"/>
  <c r="AE1451" i="4"/>
  <c r="AD1451" i="4"/>
  <c r="AF1450" i="4"/>
  <c r="AE1450" i="4"/>
  <c r="AD1450" i="4"/>
  <c r="AF1449" i="4"/>
  <c r="AE1449" i="4"/>
  <c r="AD1449" i="4"/>
  <c r="AF1448" i="4"/>
  <c r="AE1448" i="4"/>
  <c r="AD1448" i="4"/>
  <c r="AF1447" i="4"/>
  <c r="AE1447" i="4"/>
  <c r="AD1447" i="4"/>
  <c r="AF1446" i="4"/>
  <c r="AE1446" i="4"/>
  <c r="AD1446" i="4"/>
  <c r="AF1445" i="4"/>
  <c r="AE1445" i="4"/>
  <c r="AD1445" i="4"/>
  <c r="AF1444" i="4"/>
  <c r="AE1444" i="4"/>
  <c r="AD1444" i="4"/>
  <c r="AF1443" i="4"/>
  <c r="AE1443" i="4"/>
  <c r="AD1443" i="4"/>
  <c r="AF1442" i="4"/>
  <c r="AE1442" i="4"/>
  <c r="AD1442" i="4"/>
  <c r="AF1441" i="4"/>
  <c r="AE1441" i="4"/>
  <c r="AD1441" i="4"/>
  <c r="AF1440" i="4"/>
  <c r="AE1440" i="4"/>
  <c r="AD1440" i="4"/>
  <c r="AF1439" i="4"/>
  <c r="AE1439" i="4"/>
  <c r="AD1439" i="4"/>
  <c r="AF1438" i="4"/>
  <c r="AE1438" i="4"/>
  <c r="AD1438" i="4"/>
  <c r="AF1437" i="4"/>
  <c r="AE1437" i="4"/>
  <c r="AD1437" i="4"/>
  <c r="AF1436" i="4"/>
  <c r="AE1436" i="4"/>
  <c r="AD1436" i="4"/>
  <c r="AF1435" i="4"/>
  <c r="AE1435" i="4"/>
  <c r="AD1435" i="4"/>
  <c r="AF1434" i="4"/>
  <c r="AE1434" i="4"/>
  <c r="AD1434" i="4"/>
  <c r="AF1433" i="4"/>
  <c r="AE1433" i="4"/>
  <c r="AD1433" i="4"/>
  <c r="AF1432" i="4"/>
  <c r="AE1432" i="4"/>
  <c r="AD1432" i="4"/>
  <c r="AF1431" i="4"/>
  <c r="AE1431" i="4"/>
  <c r="AD1431" i="4"/>
  <c r="AF1430" i="4"/>
  <c r="AE1430" i="4"/>
  <c r="AD1430" i="4"/>
  <c r="AF1429" i="4"/>
  <c r="AE1429" i="4"/>
  <c r="AD1429" i="4"/>
  <c r="AF1428" i="4"/>
  <c r="AE1428" i="4"/>
  <c r="AD1428" i="4"/>
  <c r="AF1427" i="4"/>
  <c r="AE1427" i="4"/>
  <c r="AD1427" i="4"/>
  <c r="AF1426" i="4"/>
  <c r="AE1426" i="4"/>
  <c r="AD1426" i="4"/>
  <c r="AF1425" i="4"/>
  <c r="AE1425" i="4"/>
  <c r="AD1425" i="4"/>
  <c r="AF1424" i="4"/>
  <c r="AE1424" i="4"/>
  <c r="AD1424" i="4"/>
  <c r="AF1423" i="4"/>
  <c r="AE1423" i="4"/>
  <c r="AD1423" i="4"/>
  <c r="AF1422" i="4"/>
  <c r="AE1422" i="4"/>
  <c r="AD1422" i="4"/>
  <c r="AF1421" i="4"/>
  <c r="AE1421" i="4"/>
  <c r="AD1421" i="4"/>
  <c r="AF1420" i="4"/>
  <c r="AE1420" i="4"/>
  <c r="AD1420" i="4"/>
  <c r="AF1419" i="4"/>
  <c r="AE1419" i="4"/>
  <c r="AD1419" i="4"/>
  <c r="AF1418" i="4"/>
  <c r="AE1418" i="4"/>
  <c r="AD1418" i="4"/>
  <c r="AF1417" i="4"/>
  <c r="AE1417" i="4"/>
  <c r="AD1417" i="4"/>
  <c r="AF1416" i="4"/>
  <c r="AE1416" i="4"/>
  <c r="AD1416" i="4"/>
  <c r="AF1415" i="4"/>
  <c r="AE1415" i="4"/>
  <c r="AD1415" i="4"/>
  <c r="AF1414" i="4"/>
  <c r="AE1414" i="4"/>
  <c r="AD1414" i="4"/>
  <c r="AF1413" i="4"/>
  <c r="AE1413" i="4"/>
  <c r="AD1413" i="4"/>
  <c r="AF1412" i="4"/>
  <c r="AE1412" i="4"/>
  <c r="AD1412" i="4"/>
  <c r="AF1411" i="4"/>
  <c r="AE1411" i="4"/>
  <c r="AD1411" i="4"/>
  <c r="AF1410" i="4"/>
  <c r="AE1410" i="4"/>
  <c r="AD1410" i="4"/>
  <c r="AF1409" i="4"/>
  <c r="AE1409" i="4"/>
  <c r="AD1409" i="4"/>
  <c r="AF1408" i="4"/>
  <c r="AE1408" i="4"/>
  <c r="AD1408" i="4"/>
  <c r="AF1407" i="4"/>
  <c r="AE1407" i="4"/>
  <c r="AD1407" i="4"/>
  <c r="AF1406" i="4"/>
  <c r="AE1406" i="4"/>
  <c r="AD1406" i="4"/>
  <c r="AF1405" i="4"/>
  <c r="AE1405" i="4"/>
  <c r="AD1405" i="4"/>
  <c r="AF1404" i="4"/>
  <c r="AE1404" i="4"/>
  <c r="AD1404" i="4"/>
  <c r="AF1403" i="4"/>
  <c r="AE1403" i="4"/>
  <c r="AD1403" i="4"/>
  <c r="AF1402" i="4"/>
  <c r="AE1402" i="4"/>
  <c r="AD1402" i="4"/>
  <c r="AF1401" i="4"/>
  <c r="AE1401" i="4"/>
  <c r="AD1401" i="4"/>
  <c r="AF1400" i="4"/>
  <c r="AE1400" i="4"/>
  <c r="AD1400" i="4"/>
  <c r="AF1399" i="4"/>
  <c r="AE1399" i="4"/>
  <c r="AD1399" i="4"/>
  <c r="AF1398" i="4"/>
  <c r="AE1398" i="4"/>
  <c r="AD1398" i="4"/>
  <c r="AF1397" i="4"/>
  <c r="AE1397" i="4"/>
  <c r="AD1397" i="4"/>
  <c r="AF1396" i="4"/>
  <c r="AE1396" i="4"/>
  <c r="AD1396" i="4"/>
  <c r="AF1395" i="4"/>
  <c r="AE1395" i="4"/>
  <c r="AD1395" i="4"/>
  <c r="AF1394" i="4"/>
  <c r="AE1394" i="4"/>
  <c r="AD1394" i="4"/>
  <c r="AF1393" i="4"/>
  <c r="AE1393" i="4"/>
  <c r="AD1393" i="4"/>
  <c r="AF1392" i="4"/>
  <c r="AE1392" i="4"/>
  <c r="AD1392" i="4"/>
  <c r="AF1391" i="4"/>
  <c r="AE1391" i="4"/>
  <c r="AD1391" i="4"/>
  <c r="AF1390" i="4"/>
  <c r="AE1390" i="4"/>
  <c r="AD1390" i="4"/>
  <c r="AF1389" i="4"/>
  <c r="AE1389" i="4"/>
  <c r="AD1389" i="4"/>
  <c r="AF1388" i="4"/>
  <c r="AE1388" i="4"/>
  <c r="AD1388" i="4"/>
  <c r="AF1387" i="4"/>
  <c r="AE1387" i="4"/>
  <c r="AD1387" i="4"/>
  <c r="AF1386" i="4"/>
  <c r="AE1386" i="4"/>
  <c r="AD1386" i="4"/>
  <c r="AF1385" i="4"/>
  <c r="AE1385" i="4"/>
  <c r="AD1385" i="4"/>
  <c r="AF1384" i="4"/>
  <c r="AE1384" i="4"/>
  <c r="AD1384" i="4"/>
  <c r="AF1383" i="4"/>
  <c r="AE1383" i="4"/>
  <c r="AD1383" i="4"/>
  <c r="AF1382" i="4"/>
  <c r="AE1382" i="4"/>
  <c r="AD1382" i="4"/>
  <c r="AF1381" i="4"/>
  <c r="AE1381" i="4"/>
  <c r="AD1381" i="4"/>
  <c r="AF1380" i="4"/>
  <c r="AE1380" i="4"/>
  <c r="AD1380" i="4"/>
  <c r="AF1379" i="4"/>
  <c r="AE1379" i="4"/>
  <c r="AD1379" i="4"/>
  <c r="AF1378" i="4"/>
  <c r="AE1378" i="4"/>
  <c r="AD1378" i="4"/>
  <c r="AF1377" i="4"/>
  <c r="AE1377" i="4"/>
  <c r="AD1377" i="4"/>
  <c r="AF1376" i="4"/>
  <c r="AE1376" i="4"/>
  <c r="AD1376" i="4"/>
  <c r="AF1375" i="4"/>
  <c r="AE1375" i="4"/>
  <c r="AD1375" i="4"/>
  <c r="AF1374" i="4"/>
  <c r="AE1374" i="4"/>
  <c r="AD1374" i="4"/>
  <c r="AF1373" i="4"/>
  <c r="AE1373" i="4"/>
  <c r="AD1373" i="4"/>
  <c r="AF1372" i="4"/>
  <c r="AE1372" i="4"/>
  <c r="AD1372" i="4"/>
  <c r="AF1371" i="4"/>
  <c r="AE1371" i="4"/>
  <c r="AD1371" i="4"/>
  <c r="AF1370" i="4"/>
  <c r="AE1370" i="4"/>
  <c r="AD1370" i="4"/>
  <c r="AF1369" i="4"/>
  <c r="AE1369" i="4"/>
  <c r="AD1369" i="4"/>
  <c r="AF1368" i="4"/>
  <c r="AE1368" i="4"/>
  <c r="AD1368" i="4"/>
  <c r="AF1367" i="4"/>
  <c r="AE1367" i="4"/>
  <c r="AD1367" i="4"/>
  <c r="AF1366" i="4"/>
  <c r="AE1366" i="4"/>
  <c r="AD1366" i="4"/>
  <c r="AF1365" i="4"/>
  <c r="AE1365" i="4"/>
  <c r="AD1365" i="4"/>
  <c r="AF1364" i="4"/>
  <c r="AE1364" i="4"/>
  <c r="AD1364" i="4"/>
  <c r="AF1363" i="4"/>
  <c r="AE1363" i="4"/>
  <c r="AD1363" i="4"/>
  <c r="AF1362" i="4"/>
  <c r="AE1362" i="4"/>
  <c r="AD1362" i="4"/>
  <c r="AF1361" i="4"/>
  <c r="AE1361" i="4"/>
  <c r="AD1361" i="4"/>
  <c r="AF1360" i="4"/>
  <c r="AE1360" i="4"/>
  <c r="AD1360" i="4"/>
  <c r="AF1359" i="4"/>
  <c r="AE1359" i="4"/>
  <c r="AD1359" i="4"/>
  <c r="AF1358" i="4"/>
  <c r="AE1358" i="4"/>
  <c r="AD1358" i="4"/>
  <c r="AF1357" i="4"/>
  <c r="AE1357" i="4"/>
  <c r="AD1357" i="4"/>
  <c r="AF1356" i="4"/>
  <c r="AE1356" i="4"/>
  <c r="AD1356" i="4"/>
  <c r="AF1355" i="4"/>
  <c r="AE1355" i="4"/>
  <c r="AD1355" i="4"/>
  <c r="AF1354" i="4"/>
  <c r="AE1354" i="4"/>
  <c r="AD1354" i="4"/>
  <c r="AF1353" i="4"/>
  <c r="AE1353" i="4"/>
  <c r="AD1353" i="4"/>
  <c r="AF1352" i="4"/>
  <c r="AE1352" i="4"/>
  <c r="AD1352" i="4"/>
  <c r="AF1351" i="4"/>
  <c r="AE1351" i="4"/>
  <c r="AD1351" i="4"/>
  <c r="AF1350" i="4"/>
  <c r="AE1350" i="4"/>
  <c r="AD1350" i="4"/>
  <c r="AF1349" i="4"/>
  <c r="AE1349" i="4"/>
  <c r="AD1349" i="4"/>
  <c r="AF1348" i="4"/>
  <c r="AE1348" i="4"/>
  <c r="AD1348" i="4"/>
  <c r="AF1347" i="4"/>
  <c r="AE1347" i="4"/>
  <c r="AD1347" i="4"/>
  <c r="AF1346" i="4"/>
  <c r="AE1346" i="4"/>
  <c r="AD1346" i="4"/>
  <c r="AF1345" i="4"/>
  <c r="AE1345" i="4"/>
  <c r="AD1345" i="4"/>
  <c r="AF1344" i="4"/>
  <c r="AE1344" i="4"/>
  <c r="AD1344" i="4"/>
  <c r="AF1343" i="4"/>
  <c r="AE1343" i="4"/>
  <c r="AD1343" i="4"/>
  <c r="AF1342" i="4"/>
  <c r="AE1342" i="4"/>
  <c r="AD1342" i="4"/>
  <c r="AF1341" i="4"/>
  <c r="AE1341" i="4"/>
  <c r="AD1341" i="4"/>
  <c r="AF1340" i="4"/>
  <c r="AE1340" i="4"/>
  <c r="AD1340" i="4"/>
  <c r="AF1339" i="4"/>
  <c r="AE1339" i="4"/>
  <c r="AD1339" i="4"/>
  <c r="AF1338" i="4"/>
  <c r="AE1338" i="4"/>
  <c r="AD1338" i="4"/>
  <c r="AF1337" i="4"/>
  <c r="AE1337" i="4"/>
  <c r="AD1337" i="4"/>
  <c r="AF1336" i="4"/>
  <c r="AE1336" i="4"/>
  <c r="AD1336" i="4"/>
  <c r="AF1335" i="4"/>
  <c r="AE1335" i="4"/>
  <c r="AD1335" i="4"/>
  <c r="AF1334" i="4"/>
  <c r="AE1334" i="4"/>
  <c r="AD1334" i="4"/>
  <c r="AF1333" i="4"/>
  <c r="AE1333" i="4"/>
  <c r="AD1333" i="4"/>
  <c r="AF1332" i="4"/>
  <c r="AE1332" i="4"/>
  <c r="AD1332" i="4"/>
  <c r="AF1331" i="4"/>
  <c r="AE1331" i="4"/>
  <c r="AD1331" i="4"/>
  <c r="AF1330" i="4"/>
  <c r="AE1330" i="4"/>
  <c r="AD1330" i="4"/>
  <c r="AF1329" i="4"/>
  <c r="AE1329" i="4"/>
  <c r="AD1329" i="4"/>
  <c r="AF1328" i="4"/>
  <c r="AE1328" i="4"/>
  <c r="AD1328" i="4"/>
  <c r="AF1327" i="4"/>
  <c r="AE1327" i="4"/>
  <c r="AD1327" i="4"/>
  <c r="AF1326" i="4"/>
  <c r="AE1326" i="4"/>
  <c r="AD1326" i="4"/>
  <c r="AF1325" i="4"/>
  <c r="AE1325" i="4"/>
  <c r="AD1325" i="4"/>
  <c r="AF1324" i="4"/>
  <c r="AE1324" i="4"/>
  <c r="AD1324" i="4"/>
  <c r="AF1323" i="4"/>
  <c r="AE1323" i="4"/>
  <c r="AD1323" i="4"/>
  <c r="AF1322" i="4"/>
  <c r="AE1322" i="4"/>
  <c r="AD1322" i="4"/>
  <c r="AF1321" i="4"/>
  <c r="AE1321" i="4"/>
  <c r="AD1321" i="4"/>
  <c r="AF1320" i="4"/>
  <c r="AE1320" i="4"/>
  <c r="AD1320" i="4"/>
  <c r="AF1319" i="4"/>
  <c r="AE1319" i="4"/>
  <c r="AD1319" i="4"/>
  <c r="AF1318" i="4"/>
  <c r="AE1318" i="4"/>
  <c r="AD1318" i="4"/>
  <c r="AF1317" i="4"/>
  <c r="AE1317" i="4"/>
  <c r="AD1317" i="4"/>
  <c r="AF1316" i="4"/>
  <c r="AE1316" i="4"/>
  <c r="AD1316" i="4"/>
  <c r="AF1315" i="4"/>
  <c r="AE1315" i="4"/>
  <c r="AD1315" i="4"/>
  <c r="AF1314" i="4"/>
  <c r="AE1314" i="4"/>
  <c r="AD1314" i="4"/>
  <c r="AF1313" i="4"/>
  <c r="AE1313" i="4"/>
  <c r="AD1313" i="4"/>
  <c r="AF1312" i="4"/>
  <c r="AE1312" i="4"/>
  <c r="AD1312" i="4"/>
  <c r="AF1311" i="4"/>
  <c r="AE1311" i="4"/>
  <c r="AD1311" i="4"/>
  <c r="AF1310" i="4"/>
  <c r="AE1310" i="4"/>
  <c r="AD1310" i="4"/>
  <c r="AF1309" i="4"/>
  <c r="AE1309" i="4"/>
  <c r="AD1309" i="4"/>
  <c r="AF1308" i="4"/>
  <c r="AE1308" i="4"/>
  <c r="AD1308" i="4"/>
  <c r="AF1307" i="4"/>
  <c r="AE1307" i="4"/>
  <c r="AD1307" i="4"/>
  <c r="AF1306" i="4"/>
  <c r="AE1306" i="4"/>
  <c r="AD1306" i="4"/>
  <c r="AF1305" i="4"/>
  <c r="AE1305" i="4"/>
  <c r="AD1305" i="4"/>
  <c r="AF1304" i="4"/>
  <c r="AE1304" i="4"/>
  <c r="AD1304" i="4"/>
  <c r="AF1303" i="4"/>
  <c r="AE1303" i="4"/>
  <c r="AD1303" i="4"/>
  <c r="AF1302" i="4"/>
  <c r="AE1302" i="4"/>
  <c r="AD1302" i="4"/>
  <c r="AF1301" i="4"/>
  <c r="AE1301" i="4"/>
  <c r="AD1301" i="4"/>
  <c r="AF1300" i="4"/>
  <c r="AE1300" i="4"/>
  <c r="AD1300" i="4"/>
  <c r="AF1299" i="4"/>
  <c r="AE1299" i="4"/>
  <c r="AD1299" i="4"/>
  <c r="AF1298" i="4"/>
  <c r="AE1298" i="4"/>
  <c r="AD1298" i="4"/>
  <c r="AF1297" i="4"/>
  <c r="AE1297" i="4"/>
  <c r="AD1297" i="4"/>
  <c r="AF1296" i="4"/>
  <c r="AE1296" i="4"/>
  <c r="AD1296" i="4"/>
  <c r="AF1295" i="4"/>
  <c r="AE1295" i="4"/>
  <c r="AD1295" i="4"/>
  <c r="AF1294" i="4"/>
  <c r="AE1294" i="4"/>
  <c r="AD1294" i="4"/>
  <c r="AF1293" i="4"/>
  <c r="AE1293" i="4"/>
  <c r="AD1293" i="4"/>
  <c r="AF1292" i="4"/>
  <c r="AE1292" i="4"/>
  <c r="AD1292" i="4"/>
  <c r="AF1291" i="4"/>
  <c r="AE1291" i="4"/>
  <c r="AD1291" i="4"/>
  <c r="AF1290" i="4"/>
  <c r="AE1290" i="4"/>
  <c r="AD1290" i="4"/>
  <c r="AF1289" i="4"/>
  <c r="AE1289" i="4"/>
  <c r="AD1289" i="4"/>
  <c r="AF1288" i="4"/>
  <c r="AE1288" i="4"/>
  <c r="AD1288" i="4"/>
  <c r="AF1287" i="4"/>
  <c r="AE1287" i="4"/>
  <c r="AD1287" i="4"/>
  <c r="AF1286" i="4"/>
  <c r="AE1286" i="4"/>
  <c r="AD1286" i="4"/>
  <c r="AF1285" i="4"/>
  <c r="AE1285" i="4"/>
  <c r="AD1285" i="4"/>
  <c r="AF1284" i="4"/>
  <c r="AE1284" i="4"/>
  <c r="AD1284" i="4"/>
  <c r="AF1283" i="4"/>
  <c r="AE1283" i="4"/>
  <c r="AD1283" i="4"/>
  <c r="AF1282" i="4"/>
  <c r="AE1282" i="4"/>
  <c r="AD1282" i="4"/>
  <c r="AF1281" i="4"/>
  <c r="AE1281" i="4"/>
  <c r="AD1281" i="4"/>
  <c r="AF1280" i="4"/>
  <c r="AE1280" i="4"/>
  <c r="AD1280" i="4"/>
  <c r="AF1279" i="4"/>
  <c r="AE1279" i="4"/>
  <c r="AD1279" i="4"/>
  <c r="AF1278" i="4"/>
  <c r="AE1278" i="4"/>
  <c r="AD1278" i="4"/>
  <c r="AF1277" i="4"/>
  <c r="AE1277" i="4"/>
  <c r="AD1277" i="4"/>
  <c r="AF1276" i="4"/>
  <c r="AE1276" i="4"/>
  <c r="AD1276" i="4"/>
  <c r="AF1275" i="4"/>
  <c r="AE1275" i="4"/>
  <c r="AD1275" i="4"/>
  <c r="AF1274" i="4"/>
  <c r="AE1274" i="4"/>
  <c r="AD1274" i="4"/>
  <c r="AF1273" i="4"/>
  <c r="AE1273" i="4"/>
  <c r="AD1273" i="4"/>
  <c r="AF1272" i="4"/>
  <c r="AE1272" i="4"/>
  <c r="AD1272" i="4"/>
  <c r="AF1271" i="4"/>
  <c r="AE1271" i="4"/>
  <c r="AD1271" i="4"/>
  <c r="AF1270" i="4"/>
  <c r="AE1270" i="4"/>
  <c r="AD1270" i="4"/>
  <c r="AF1269" i="4"/>
  <c r="AE1269" i="4"/>
  <c r="AD1269" i="4"/>
  <c r="AF1268" i="4"/>
  <c r="AE1268" i="4"/>
  <c r="AD1268" i="4"/>
  <c r="AF1267" i="4"/>
  <c r="AE1267" i="4"/>
  <c r="AD1267" i="4"/>
  <c r="AF1266" i="4"/>
  <c r="AE1266" i="4"/>
  <c r="AD1266" i="4"/>
  <c r="AF1265" i="4"/>
  <c r="AE1265" i="4"/>
  <c r="AD1265" i="4"/>
  <c r="AF1264" i="4"/>
  <c r="AE1264" i="4"/>
  <c r="AD1264" i="4"/>
  <c r="AF1263" i="4"/>
  <c r="AE1263" i="4"/>
  <c r="AD1263" i="4"/>
  <c r="AF1262" i="4"/>
  <c r="AE1262" i="4"/>
  <c r="AD1262" i="4"/>
  <c r="AF1261" i="4"/>
  <c r="AE1261" i="4"/>
  <c r="AD1261" i="4"/>
  <c r="AF1260" i="4"/>
  <c r="AE1260" i="4"/>
  <c r="AD1260" i="4"/>
  <c r="AF1259" i="4"/>
  <c r="AE1259" i="4"/>
  <c r="AD1259" i="4"/>
  <c r="AF1258" i="4"/>
  <c r="AE1258" i="4"/>
  <c r="AD1258" i="4"/>
  <c r="AF1257" i="4"/>
  <c r="AE1257" i="4"/>
  <c r="AD1257" i="4"/>
  <c r="AF1256" i="4"/>
  <c r="AE1256" i="4"/>
  <c r="AD1256" i="4"/>
  <c r="AF1255" i="4"/>
  <c r="AE1255" i="4"/>
  <c r="AD1255" i="4"/>
  <c r="AF1254" i="4"/>
  <c r="AE1254" i="4"/>
  <c r="AD1254" i="4"/>
  <c r="AF1253" i="4"/>
  <c r="AE1253" i="4"/>
  <c r="AD1253" i="4"/>
  <c r="AF1252" i="4"/>
  <c r="AE1252" i="4"/>
  <c r="AD1252" i="4"/>
  <c r="AF1251" i="4"/>
  <c r="AE1251" i="4"/>
  <c r="AD1251" i="4"/>
  <c r="AF1250" i="4"/>
  <c r="AE1250" i="4"/>
  <c r="AD1250" i="4"/>
  <c r="AF1249" i="4"/>
  <c r="AE1249" i="4"/>
  <c r="AD1249" i="4"/>
  <c r="AF1248" i="4"/>
  <c r="AE1248" i="4"/>
  <c r="AD1248" i="4"/>
  <c r="AF1247" i="4"/>
  <c r="AE1247" i="4"/>
  <c r="AD1247" i="4"/>
  <c r="AF1246" i="4"/>
  <c r="AE1246" i="4"/>
  <c r="AD1246" i="4"/>
  <c r="AF1245" i="4"/>
  <c r="AE1245" i="4"/>
  <c r="AD1245" i="4"/>
  <c r="AF1244" i="4"/>
  <c r="AE1244" i="4"/>
  <c r="AD1244" i="4"/>
  <c r="AF1243" i="4"/>
  <c r="AE1243" i="4"/>
  <c r="AD1243" i="4"/>
  <c r="AF1242" i="4"/>
  <c r="AE1242" i="4"/>
  <c r="AD1242" i="4"/>
  <c r="AF1241" i="4"/>
  <c r="AE1241" i="4"/>
  <c r="AD1241" i="4"/>
  <c r="AF1240" i="4"/>
  <c r="AE1240" i="4"/>
  <c r="AD1240" i="4"/>
  <c r="AF1239" i="4"/>
  <c r="AE1239" i="4"/>
  <c r="AD1239" i="4"/>
  <c r="AF1238" i="4"/>
  <c r="AE1238" i="4"/>
  <c r="AD1238" i="4"/>
  <c r="AF1237" i="4"/>
  <c r="AE1237" i="4"/>
  <c r="AD1237" i="4"/>
  <c r="AF1236" i="4"/>
  <c r="AE1236" i="4"/>
  <c r="AD1236" i="4"/>
  <c r="AF1235" i="4"/>
  <c r="AE1235" i="4"/>
  <c r="AD1235" i="4"/>
  <c r="AF1234" i="4"/>
  <c r="AE1234" i="4"/>
  <c r="AD1234" i="4"/>
  <c r="AF1233" i="4"/>
  <c r="AE1233" i="4"/>
  <c r="AD1233" i="4"/>
  <c r="AF1232" i="4"/>
  <c r="AE1232" i="4"/>
  <c r="AD1232" i="4"/>
  <c r="AF1231" i="4"/>
  <c r="AE1231" i="4"/>
  <c r="AD1231" i="4"/>
  <c r="AF1230" i="4"/>
  <c r="AE1230" i="4"/>
  <c r="AD1230" i="4"/>
  <c r="AF1229" i="4"/>
  <c r="AE1229" i="4"/>
  <c r="AD1229" i="4"/>
  <c r="AF1228" i="4"/>
  <c r="AE1228" i="4"/>
  <c r="AD1228" i="4"/>
  <c r="AF1227" i="4"/>
  <c r="AE1227" i="4"/>
  <c r="AD1227" i="4"/>
  <c r="AF1226" i="4"/>
  <c r="AE1226" i="4"/>
  <c r="AD1226" i="4"/>
  <c r="AF1225" i="4"/>
  <c r="AE1225" i="4"/>
  <c r="AD1225" i="4"/>
  <c r="AF1224" i="4"/>
  <c r="AE1224" i="4"/>
  <c r="AD1224" i="4"/>
  <c r="AF1223" i="4"/>
  <c r="AE1223" i="4"/>
  <c r="AD1223" i="4"/>
  <c r="AF1222" i="4"/>
  <c r="AE1222" i="4"/>
  <c r="AD1222" i="4"/>
  <c r="AF1221" i="4"/>
  <c r="AE1221" i="4"/>
  <c r="AD1221" i="4"/>
  <c r="AF1220" i="4"/>
  <c r="AE1220" i="4"/>
  <c r="AD1220" i="4"/>
  <c r="AF1219" i="4"/>
  <c r="AE1219" i="4"/>
  <c r="AD1219" i="4"/>
  <c r="AF1218" i="4"/>
  <c r="AE1218" i="4"/>
  <c r="AD1218" i="4"/>
  <c r="AF1217" i="4"/>
  <c r="AE1217" i="4"/>
  <c r="AD1217" i="4"/>
  <c r="AF1216" i="4"/>
  <c r="AE1216" i="4"/>
  <c r="AD1216" i="4"/>
  <c r="AF1215" i="4"/>
  <c r="AE1215" i="4"/>
  <c r="AD1215" i="4"/>
  <c r="AF1214" i="4"/>
  <c r="AE1214" i="4"/>
  <c r="AD1214" i="4"/>
  <c r="AF1213" i="4"/>
  <c r="AE1213" i="4"/>
  <c r="AD1213" i="4"/>
  <c r="AF1212" i="4"/>
  <c r="AE1212" i="4"/>
  <c r="AD1212" i="4"/>
  <c r="AF1211" i="4"/>
  <c r="AE1211" i="4"/>
  <c r="AD1211" i="4"/>
  <c r="AF1210" i="4"/>
  <c r="AE1210" i="4"/>
  <c r="AD1210" i="4"/>
  <c r="AF1209" i="4"/>
  <c r="AE1209" i="4"/>
  <c r="AD1209" i="4"/>
  <c r="AF1208" i="4"/>
  <c r="AE1208" i="4"/>
  <c r="AD1208" i="4"/>
  <c r="AF1207" i="4"/>
  <c r="AE1207" i="4"/>
  <c r="AD1207" i="4"/>
  <c r="AF1206" i="4"/>
  <c r="AE1206" i="4"/>
  <c r="AD1206" i="4"/>
  <c r="AF1205" i="4"/>
  <c r="AE1205" i="4"/>
  <c r="AD1205" i="4"/>
  <c r="AF1204" i="4"/>
  <c r="AE1204" i="4"/>
  <c r="AD1204" i="4"/>
  <c r="AF1203" i="4"/>
  <c r="AE1203" i="4"/>
  <c r="AD1203" i="4"/>
  <c r="AF1202" i="4"/>
  <c r="AE1202" i="4"/>
  <c r="AD1202" i="4"/>
  <c r="AF1201" i="4"/>
  <c r="AE1201" i="4"/>
  <c r="AD1201" i="4"/>
  <c r="AF1200" i="4"/>
  <c r="AE1200" i="4"/>
  <c r="AD1200" i="4"/>
  <c r="AF1199" i="4"/>
  <c r="AE1199" i="4"/>
  <c r="AD1199" i="4"/>
  <c r="AF1198" i="4"/>
  <c r="AE1198" i="4"/>
  <c r="AD1198" i="4"/>
  <c r="AF1197" i="4"/>
  <c r="AE1197" i="4"/>
  <c r="AD1197" i="4"/>
  <c r="AF1196" i="4"/>
  <c r="AE1196" i="4"/>
  <c r="AD1196" i="4"/>
  <c r="AF1195" i="4"/>
  <c r="AE1195" i="4"/>
  <c r="AD1195" i="4"/>
  <c r="AF1194" i="4"/>
  <c r="AE1194" i="4"/>
  <c r="AD1194" i="4"/>
  <c r="AF1193" i="4"/>
  <c r="AE1193" i="4"/>
  <c r="AD1193" i="4"/>
  <c r="AF1192" i="4"/>
  <c r="AE1192" i="4"/>
  <c r="AD1192" i="4"/>
  <c r="AF1191" i="4"/>
  <c r="AE1191" i="4"/>
  <c r="AD1191" i="4"/>
  <c r="AF1190" i="4"/>
  <c r="AE1190" i="4"/>
  <c r="AD1190" i="4"/>
  <c r="AF1189" i="4"/>
  <c r="AE1189" i="4"/>
  <c r="AD1189" i="4"/>
  <c r="AF1188" i="4"/>
  <c r="AE1188" i="4"/>
  <c r="AD1188" i="4"/>
  <c r="AF1187" i="4"/>
  <c r="AE1187" i="4"/>
  <c r="AD1187" i="4"/>
  <c r="AF1186" i="4"/>
  <c r="AE1186" i="4"/>
  <c r="AD1186" i="4"/>
  <c r="AF1185" i="4"/>
  <c r="AE1185" i="4"/>
  <c r="AD1185" i="4"/>
  <c r="AF1184" i="4"/>
  <c r="AE1184" i="4"/>
  <c r="AD1184" i="4"/>
  <c r="AF1183" i="4"/>
  <c r="AE1183" i="4"/>
  <c r="AD1183" i="4"/>
  <c r="AF1182" i="4"/>
  <c r="AE1182" i="4"/>
  <c r="AD1182" i="4"/>
  <c r="AF1181" i="4"/>
  <c r="AE1181" i="4"/>
  <c r="AD1181" i="4"/>
  <c r="AF1180" i="4"/>
  <c r="AE1180" i="4"/>
  <c r="AD1180" i="4"/>
  <c r="AF1179" i="4"/>
  <c r="AE1179" i="4"/>
  <c r="AD1179" i="4"/>
  <c r="AF1178" i="4"/>
  <c r="AE1178" i="4"/>
  <c r="AD1178" i="4"/>
  <c r="AF1177" i="4"/>
  <c r="AE1177" i="4"/>
  <c r="AD1177" i="4"/>
  <c r="AF1176" i="4"/>
  <c r="AE1176" i="4"/>
  <c r="AD1176" i="4"/>
  <c r="AF1175" i="4"/>
  <c r="AE1175" i="4"/>
  <c r="AD1175" i="4"/>
  <c r="AF1174" i="4"/>
  <c r="AE1174" i="4"/>
  <c r="AD1174" i="4"/>
  <c r="AF1173" i="4"/>
  <c r="AE1173" i="4"/>
  <c r="AD1173" i="4"/>
  <c r="AF1172" i="4"/>
  <c r="AE1172" i="4"/>
  <c r="AD1172" i="4"/>
  <c r="AF1171" i="4"/>
  <c r="AE1171" i="4"/>
  <c r="AD1171" i="4"/>
  <c r="AF1170" i="4"/>
  <c r="AE1170" i="4"/>
  <c r="AD1170" i="4"/>
  <c r="AF1169" i="4"/>
  <c r="AE1169" i="4"/>
  <c r="AD1169" i="4"/>
  <c r="AF1168" i="4"/>
  <c r="AE1168" i="4"/>
  <c r="AD1168" i="4"/>
  <c r="AF1167" i="4"/>
  <c r="AE1167" i="4"/>
  <c r="AD1167" i="4"/>
  <c r="AF1166" i="4"/>
  <c r="AE1166" i="4"/>
  <c r="AD1166" i="4"/>
  <c r="AF1165" i="4"/>
  <c r="AE1165" i="4"/>
  <c r="AD1165" i="4"/>
  <c r="AF1164" i="4"/>
  <c r="AE1164" i="4"/>
  <c r="AD1164" i="4"/>
  <c r="AF1163" i="4"/>
  <c r="AE1163" i="4"/>
  <c r="AD1163" i="4"/>
  <c r="AF1162" i="4"/>
  <c r="AE1162" i="4"/>
  <c r="AD1162" i="4"/>
  <c r="AF1161" i="4"/>
  <c r="AE1161" i="4"/>
  <c r="AD1161" i="4"/>
  <c r="AF1160" i="4"/>
  <c r="AE1160" i="4"/>
  <c r="AD1160" i="4"/>
  <c r="AF1159" i="4"/>
  <c r="AE1159" i="4"/>
  <c r="AD1159" i="4"/>
  <c r="AF1158" i="4"/>
  <c r="AE1158" i="4"/>
  <c r="AD1158" i="4"/>
  <c r="AF1157" i="4"/>
  <c r="AE1157" i="4"/>
  <c r="AD1157" i="4"/>
  <c r="AF1156" i="4"/>
  <c r="AE1156" i="4"/>
  <c r="AD1156" i="4"/>
  <c r="AF1155" i="4"/>
  <c r="AE1155" i="4"/>
  <c r="AD1155" i="4"/>
  <c r="AF1154" i="4"/>
  <c r="AE1154" i="4"/>
  <c r="AD1154" i="4"/>
  <c r="AF1153" i="4"/>
  <c r="AE1153" i="4"/>
  <c r="AD1153" i="4"/>
  <c r="AF1152" i="4"/>
  <c r="AE1152" i="4"/>
  <c r="AD1152" i="4"/>
  <c r="AF1151" i="4"/>
  <c r="AE1151" i="4"/>
  <c r="AD1151" i="4"/>
  <c r="AF1150" i="4"/>
  <c r="AE1150" i="4"/>
  <c r="AD1150" i="4"/>
  <c r="AF1149" i="4"/>
  <c r="AE1149" i="4"/>
  <c r="AD1149" i="4"/>
  <c r="AF1148" i="4"/>
  <c r="AE1148" i="4"/>
  <c r="AD1148" i="4"/>
  <c r="AF1147" i="4"/>
  <c r="AE1147" i="4"/>
  <c r="AD1147" i="4"/>
  <c r="AF1146" i="4"/>
  <c r="AE1146" i="4"/>
  <c r="AD1146" i="4"/>
  <c r="AF1145" i="4"/>
  <c r="AE1145" i="4"/>
  <c r="AD1145" i="4"/>
  <c r="AF1144" i="4"/>
  <c r="AE1144" i="4"/>
  <c r="AD1144" i="4"/>
  <c r="AF1143" i="4"/>
  <c r="AE1143" i="4"/>
  <c r="AD1143" i="4"/>
  <c r="AF1142" i="4"/>
  <c r="AE1142" i="4"/>
  <c r="AD1142" i="4"/>
  <c r="AF1141" i="4"/>
  <c r="AE1141" i="4"/>
  <c r="AD1141" i="4"/>
  <c r="AF1140" i="4"/>
  <c r="AE1140" i="4"/>
  <c r="AD1140" i="4"/>
  <c r="AF1139" i="4"/>
  <c r="AE1139" i="4"/>
  <c r="AD1139" i="4"/>
  <c r="AF1138" i="4"/>
  <c r="AE1138" i="4"/>
  <c r="AD1138" i="4"/>
  <c r="AF1137" i="4"/>
  <c r="AE1137" i="4"/>
  <c r="AD1137" i="4"/>
  <c r="AF1136" i="4"/>
  <c r="AE1136" i="4"/>
  <c r="AD1136" i="4"/>
  <c r="AF1135" i="4"/>
  <c r="AE1135" i="4"/>
  <c r="AD1135" i="4"/>
  <c r="AF1134" i="4"/>
  <c r="AE1134" i="4"/>
  <c r="AD1134" i="4"/>
  <c r="AF1133" i="4"/>
  <c r="AE1133" i="4"/>
  <c r="AD1133" i="4"/>
  <c r="AF1132" i="4"/>
  <c r="AE1132" i="4"/>
  <c r="AD1132" i="4"/>
  <c r="AF1131" i="4"/>
  <c r="AE1131" i="4"/>
  <c r="AD1131" i="4"/>
  <c r="AF1130" i="4"/>
  <c r="AE1130" i="4"/>
  <c r="AD1130" i="4"/>
  <c r="AF1129" i="4"/>
  <c r="AE1129" i="4"/>
  <c r="AD1129" i="4"/>
  <c r="AF1128" i="4"/>
  <c r="AE1128" i="4"/>
  <c r="AD1128" i="4"/>
  <c r="AF1127" i="4"/>
  <c r="AE1127" i="4"/>
  <c r="AD1127" i="4"/>
  <c r="AF1126" i="4"/>
  <c r="AE1126" i="4"/>
  <c r="AD1126" i="4"/>
  <c r="AF1125" i="4"/>
  <c r="AE1125" i="4"/>
  <c r="AD1125" i="4"/>
  <c r="AF1124" i="4"/>
  <c r="AE1124" i="4"/>
  <c r="AD1124" i="4"/>
  <c r="AF1123" i="4"/>
  <c r="AE1123" i="4"/>
  <c r="AD1123" i="4"/>
  <c r="AF1122" i="4"/>
  <c r="AE1122" i="4"/>
  <c r="AD1122" i="4"/>
  <c r="AF1121" i="4"/>
  <c r="AE1121" i="4"/>
  <c r="AD1121" i="4"/>
  <c r="AF1120" i="4"/>
  <c r="AE1120" i="4"/>
  <c r="AD1120" i="4"/>
  <c r="AF1119" i="4"/>
  <c r="AE1119" i="4"/>
  <c r="AD1119" i="4"/>
  <c r="AF1118" i="4"/>
  <c r="AE1118" i="4"/>
  <c r="AD1118" i="4"/>
  <c r="AF1117" i="4"/>
  <c r="AE1117" i="4"/>
  <c r="AD1117" i="4"/>
  <c r="AF1116" i="4"/>
  <c r="AE1116" i="4"/>
  <c r="AD1116" i="4"/>
  <c r="AF1115" i="4"/>
  <c r="AE1115" i="4"/>
  <c r="AD1115" i="4"/>
  <c r="AF1114" i="4"/>
  <c r="AE1114" i="4"/>
  <c r="AD1114" i="4"/>
  <c r="AF1113" i="4"/>
  <c r="AE1113" i="4"/>
  <c r="AD1113" i="4"/>
  <c r="AF1112" i="4"/>
  <c r="AE1112" i="4"/>
  <c r="AD1112" i="4"/>
  <c r="AF1111" i="4"/>
  <c r="AE1111" i="4"/>
  <c r="AD1111" i="4"/>
  <c r="AF1110" i="4"/>
  <c r="AE1110" i="4"/>
  <c r="AD1110" i="4"/>
  <c r="AF1109" i="4"/>
  <c r="AE1109" i="4"/>
  <c r="AD1109" i="4"/>
  <c r="AF1108" i="4"/>
  <c r="AE1108" i="4"/>
  <c r="AD1108" i="4"/>
  <c r="AF1107" i="4"/>
  <c r="AE1107" i="4"/>
  <c r="AD1107" i="4"/>
  <c r="AF1106" i="4"/>
  <c r="AE1106" i="4"/>
  <c r="AD1106" i="4"/>
  <c r="AF1105" i="4"/>
  <c r="AE1105" i="4"/>
  <c r="AD1105" i="4"/>
  <c r="AF1104" i="4"/>
  <c r="AE1104" i="4"/>
  <c r="AD1104" i="4"/>
  <c r="AF1103" i="4"/>
  <c r="AE1103" i="4"/>
  <c r="AD1103" i="4"/>
  <c r="AF1102" i="4"/>
  <c r="AE1102" i="4"/>
  <c r="AD1102" i="4"/>
  <c r="AF1101" i="4"/>
  <c r="AE1101" i="4"/>
  <c r="AD1101" i="4"/>
  <c r="AF1100" i="4"/>
  <c r="AE1100" i="4"/>
  <c r="AD1100" i="4"/>
  <c r="AF1099" i="4"/>
  <c r="AE1099" i="4"/>
  <c r="AD1099" i="4"/>
  <c r="AF1098" i="4"/>
  <c r="AE1098" i="4"/>
  <c r="AD1098" i="4"/>
  <c r="AF1097" i="4"/>
  <c r="AE1097" i="4"/>
  <c r="AD1097" i="4"/>
  <c r="AF1096" i="4"/>
  <c r="AE1096" i="4"/>
  <c r="AD1096" i="4"/>
  <c r="AF1095" i="4"/>
  <c r="AE1095" i="4"/>
  <c r="AD1095" i="4"/>
  <c r="AF1094" i="4"/>
  <c r="AE1094" i="4"/>
  <c r="AD1094" i="4"/>
  <c r="AF1093" i="4"/>
  <c r="AE1093" i="4"/>
  <c r="AD1093" i="4"/>
  <c r="AF1092" i="4"/>
  <c r="AE1092" i="4"/>
  <c r="AD1092" i="4"/>
  <c r="AF1091" i="4"/>
  <c r="AE1091" i="4"/>
  <c r="AD1091" i="4"/>
  <c r="AF1090" i="4"/>
  <c r="AE1090" i="4"/>
  <c r="AD1090" i="4"/>
  <c r="AF1089" i="4"/>
  <c r="AE1089" i="4"/>
  <c r="AD1089" i="4"/>
  <c r="AF1088" i="4"/>
  <c r="AE1088" i="4"/>
  <c r="AD1088" i="4"/>
  <c r="AF1087" i="4"/>
  <c r="AE1087" i="4"/>
  <c r="AD1087" i="4"/>
  <c r="AF1086" i="4"/>
  <c r="AE1086" i="4"/>
  <c r="AD1086" i="4"/>
  <c r="AF1085" i="4"/>
  <c r="AE1085" i="4"/>
  <c r="AD1085" i="4"/>
  <c r="AF1084" i="4"/>
  <c r="AE1084" i="4"/>
  <c r="AD1084" i="4"/>
  <c r="AF1083" i="4"/>
  <c r="AE1083" i="4"/>
  <c r="AD1083" i="4"/>
  <c r="AF1082" i="4"/>
  <c r="AE1082" i="4"/>
  <c r="AD1082" i="4"/>
  <c r="AF1081" i="4"/>
  <c r="AE1081" i="4"/>
  <c r="AD1081" i="4"/>
  <c r="AF1080" i="4"/>
  <c r="AE1080" i="4"/>
  <c r="AD1080" i="4"/>
  <c r="AF1079" i="4"/>
  <c r="AE1079" i="4"/>
  <c r="AD1079" i="4"/>
  <c r="AF1078" i="4"/>
  <c r="AE1078" i="4"/>
  <c r="AD1078" i="4"/>
  <c r="AF1077" i="4"/>
  <c r="AE1077" i="4"/>
  <c r="AD1077" i="4"/>
  <c r="AF1076" i="4"/>
  <c r="AE1076" i="4"/>
  <c r="AD1076" i="4"/>
  <c r="AF1075" i="4"/>
  <c r="AE1075" i="4"/>
  <c r="AD1075" i="4"/>
  <c r="AF1074" i="4"/>
  <c r="AE1074" i="4"/>
  <c r="AD1074" i="4"/>
  <c r="AF1073" i="4"/>
  <c r="AE1073" i="4"/>
  <c r="AD1073" i="4"/>
  <c r="AF1072" i="4"/>
  <c r="AE1072" i="4"/>
  <c r="AD1072" i="4"/>
  <c r="AF1071" i="4"/>
  <c r="AE1071" i="4"/>
  <c r="AD1071" i="4"/>
  <c r="AF1070" i="4"/>
  <c r="AE1070" i="4"/>
  <c r="AD1070" i="4"/>
  <c r="AF1069" i="4"/>
  <c r="AE1069" i="4"/>
  <c r="AD1069" i="4"/>
  <c r="AF1068" i="4"/>
  <c r="AE1068" i="4"/>
  <c r="AD1068" i="4"/>
  <c r="AF1067" i="4"/>
  <c r="AE1067" i="4"/>
  <c r="AD1067" i="4"/>
  <c r="AF1066" i="4"/>
  <c r="AE1066" i="4"/>
  <c r="AD1066" i="4"/>
  <c r="AF1065" i="4"/>
  <c r="AE1065" i="4"/>
  <c r="AD1065" i="4"/>
  <c r="AF1064" i="4"/>
  <c r="AE1064" i="4"/>
  <c r="AD1064" i="4"/>
  <c r="AF1063" i="4"/>
  <c r="AE1063" i="4"/>
  <c r="AD1063" i="4"/>
  <c r="AF1062" i="4"/>
  <c r="AE1062" i="4"/>
  <c r="AD1062" i="4"/>
  <c r="AF1061" i="4"/>
  <c r="AE1061" i="4"/>
  <c r="AD1061" i="4"/>
  <c r="AF1060" i="4"/>
  <c r="AE1060" i="4"/>
  <c r="AD1060" i="4"/>
  <c r="AF1059" i="4"/>
  <c r="AE1059" i="4"/>
  <c r="AD1059" i="4"/>
  <c r="AF1058" i="4"/>
  <c r="AE1058" i="4"/>
  <c r="AD1058" i="4"/>
  <c r="AF1057" i="4"/>
  <c r="AE1057" i="4"/>
  <c r="AD1057" i="4"/>
  <c r="AF1056" i="4"/>
  <c r="AE1056" i="4"/>
  <c r="AD1056" i="4"/>
  <c r="AF1055" i="4"/>
  <c r="AE1055" i="4"/>
  <c r="AD1055" i="4"/>
  <c r="AF1054" i="4"/>
  <c r="AE1054" i="4"/>
  <c r="AD1054" i="4"/>
  <c r="AF1053" i="4"/>
  <c r="AE1053" i="4"/>
  <c r="AD1053" i="4"/>
  <c r="AF1052" i="4"/>
  <c r="AE1052" i="4"/>
  <c r="AD1052" i="4"/>
  <c r="AF1051" i="4"/>
  <c r="AE1051" i="4"/>
  <c r="AD1051" i="4"/>
  <c r="AF1050" i="4"/>
  <c r="AE1050" i="4"/>
  <c r="AD1050" i="4"/>
  <c r="AF1049" i="4"/>
  <c r="AE1049" i="4"/>
  <c r="AD1049" i="4"/>
  <c r="AF1048" i="4"/>
  <c r="AE1048" i="4"/>
  <c r="AD1048" i="4"/>
  <c r="AF1047" i="4"/>
  <c r="AE1047" i="4"/>
  <c r="AD1047" i="4"/>
  <c r="AF1046" i="4"/>
  <c r="AE1046" i="4"/>
  <c r="AD1046" i="4"/>
  <c r="AF1045" i="4"/>
  <c r="AE1045" i="4"/>
  <c r="AD1045" i="4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77" i="4"/>
  <c r="AE378" i="4"/>
  <c r="AE379" i="4"/>
  <c r="AE380" i="4"/>
  <c r="AE381" i="4"/>
  <c r="AE382" i="4"/>
  <c r="AE383" i="4"/>
  <c r="AE384" i="4"/>
  <c r="AE385" i="4"/>
  <c r="AE386" i="4"/>
  <c r="AE387" i="4"/>
  <c r="AE388" i="4"/>
  <c r="AE389" i="4"/>
  <c r="AE390" i="4"/>
  <c r="AE391" i="4"/>
  <c r="AE392" i="4"/>
  <c r="AE393" i="4"/>
  <c r="AE394" i="4"/>
  <c r="AE395" i="4"/>
  <c r="AE396" i="4"/>
  <c r="AE397" i="4"/>
  <c r="AE398" i="4"/>
  <c r="AE399" i="4"/>
  <c r="AE400" i="4"/>
  <c r="AE401" i="4"/>
  <c r="AE402" i="4"/>
  <c r="AE403" i="4"/>
  <c r="AE404" i="4"/>
  <c r="AE405" i="4"/>
  <c r="AE406" i="4"/>
  <c r="AE407" i="4"/>
  <c r="AE408" i="4"/>
  <c r="AE409" i="4"/>
  <c r="AE410" i="4"/>
  <c r="AE411" i="4"/>
  <c r="AE412" i="4"/>
  <c r="AE413" i="4"/>
  <c r="AE414" i="4"/>
  <c r="AE415" i="4"/>
  <c r="AE416" i="4"/>
  <c r="AE417" i="4"/>
  <c r="AE418" i="4"/>
  <c r="AE419" i="4"/>
  <c r="AE420" i="4"/>
  <c r="AE421" i="4"/>
  <c r="AE422" i="4"/>
  <c r="AE423" i="4"/>
  <c r="AE424" i="4"/>
  <c r="AE425" i="4"/>
  <c r="AE426" i="4"/>
  <c r="AE427" i="4"/>
  <c r="AE428" i="4"/>
  <c r="AE429" i="4"/>
  <c r="AE430" i="4"/>
  <c r="AE431" i="4"/>
  <c r="AE432" i="4"/>
  <c r="AE433" i="4"/>
  <c r="AE434" i="4"/>
  <c r="AE435" i="4"/>
  <c r="AE436" i="4"/>
  <c r="AE437" i="4"/>
  <c r="AE438" i="4"/>
  <c r="AE439" i="4"/>
  <c r="AE440" i="4"/>
  <c r="AE441" i="4"/>
  <c r="AE442" i="4"/>
  <c r="AE443" i="4"/>
  <c r="AE444" i="4"/>
  <c r="AE445" i="4"/>
  <c r="AE446" i="4"/>
  <c r="AE447" i="4"/>
  <c r="AE448" i="4"/>
  <c r="AE449" i="4"/>
  <c r="AE450" i="4"/>
  <c r="AE451" i="4"/>
  <c r="AE452" i="4"/>
  <c r="AE453" i="4"/>
  <c r="AE454" i="4"/>
  <c r="AE455" i="4"/>
  <c r="AE456" i="4"/>
  <c r="AE457" i="4"/>
  <c r="AE458" i="4"/>
  <c r="AE459" i="4"/>
  <c r="AE460" i="4"/>
  <c r="AE461" i="4"/>
  <c r="AE462" i="4"/>
  <c r="AE463" i="4"/>
  <c r="AE464" i="4"/>
  <c r="AE465" i="4"/>
  <c r="AE466" i="4"/>
  <c r="AE467" i="4"/>
  <c r="AE468" i="4"/>
  <c r="AE469" i="4"/>
  <c r="AE470" i="4"/>
  <c r="AE471" i="4"/>
  <c r="AE472" i="4"/>
  <c r="AE473" i="4"/>
  <c r="AE474" i="4"/>
  <c r="AE475" i="4"/>
  <c r="AE476" i="4"/>
  <c r="AE477" i="4"/>
  <c r="AE478" i="4"/>
  <c r="AE479" i="4"/>
  <c r="AE480" i="4"/>
  <c r="AE481" i="4"/>
  <c r="AE482" i="4"/>
  <c r="AE483" i="4"/>
  <c r="AE484" i="4"/>
  <c r="AE485" i="4"/>
  <c r="AE486" i="4"/>
  <c r="AE487" i="4"/>
  <c r="AE488" i="4"/>
  <c r="AE489" i="4"/>
  <c r="AE490" i="4"/>
  <c r="AE491" i="4"/>
  <c r="AE492" i="4"/>
  <c r="AE493" i="4"/>
  <c r="AE494" i="4"/>
  <c r="AE495" i="4"/>
  <c r="AE496" i="4"/>
  <c r="AE497" i="4"/>
  <c r="AE498" i="4"/>
  <c r="AE499" i="4"/>
  <c r="AE500" i="4"/>
  <c r="AE501" i="4"/>
  <c r="AE502" i="4"/>
  <c r="AE503" i="4"/>
  <c r="AE504" i="4"/>
  <c r="AE505" i="4"/>
  <c r="AE506" i="4"/>
  <c r="AE507" i="4"/>
  <c r="AE508" i="4"/>
  <c r="AE509" i="4"/>
  <c r="AE510" i="4"/>
  <c r="AE511" i="4"/>
  <c r="AE512" i="4"/>
  <c r="AE513" i="4"/>
  <c r="AE514" i="4"/>
  <c r="AE515" i="4"/>
  <c r="AE516" i="4"/>
  <c r="AE517" i="4"/>
  <c r="AE518" i="4"/>
  <c r="AE519" i="4"/>
  <c r="AE520" i="4"/>
  <c r="AE521" i="4"/>
  <c r="AE522" i="4"/>
  <c r="AE523" i="4"/>
  <c r="AE524" i="4"/>
  <c r="AE525" i="4"/>
  <c r="AE526" i="4"/>
  <c r="AE527" i="4"/>
  <c r="AE528" i="4"/>
  <c r="AE529" i="4"/>
  <c r="AE530" i="4"/>
  <c r="AE531" i="4"/>
  <c r="AE532" i="4"/>
  <c r="AE533" i="4"/>
  <c r="AE534" i="4"/>
  <c r="AE535" i="4"/>
  <c r="AE536" i="4"/>
  <c r="AE537" i="4"/>
  <c r="AE538" i="4"/>
  <c r="AE539" i="4"/>
  <c r="AE540" i="4"/>
  <c r="AE541" i="4"/>
  <c r="AE542" i="4"/>
  <c r="AE543" i="4"/>
  <c r="AE544" i="4"/>
  <c r="AE545" i="4"/>
  <c r="AE546" i="4"/>
  <c r="AE547" i="4"/>
  <c r="AE548" i="4"/>
  <c r="AE549" i="4"/>
  <c r="AE550" i="4"/>
  <c r="AE551" i="4"/>
  <c r="AE552" i="4"/>
  <c r="AE553" i="4"/>
  <c r="AE554" i="4"/>
  <c r="AE555" i="4"/>
  <c r="AE556" i="4"/>
  <c r="AE557" i="4"/>
  <c r="AE558" i="4"/>
  <c r="AE559" i="4"/>
  <c r="AE560" i="4"/>
  <c r="AE561" i="4"/>
  <c r="AE562" i="4"/>
  <c r="AE563" i="4"/>
  <c r="AE564" i="4"/>
  <c r="AE565" i="4"/>
  <c r="AE566" i="4"/>
  <c r="AE567" i="4"/>
  <c r="AE568" i="4"/>
  <c r="AE569" i="4"/>
  <c r="AE570" i="4"/>
  <c r="AE571" i="4"/>
  <c r="AE572" i="4"/>
  <c r="AE573" i="4"/>
  <c r="AE574" i="4"/>
  <c r="AE575" i="4"/>
  <c r="AE576" i="4"/>
  <c r="AE577" i="4"/>
  <c r="AE578" i="4"/>
  <c r="AE579" i="4"/>
  <c r="AE580" i="4"/>
  <c r="AE581" i="4"/>
  <c r="AE582" i="4"/>
  <c r="AE583" i="4"/>
  <c r="AE584" i="4"/>
  <c r="AE585" i="4"/>
  <c r="AE586" i="4"/>
  <c r="AE587" i="4"/>
  <c r="AE588" i="4"/>
  <c r="AE589" i="4"/>
  <c r="AE590" i="4"/>
  <c r="AE591" i="4"/>
  <c r="AE592" i="4"/>
  <c r="AE593" i="4"/>
  <c r="AE594" i="4"/>
  <c r="AE595" i="4"/>
  <c r="AE596" i="4"/>
  <c r="AE597" i="4"/>
  <c r="AE598" i="4"/>
  <c r="AE599" i="4"/>
  <c r="AE600" i="4"/>
  <c r="AE601" i="4"/>
  <c r="AE602" i="4"/>
  <c r="AE603" i="4"/>
  <c r="AE604" i="4"/>
  <c r="AE605" i="4"/>
  <c r="AE606" i="4"/>
  <c r="AE607" i="4"/>
  <c r="AE608" i="4"/>
  <c r="AE609" i="4"/>
  <c r="AE610" i="4"/>
  <c r="AE611" i="4"/>
  <c r="AE612" i="4"/>
  <c r="AE613" i="4"/>
  <c r="AE614" i="4"/>
  <c r="AE615" i="4"/>
  <c r="AE616" i="4"/>
  <c r="AE617" i="4"/>
  <c r="AE618" i="4"/>
  <c r="AE619" i="4"/>
  <c r="AE620" i="4"/>
  <c r="AE621" i="4"/>
  <c r="AE622" i="4"/>
  <c r="AE623" i="4"/>
  <c r="AE624" i="4"/>
  <c r="AE625" i="4"/>
  <c r="AE626" i="4"/>
  <c r="AE627" i="4"/>
  <c r="AE628" i="4"/>
  <c r="AE629" i="4"/>
  <c r="AE630" i="4"/>
  <c r="AE631" i="4"/>
  <c r="AE632" i="4"/>
  <c r="AE633" i="4"/>
  <c r="AE634" i="4"/>
  <c r="AE635" i="4"/>
  <c r="AE636" i="4"/>
  <c r="AE637" i="4"/>
  <c r="AE638" i="4"/>
  <c r="AE639" i="4"/>
  <c r="AE640" i="4"/>
  <c r="AE641" i="4"/>
  <c r="AE642" i="4"/>
  <c r="AE643" i="4"/>
  <c r="AE644" i="4"/>
  <c r="AE645" i="4"/>
  <c r="AE646" i="4"/>
  <c r="AE647" i="4"/>
  <c r="AE648" i="4"/>
  <c r="AE649" i="4"/>
  <c r="AE650" i="4"/>
  <c r="AE651" i="4"/>
  <c r="AE652" i="4"/>
  <c r="AE653" i="4"/>
  <c r="AE654" i="4"/>
  <c r="AE655" i="4"/>
  <c r="AE656" i="4"/>
  <c r="AE657" i="4"/>
  <c r="AE658" i="4"/>
  <c r="AE659" i="4"/>
  <c r="AE660" i="4"/>
  <c r="AE661" i="4"/>
  <c r="AE662" i="4"/>
  <c r="AE663" i="4"/>
  <c r="AE664" i="4"/>
  <c r="AE665" i="4"/>
  <c r="AE666" i="4"/>
  <c r="AE667" i="4"/>
  <c r="AE668" i="4"/>
  <c r="AE669" i="4"/>
  <c r="AE670" i="4"/>
  <c r="AE671" i="4"/>
  <c r="AE672" i="4"/>
  <c r="AE673" i="4"/>
  <c r="AE674" i="4"/>
  <c r="AE675" i="4"/>
  <c r="AE676" i="4"/>
  <c r="AE677" i="4"/>
  <c r="AE678" i="4"/>
  <c r="AE679" i="4"/>
  <c r="AE680" i="4"/>
  <c r="AE681" i="4"/>
  <c r="AE682" i="4"/>
  <c r="AE683" i="4"/>
  <c r="AE684" i="4"/>
  <c r="AE685" i="4"/>
  <c r="AE686" i="4"/>
  <c r="AE687" i="4"/>
  <c r="AE688" i="4"/>
  <c r="AE689" i="4"/>
  <c r="AE690" i="4"/>
  <c r="AE691" i="4"/>
  <c r="AE692" i="4"/>
  <c r="AE693" i="4"/>
  <c r="AE694" i="4"/>
  <c r="AE695" i="4"/>
  <c r="AE696" i="4"/>
  <c r="AE697" i="4"/>
  <c r="AE698" i="4"/>
  <c r="AE699" i="4"/>
  <c r="AE700" i="4"/>
  <c r="AE701" i="4"/>
  <c r="AE702" i="4"/>
  <c r="AE703" i="4"/>
  <c r="AE704" i="4"/>
  <c r="AE705" i="4"/>
  <c r="AE706" i="4"/>
  <c r="AE707" i="4"/>
  <c r="AE708" i="4"/>
  <c r="AE709" i="4"/>
  <c r="AE710" i="4"/>
  <c r="AE711" i="4"/>
  <c r="AE712" i="4"/>
  <c r="AE713" i="4"/>
  <c r="AE714" i="4"/>
  <c r="AE715" i="4"/>
  <c r="AE716" i="4"/>
  <c r="AE717" i="4"/>
  <c r="AE718" i="4"/>
  <c r="AE719" i="4"/>
  <c r="AE720" i="4"/>
  <c r="AE721" i="4"/>
  <c r="AE722" i="4"/>
  <c r="AE723" i="4"/>
  <c r="AE724" i="4"/>
  <c r="AE725" i="4"/>
  <c r="AE726" i="4"/>
  <c r="AE727" i="4"/>
  <c r="AE728" i="4"/>
  <c r="AE729" i="4"/>
  <c r="AE730" i="4"/>
  <c r="AE731" i="4"/>
  <c r="AE732" i="4"/>
  <c r="AE733" i="4"/>
  <c r="AE734" i="4"/>
  <c r="AE735" i="4"/>
  <c r="AE736" i="4"/>
  <c r="AE737" i="4"/>
  <c r="AE738" i="4"/>
  <c r="AE739" i="4"/>
  <c r="AE740" i="4"/>
  <c r="AE741" i="4"/>
  <c r="AE742" i="4"/>
  <c r="AE743" i="4"/>
  <c r="AE744" i="4"/>
  <c r="AE745" i="4"/>
  <c r="AE746" i="4"/>
  <c r="AE747" i="4"/>
  <c r="AE748" i="4"/>
  <c r="AE749" i="4"/>
  <c r="AE750" i="4"/>
  <c r="AE751" i="4"/>
  <c r="AE752" i="4"/>
  <c r="AE753" i="4"/>
  <c r="AE754" i="4"/>
  <c r="AE755" i="4"/>
  <c r="AE756" i="4"/>
  <c r="AE757" i="4"/>
  <c r="AE758" i="4"/>
  <c r="AE759" i="4"/>
  <c r="AE760" i="4"/>
  <c r="AE761" i="4"/>
  <c r="AE762" i="4"/>
  <c r="AE763" i="4"/>
  <c r="AE764" i="4"/>
  <c r="AE765" i="4"/>
  <c r="AE766" i="4"/>
  <c r="AE767" i="4"/>
  <c r="AE768" i="4"/>
  <c r="AE769" i="4"/>
  <c r="AE770" i="4"/>
  <c r="AE771" i="4"/>
  <c r="AE772" i="4"/>
  <c r="AE773" i="4"/>
  <c r="AE774" i="4"/>
  <c r="AE775" i="4"/>
  <c r="AE776" i="4"/>
  <c r="AE777" i="4"/>
  <c r="AE778" i="4"/>
  <c r="AE779" i="4"/>
  <c r="AE780" i="4"/>
  <c r="AE781" i="4"/>
  <c r="AE782" i="4"/>
  <c r="AE783" i="4"/>
  <c r="AE784" i="4"/>
  <c r="AE785" i="4"/>
  <c r="AE786" i="4"/>
  <c r="AE787" i="4"/>
  <c r="AE788" i="4"/>
  <c r="AE789" i="4"/>
  <c r="AE790" i="4"/>
  <c r="AE791" i="4"/>
  <c r="AE792" i="4"/>
  <c r="AE793" i="4"/>
  <c r="AE794" i="4"/>
  <c r="AE795" i="4"/>
  <c r="AE796" i="4"/>
  <c r="AE797" i="4"/>
  <c r="AE798" i="4"/>
  <c r="AE799" i="4"/>
  <c r="AE800" i="4"/>
  <c r="AE801" i="4"/>
  <c r="AE802" i="4"/>
  <c r="AE803" i="4"/>
  <c r="AE804" i="4"/>
  <c r="AE805" i="4"/>
  <c r="AE806" i="4"/>
  <c r="AE807" i="4"/>
  <c r="AE808" i="4"/>
  <c r="AE809" i="4"/>
  <c r="AE810" i="4"/>
  <c r="AE811" i="4"/>
  <c r="AE812" i="4"/>
  <c r="AE813" i="4"/>
  <c r="AE814" i="4"/>
  <c r="AE815" i="4"/>
  <c r="AE816" i="4"/>
  <c r="AE817" i="4"/>
  <c r="AE818" i="4"/>
  <c r="AE819" i="4"/>
  <c r="AE820" i="4"/>
  <c r="AE821" i="4"/>
  <c r="AE822" i="4"/>
  <c r="AE823" i="4"/>
  <c r="AE824" i="4"/>
  <c r="AE825" i="4"/>
  <c r="AE826" i="4"/>
  <c r="AE827" i="4"/>
  <c r="AE828" i="4"/>
  <c r="AE829" i="4"/>
  <c r="AE830" i="4"/>
  <c r="AE831" i="4"/>
  <c r="AE832" i="4"/>
  <c r="AE833" i="4"/>
  <c r="AE834" i="4"/>
  <c r="AE835" i="4"/>
  <c r="AE836" i="4"/>
  <c r="AE837" i="4"/>
  <c r="AE838" i="4"/>
  <c r="AE839" i="4"/>
  <c r="AE840" i="4"/>
  <c r="AE841" i="4"/>
  <c r="AE842" i="4"/>
  <c r="AE843" i="4"/>
  <c r="AE844" i="4"/>
  <c r="AE845" i="4"/>
  <c r="AE846" i="4"/>
  <c r="AE847" i="4"/>
  <c r="AE848" i="4"/>
  <c r="AE849" i="4"/>
  <c r="AE850" i="4"/>
  <c r="AE851" i="4"/>
  <c r="AE852" i="4"/>
  <c r="AE853" i="4"/>
  <c r="AE854" i="4"/>
  <c r="AE855" i="4"/>
  <c r="AE856" i="4"/>
  <c r="AE857" i="4"/>
  <c r="AE858" i="4"/>
  <c r="AE859" i="4"/>
  <c r="AE860" i="4"/>
  <c r="AE861" i="4"/>
  <c r="AE862" i="4"/>
  <c r="AE863" i="4"/>
  <c r="AE864" i="4"/>
  <c r="AE865" i="4"/>
  <c r="AE866" i="4"/>
  <c r="AE867" i="4"/>
  <c r="AE868" i="4"/>
  <c r="AE869" i="4"/>
  <c r="AE870" i="4"/>
  <c r="AE871" i="4"/>
  <c r="AE872" i="4"/>
  <c r="AE873" i="4"/>
  <c r="AE874" i="4"/>
  <c r="AE875" i="4"/>
  <c r="AE876" i="4"/>
  <c r="AE877" i="4"/>
  <c r="AE878" i="4"/>
  <c r="AE879" i="4"/>
  <c r="AE880" i="4"/>
  <c r="AE881" i="4"/>
  <c r="AE882" i="4"/>
  <c r="AE883" i="4"/>
  <c r="AE884" i="4"/>
  <c r="AE885" i="4"/>
  <c r="AE886" i="4"/>
  <c r="AE887" i="4"/>
  <c r="AE888" i="4"/>
  <c r="AE889" i="4"/>
  <c r="AE890" i="4"/>
  <c r="AE891" i="4"/>
  <c r="AE892" i="4"/>
  <c r="AE893" i="4"/>
  <c r="AE894" i="4"/>
  <c r="AE895" i="4"/>
  <c r="AE896" i="4"/>
  <c r="AE897" i="4"/>
  <c r="AE898" i="4"/>
  <c r="AE899" i="4"/>
  <c r="AE900" i="4"/>
  <c r="AE901" i="4"/>
  <c r="AE902" i="4"/>
  <c r="AE903" i="4"/>
  <c r="AE904" i="4"/>
  <c r="AE905" i="4"/>
  <c r="AE906" i="4"/>
  <c r="AE907" i="4"/>
  <c r="AE908" i="4"/>
  <c r="AE909" i="4"/>
  <c r="AE910" i="4"/>
  <c r="AE911" i="4"/>
  <c r="AE912" i="4"/>
  <c r="AE913" i="4"/>
  <c r="AE914" i="4"/>
  <c r="AE915" i="4"/>
  <c r="AE916" i="4"/>
  <c r="AE917" i="4"/>
  <c r="AE918" i="4"/>
  <c r="AE919" i="4"/>
  <c r="AE920" i="4"/>
  <c r="AE921" i="4"/>
  <c r="AE922" i="4"/>
  <c r="AE923" i="4"/>
  <c r="AE924" i="4"/>
  <c r="AE925" i="4"/>
  <c r="AE926" i="4"/>
  <c r="AE927" i="4"/>
  <c r="AE928" i="4"/>
  <c r="AE929" i="4"/>
  <c r="AE930" i="4"/>
  <c r="AE931" i="4"/>
  <c r="AE932" i="4"/>
  <c r="AE933" i="4"/>
  <c r="AE934" i="4"/>
  <c r="AE935" i="4"/>
  <c r="AE936" i="4"/>
  <c r="AE937" i="4"/>
  <c r="AE938" i="4"/>
  <c r="AE939" i="4"/>
  <c r="AE940" i="4"/>
  <c r="AE941" i="4"/>
  <c r="AE942" i="4"/>
  <c r="AE943" i="4"/>
  <c r="AE944" i="4"/>
  <c r="AE945" i="4"/>
  <c r="AE946" i="4"/>
  <c r="AE947" i="4"/>
  <c r="AE948" i="4"/>
  <c r="AE949" i="4"/>
  <c r="AE950" i="4"/>
  <c r="AE951" i="4"/>
  <c r="AE952" i="4"/>
  <c r="AE953" i="4"/>
  <c r="AE954" i="4"/>
  <c r="AE955" i="4"/>
  <c r="AE956" i="4"/>
  <c r="AE957" i="4"/>
  <c r="AE958" i="4"/>
  <c r="AE959" i="4"/>
  <c r="AE960" i="4"/>
  <c r="AE961" i="4"/>
  <c r="AE962" i="4"/>
  <c r="AE963" i="4"/>
  <c r="AE964" i="4"/>
  <c r="AE965" i="4"/>
  <c r="AE966" i="4"/>
  <c r="AE967" i="4"/>
  <c r="AE968" i="4"/>
  <c r="AE969" i="4"/>
  <c r="AE970" i="4"/>
  <c r="AE971" i="4"/>
  <c r="AE972" i="4"/>
  <c r="AE973" i="4"/>
  <c r="AE974" i="4"/>
  <c r="AE975" i="4"/>
  <c r="AE976" i="4"/>
  <c r="AE977" i="4"/>
  <c r="AE978" i="4"/>
  <c r="AE979" i="4"/>
  <c r="AE980" i="4"/>
  <c r="AE981" i="4"/>
  <c r="AE982" i="4"/>
  <c r="AE983" i="4"/>
  <c r="AE984" i="4"/>
  <c r="AE985" i="4"/>
  <c r="AE986" i="4"/>
  <c r="AE987" i="4"/>
  <c r="AE988" i="4"/>
  <c r="AE989" i="4"/>
  <c r="AE990" i="4"/>
  <c r="AE991" i="4"/>
  <c r="AE992" i="4"/>
  <c r="AE993" i="4"/>
  <c r="AE994" i="4"/>
  <c r="AE995" i="4"/>
  <c r="AE996" i="4"/>
  <c r="AE997" i="4"/>
  <c r="AE998" i="4"/>
  <c r="AE999" i="4"/>
  <c r="AE1000" i="4"/>
  <c r="AE1001" i="4"/>
  <c r="AE1002" i="4"/>
  <c r="AE1003" i="4"/>
  <c r="AE1004" i="4"/>
  <c r="AE1005" i="4"/>
  <c r="AE1006" i="4"/>
  <c r="AE1007" i="4"/>
  <c r="AE1008" i="4"/>
  <c r="AE1009" i="4"/>
  <c r="AE1010" i="4"/>
  <c r="AE1011" i="4"/>
  <c r="AE1012" i="4"/>
  <c r="AE1013" i="4"/>
  <c r="AE1014" i="4"/>
  <c r="AE1015" i="4"/>
  <c r="AE1016" i="4"/>
  <c r="AE1017" i="4"/>
  <c r="AE1018" i="4"/>
  <c r="AE1019" i="4"/>
  <c r="AE1020" i="4"/>
  <c r="AE1021" i="4"/>
  <c r="AE1022" i="4"/>
  <c r="AE1023" i="4"/>
  <c r="AE1024" i="4"/>
  <c r="AE1025" i="4"/>
  <c r="AE1026" i="4"/>
  <c r="AE1027" i="4"/>
  <c r="AE1028" i="4"/>
  <c r="AE1029" i="4"/>
  <c r="AE1030" i="4"/>
  <c r="AE1031" i="4"/>
  <c r="AE1032" i="4"/>
  <c r="AE1033" i="4"/>
  <c r="AE1034" i="4"/>
  <c r="AE1035" i="4"/>
  <c r="AE1036" i="4"/>
  <c r="AE1037" i="4"/>
  <c r="AE1038" i="4"/>
  <c r="AE1039" i="4"/>
  <c r="AE1040" i="4"/>
  <c r="AE1041" i="4"/>
  <c r="AE1042" i="4"/>
  <c r="AE1043" i="4"/>
  <c r="AE1044" i="4"/>
  <c r="AE2" i="4"/>
  <c r="AF1044" i="4"/>
  <c r="AD1044" i="4"/>
  <c r="AF1043" i="4"/>
  <c r="AD1043" i="4"/>
  <c r="AF1042" i="4"/>
  <c r="AD1042" i="4"/>
  <c r="AF1041" i="4"/>
  <c r="AD1041" i="4"/>
  <c r="AF1040" i="4"/>
  <c r="AD1040" i="4"/>
  <c r="AF1039" i="4"/>
  <c r="AD1039" i="4"/>
  <c r="AF1038" i="4"/>
  <c r="AD1038" i="4"/>
  <c r="AF1037" i="4"/>
  <c r="AD1037" i="4"/>
  <c r="AF1036" i="4"/>
  <c r="AD1036" i="4"/>
  <c r="AF1035" i="4"/>
  <c r="AD1035" i="4"/>
  <c r="AF1034" i="4"/>
  <c r="AD1034" i="4"/>
  <c r="AF1033" i="4"/>
  <c r="AD1033" i="4"/>
  <c r="AF1032" i="4"/>
  <c r="AD1032" i="4"/>
  <c r="AF1031" i="4"/>
  <c r="AD1031" i="4"/>
  <c r="AF1030" i="4"/>
  <c r="AD1030" i="4"/>
  <c r="AF1029" i="4"/>
  <c r="AD1029" i="4"/>
  <c r="AF1028" i="4"/>
  <c r="AD1028" i="4"/>
  <c r="AF1027" i="4"/>
  <c r="AD1027" i="4"/>
  <c r="AF1026" i="4"/>
  <c r="AD1026" i="4"/>
  <c r="AF1025" i="4"/>
  <c r="AD1025" i="4"/>
  <c r="AF1024" i="4"/>
  <c r="AD1024" i="4"/>
  <c r="AF1023" i="4"/>
  <c r="AD1023" i="4"/>
  <c r="AF1022" i="4"/>
  <c r="AD1022" i="4"/>
  <c r="AF1021" i="4"/>
  <c r="AD1021" i="4"/>
  <c r="AF1020" i="4"/>
  <c r="AD1020" i="4"/>
  <c r="AF1019" i="4"/>
  <c r="AD1019" i="4"/>
  <c r="AF1018" i="4"/>
  <c r="AD1018" i="4"/>
  <c r="AF1017" i="4"/>
  <c r="AD1017" i="4"/>
  <c r="AF1016" i="4"/>
  <c r="AD1016" i="4"/>
  <c r="AF1015" i="4"/>
  <c r="AD1015" i="4"/>
  <c r="AF1014" i="4"/>
  <c r="AD1014" i="4"/>
  <c r="AF1013" i="4"/>
  <c r="AD1013" i="4"/>
  <c r="AF1012" i="4"/>
  <c r="AD1012" i="4"/>
  <c r="AF1011" i="4"/>
  <c r="AD1011" i="4"/>
  <c r="AF1010" i="4"/>
  <c r="AD1010" i="4"/>
  <c r="AF1009" i="4"/>
  <c r="AD1009" i="4"/>
  <c r="AF1008" i="4"/>
  <c r="AD1008" i="4"/>
  <c r="AF1007" i="4"/>
  <c r="AD1007" i="4"/>
  <c r="AF1006" i="4"/>
  <c r="AD1006" i="4"/>
  <c r="AF1005" i="4"/>
  <c r="AD1005" i="4"/>
  <c r="AF1004" i="4"/>
  <c r="AD1004" i="4"/>
  <c r="AF1003" i="4"/>
  <c r="AD1003" i="4"/>
  <c r="AF1002" i="4"/>
  <c r="AD1002" i="4"/>
  <c r="AF1001" i="4"/>
  <c r="AD1001" i="4"/>
  <c r="AF1000" i="4"/>
  <c r="AD1000" i="4"/>
  <c r="AF999" i="4"/>
  <c r="AD999" i="4"/>
  <c r="AF998" i="4"/>
  <c r="AD998" i="4"/>
  <c r="AF997" i="4"/>
  <c r="AD997" i="4"/>
  <c r="AF996" i="4"/>
  <c r="AD996" i="4"/>
  <c r="AF995" i="4"/>
  <c r="AD995" i="4"/>
  <c r="AF994" i="4"/>
  <c r="AD994" i="4"/>
  <c r="AF993" i="4"/>
  <c r="AD993" i="4"/>
  <c r="AF992" i="4"/>
  <c r="AD992" i="4"/>
  <c r="AF991" i="4"/>
  <c r="AD991" i="4"/>
  <c r="AF990" i="4"/>
  <c r="AD990" i="4"/>
  <c r="AF989" i="4"/>
  <c r="AD989" i="4"/>
  <c r="AF988" i="4"/>
  <c r="AD988" i="4"/>
  <c r="AF987" i="4"/>
  <c r="AD987" i="4"/>
  <c r="AF986" i="4"/>
  <c r="AD986" i="4"/>
  <c r="AF985" i="4"/>
  <c r="AD985" i="4"/>
  <c r="AF984" i="4"/>
  <c r="AD984" i="4"/>
  <c r="AF983" i="4"/>
  <c r="AD983" i="4"/>
  <c r="AF982" i="4"/>
  <c r="AD982" i="4"/>
  <c r="AF981" i="4"/>
  <c r="AD981" i="4"/>
  <c r="AF980" i="4"/>
  <c r="AD980" i="4"/>
  <c r="AF979" i="4"/>
  <c r="AD979" i="4"/>
  <c r="AF978" i="4"/>
  <c r="AD978" i="4"/>
  <c r="AF977" i="4"/>
  <c r="AD977" i="4"/>
  <c r="AF976" i="4"/>
  <c r="AD976" i="4"/>
  <c r="AF975" i="4"/>
  <c r="AD975" i="4"/>
  <c r="AF974" i="4"/>
  <c r="AD974" i="4"/>
  <c r="AF973" i="4"/>
  <c r="AD973" i="4"/>
  <c r="AF972" i="4"/>
  <c r="AD972" i="4"/>
  <c r="AF971" i="4"/>
  <c r="AD971" i="4"/>
  <c r="AF970" i="4"/>
  <c r="AD970" i="4"/>
  <c r="AF969" i="4"/>
  <c r="AD969" i="4"/>
  <c r="AF968" i="4"/>
  <c r="AD968" i="4"/>
  <c r="AF967" i="4"/>
  <c r="AD967" i="4"/>
  <c r="AF966" i="4"/>
  <c r="AD966" i="4"/>
  <c r="AF965" i="4"/>
  <c r="AD965" i="4"/>
  <c r="AF964" i="4"/>
  <c r="AD964" i="4"/>
  <c r="AF963" i="4"/>
  <c r="AD963" i="4"/>
  <c r="AF962" i="4"/>
  <c r="AD962" i="4"/>
  <c r="AF961" i="4"/>
  <c r="AD961" i="4"/>
  <c r="AF960" i="4"/>
  <c r="AD960" i="4"/>
  <c r="AF959" i="4"/>
  <c r="AD959" i="4"/>
  <c r="AF958" i="4"/>
  <c r="AD958" i="4"/>
  <c r="AF957" i="4"/>
  <c r="AD957" i="4"/>
  <c r="AF956" i="4"/>
  <c r="AD956" i="4"/>
  <c r="AF955" i="4"/>
  <c r="AD955" i="4"/>
  <c r="AF954" i="4"/>
  <c r="AD954" i="4"/>
  <c r="AF953" i="4"/>
  <c r="AD953" i="4"/>
  <c r="AF952" i="4"/>
  <c r="AD952" i="4"/>
  <c r="AF951" i="4"/>
  <c r="AD951" i="4"/>
  <c r="AF950" i="4"/>
  <c r="AD950" i="4"/>
  <c r="AF949" i="4"/>
  <c r="AD949" i="4"/>
  <c r="AF948" i="4"/>
  <c r="AD948" i="4"/>
  <c r="AF947" i="4"/>
  <c r="AD947" i="4"/>
  <c r="AF946" i="4"/>
  <c r="AD946" i="4"/>
  <c r="AF945" i="4"/>
  <c r="AD945" i="4"/>
  <c r="AF944" i="4"/>
  <c r="AD944" i="4"/>
  <c r="AF943" i="4"/>
  <c r="AD943" i="4"/>
  <c r="AF942" i="4"/>
  <c r="AD942" i="4"/>
  <c r="AF941" i="4"/>
  <c r="AD941" i="4"/>
  <c r="AF940" i="4"/>
  <c r="AD940" i="4"/>
  <c r="AF939" i="4"/>
  <c r="AD939" i="4"/>
  <c r="AF938" i="4"/>
  <c r="AD938" i="4"/>
  <c r="AF937" i="4"/>
  <c r="AD937" i="4"/>
  <c r="AF936" i="4"/>
  <c r="AD936" i="4"/>
  <c r="AF935" i="4"/>
  <c r="AD935" i="4"/>
  <c r="AF934" i="4"/>
  <c r="AD934" i="4"/>
  <c r="AF933" i="4"/>
  <c r="AD933" i="4"/>
  <c r="AF932" i="4"/>
  <c r="AD932" i="4"/>
  <c r="AF931" i="4"/>
  <c r="AD931" i="4"/>
  <c r="AF930" i="4"/>
  <c r="AD930" i="4"/>
  <c r="AF929" i="4"/>
  <c r="AD929" i="4"/>
  <c r="AF928" i="4"/>
  <c r="AD928" i="4"/>
  <c r="AF927" i="4"/>
  <c r="AD927" i="4"/>
  <c r="AF926" i="4"/>
  <c r="AD926" i="4"/>
  <c r="AF925" i="4"/>
  <c r="AD925" i="4"/>
  <c r="AF924" i="4"/>
  <c r="AD924" i="4"/>
  <c r="AF923" i="4"/>
  <c r="AD923" i="4"/>
  <c r="AF922" i="4"/>
  <c r="AD922" i="4"/>
  <c r="AF921" i="4"/>
  <c r="AD921" i="4"/>
  <c r="AF920" i="4"/>
  <c r="AD920" i="4"/>
  <c r="AF919" i="4"/>
  <c r="AD919" i="4"/>
  <c r="AF918" i="4"/>
  <c r="AD918" i="4"/>
  <c r="AF917" i="4"/>
  <c r="AD917" i="4"/>
  <c r="AF916" i="4"/>
  <c r="AD916" i="4"/>
  <c r="AF915" i="4"/>
  <c r="AD915" i="4"/>
  <c r="AF914" i="4"/>
  <c r="AD914" i="4"/>
  <c r="AF913" i="4"/>
  <c r="AD913" i="4"/>
  <c r="AF912" i="4"/>
  <c r="AD912" i="4"/>
  <c r="AF911" i="4"/>
  <c r="AD911" i="4"/>
  <c r="AF910" i="4"/>
  <c r="AD910" i="4"/>
  <c r="AF909" i="4"/>
  <c r="AD909" i="4"/>
  <c r="AF908" i="4"/>
  <c r="AD908" i="4"/>
  <c r="AF907" i="4"/>
  <c r="AD907" i="4"/>
  <c r="AF906" i="4"/>
  <c r="AD906" i="4"/>
  <c r="AF905" i="4"/>
  <c r="AD905" i="4"/>
  <c r="AF904" i="4"/>
  <c r="AD904" i="4"/>
  <c r="AF903" i="4"/>
  <c r="AD903" i="4"/>
  <c r="AF902" i="4"/>
  <c r="AD902" i="4"/>
  <c r="AF901" i="4"/>
  <c r="AD901" i="4"/>
  <c r="AF900" i="4"/>
  <c r="AD900" i="4"/>
  <c r="AF899" i="4"/>
  <c r="AD899" i="4"/>
  <c r="AF898" i="4"/>
  <c r="AD898" i="4"/>
  <c r="AF897" i="4"/>
  <c r="AD897" i="4"/>
  <c r="AF896" i="4"/>
  <c r="AD896" i="4"/>
  <c r="AF895" i="4"/>
  <c r="AD895" i="4"/>
  <c r="AF894" i="4"/>
  <c r="AD894" i="4"/>
  <c r="AF893" i="4"/>
  <c r="AD893" i="4"/>
  <c r="AF892" i="4"/>
  <c r="AD892" i="4"/>
  <c r="AF891" i="4"/>
  <c r="AD891" i="4"/>
  <c r="AF890" i="4"/>
  <c r="AD890" i="4"/>
  <c r="AF889" i="4"/>
  <c r="AD889" i="4"/>
  <c r="AF888" i="4"/>
  <c r="AD888" i="4"/>
  <c r="AF887" i="4"/>
  <c r="AD887" i="4"/>
  <c r="AF886" i="4"/>
  <c r="AD886" i="4"/>
  <c r="AF885" i="4"/>
  <c r="AD885" i="4"/>
  <c r="AF884" i="4"/>
  <c r="AD884" i="4"/>
  <c r="AF883" i="4"/>
  <c r="AD883" i="4"/>
  <c r="AF882" i="4"/>
  <c r="AD882" i="4"/>
  <c r="AF881" i="4"/>
  <c r="AD881" i="4"/>
  <c r="AF880" i="4"/>
  <c r="AD880" i="4"/>
  <c r="AF879" i="4"/>
  <c r="AD879" i="4"/>
  <c r="AF878" i="4"/>
  <c r="AD878" i="4"/>
  <c r="AF877" i="4"/>
  <c r="AD877" i="4"/>
  <c r="AF876" i="4"/>
  <c r="AD876" i="4"/>
  <c r="AF875" i="4"/>
  <c r="AD875" i="4"/>
  <c r="AF874" i="4"/>
  <c r="AD874" i="4"/>
  <c r="AF873" i="4"/>
  <c r="AD873" i="4"/>
  <c r="AF872" i="4"/>
  <c r="AD872" i="4"/>
  <c r="AF871" i="4"/>
  <c r="AD871" i="4"/>
  <c r="AF870" i="4"/>
  <c r="AD870" i="4"/>
  <c r="AF869" i="4"/>
  <c r="AD869" i="4"/>
  <c r="AF868" i="4"/>
  <c r="AD868" i="4"/>
  <c r="AF867" i="4"/>
  <c r="AD867" i="4"/>
  <c r="AF866" i="4"/>
  <c r="AD866" i="4"/>
  <c r="AF865" i="4"/>
  <c r="AD865" i="4"/>
  <c r="AF864" i="4"/>
  <c r="AD864" i="4"/>
  <c r="AF863" i="4"/>
  <c r="AD863" i="4"/>
  <c r="AF862" i="4"/>
  <c r="AD862" i="4"/>
  <c r="AF861" i="4"/>
  <c r="AD861" i="4"/>
  <c r="AF860" i="4"/>
  <c r="AD860" i="4"/>
  <c r="AF859" i="4"/>
  <c r="AD859" i="4"/>
  <c r="AF858" i="4"/>
  <c r="AD858" i="4"/>
  <c r="AF857" i="4"/>
  <c r="AD857" i="4"/>
  <c r="AF856" i="4"/>
  <c r="AD856" i="4"/>
  <c r="AF855" i="4"/>
  <c r="AD855" i="4"/>
  <c r="AF854" i="4"/>
  <c r="AD854" i="4"/>
  <c r="AF853" i="4"/>
  <c r="AD853" i="4"/>
  <c r="AF852" i="4"/>
  <c r="AD852" i="4"/>
  <c r="AF851" i="4"/>
  <c r="AD851" i="4"/>
  <c r="AF850" i="4"/>
  <c r="AD850" i="4"/>
  <c r="AF849" i="4"/>
  <c r="AD849" i="4"/>
  <c r="AF848" i="4"/>
  <c r="AD848" i="4"/>
  <c r="AF847" i="4"/>
  <c r="AD847" i="4"/>
  <c r="AF846" i="4"/>
  <c r="AD846" i="4"/>
  <c r="AF845" i="4"/>
  <c r="AD845" i="4"/>
  <c r="AF844" i="4"/>
  <c r="AD844" i="4"/>
  <c r="AF843" i="4"/>
  <c r="AD843" i="4"/>
  <c r="AF842" i="4"/>
  <c r="AD842" i="4"/>
  <c r="AF841" i="4"/>
  <c r="AD841" i="4"/>
  <c r="AF840" i="4"/>
  <c r="AD840" i="4"/>
  <c r="AF839" i="4"/>
  <c r="AD839" i="4"/>
  <c r="AF838" i="4"/>
  <c r="AD838" i="4"/>
  <c r="AF837" i="4"/>
  <c r="AD837" i="4"/>
  <c r="AF836" i="4"/>
  <c r="AD836" i="4"/>
  <c r="AF835" i="4"/>
  <c r="AD835" i="4"/>
  <c r="AF834" i="4"/>
  <c r="AD834" i="4"/>
  <c r="AF833" i="4"/>
  <c r="AD833" i="4"/>
  <c r="AF832" i="4"/>
  <c r="AD832" i="4"/>
  <c r="AF831" i="4"/>
  <c r="AD831" i="4"/>
  <c r="AF830" i="4"/>
  <c r="AD830" i="4"/>
  <c r="AF829" i="4"/>
  <c r="AD829" i="4"/>
  <c r="AF828" i="4"/>
  <c r="AD828" i="4"/>
  <c r="AF827" i="4"/>
  <c r="AD827" i="4"/>
  <c r="AF826" i="4"/>
  <c r="AD826" i="4"/>
  <c r="AF825" i="4"/>
  <c r="AD825" i="4"/>
  <c r="AF824" i="4"/>
  <c r="AD824" i="4"/>
  <c r="AF823" i="4"/>
  <c r="AD823" i="4"/>
  <c r="AF822" i="4"/>
  <c r="AD822" i="4"/>
  <c r="AF821" i="4"/>
  <c r="AD821" i="4"/>
  <c r="AF820" i="4"/>
  <c r="AD820" i="4"/>
  <c r="AF819" i="4"/>
  <c r="AD819" i="4"/>
  <c r="AF818" i="4"/>
  <c r="AD818" i="4"/>
  <c r="AF817" i="4"/>
  <c r="AD817" i="4"/>
  <c r="AF816" i="4"/>
  <c r="AD816" i="4"/>
  <c r="AF815" i="4"/>
  <c r="AD815" i="4"/>
  <c r="AF814" i="4"/>
  <c r="AD814" i="4"/>
  <c r="AF813" i="4"/>
  <c r="AD813" i="4"/>
  <c r="AF812" i="4"/>
  <c r="AD812" i="4"/>
  <c r="AF811" i="4"/>
  <c r="AD811" i="4"/>
  <c r="AF810" i="4"/>
  <c r="AD810" i="4"/>
  <c r="AF809" i="4"/>
  <c r="AD809" i="4"/>
  <c r="AF808" i="4"/>
  <c r="AD808" i="4"/>
  <c r="AF807" i="4"/>
  <c r="AD807" i="4"/>
  <c r="AF806" i="4"/>
  <c r="AD806" i="4"/>
  <c r="AF805" i="4"/>
  <c r="AD805" i="4"/>
  <c r="AF804" i="4"/>
  <c r="AD804" i="4"/>
  <c r="AF803" i="4"/>
  <c r="AD803" i="4"/>
  <c r="AF802" i="4"/>
  <c r="AD802" i="4"/>
  <c r="AF801" i="4"/>
  <c r="AD801" i="4"/>
  <c r="AF800" i="4"/>
  <c r="AD800" i="4"/>
  <c r="AF799" i="4"/>
  <c r="AD799" i="4"/>
  <c r="AF798" i="4"/>
  <c r="AD798" i="4"/>
  <c r="AF797" i="4"/>
  <c r="AD797" i="4"/>
  <c r="AF796" i="4"/>
  <c r="AD796" i="4"/>
  <c r="AF795" i="4"/>
  <c r="AD795" i="4"/>
  <c r="AF794" i="4"/>
  <c r="AD794" i="4"/>
  <c r="AF793" i="4"/>
  <c r="AD793" i="4"/>
  <c r="AF792" i="4"/>
  <c r="AD792" i="4"/>
  <c r="AF791" i="4"/>
  <c r="AD791" i="4"/>
  <c r="AF790" i="4"/>
  <c r="AD790" i="4"/>
  <c r="AF789" i="4"/>
  <c r="AD789" i="4"/>
  <c r="AF788" i="4"/>
  <c r="AD788" i="4"/>
  <c r="AF787" i="4"/>
  <c r="AD787" i="4"/>
  <c r="AF786" i="4"/>
  <c r="AD786" i="4"/>
  <c r="AF785" i="4"/>
  <c r="AD785" i="4"/>
  <c r="AF784" i="4"/>
  <c r="AD784" i="4"/>
  <c r="AF783" i="4"/>
  <c r="AD783" i="4"/>
  <c r="AF782" i="4"/>
  <c r="AD782" i="4"/>
  <c r="AF781" i="4"/>
  <c r="AD781" i="4"/>
  <c r="AF780" i="4"/>
  <c r="AD780" i="4"/>
  <c r="AF779" i="4"/>
  <c r="AD779" i="4"/>
  <c r="AF778" i="4"/>
  <c r="AD778" i="4"/>
  <c r="AF777" i="4"/>
  <c r="AD777" i="4"/>
  <c r="AF776" i="4"/>
  <c r="AD776" i="4"/>
  <c r="AF775" i="4"/>
  <c r="AD775" i="4"/>
  <c r="AF774" i="4"/>
  <c r="AD774" i="4"/>
  <c r="AF773" i="4"/>
  <c r="AD773" i="4"/>
  <c r="AF772" i="4"/>
  <c r="AD772" i="4"/>
  <c r="AF771" i="4"/>
  <c r="AD771" i="4"/>
  <c r="AF770" i="4"/>
  <c r="AD770" i="4"/>
  <c r="AF769" i="4"/>
  <c r="AD769" i="4"/>
  <c r="AF768" i="4"/>
  <c r="AD768" i="4"/>
  <c r="AF767" i="4"/>
  <c r="AD767" i="4"/>
  <c r="AF766" i="4"/>
  <c r="AD766" i="4"/>
  <c r="AF765" i="4"/>
  <c r="AD765" i="4"/>
  <c r="AF764" i="4"/>
  <c r="AD764" i="4"/>
  <c r="AF763" i="4"/>
  <c r="AD763" i="4"/>
  <c r="AF762" i="4"/>
  <c r="AD762" i="4"/>
  <c r="AF761" i="4"/>
  <c r="AD761" i="4"/>
  <c r="AF760" i="4"/>
  <c r="AD760" i="4"/>
  <c r="AF759" i="4"/>
  <c r="AD759" i="4"/>
  <c r="AF758" i="4"/>
  <c r="AD758" i="4"/>
  <c r="AF757" i="4"/>
  <c r="AD757" i="4"/>
  <c r="AF756" i="4"/>
  <c r="AD756" i="4"/>
  <c r="AF755" i="4"/>
  <c r="AD755" i="4"/>
  <c r="AF754" i="4"/>
  <c r="AD754" i="4"/>
  <c r="AF753" i="4"/>
  <c r="AD753" i="4"/>
  <c r="AF752" i="4"/>
  <c r="AD752" i="4"/>
  <c r="AF751" i="4"/>
  <c r="AD751" i="4"/>
  <c r="AF750" i="4"/>
  <c r="AD750" i="4"/>
  <c r="AF749" i="4"/>
  <c r="AD749" i="4"/>
  <c r="AF748" i="4"/>
  <c r="AD748" i="4"/>
  <c r="AF747" i="4"/>
  <c r="AD747" i="4"/>
  <c r="AF746" i="4"/>
  <c r="AD746" i="4"/>
  <c r="AF745" i="4"/>
  <c r="AD745" i="4"/>
  <c r="AF744" i="4"/>
  <c r="AD744" i="4"/>
  <c r="AF743" i="4"/>
  <c r="AD743" i="4"/>
  <c r="AF742" i="4"/>
  <c r="AD742" i="4"/>
  <c r="AF741" i="4"/>
  <c r="AD741" i="4"/>
  <c r="AF740" i="4"/>
  <c r="AD740" i="4"/>
  <c r="AF739" i="4"/>
  <c r="AD739" i="4"/>
  <c r="AF738" i="4"/>
  <c r="AD738" i="4"/>
  <c r="AF737" i="4"/>
  <c r="AD737" i="4"/>
  <c r="AF736" i="4"/>
  <c r="AD736" i="4"/>
  <c r="AF735" i="4"/>
  <c r="AD735" i="4"/>
  <c r="AF734" i="4"/>
  <c r="AD734" i="4"/>
  <c r="AF733" i="4"/>
  <c r="AD733" i="4"/>
  <c r="AF732" i="4"/>
  <c r="AD732" i="4"/>
  <c r="AF731" i="4"/>
  <c r="AD731" i="4"/>
  <c r="AF730" i="4"/>
  <c r="AD730" i="4"/>
  <c r="AF729" i="4"/>
  <c r="AD729" i="4"/>
  <c r="AF728" i="4"/>
  <c r="AD728" i="4"/>
  <c r="AF727" i="4"/>
  <c r="AD727" i="4"/>
  <c r="AF726" i="4"/>
  <c r="AD726" i="4"/>
  <c r="AF725" i="4"/>
  <c r="AD725" i="4"/>
  <c r="AF724" i="4"/>
  <c r="AD724" i="4"/>
  <c r="AF723" i="4"/>
  <c r="AD723" i="4"/>
  <c r="AF722" i="4"/>
  <c r="AD722" i="4"/>
  <c r="AF721" i="4"/>
  <c r="AD721" i="4"/>
  <c r="AF720" i="4"/>
  <c r="AD720" i="4"/>
  <c r="AF719" i="4"/>
  <c r="AD719" i="4"/>
  <c r="AF718" i="4"/>
  <c r="AD718" i="4"/>
  <c r="AF717" i="4"/>
  <c r="AD717" i="4"/>
  <c r="AF716" i="4"/>
  <c r="AD716" i="4"/>
  <c r="AF715" i="4"/>
  <c r="AD715" i="4"/>
  <c r="AF714" i="4"/>
  <c r="AD714" i="4"/>
  <c r="AF713" i="4"/>
  <c r="AD713" i="4"/>
  <c r="AF712" i="4"/>
  <c r="AD712" i="4"/>
  <c r="AF711" i="4"/>
  <c r="AD711" i="4"/>
  <c r="AF710" i="4"/>
  <c r="AD710" i="4"/>
  <c r="AF709" i="4"/>
  <c r="AD709" i="4"/>
  <c r="AF708" i="4"/>
  <c r="AD708" i="4"/>
  <c r="AF707" i="4"/>
  <c r="AD707" i="4"/>
  <c r="AF706" i="4"/>
  <c r="AD706" i="4"/>
  <c r="AF705" i="4"/>
  <c r="AD705" i="4"/>
  <c r="AF704" i="4"/>
  <c r="AD704" i="4"/>
  <c r="AF703" i="4"/>
  <c r="AD703" i="4"/>
  <c r="AF702" i="4"/>
  <c r="AD702" i="4"/>
  <c r="AF701" i="4"/>
  <c r="AD701" i="4"/>
  <c r="AF700" i="4"/>
  <c r="AD700" i="4"/>
  <c r="AF699" i="4"/>
  <c r="AD699" i="4"/>
  <c r="AF698" i="4"/>
  <c r="AD698" i="4"/>
  <c r="AF697" i="4"/>
  <c r="AD697" i="4"/>
  <c r="AF696" i="4"/>
  <c r="AD696" i="4"/>
  <c r="AF695" i="4"/>
  <c r="AD695" i="4"/>
  <c r="AF694" i="4"/>
  <c r="AD694" i="4"/>
  <c r="AF693" i="4"/>
  <c r="AD693" i="4"/>
  <c r="AF692" i="4"/>
  <c r="AD692" i="4"/>
  <c r="AF691" i="4"/>
  <c r="AD691" i="4"/>
  <c r="AF690" i="4"/>
  <c r="AD690" i="4"/>
  <c r="AF689" i="4"/>
  <c r="AD689" i="4"/>
  <c r="AF688" i="4"/>
  <c r="AD688" i="4"/>
  <c r="AF687" i="4"/>
  <c r="AD687" i="4"/>
  <c r="AF686" i="4"/>
  <c r="AD686" i="4"/>
  <c r="AF685" i="4"/>
  <c r="AD685" i="4"/>
  <c r="AF684" i="4"/>
  <c r="AD684" i="4"/>
  <c r="AF683" i="4"/>
  <c r="AD683" i="4"/>
  <c r="AF682" i="4"/>
  <c r="AD682" i="4"/>
  <c r="AF681" i="4"/>
  <c r="AD681" i="4"/>
  <c r="AF680" i="4"/>
  <c r="AD680" i="4"/>
  <c r="AF679" i="4"/>
  <c r="AD679" i="4"/>
  <c r="AF678" i="4"/>
  <c r="AD678" i="4"/>
  <c r="AF677" i="4"/>
  <c r="AD677" i="4"/>
  <c r="AF676" i="4"/>
  <c r="AD676" i="4"/>
  <c r="AF675" i="4"/>
  <c r="AD675" i="4"/>
  <c r="AF674" i="4"/>
  <c r="AD674" i="4"/>
  <c r="AF673" i="4"/>
  <c r="AD673" i="4"/>
  <c r="AF672" i="4"/>
  <c r="AD672" i="4"/>
  <c r="AF671" i="4"/>
  <c r="AD671" i="4"/>
  <c r="AF670" i="4"/>
  <c r="AD670" i="4"/>
  <c r="AF669" i="4"/>
  <c r="AD669" i="4"/>
  <c r="AF668" i="4"/>
  <c r="AD668" i="4"/>
  <c r="AF667" i="4"/>
  <c r="AD667" i="4"/>
  <c r="AF666" i="4"/>
  <c r="AD666" i="4"/>
  <c r="AF665" i="4"/>
  <c r="AD665" i="4"/>
  <c r="AF664" i="4"/>
  <c r="AD664" i="4"/>
  <c r="AF663" i="4"/>
  <c r="AD663" i="4"/>
  <c r="AF662" i="4"/>
  <c r="AD662" i="4"/>
  <c r="AF661" i="4"/>
  <c r="AD661" i="4"/>
  <c r="AF660" i="4"/>
  <c r="AD660" i="4"/>
  <c r="AF659" i="4"/>
  <c r="AD659" i="4"/>
  <c r="AF658" i="4"/>
  <c r="AD658" i="4"/>
  <c r="AF657" i="4"/>
  <c r="AD657" i="4"/>
  <c r="AF656" i="4"/>
  <c r="AD656" i="4"/>
  <c r="AF655" i="4"/>
  <c r="AD655" i="4"/>
  <c r="AF654" i="4"/>
  <c r="AD654" i="4"/>
  <c r="AF653" i="4"/>
  <c r="AD653" i="4"/>
  <c r="AF652" i="4"/>
  <c r="AD652" i="4"/>
  <c r="AF651" i="4"/>
  <c r="AD651" i="4"/>
  <c r="AF650" i="4"/>
  <c r="AD650" i="4"/>
  <c r="AF649" i="4"/>
  <c r="AD649" i="4"/>
  <c r="AF648" i="4"/>
  <c r="AD648" i="4"/>
  <c r="AF647" i="4"/>
  <c r="AD647" i="4"/>
  <c r="AF646" i="4"/>
  <c r="AD646" i="4"/>
  <c r="AF645" i="4"/>
  <c r="AD645" i="4"/>
  <c r="AF644" i="4"/>
  <c r="AD644" i="4"/>
  <c r="AF643" i="4"/>
  <c r="AD643" i="4"/>
  <c r="AF642" i="4"/>
  <c r="AD642" i="4"/>
  <c r="AF641" i="4"/>
  <c r="AD641" i="4"/>
  <c r="AF640" i="4"/>
  <c r="AD640" i="4"/>
  <c r="AF639" i="4"/>
  <c r="AD639" i="4"/>
  <c r="AF638" i="4"/>
  <c r="AD638" i="4"/>
  <c r="AF637" i="4"/>
  <c r="AD637" i="4"/>
  <c r="AF636" i="4"/>
  <c r="AD636" i="4"/>
  <c r="AF635" i="4"/>
  <c r="AD635" i="4"/>
  <c r="AF634" i="4"/>
  <c r="AD634" i="4"/>
  <c r="AF633" i="4"/>
  <c r="AD633" i="4"/>
  <c r="AF632" i="4"/>
  <c r="AD632" i="4"/>
  <c r="AF631" i="4"/>
  <c r="AD631" i="4"/>
  <c r="AF630" i="4"/>
  <c r="AD630" i="4"/>
  <c r="AF629" i="4"/>
  <c r="AD629" i="4"/>
  <c r="AF628" i="4"/>
  <c r="AD628" i="4"/>
  <c r="AF627" i="4"/>
  <c r="AD627" i="4"/>
  <c r="AF626" i="4"/>
  <c r="AD626" i="4"/>
  <c r="AF625" i="4"/>
  <c r="AD625" i="4"/>
  <c r="AF624" i="4"/>
  <c r="AD624" i="4"/>
  <c r="AF623" i="4"/>
  <c r="AD623" i="4"/>
  <c r="AF622" i="4"/>
  <c r="AD622" i="4"/>
  <c r="AF621" i="4"/>
  <c r="AD621" i="4"/>
  <c r="AF620" i="4"/>
  <c r="AD620" i="4"/>
  <c r="AF619" i="4"/>
  <c r="AD619" i="4"/>
  <c r="AF618" i="4"/>
  <c r="AD618" i="4"/>
  <c r="AF617" i="4"/>
  <c r="AD617" i="4"/>
  <c r="AF616" i="4"/>
  <c r="AD616" i="4"/>
  <c r="AF615" i="4"/>
  <c r="AD615" i="4"/>
  <c r="AF614" i="4"/>
  <c r="AD614" i="4"/>
  <c r="AF613" i="4"/>
  <c r="AD613" i="4"/>
  <c r="AF612" i="4"/>
  <c r="AD612" i="4"/>
  <c r="AF611" i="4"/>
  <c r="AD611" i="4"/>
  <c r="AF610" i="4"/>
  <c r="AD610" i="4"/>
  <c r="AF609" i="4"/>
  <c r="AD609" i="4"/>
  <c r="AF608" i="4"/>
  <c r="AD608" i="4"/>
  <c r="AF607" i="4"/>
  <c r="AD607" i="4"/>
  <c r="AF606" i="4"/>
  <c r="AD606" i="4"/>
  <c r="AF605" i="4"/>
  <c r="AD605" i="4"/>
  <c r="AF604" i="4"/>
  <c r="AD604" i="4"/>
  <c r="AF603" i="4"/>
  <c r="AD603" i="4"/>
  <c r="AF602" i="4"/>
  <c r="AD602" i="4"/>
  <c r="AF601" i="4"/>
  <c r="AD601" i="4"/>
  <c r="AF600" i="4"/>
  <c r="AD600" i="4"/>
  <c r="AF599" i="4"/>
  <c r="AD599" i="4"/>
  <c r="AF598" i="4"/>
  <c r="AD598" i="4"/>
  <c r="AF597" i="4"/>
  <c r="AD597" i="4"/>
  <c r="AF596" i="4"/>
  <c r="AD596" i="4"/>
  <c r="AF595" i="4"/>
  <c r="AD595" i="4"/>
  <c r="AF594" i="4"/>
  <c r="AD594" i="4"/>
  <c r="AF593" i="4"/>
  <c r="AD593" i="4"/>
  <c r="AF592" i="4"/>
  <c r="AD592" i="4"/>
  <c r="AF591" i="4"/>
  <c r="AD591" i="4"/>
  <c r="AF590" i="4"/>
  <c r="AD590" i="4"/>
  <c r="AF589" i="4"/>
  <c r="AD589" i="4"/>
  <c r="AF588" i="4"/>
  <c r="AD588" i="4"/>
  <c r="AF587" i="4"/>
  <c r="AD587" i="4"/>
  <c r="AF586" i="4"/>
  <c r="AD586" i="4"/>
  <c r="AF585" i="4"/>
  <c r="AD585" i="4"/>
  <c r="AF584" i="4"/>
  <c r="AD584" i="4"/>
  <c r="AF583" i="4"/>
  <c r="AD583" i="4"/>
  <c r="AF582" i="4"/>
  <c r="AD582" i="4"/>
  <c r="AF581" i="4"/>
  <c r="AD581" i="4"/>
  <c r="AF580" i="4"/>
  <c r="AD580" i="4"/>
  <c r="AF579" i="4"/>
  <c r="AD579" i="4"/>
  <c r="AF578" i="4"/>
  <c r="AD578" i="4"/>
  <c r="AF577" i="4"/>
  <c r="AD577" i="4"/>
  <c r="AF576" i="4"/>
  <c r="AD576" i="4"/>
  <c r="AF575" i="4"/>
  <c r="AD575" i="4"/>
  <c r="AF574" i="4"/>
  <c r="AD574" i="4"/>
  <c r="AF573" i="4"/>
  <c r="AD573" i="4"/>
  <c r="AF572" i="4"/>
  <c r="AD572" i="4"/>
  <c r="AF571" i="4"/>
  <c r="AD571" i="4"/>
  <c r="AF570" i="4"/>
  <c r="AD570" i="4"/>
  <c r="AF569" i="4"/>
  <c r="AD569" i="4"/>
  <c r="AF568" i="4"/>
  <c r="AD568" i="4"/>
  <c r="AF567" i="4"/>
  <c r="AD567" i="4"/>
  <c r="AF566" i="4"/>
  <c r="AD566" i="4"/>
  <c r="AF565" i="4"/>
  <c r="AD565" i="4"/>
  <c r="AF564" i="4"/>
  <c r="AD564" i="4"/>
  <c r="AF563" i="4"/>
  <c r="AD563" i="4"/>
  <c r="AF562" i="4"/>
  <c r="AD562" i="4"/>
  <c r="AF561" i="4"/>
  <c r="AD561" i="4"/>
  <c r="AF560" i="4"/>
  <c r="AD560" i="4"/>
  <c r="AF559" i="4"/>
  <c r="AD559" i="4"/>
  <c r="AF558" i="4"/>
  <c r="AD558" i="4"/>
  <c r="AF557" i="4"/>
  <c r="AD557" i="4"/>
  <c r="AF556" i="4"/>
  <c r="AD556" i="4"/>
  <c r="AF555" i="4"/>
  <c r="AD555" i="4"/>
  <c r="AF554" i="4"/>
  <c r="AD554" i="4"/>
  <c r="AF553" i="4"/>
  <c r="AD553" i="4"/>
  <c r="AF552" i="4"/>
  <c r="AD552" i="4"/>
  <c r="AF551" i="4"/>
  <c r="AD551" i="4"/>
  <c r="AF550" i="4"/>
  <c r="AD550" i="4"/>
  <c r="AF549" i="4"/>
  <c r="AD549" i="4"/>
  <c r="AF548" i="4"/>
  <c r="AD548" i="4"/>
  <c r="AF547" i="4"/>
  <c r="AD547" i="4"/>
  <c r="AF546" i="4"/>
  <c r="AD546" i="4"/>
  <c r="AF545" i="4"/>
  <c r="AD545" i="4"/>
  <c r="AF544" i="4"/>
  <c r="AD544" i="4"/>
  <c r="AF543" i="4"/>
  <c r="AD543" i="4"/>
  <c r="AF542" i="4"/>
  <c r="AD542" i="4"/>
  <c r="AF541" i="4"/>
  <c r="AD541" i="4"/>
  <c r="AF540" i="4"/>
  <c r="AD540" i="4"/>
  <c r="AF539" i="4"/>
  <c r="AD539" i="4"/>
  <c r="AF538" i="4"/>
  <c r="AD538" i="4"/>
  <c r="AF537" i="4"/>
  <c r="AD537" i="4"/>
  <c r="AF536" i="4"/>
  <c r="AD536" i="4"/>
  <c r="AF535" i="4"/>
  <c r="AD535" i="4"/>
  <c r="AF534" i="4"/>
  <c r="AD534" i="4"/>
  <c r="AF533" i="4"/>
  <c r="AD533" i="4"/>
  <c r="AF532" i="4"/>
  <c r="AD532" i="4"/>
  <c r="AF531" i="4"/>
  <c r="AD531" i="4"/>
  <c r="AF530" i="4"/>
  <c r="AD530" i="4"/>
  <c r="AF529" i="4"/>
  <c r="AD529" i="4"/>
  <c r="AF528" i="4"/>
  <c r="AD528" i="4"/>
  <c r="AF527" i="4"/>
  <c r="AD527" i="4"/>
  <c r="AF526" i="4"/>
  <c r="AD526" i="4"/>
  <c r="AF525" i="4"/>
  <c r="AD525" i="4"/>
  <c r="AF524" i="4"/>
  <c r="AD524" i="4"/>
  <c r="AF523" i="4"/>
  <c r="AD523" i="4"/>
  <c r="AF522" i="4"/>
  <c r="AD522" i="4"/>
  <c r="AF521" i="4"/>
  <c r="AD521" i="4"/>
  <c r="AF520" i="4"/>
  <c r="AD520" i="4"/>
  <c r="AF519" i="4"/>
  <c r="AD519" i="4"/>
  <c r="AF518" i="4"/>
  <c r="AD518" i="4"/>
  <c r="AF517" i="4"/>
  <c r="AD517" i="4"/>
  <c r="AF516" i="4"/>
  <c r="AD516" i="4"/>
  <c r="AF515" i="4"/>
  <c r="AD515" i="4"/>
  <c r="AF514" i="4"/>
  <c r="AD514" i="4"/>
  <c r="AF513" i="4"/>
  <c r="AD513" i="4"/>
  <c r="AF512" i="4"/>
  <c r="AD512" i="4"/>
  <c r="AF511" i="4"/>
  <c r="AD511" i="4"/>
  <c r="AF510" i="4"/>
  <c r="AD510" i="4"/>
  <c r="AF509" i="4"/>
  <c r="AD509" i="4"/>
  <c r="AF508" i="4"/>
  <c r="AD508" i="4"/>
  <c r="AF507" i="4"/>
  <c r="AD507" i="4"/>
  <c r="AF506" i="4"/>
  <c r="AD506" i="4"/>
  <c r="AF505" i="4"/>
  <c r="AD505" i="4"/>
  <c r="AF504" i="4"/>
  <c r="AD504" i="4"/>
  <c r="AF503" i="4"/>
  <c r="AD503" i="4"/>
  <c r="AF502" i="4"/>
  <c r="AD502" i="4"/>
  <c r="AF501" i="4"/>
  <c r="AD501" i="4"/>
  <c r="AF500" i="4"/>
  <c r="AD500" i="4"/>
  <c r="AF499" i="4"/>
  <c r="AD499" i="4"/>
  <c r="AF498" i="4"/>
  <c r="AD498" i="4"/>
  <c r="AF497" i="4"/>
  <c r="AD497" i="4"/>
  <c r="AF496" i="4"/>
  <c r="AD496" i="4"/>
  <c r="AF495" i="4"/>
  <c r="AD495" i="4"/>
  <c r="AF494" i="4"/>
  <c r="AD494" i="4"/>
  <c r="AF493" i="4"/>
  <c r="AD493" i="4"/>
  <c r="AF492" i="4"/>
  <c r="AD492" i="4"/>
  <c r="AF491" i="4"/>
  <c r="AD491" i="4"/>
  <c r="AF490" i="4"/>
  <c r="AD490" i="4"/>
  <c r="AF489" i="4"/>
  <c r="AD489" i="4"/>
  <c r="AF488" i="4"/>
  <c r="AD488" i="4"/>
  <c r="AF487" i="4"/>
  <c r="AD487" i="4"/>
  <c r="AF486" i="4"/>
  <c r="AD486" i="4"/>
  <c r="AF485" i="4"/>
  <c r="AD485" i="4"/>
  <c r="AF484" i="4"/>
  <c r="AD484" i="4"/>
  <c r="AF483" i="4"/>
  <c r="AD483" i="4"/>
  <c r="AF482" i="4"/>
  <c r="AD482" i="4"/>
  <c r="AF481" i="4"/>
  <c r="AD481" i="4"/>
  <c r="AF480" i="4"/>
  <c r="AD480" i="4"/>
  <c r="AF479" i="4"/>
  <c r="AD479" i="4"/>
  <c r="AF478" i="4"/>
  <c r="AD478" i="4"/>
  <c r="AF477" i="4"/>
  <c r="AD477" i="4"/>
  <c r="AF476" i="4"/>
  <c r="AD476" i="4"/>
  <c r="AF475" i="4"/>
  <c r="AD475" i="4"/>
  <c r="AF474" i="4"/>
  <c r="AD474" i="4"/>
  <c r="AF473" i="4"/>
  <c r="AD473" i="4"/>
  <c r="AF472" i="4"/>
  <c r="AD472" i="4"/>
  <c r="AF471" i="4"/>
  <c r="AD471" i="4"/>
  <c r="AF470" i="4"/>
  <c r="AD470" i="4"/>
  <c r="AF469" i="4"/>
  <c r="AD469" i="4"/>
  <c r="AF468" i="4"/>
  <c r="AD468" i="4"/>
  <c r="AF467" i="4"/>
  <c r="AD467" i="4"/>
  <c r="AF466" i="4"/>
  <c r="AD466" i="4"/>
  <c r="AF465" i="4"/>
  <c r="AD465" i="4"/>
  <c r="AF464" i="4"/>
  <c r="AD464" i="4"/>
  <c r="AF463" i="4"/>
  <c r="AD463" i="4"/>
  <c r="AF462" i="4"/>
  <c r="AD462" i="4"/>
  <c r="AF461" i="4"/>
  <c r="AD461" i="4"/>
  <c r="AF460" i="4"/>
  <c r="AD460" i="4"/>
  <c r="AF459" i="4"/>
  <c r="AD459" i="4"/>
  <c r="AF458" i="4"/>
  <c r="AD458" i="4"/>
  <c r="AF457" i="4"/>
  <c r="AD457" i="4"/>
  <c r="AF456" i="4"/>
  <c r="AD456" i="4"/>
  <c r="AF455" i="4"/>
  <c r="AD455" i="4"/>
  <c r="AF454" i="4"/>
  <c r="AD454" i="4"/>
  <c r="AF453" i="4"/>
  <c r="AD453" i="4"/>
  <c r="AF452" i="4"/>
  <c r="AD452" i="4"/>
  <c r="AF451" i="4"/>
  <c r="AD451" i="4"/>
  <c r="AF450" i="4"/>
  <c r="AD450" i="4"/>
  <c r="AF449" i="4"/>
  <c r="AD449" i="4"/>
  <c r="AF448" i="4"/>
  <c r="AD448" i="4"/>
  <c r="AF447" i="4"/>
  <c r="AD447" i="4"/>
  <c r="AF446" i="4"/>
  <c r="AD446" i="4"/>
  <c r="AF445" i="4"/>
  <c r="AD445" i="4"/>
  <c r="AF444" i="4"/>
  <c r="AD444" i="4"/>
  <c r="AF443" i="4"/>
  <c r="AD443" i="4"/>
  <c r="AF442" i="4"/>
  <c r="AD442" i="4"/>
  <c r="AF441" i="4"/>
  <c r="AD441" i="4"/>
  <c r="AF440" i="4"/>
  <c r="AD440" i="4"/>
  <c r="AF439" i="4"/>
  <c r="AD439" i="4"/>
  <c r="AF438" i="4"/>
  <c r="AD438" i="4"/>
  <c r="AF437" i="4"/>
  <c r="AD437" i="4"/>
  <c r="AF436" i="4"/>
  <c r="AD436" i="4"/>
  <c r="AF435" i="4"/>
  <c r="AD435" i="4"/>
  <c r="AF434" i="4"/>
  <c r="AD434" i="4"/>
  <c r="AF433" i="4"/>
  <c r="AD433" i="4"/>
  <c r="AF432" i="4"/>
  <c r="AD432" i="4"/>
  <c r="AF431" i="4"/>
  <c r="AD431" i="4"/>
  <c r="AF430" i="4"/>
  <c r="AD430" i="4"/>
  <c r="AF429" i="4"/>
  <c r="AD429" i="4"/>
  <c r="AF428" i="4"/>
  <c r="AD428" i="4"/>
  <c r="AF427" i="4"/>
  <c r="AD427" i="4"/>
  <c r="AF426" i="4"/>
  <c r="AD426" i="4"/>
  <c r="AF425" i="4"/>
  <c r="AD425" i="4"/>
  <c r="AF424" i="4"/>
  <c r="AD424" i="4"/>
  <c r="AF423" i="4"/>
  <c r="AD423" i="4"/>
  <c r="AF422" i="4"/>
  <c r="AD422" i="4"/>
  <c r="AF421" i="4"/>
  <c r="AD421" i="4"/>
  <c r="AF420" i="4"/>
  <c r="AD420" i="4"/>
  <c r="AF419" i="4"/>
  <c r="AD419" i="4"/>
  <c r="AF418" i="4"/>
  <c r="AD418" i="4"/>
  <c r="AF417" i="4"/>
  <c r="AD417" i="4"/>
  <c r="AF416" i="4"/>
  <c r="AD416" i="4"/>
  <c r="AF415" i="4"/>
  <c r="AD415" i="4"/>
  <c r="AF414" i="4"/>
  <c r="AD414" i="4"/>
  <c r="AF413" i="4"/>
  <c r="AD413" i="4"/>
  <c r="AF412" i="4"/>
  <c r="AD412" i="4"/>
  <c r="AF411" i="4"/>
  <c r="AD411" i="4"/>
  <c r="AF410" i="4"/>
  <c r="AD410" i="4"/>
  <c r="AF409" i="4"/>
  <c r="AD409" i="4"/>
  <c r="AF408" i="4"/>
  <c r="AD408" i="4"/>
  <c r="AF407" i="4"/>
  <c r="AD407" i="4"/>
  <c r="AF406" i="4"/>
  <c r="AD406" i="4"/>
  <c r="AF405" i="4"/>
  <c r="AD405" i="4"/>
  <c r="AF404" i="4"/>
  <c r="AD404" i="4"/>
  <c r="AF403" i="4"/>
  <c r="AD403" i="4"/>
  <c r="AF402" i="4"/>
  <c r="AD402" i="4"/>
  <c r="AF401" i="4"/>
  <c r="AD401" i="4"/>
  <c r="AF400" i="4"/>
  <c r="AD400" i="4"/>
  <c r="AF399" i="4"/>
  <c r="AD399" i="4"/>
  <c r="AF398" i="4"/>
  <c r="AD398" i="4"/>
  <c r="AF397" i="4"/>
  <c r="AD397" i="4"/>
  <c r="AF396" i="4"/>
  <c r="AD396" i="4"/>
  <c r="AF395" i="4"/>
  <c r="AD395" i="4"/>
  <c r="AF394" i="4"/>
  <c r="AD394" i="4"/>
  <c r="AF393" i="4"/>
  <c r="AD393" i="4"/>
  <c r="AF392" i="4"/>
  <c r="AD392" i="4"/>
  <c r="AF391" i="4"/>
  <c r="AD391" i="4"/>
  <c r="AF390" i="4"/>
  <c r="AD390" i="4"/>
  <c r="AF389" i="4"/>
  <c r="AD389" i="4"/>
  <c r="AF388" i="4"/>
  <c r="AD388" i="4"/>
  <c r="AF387" i="4"/>
  <c r="AD387" i="4"/>
  <c r="AF386" i="4"/>
  <c r="AD386" i="4"/>
  <c r="AF385" i="4"/>
  <c r="AD385" i="4"/>
  <c r="AF384" i="4"/>
  <c r="AD384" i="4"/>
  <c r="AF383" i="4"/>
  <c r="AD383" i="4"/>
  <c r="AF382" i="4"/>
  <c r="AD382" i="4"/>
  <c r="AF381" i="4"/>
  <c r="AD381" i="4"/>
  <c r="AF380" i="4"/>
  <c r="AD380" i="4"/>
  <c r="AF379" i="4"/>
  <c r="AD379" i="4"/>
  <c r="AF378" i="4"/>
  <c r="AD378" i="4"/>
  <c r="AF377" i="4"/>
  <c r="AD377" i="4"/>
  <c r="AF376" i="4"/>
  <c r="AD376" i="4"/>
  <c r="AF375" i="4"/>
  <c r="AD375" i="4"/>
  <c r="AF374" i="4"/>
  <c r="AD374" i="4"/>
  <c r="AF373" i="4"/>
  <c r="AD373" i="4"/>
  <c r="AF372" i="4"/>
  <c r="AD372" i="4"/>
  <c r="AF371" i="4"/>
  <c r="AD371" i="4"/>
  <c r="AF370" i="4"/>
  <c r="AD370" i="4"/>
  <c r="AF369" i="4"/>
  <c r="AD369" i="4"/>
  <c r="AF368" i="4"/>
  <c r="AD368" i="4"/>
  <c r="AF367" i="4"/>
  <c r="AD367" i="4"/>
  <c r="AF366" i="4"/>
  <c r="AD366" i="4"/>
  <c r="AF365" i="4"/>
  <c r="AD365" i="4"/>
  <c r="AF364" i="4"/>
  <c r="AD364" i="4"/>
  <c r="AF363" i="4"/>
  <c r="AD363" i="4"/>
  <c r="AF362" i="4"/>
  <c r="AD362" i="4"/>
  <c r="AF361" i="4"/>
  <c r="AD361" i="4"/>
  <c r="AF360" i="4"/>
  <c r="AD360" i="4"/>
  <c r="AF359" i="4"/>
  <c r="AD359" i="4"/>
  <c r="AF358" i="4"/>
  <c r="AD358" i="4"/>
  <c r="AF357" i="4"/>
  <c r="AD357" i="4"/>
  <c r="AF356" i="4"/>
  <c r="AD356" i="4"/>
  <c r="AF355" i="4"/>
  <c r="AD355" i="4"/>
  <c r="AF354" i="4"/>
  <c r="AD354" i="4"/>
  <c r="AF353" i="4"/>
  <c r="AD353" i="4"/>
  <c r="AF352" i="4"/>
  <c r="AD352" i="4"/>
  <c r="AF351" i="4"/>
  <c r="AD351" i="4"/>
  <c r="AF350" i="4"/>
  <c r="AD350" i="4"/>
  <c r="AF349" i="4"/>
  <c r="AD349" i="4"/>
  <c r="AF348" i="4"/>
  <c r="AD348" i="4"/>
  <c r="AF347" i="4"/>
  <c r="AD347" i="4"/>
  <c r="AF346" i="4"/>
  <c r="AD346" i="4"/>
  <c r="AF345" i="4"/>
  <c r="AD345" i="4"/>
  <c r="AF344" i="4"/>
  <c r="AD344" i="4"/>
  <c r="AF343" i="4"/>
  <c r="AD343" i="4"/>
  <c r="AF342" i="4"/>
  <c r="AD342" i="4"/>
  <c r="AF341" i="4"/>
  <c r="AD341" i="4"/>
  <c r="AF340" i="4"/>
  <c r="AD340" i="4"/>
  <c r="AF339" i="4"/>
  <c r="AD339" i="4"/>
  <c r="AF338" i="4"/>
  <c r="AD338" i="4"/>
  <c r="AF337" i="4"/>
  <c r="AD337" i="4"/>
  <c r="AF336" i="4"/>
  <c r="AD336" i="4"/>
  <c r="AF335" i="4"/>
  <c r="AD335" i="4"/>
  <c r="AF334" i="4"/>
  <c r="AD334" i="4"/>
  <c r="AF333" i="4"/>
  <c r="AD333" i="4"/>
  <c r="AF332" i="4"/>
  <c r="AD332" i="4"/>
  <c r="AF331" i="4"/>
  <c r="AD331" i="4"/>
  <c r="AF330" i="4"/>
  <c r="AD330" i="4"/>
  <c r="AF329" i="4"/>
  <c r="AD329" i="4"/>
  <c r="AF328" i="4"/>
  <c r="AD328" i="4"/>
  <c r="AF327" i="4"/>
  <c r="AD327" i="4"/>
  <c r="AF326" i="4"/>
  <c r="AD326" i="4"/>
  <c r="AF325" i="4"/>
  <c r="AD325" i="4"/>
  <c r="AF324" i="4"/>
  <c r="AD324" i="4"/>
  <c r="AF323" i="4"/>
  <c r="AD323" i="4"/>
  <c r="AF322" i="4"/>
  <c r="AD322" i="4"/>
  <c r="AF321" i="4"/>
  <c r="AD321" i="4"/>
  <c r="AF320" i="4"/>
  <c r="AD320" i="4"/>
  <c r="AF319" i="4"/>
  <c r="AD319" i="4"/>
  <c r="AF318" i="4"/>
  <c r="AD318" i="4"/>
  <c r="AF317" i="4"/>
  <c r="AD317" i="4"/>
  <c r="AF316" i="4"/>
  <c r="AD316" i="4"/>
  <c r="AF315" i="4"/>
  <c r="AD315" i="4"/>
  <c r="AF314" i="4"/>
  <c r="AD314" i="4"/>
  <c r="AF313" i="4"/>
  <c r="AD313" i="4"/>
  <c r="AF312" i="4"/>
  <c r="AD312" i="4"/>
  <c r="AF311" i="4"/>
  <c r="AD311" i="4"/>
  <c r="AF310" i="4"/>
  <c r="AD310" i="4"/>
  <c r="AF309" i="4"/>
  <c r="AD309" i="4"/>
  <c r="AF308" i="4"/>
  <c r="AD308" i="4"/>
  <c r="AF307" i="4"/>
  <c r="AD307" i="4"/>
  <c r="AF306" i="4"/>
  <c r="AD306" i="4"/>
  <c r="AF305" i="4"/>
  <c r="AD305" i="4"/>
  <c r="AF304" i="4"/>
  <c r="AD304" i="4"/>
  <c r="AF303" i="4"/>
  <c r="AD303" i="4"/>
  <c r="AF302" i="4"/>
  <c r="AD302" i="4"/>
  <c r="AF301" i="4"/>
  <c r="AD301" i="4"/>
  <c r="AF300" i="4"/>
  <c r="AD300" i="4"/>
  <c r="AF299" i="4"/>
  <c r="AD299" i="4"/>
  <c r="AF298" i="4"/>
  <c r="AD298" i="4"/>
  <c r="AF297" i="4"/>
  <c r="AD297" i="4"/>
  <c r="AF296" i="4"/>
  <c r="AD296" i="4"/>
  <c r="AF295" i="4"/>
  <c r="AD295" i="4"/>
  <c r="AF294" i="4"/>
  <c r="AD294" i="4"/>
  <c r="AF293" i="4"/>
  <c r="AD293" i="4"/>
  <c r="AF292" i="4"/>
  <c r="AD292" i="4"/>
  <c r="AF291" i="4"/>
  <c r="AD291" i="4"/>
  <c r="AF290" i="4"/>
  <c r="AD290" i="4"/>
  <c r="AF289" i="4"/>
  <c r="AD289" i="4"/>
  <c r="AF288" i="4"/>
  <c r="AD288" i="4"/>
  <c r="AF287" i="4"/>
  <c r="AD287" i="4"/>
  <c r="AF286" i="4"/>
  <c r="AD286" i="4"/>
  <c r="AF285" i="4"/>
  <c r="AD285" i="4"/>
  <c r="AF284" i="4"/>
  <c r="AD284" i="4"/>
  <c r="AF283" i="4"/>
  <c r="AD283" i="4"/>
  <c r="AF282" i="4"/>
  <c r="AD282" i="4"/>
  <c r="AF281" i="4"/>
  <c r="AD281" i="4"/>
  <c r="AF280" i="4"/>
  <c r="AD280" i="4"/>
  <c r="AF279" i="4"/>
  <c r="AD279" i="4"/>
  <c r="AF278" i="4"/>
  <c r="AD278" i="4"/>
  <c r="AF277" i="4"/>
  <c r="AD277" i="4"/>
  <c r="AF276" i="4"/>
  <c r="AD276" i="4"/>
  <c r="AF275" i="4"/>
  <c r="AD275" i="4"/>
  <c r="AF274" i="4"/>
  <c r="AD274" i="4"/>
  <c r="AF273" i="4"/>
  <c r="AD273" i="4"/>
  <c r="AF272" i="4"/>
  <c r="AD272" i="4"/>
  <c r="AF271" i="4"/>
  <c r="AD271" i="4"/>
  <c r="AF270" i="4"/>
  <c r="AD270" i="4"/>
  <c r="AF269" i="4"/>
  <c r="AD269" i="4"/>
  <c r="AF268" i="4"/>
  <c r="AD268" i="4"/>
  <c r="AF267" i="4"/>
  <c r="AD267" i="4"/>
  <c r="AF266" i="4"/>
  <c r="AD266" i="4"/>
  <c r="AF265" i="4"/>
  <c r="AD265" i="4"/>
  <c r="AF264" i="4"/>
  <c r="AD264" i="4"/>
  <c r="AF263" i="4"/>
  <c r="AD263" i="4"/>
  <c r="AF262" i="4"/>
  <c r="AD262" i="4"/>
  <c r="AF261" i="4"/>
  <c r="AD261" i="4"/>
  <c r="AF260" i="4"/>
  <c r="AD260" i="4"/>
  <c r="AF259" i="4"/>
  <c r="AD259" i="4"/>
  <c r="AF258" i="4"/>
  <c r="AD258" i="4"/>
  <c r="AF257" i="4"/>
  <c r="AD257" i="4"/>
  <c r="AF256" i="4"/>
  <c r="AD256" i="4"/>
  <c r="AF255" i="4"/>
  <c r="AD255" i="4"/>
  <c r="AF254" i="4"/>
  <c r="AD254" i="4"/>
  <c r="AF253" i="4"/>
  <c r="AD253" i="4"/>
  <c r="AF252" i="4"/>
  <c r="AD252" i="4"/>
  <c r="AF251" i="4"/>
  <c r="AD251" i="4"/>
  <c r="AF250" i="4"/>
  <c r="AD250" i="4"/>
  <c r="AF249" i="4"/>
  <c r="AD249" i="4"/>
  <c r="AF248" i="4"/>
  <c r="AD248" i="4"/>
  <c r="AF247" i="4"/>
  <c r="AD247" i="4"/>
  <c r="AF246" i="4"/>
  <c r="AD246" i="4"/>
  <c r="AF245" i="4"/>
  <c r="AD245" i="4"/>
  <c r="AF244" i="4"/>
  <c r="AD244" i="4"/>
  <c r="AF243" i="4"/>
  <c r="AD243" i="4"/>
  <c r="AF242" i="4"/>
  <c r="AD242" i="4"/>
  <c r="AF241" i="4"/>
  <c r="AD241" i="4"/>
  <c r="AF240" i="4"/>
  <c r="AD240" i="4"/>
  <c r="AF239" i="4"/>
  <c r="AD239" i="4"/>
  <c r="AF238" i="4"/>
  <c r="AD238" i="4"/>
  <c r="AF237" i="4"/>
  <c r="AD237" i="4"/>
  <c r="AF236" i="4"/>
  <c r="AD236" i="4"/>
  <c r="AF235" i="4"/>
  <c r="AD235" i="4"/>
  <c r="AF234" i="4"/>
  <c r="AD234" i="4"/>
  <c r="AF233" i="4"/>
  <c r="AD233" i="4"/>
  <c r="AF232" i="4"/>
  <c r="AD232" i="4"/>
  <c r="AF231" i="4"/>
  <c r="AD231" i="4"/>
  <c r="AF230" i="4"/>
  <c r="AD230" i="4"/>
  <c r="AF229" i="4"/>
  <c r="AD229" i="4"/>
  <c r="AF228" i="4"/>
  <c r="AD228" i="4"/>
  <c r="AF227" i="4"/>
  <c r="AD227" i="4"/>
  <c r="AF226" i="4"/>
  <c r="AD226" i="4"/>
  <c r="AF225" i="4"/>
  <c r="AD225" i="4"/>
  <c r="AF224" i="4"/>
  <c r="AD224" i="4"/>
  <c r="AF223" i="4"/>
  <c r="AD223" i="4"/>
  <c r="AF222" i="4"/>
  <c r="AD222" i="4"/>
  <c r="AF221" i="4"/>
  <c r="AD221" i="4"/>
  <c r="AF220" i="4"/>
  <c r="AD220" i="4"/>
  <c r="AF219" i="4"/>
  <c r="AD219" i="4"/>
  <c r="AF218" i="4"/>
  <c r="AD218" i="4"/>
  <c r="AF217" i="4"/>
  <c r="AD217" i="4"/>
  <c r="AF216" i="4"/>
  <c r="AD216" i="4"/>
  <c r="AF215" i="4"/>
  <c r="AD215" i="4"/>
  <c r="AF214" i="4"/>
  <c r="AD214" i="4"/>
  <c r="AF213" i="4"/>
  <c r="AD213" i="4"/>
  <c r="AF212" i="4"/>
  <c r="AD212" i="4"/>
  <c r="AF211" i="4"/>
  <c r="AD211" i="4"/>
  <c r="AF210" i="4"/>
  <c r="AD210" i="4"/>
  <c r="AF209" i="4"/>
  <c r="AD209" i="4"/>
  <c r="AF208" i="4"/>
  <c r="AD208" i="4"/>
  <c r="AF207" i="4"/>
  <c r="AD207" i="4"/>
  <c r="AF206" i="4"/>
  <c r="AD206" i="4"/>
  <c r="AF205" i="4"/>
  <c r="AD205" i="4"/>
  <c r="AF204" i="4"/>
  <c r="AD204" i="4"/>
  <c r="AF203" i="4"/>
  <c r="AD203" i="4"/>
  <c r="AF202" i="4"/>
  <c r="AD202" i="4"/>
  <c r="AF201" i="4"/>
  <c r="AD201" i="4"/>
  <c r="AF200" i="4"/>
  <c r="AD200" i="4"/>
  <c r="AF199" i="4"/>
  <c r="AD199" i="4"/>
  <c r="AF198" i="4"/>
  <c r="AD198" i="4"/>
  <c r="AF197" i="4"/>
  <c r="AD197" i="4"/>
  <c r="AF196" i="4"/>
  <c r="AD196" i="4"/>
  <c r="AF195" i="4"/>
  <c r="AD195" i="4"/>
  <c r="AF194" i="4"/>
  <c r="AD194" i="4"/>
  <c r="AF193" i="4"/>
  <c r="AD193" i="4"/>
  <c r="AF192" i="4"/>
  <c r="AD192" i="4"/>
  <c r="AF191" i="4"/>
  <c r="AD191" i="4"/>
  <c r="AF190" i="4"/>
  <c r="AD190" i="4"/>
  <c r="AF189" i="4"/>
  <c r="AD189" i="4"/>
  <c r="AF188" i="4"/>
  <c r="AD188" i="4"/>
  <c r="AF187" i="4"/>
  <c r="AD187" i="4"/>
  <c r="AF186" i="4"/>
  <c r="AD186" i="4"/>
  <c r="AF185" i="4"/>
  <c r="AD185" i="4"/>
  <c r="AF184" i="4"/>
  <c r="AD184" i="4"/>
  <c r="AF183" i="4"/>
  <c r="AD183" i="4"/>
  <c r="AF182" i="4"/>
  <c r="AD182" i="4"/>
  <c r="AF181" i="4"/>
  <c r="AD181" i="4"/>
  <c r="AF180" i="4"/>
  <c r="AD180" i="4"/>
  <c r="AF179" i="4"/>
  <c r="AD179" i="4"/>
  <c r="AF178" i="4"/>
  <c r="AD178" i="4"/>
  <c r="AF177" i="4"/>
  <c r="AD177" i="4"/>
  <c r="AF176" i="4"/>
  <c r="AD176" i="4"/>
  <c r="AF175" i="4"/>
  <c r="AD175" i="4"/>
  <c r="AF174" i="4"/>
  <c r="AD174" i="4"/>
  <c r="AF173" i="4"/>
  <c r="AD173" i="4"/>
  <c r="AF172" i="4"/>
  <c r="AD172" i="4"/>
  <c r="AF171" i="4"/>
  <c r="AD171" i="4"/>
  <c r="AF170" i="4"/>
  <c r="AD170" i="4"/>
  <c r="AF169" i="4"/>
  <c r="AD169" i="4"/>
  <c r="AF168" i="4"/>
  <c r="AD168" i="4"/>
  <c r="AF167" i="4"/>
  <c r="AD167" i="4"/>
  <c r="AF166" i="4"/>
  <c r="AD166" i="4"/>
  <c r="AF165" i="4"/>
  <c r="AD165" i="4"/>
  <c r="AF164" i="4"/>
  <c r="AD164" i="4"/>
  <c r="AF163" i="4"/>
  <c r="AD163" i="4"/>
  <c r="AF162" i="4"/>
  <c r="AD162" i="4"/>
  <c r="AF161" i="4"/>
  <c r="AD161" i="4"/>
  <c r="AF160" i="4"/>
  <c r="AD160" i="4"/>
  <c r="AF159" i="4"/>
  <c r="AD159" i="4"/>
  <c r="AF158" i="4"/>
  <c r="AD158" i="4"/>
  <c r="AF157" i="4"/>
  <c r="AD157" i="4"/>
  <c r="AF156" i="4"/>
  <c r="AD156" i="4"/>
  <c r="AF155" i="4"/>
  <c r="AD155" i="4"/>
  <c r="AF154" i="4"/>
  <c r="AD154" i="4"/>
  <c r="AF153" i="4"/>
  <c r="AD153" i="4"/>
  <c r="AF152" i="4"/>
  <c r="AD152" i="4"/>
  <c r="AF151" i="4"/>
  <c r="AD151" i="4"/>
  <c r="AF150" i="4"/>
  <c r="AD150" i="4"/>
  <c r="AF149" i="4"/>
  <c r="AD149" i="4"/>
  <c r="AF148" i="4"/>
  <c r="AD148" i="4"/>
  <c r="AF147" i="4"/>
  <c r="AD147" i="4"/>
  <c r="AF146" i="4"/>
  <c r="AD146" i="4"/>
  <c r="AF145" i="4"/>
  <c r="AD145" i="4"/>
  <c r="AF144" i="4"/>
  <c r="AD144" i="4"/>
  <c r="AF143" i="4"/>
  <c r="AD143" i="4"/>
  <c r="AF142" i="4"/>
  <c r="AD142" i="4"/>
  <c r="AF141" i="4"/>
  <c r="AD141" i="4"/>
  <c r="AF140" i="4"/>
  <c r="AD140" i="4"/>
  <c r="AF139" i="4"/>
  <c r="AD139" i="4"/>
  <c r="AF138" i="4"/>
  <c r="AD138" i="4"/>
  <c r="AF137" i="4"/>
  <c r="AD137" i="4"/>
  <c r="AF136" i="4"/>
  <c r="AD136" i="4"/>
  <c r="AF135" i="4"/>
  <c r="AD135" i="4"/>
  <c r="AF134" i="4"/>
  <c r="AD134" i="4"/>
  <c r="AF133" i="4"/>
  <c r="AD133" i="4"/>
  <c r="AF132" i="4"/>
  <c r="AD132" i="4"/>
  <c r="AF131" i="4"/>
  <c r="AD131" i="4"/>
  <c r="AF130" i="4"/>
  <c r="AD130" i="4"/>
  <c r="AF129" i="4"/>
  <c r="AD129" i="4"/>
  <c r="AF128" i="4"/>
  <c r="AD128" i="4"/>
  <c r="AF127" i="4"/>
  <c r="AD127" i="4"/>
  <c r="AF126" i="4"/>
  <c r="AD126" i="4"/>
  <c r="AF125" i="4"/>
  <c r="AD125" i="4"/>
  <c r="AF124" i="4"/>
  <c r="AD124" i="4"/>
  <c r="AF123" i="4"/>
  <c r="AD123" i="4"/>
  <c r="AF122" i="4"/>
  <c r="AD122" i="4"/>
  <c r="AF121" i="4"/>
  <c r="AD121" i="4"/>
  <c r="AF120" i="4"/>
  <c r="AD120" i="4"/>
  <c r="AF119" i="4"/>
  <c r="AD119" i="4"/>
  <c r="AF118" i="4"/>
  <c r="AD118" i="4"/>
  <c r="AF117" i="4"/>
  <c r="AD117" i="4"/>
  <c r="AF116" i="4"/>
  <c r="AD116" i="4"/>
  <c r="AF115" i="4"/>
  <c r="AD115" i="4"/>
  <c r="AF114" i="4"/>
  <c r="AD114" i="4"/>
  <c r="AF113" i="4"/>
  <c r="AD113" i="4"/>
  <c r="AF112" i="4"/>
  <c r="AD112" i="4"/>
  <c r="AF111" i="4"/>
  <c r="AD111" i="4"/>
  <c r="AF110" i="4"/>
  <c r="AD110" i="4"/>
  <c r="AF109" i="4"/>
  <c r="AD109" i="4"/>
  <c r="AF108" i="4"/>
  <c r="AD108" i="4"/>
  <c r="AF107" i="4"/>
  <c r="AD107" i="4"/>
  <c r="AF106" i="4"/>
  <c r="AD106" i="4"/>
  <c r="AF105" i="4"/>
  <c r="AD105" i="4"/>
  <c r="AF104" i="4"/>
  <c r="AD104" i="4"/>
  <c r="AF103" i="4"/>
  <c r="AD103" i="4"/>
  <c r="AF102" i="4"/>
  <c r="AD102" i="4"/>
  <c r="AF101" i="4"/>
  <c r="AD101" i="4"/>
  <c r="AF100" i="4"/>
  <c r="AD100" i="4"/>
  <c r="AF99" i="4"/>
  <c r="AD99" i="4"/>
  <c r="AF98" i="4"/>
  <c r="AD98" i="4"/>
  <c r="AF97" i="4"/>
  <c r="AD97" i="4"/>
  <c r="AF96" i="4"/>
  <c r="AD96" i="4"/>
  <c r="AF95" i="4"/>
  <c r="AD95" i="4"/>
  <c r="AF94" i="4"/>
  <c r="AD94" i="4"/>
  <c r="AF93" i="4"/>
  <c r="AD93" i="4"/>
  <c r="AF92" i="4"/>
  <c r="AD92" i="4"/>
  <c r="AF91" i="4"/>
  <c r="AD91" i="4"/>
  <c r="AF90" i="4"/>
  <c r="AD90" i="4"/>
  <c r="AF89" i="4"/>
  <c r="AD89" i="4"/>
  <c r="AF88" i="4"/>
  <c r="AD88" i="4"/>
  <c r="AF87" i="4"/>
  <c r="AD87" i="4"/>
  <c r="AF86" i="4"/>
  <c r="AD86" i="4"/>
  <c r="AF85" i="4"/>
  <c r="AD85" i="4"/>
  <c r="AF84" i="4"/>
  <c r="AD84" i="4"/>
  <c r="AF83" i="4"/>
  <c r="AD83" i="4"/>
  <c r="AF82" i="4"/>
  <c r="AD82" i="4"/>
  <c r="AF81" i="4"/>
  <c r="AD81" i="4"/>
  <c r="AF80" i="4"/>
  <c r="AD80" i="4"/>
  <c r="AF79" i="4"/>
  <c r="AD79" i="4"/>
  <c r="AF78" i="4"/>
  <c r="AD78" i="4"/>
  <c r="AF77" i="4"/>
  <c r="AD77" i="4"/>
  <c r="AF76" i="4"/>
  <c r="AD76" i="4"/>
  <c r="AF75" i="4"/>
  <c r="AD75" i="4"/>
  <c r="AF74" i="4"/>
  <c r="AD74" i="4"/>
  <c r="AF73" i="4"/>
  <c r="AD73" i="4"/>
  <c r="AF72" i="4"/>
  <c r="AD72" i="4"/>
  <c r="AF71" i="4"/>
  <c r="AD71" i="4"/>
  <c r="AF70" i="4"/>
  <c r="AD70" i="4"/>
  <c r="AF69" i="4"/>
  <c r="AD69" i="4"/>
  <c r="AF68" i="4"/>
  <c r="AD68" i="4"/>
  <c r="AF67" i="4"/>
  <c r="AD67" i="4"/>
  <c r="AF66" i="4"/>
  <c r="AD66" i="4"/>
  <c r="AF65" i="4"/>
  <c r="AD65" i="4"/>
  <c r="AF64" i="4"/>
  <c r="AD64" i="4"/>
  <c r="AF63" i="4"/>
  <c r="AD63" i="4"/>
  <c r="AF62" i="4"/>
  <c r="AD62" i="4"/>
  <c r="AF61" i="4"/>
  <c r="AD61" i="4"/>
  <c r="AF60" i="4"/>
  <c r="AD60" i="4"/>
  <c r="AF59" i="4"/>
  <c r="AD59" i="4"/>
  <c r="AF58" i="4"/>
  <c r="AD58" i="4"/>
  <c r="AF57" i="4"/>
  <c r="AD57" i="4"/>
  <c r="AF56" i="4"/>
  <c r="AD56" i="4"/>
  <c r="AF55" i="4"/>
  <c r="AD55" i="4"/>
  <c r="AF54" i="4"/>
  <c r="AD54" i="4"/>
  <c r="AF53" i="4"/>
  <c r="AD53" i="4"/>
  <c r="AF52" i="4"/>
  <c r="AD52" i="4"/>
  <c r="AF51" i="4"/>
  <c r="AD51" i="4"/>
  <c r="AF50" i="4"/>
  <c r="AD50" i="4"/>
  <c r="AF49" i="4"/>
  <c r="AD49" i="4"/>
  <c r="AF48" i="4"/>
  <c r="AD48" i="4"/>
  <c r="AF47" i="4"/>
  <c r="AD47" i="4"/>
  <c r="AF46" i="4"/>
  <c r="AD46" i="4"/>
  <c r="AF45" i="4"/>
  <c r="AD45" i="4"/>
  <c r="AF44" i="4"/>
  <c r="AD44" i="4"/>
  <c r="AF43" i="4"/>
  <c r="AD43" i="4"/>
  <c r="AF42" i="4"/>
  <c r="AD42" i="4"/>
  <c r="AF41" i="4"/>
  <c r="AD41" i="4"/>
  <c r="AF40" i="4"/>
  <c r="AD40" i="4"/>
  <c r="AF39" i="4"/>
  <c r="AD39" i="4"/>
  <c r="AF38" i="4"/>
  <c r="AD38" i="4"/>
  <c r="AF37" i="4"/>
  <c r="AD37" i="4"/>
  <c r="AF36" i="4"/>
  <c r="AD36" i="4"/>
  <c r="AF35" i="4"/>
  <c r="AD35" i="4"/>
  <c r="AF34" i="4"/>
  <c r="AD34" i="4"/>
  <c r="AF33" i="4"/>
  <c r="AD33" i="4"/>
  <c r="AF32" i="4"/>
  <c r="AD32" i="4"/>
  <c r="AF31" i="4"/>
  <c r="AD31" i="4"/>
  <c r="AF30" i="4"/>
  <c r="AD30" i="4"/>
  <c r="AF29" i="4"/>
  <c r="AD29" i="4"/>
  <c r="AF28" i="4"/>
  <c r="AD28" i="4"/>
  <c r="AF27" i="4"/>
  <c r="AD27" i="4"/>
  <c r="AF26" i="4"/>
  <c r="AD26" i="4"/>
  <c r="AF25" i="4"/>
  <c r="AD25" i="4"/>
  <c r="AF24" i="4"/>
  <c r="AD24" i="4"/>
  <c r="AF23" i="4"/>
  <c r="AD23" i="4"/>
  <c r="AF22" i="4"/>
  <c r="AD22" i="4"/>
  <c r="AF21" i="4"/>
  <c r="AD21" i="4"/>
  <c r="AF20" i="4"/>
  <c r="AD20" i="4"/>
  <c r="AF19" i="4"/>
  <c r="AD19" i="4"/>
  <c r="AF18" i="4"/>
  <c r="AD18" i="4"/>
  <c r="AF17" i="4"/>
  <c r="AD17" i="4"/>
  <c r="AF16" i="4"/>
  <c r="AD16" i="4"/>
  <c r="AF15" i="4"/>
  <c r="AD15" i="4"/>
  <c r="AF14" i="4"/>
  <c r="AD14" i="4"/>
  <c r="AF13" i="4"/>
  <c r="AD13" i="4"/>
  <c r="AF12" i="4"/>
  <c r="AD12" i="4"/>
  <c r="AF11" i="4"/>
  <c r="AD11" i="4"/>
  <c r="AF10" i="4"/>
  <c r="AD10" i="4"/>
  <c r="AF9" i="4"/>
  <c r="AD9" i="4"/>
  <c r="AF8" i="4"/>
  <c r="AD8" i="4"/>
  <c r="AF7" i="4"/>
  <c r="AD7" i="4"/>
  <c r="AF6" i="4"/>
  <c r="AD6" i="4"/>
  <c r="AF5" i="4"/>
  <c r="AD5" i="4"/>
  <c r="AF4" i="4"/>
  <c r="AD4" i="4"/>
  <c r="AF3" i="4"/>
  <c r="AD3" i="4"/>
  <c r="AF2" i="4"/>
  <c r="AD2" i="4"/>
  <c r="D45" i="2"/>
  <c r="D43" i="2"/>
  <c r="D42" i="2"/>
  <c r="D41" i="2"/>
  <c r="AE1044" i="1"/>
  <c r="AE1043" i="1"/>
  <c r="AE1042" i="1"/>
  <c r="AE1041" i="1"/>
  <c r="AE1040" i="1"/>
  <c r="AE1039" i="1"/>
  <c r="AE1038" i="1"/>
  <c r="AE1037" i="1"/>
  <c r="AE1036" i="1"/>
  <c r="AE1035" i="1"/>
  <c r="AE1034" i="1"/>
  <c r="AE1033" i="1"/>
  <c r="AE1032" i="1"/>
  <c r="AE1031" i="1"/>
  <c r="AE1030" i="1"/>
  <c r="AE1029" i="1"/>
  <c r="AE1028" i="1"/>
  <c r="AE1027" i="1"/>
  <c r="AE1026" i="1"/>
  <c r="AE1025" i="1"/>
  <c r="AE1024" i="1"/>
  <c r="AE1023" i="1"/>
  <c r="AE1022" i="1"/>
  <c r="AE1021" i="1"/>
  <c r="AE1020" i="1"/>
  <c r="AE1019" i="1"/>
  <c r="AE1018" i="1"/>
  <c r="AE1017" i="1"/>
  <c r="AE1016" i="1"/>
  <c r="AE1015" i="1"/>
  <c r="AE1014" i="1"/>
  <c r="AE1013" i="1"/>
  <c r="AE1012" i="1"/>
  <c r="AE1011" i="1"/>
  <c r="AE1010" i="1"/>
  <c r="AE1009" i="1"/>
  <c r="AE1008" i="1"/>
  <c r="AE1007" i="1"/>
  <c r="AE1006" i="1"/>
  <c r="AE1005" i="1"/>
  <c r="AE1004" i="1"/>
  <c r="AE1003" i="1"/>
  <c r="AE1002" i="1"/>
  <c r="AE1001" i="1"/>
  <c r="AE1000" i="1"/>
  <c r="AE999" i="1"/>
  <c r="AE998" i="1"/>
  <c r="AE997" i="1"/>
  <c r="AE996" i="1"/>
  <c r="AE995" i="1"/>
  <c r="AE994" i="1"/>
  <c r="AE993" i="1"/>
  <c r="AE992" i="1"/>
  <c r="AE991" i="1"/>
  <c r="AE990" i="1"/>
  <c r="AE989" i="1"/>
  <c r="AE988" i="1"/>
  <c r="AE987" i="1"/>
  <c r="AE986" i="1"/>
  <c r="AE985" i="1"/>
  <c r="AE984" i="1"/>
  <c r="AE983" i="1"/>
  <c r="AE982" i="1"/>
  <c r="AE981" i="1"/>
  <c r="AE980" i="1"/>
  <c r="AE979" i="1"/>
  <c r="AE978" i="1"/>
  <c r="AE977" i="1"/>
  <c r="AE976" i="1"/>
  <c r="AE975" i="1"/>
  <c r="AE974" i="1"/>
  <c r="AE973" i="1"/>
  <c r="AE972" i="1"/>
  <c r="AE971" i="1"/>
  <c r="AE970" i="1"/>
  <c r="AE969" i="1"/>
  <c r="AE968" i="1"/>
  <c r="AE967" i="1"/>
  <c r="AE966" i="1"/>
  <c r="AE965" i="1"/>
  <c r="AE964" i="1"/>
  <c r="AE963" i="1"/>
  <c r="AE962" i="1"/>
  <c r="AE961" i="1"/>
  <c r="AE960" i="1"/>
  <c r="AE959" i="1"/>
  <c r="AE958" i="1"/>
  <c r="AE957" i="1"/>
  <c r="AE956" i="1"/>
  <c r="AE955" i="1"/>
  <c r="AE954" i="1"/>
  <c r="AE953" i="1"/>
  <c r="AE952" i="1"/>
  <c r="AE951" i="1"/>
  <c r="AE950" i="1"/>
  <c r="AE949" i="1"/>
  <c r="AE948" i="1"/>
  <c r="AE947" i="1"/>
  <c r="AE946" i="1"/>
  <c r="AE945" i="1"/>
  <c r="AE944" i="1"/>
  <c r="AE943" i="1"/>
  <c r="AE942" i="1"/>
  <c r="AE941" i="1"/>
  <c r="AE940" i="1"/>
  <c r="AE939" i="1"/>
  <c r="AE938" i="1"/>
  <c r="AE937" i="1"/>
  <c r="AE936" i="1"/>
  <c r="AE935" i="1"/>
  <c r="AE934" i="1"/>
  <c r="AE933" i="1"/>
  <c r="AE932" i="1"/>
  <c r="AE931" i="1"/>
  <c r="AE930" i="1"/>
  <c r="AE929" i="1"/>
  <c r="AE928" i="1"/>
  <c r="AE927" i="1"/>
  <c r="AE926" i="1"/>
  <c r="AE925" i="1"/>
  <c r="AE924" i="1"/>
  <c r="AE923" i="1"/>
  <c r="AE922" i="1"/>
  <c r="AE921" i="1"/>
  <c r="AE920" i="1"/>
  <c r="AE919" i="1"/>
  <c r="AE918" i="1"/>
  <c r="AE917" i="1"/>
  <c r="AE916" i="1"/>
  <c r="AE915" i="1"/>
  <c r="AE914" i="1"/>
  <c r="AE913" i="1"/>
  <c r="AE912" i="1"/>
  <c r="AE911" i="1"/>
  <c r="AE910" i="1"/>
  <c r="AE909" i="1"/>
  <c r="AE908" i="1"/>
  <c r="AE907" i="1"/>
  <c r="AE906" i="1"/>
  <c r="AE905" i="1"/>
  <c r="AE904" i="1"/>
  <c r="AE903" i="1"/>
  <c r="AE902" i="1"/>
  <c r="AE901" i="1"/>
  <c r="AE900" i="1"/>
  <c r="AE899" i="1"/>
  <c r="AE898" i="1"/>
  <c r="AE897" i="1"/>
  <c r="AE896" i="1"/>
  <c r="AE895" i="1"/>
  <c r="AE894" i="1"/>
  <c r="AE893" i="1"/>
  <c r="AE892" i="1"/>
  <c r="AE891" i="1"/>
  <c r="AE890" i="1"/>
  <c r="AE889" i="1"/>
  <c r="AE888" i="1"/>
  <c r="AE887" i="1"/>
  <c r="AE886" i="1"/>
  <c r="AE885" i="1"/>
  <c r="AE884" i="1"/>
  <c r="AE883" i="1"/>
  <c r="AE882" i="1"/>
  <c r="AE881" i="1"/>
  <c r="AE880" i="1"/>
  <c r="AE879" i="1"/>
  <c r="AE878" i="1"/>
  <c r="AE877" i="1"/>
  <c r="AE876" i="1"/>
  <c r="AE875" i="1"/>
  <c r="AE874" i="1"/>
  <c r="AE873" i="1"/>
  <c r="AE872" i="1"/>
  <c r="AE871" i="1"/>
  <c r="AE870" i="1"/>
  <c r="AE869" i="1"/>
  <c r="AE868" i="1"/>
  <c r="AE867" i="1"/>
  <c r="AE866" i="1"/>
  <c r="AE865" i="1"/>
  <c r="AE864" i="1"/>
  <c r="AE863" i="1"/>
  <c r="AE862" i="1"/>
  <c r="AE861" i="1"/>
  <c r="AE860" i="1"/>
  <c r="AE859" i="1"/>
  <c r="AE858" i="1"/>
  <c r="AE857" i="1"/>
  <c r="AE856" i="1"/>
  <c r="AE855" i="1"/>
  <c r="AE854" i="1"/>
  <c r="AE853" i="1"/>
  <c r="AE852" i="1"/>
  <c r="AE851" i="1"/>
  <c r="AE850" i="1"/>
  <c r="AE849" i="1"/>
  <c r="AE848" i="1"/>
  <c r="AE847" i="1"/>
  <c r="AE846" i="1"/>
  <c r="AE845" i="1"/>
  <c r="AE844" i="1"/>
  <c r="AE843" i="1"/>
  <c r="AE842" i="1"/>
  <c r="AE841" i="1"/>
  <c r="AE840" i="1"/>
  <c r="AE839" i="1"/>
  <c r="AE838" i="1"/>
  <c r="AE837" i="1"/>
  <c r="AE836" i="1"/>
  <c r="AE835" i="1"/>
  <c r="AE834" i="1"/>
  <c r="AE833" i="1"/>
  <c r="AE832" i="1"/>
  <c r="AE831" i="1"/>
  <c r="AE830" i="1"/>
  <c r="AE829" i="1"/>
  <c r="AE828" i="1"/>
  <c r="AE827" i="1"/>
  <c r="AE826" i="1"/>
  <c r="AE825" i="1"/>
  <c r="AE824" i="1"/>
  <c r="AE823" i="1"/>
  <c r="AE822" i="1"/>
  <c r="AE821" i="1"/>
  <c r="AE820" i="1"/>
  <c r="AE819" i="1"/>
  <c r="AE818" i="1"/>
  <c r="AE817" i="1"/>
  <c r="AE816" i="1"/>
  <c r="AE815" i="1"/>
  <c r="AE814" i="1"/>
  <c r="AE813" i="1"/>
  <c r="AE812" i="1"/>
  <c r="AE811" i="1"/>
  <c r="AE810" i="1"/>
  <c r="AE809" i="1"/>
  <c r="AE808" i="1"/>
  <c r="AE807" i="1"/>
  <c r="AE806" i="1"/>
  <c r="AE805" i="1"/>
  <c r="AE804" i="1"/>
  <c r="AE803" i="1"/>
  <c r="AE802" i="1"/>
  <c r="AE801" i="1"/>
  <c r="AE800" i="1"/>
  <c r="AE799" i="1"/>
  <c r="AE798" i="1"/>
  <c r="AE797" i="1"/>
  <c r="AE796" i="1"/>
  <c r="AE795" i="1"/>
  <c r="AE794" i="1"/>
  <c r="AE793" i="1"/>
  <c r="AE792" i="1"/>
  <c r="AE791" i="1"/>
  <c r="AE790" i="1"/>
  <c r="AE789" i="1"/>
  <c r="AE788" i="1"/>
  <c r="AE787" i="1"/>
  <c r="AE786" i="1"/>
  <c r="AE785" i="1"/>
  <c r="AE784" i="1"/>
  <c r="AE783" i="1"/>
  <c r="AE782" i="1"/>
  <c r="AE781" i="1"/>
  <c r="AE780" i="1"/>
  <c r="AE779" i="1"/>
  <c r="AE778" i="1"/>
  <c r="AE777" i="1"/>
  <c r="AE776" i="1"/>
  <c r="AE775" i="1"/>
  <c r="AE774" i="1"/>
  <c r="AE773" i="1"/>
  <c r="AE772" i="1"/>
  <c r="AE771" i="1"/>
  <c r="AE770" i="1"/>
  <c r="AE769" i="1"/>
  <c r="AE768" i="1"/>
  <c r="AE767" i="1"/>
  <c r="AE766" i="1"/>
  <c r="AE765" i="1"/>
  <c r="AE764" i="1"/>
  <c r="AE763" i="1"/>
  <c r="AE762" i="1"/>
  <c r="AE761" i="1"/>
  <c r="AE760" i="1"/>
  <c r="AE759" i="1"/>
  <c r="AE758" i="1"/>
  <c r="AE757" i="1"/>
  <c r="AE756" i="1"/>
  <c r="AE755" i="1"/>
  <c r="AE754" i="1"/>
  <c r="AE753" i="1"/>
  <c r="AE752" i="1"/>
  <c r="AE751" i="1"/>
  <c r="AE750" i="1"/>
  <c r="AE749" i="1"/>
  <c r="AE748" i="1"/>
  <c r="AE747" i="1"/>
  <c r="AE746" i="1"/>
  <c r="AE745" i="1"/>
  <c r="AE744" i="1"/>
  <c r="AE743" i="1"/>
  <c r="AE742" i="1"/>
  <c r="AE741" i="1"/>
  <c r="AE740" i="1"/>
  <c r="AE739" i="1"/>
  <c r="AE738" i="1"/>
  <c r="AE737" i="1"/>
  <c r="AE736" i="1"/>
  <c r="AE735" i="1"/>
  <c r="AE734" i="1"/>
  <c r="AE733" i="1"/>
  <c r="AE732" i="1"/>
  <c r="AE731" i="1"/>
  <c r="AE730" i="1"/>
  <c r="AE729" i="1"/>
  <c r="AE728" i="1"/>
  <c r="AE727" i="1"/>
  <c r="AE726" i="1"/>
  <c r="AE725" i="1"/>
  <c r="AE724" i="1"/>
  <c r="AE723" i="1"/>
  <c r="AE722" i="1"/>
  <c r="AE721" i="1"/>
  <c r="AE720" i="1"/>
  <c r="AE719" i="1"/>
  <c r="AE718" i="1"/>
  <c r="AE717" i="1"/>
  <c r="AE716" i="1"/>
  <c r="AE715" i="1"/>
  <c r="AE714" i="1"/>
  <c r="AE713" i="1"/>
  <c r="AE712" i="1"/>
  <c r="AE711" i="1"/>
  <c r="AE710" i="1"/>
  <c r="AE709" i="1"/>
  <c r="AE708" i="1"/>
  <c r="AE707" i="1"/>
  <c r="AE706" i="1"/>
  <c r="AE705" i="1"/>
  <c r="AE704" i="1"/>
  <c r="AE703" i="1"/>
  <c r="AE702" i="1"/>
  <c r="AE701" i="1"/>
  <c r="AE700" i="1"/>
  <c r="AE699" i="1"/>
  <c r="AE698" i="1"/>
  <c r="AE697" i="1"/>
  <c r="AE696" i="1"/>
  <c r="AE695" i="1"/>
  <c r="AE694" i="1"/>
  <c r="AE693" i="1"/>
  <c r="AE692" i="1"/>
  <c r="AE691" i="1"/>
  <c r="AE690" i="1"/>
  <c r="AE689" i="1"/>
  <c r="AE688" i="1"/>
  <c r="AE687" i="1"/>
  <c r="AE686" i="1"/>
  <c r="AE685" i="1"/>
  <c r="AE684" i="1"/>
  <c r="AE683" i="1"/>
  <c r="AE682" i="1"/>
  <c r="AE681" i="1"/>
  <c r="AE680" i="1"/>
  <c r="AE679" i="1"/>
  <c r="AE678" i="1"/>
  <c r="AE677" i="1"/>
  <c r="AE676" i="1"/>
  <c r="AE675" i="1"/>
  <c r="AE674" i="1"/>
  <c r="AE673" i="1"/>
  <c r="AE672" i="1"/>
  <c r="AE671" i="1"/>
  <c r="AE670" i="1"/>
  <c r="AE669" i="1"/>
  <c r="AE668" i="1"/>
  <c r="AE667" i="1"/>
  <c r="AE666" i="1"/>
  <c r="AE665" i="1"/>
  <c r="AE664" i="1"/>
  <c r="AE663" i="1"/>
  <c r="AE662" i="1"/>
  <c r="AE661" i="1"/>
  <c r="AE660" i="1"/>
  <c r="AE659" i="1"/>
  <c r="AE658" i="1"/>
  <c r="AE657" i="1"/>
  <c r="AE656" i="1"/>
  <c r="AE655" i="1"/>
  <c r="AE654" i="1"/>
  <c r="AE653" i="1"/>
  <c r="AE652" i="1"/>
  <c r="AE651" i="1"/>
  <c r="AE650" i="1"/>
  <c r="AE649" i="1"/>
  <c r="AE648" i="1"/>
  <c r="AE647" i="1"/>
  <c r="AE646" i="1"/>
  <c r="AE645" i="1"/>
  <c r="AE644" i="1"/>
  <c r="AE643" i="1"/>
  <c r="AE642" i="1"/>
  <c r="AE641" i="1"/>
  <c r="AE640" i="1"/>
  <c r="AE639" i="1"/>
  <c r="AE638" i="1"/>
  <c r="AE637" i="1"/>
  <c r="AE636" i="1"/>
  <c r="AE635" i="1"/>
  <c r="AE634" i="1"/>
  <c r="AE633" i="1"/>
  <c r="AE632" i="1"/>
  <c r="AE631" i="1"/>
  <c r="AE630" i="1"/>
  <c r="AE629" i="1"/>
  <c r="AE628" i="1"/>
  <c r="AE627" i="1"/>
  <c r="AE626" i="1"/>
  <c r="AE625" i="1"/>
  <c r="AE624" i="1"/>
  <c r="AE623" i="1"/>
  <c r="AE622" i="1"/>
  <c r="AE621" i="1"/>
  <c r="AE620" i="1"/>
  <c r="AE619" i="1"/>
  <c r="AE618" i="1"/>
  <c r="AE617" i="1"/>
  <c r="AE616" i="1"/>
  <c r="AE615" i="1"/>
  <c r="AE614" i="1"/>
  <c r="AE613" i="1"/>
  <c r="AE612" i="1"/>
  <c r="AE611" i="1"/>
  <c r="AE610" i="1"/>
  <c r="AE609" i="1"/>
  <c r="AE608" i="1"/>
  <c r="AE607" i="1"/>
  <c r="AE606" i="1"/>
  <c r="AE605" i="1"/>
  <c r="AE604" i="1"/>
  <c r="AE603" i="1"/>
  <c r="AE602" i="1"/>
  <c r="AE601" i="1"/>
  <c r="AE600" i="1"/>
  <c r="AE599" i="1"/>
  <c r="AE598" i="1"/>
  <c r="AE597" i="1"/>
  <c r="AE596" i="1"/>
  <c r="AE595" i="1"/>
  <c r="AE594" i="1"/>
  <c r="AE593" i="1"/>
  <c r="AE592" i="1"/>
  <c r="AE591" i="1"/>
  <c r="AE590" i="1"/>
  <c r="AE589" i="1"/>
  <c r="AE588" i="1"/>
  <c r="AE587" i="1"/>
  <c r="AE586" i="1"/>
  <c r="AE585" i="1"/>
  <c r="AE584" i="1"/>
  <c r="AE583" i="1"/>
  <c r="AE582" i="1"/>
  <c r="AE581" i="1"/>
  <c r="AE580" i="1"/>
  <c r="AE579" i="1"/>
  <c r="AE578" i="1"/>
  <c r="AE577" i="1"/>
  <c r="AE576" i="1"/>
  <c r="AE575" i="1"/>
  <c r="AE574" i="1"/>
  <c r="AE573" i="1"/>
  <c r="AE572" i="1"/>
  <c r="AE571" i="1"/>
  <c r="AE570" i="1"/>
  <c r="AE569" i="1"/>
  <c r="AE568" i="1"/>
  <c r="AE567" i="1"/>
  <c r="AE566" i="1"/>
  <c r="AE565" i="1"/>
  <c r="AE564" i="1"/>
  <c r="AE563" i="1"/>
  <c r="AE562" i="1"/>
  <c r="AE561" i="1"/>
  <c r="AE560" i="1"/>
  <c r="AE559" i="1"/>
  <c r="AE558" i="1"/>
  <c r="AE557" i="1"/>
  <c r="AE556" i="1"/>
  <c r="AE555" i="1"/>
  <c r="AE554" i="1"/>
  <c r="AE553" i="1"/>
  <c r="AE552" i="1"/>
  <c r="AE551" i="1"/>
  <c r="AE550" i="1"/>
  <c r="AE549" i="1"/>
  <c r="AE548" i="1"/>
  <c r="AE547" i="1"/>
  <c r="AE546" i="1"/>
  <c r="AE545" i="1"/>
  <c r="AE544" i="1"/>
  <c r="AE543" i="1"/>
  <c r="AE542" i="1"/>
  <c r="AE541" i="1"/>
  <c r="AE540" i="1"/>
  <c r="AE539" i="1"/>
  <c r="AE538" i="1"/>
  <c r="AE537" i="1"/>
  <c r="AE536" i="1"/>
  <c r="AE535" i="1"/>
  <c r="AE534" i="1"/>
  <c r="AE533" i="1"/>
  <c r="AE532" i="1"/>
  <c r="AE531" i="1"/>
  <c r="AE530" i="1"/>
  <c r="AE529" i="1"/>
  <c r="AE528" i="1"/>
  <c r="AE527" i="1"/>
  <c r="AE526" i="1"/>
  <c r="AE525" i="1"/>
  <c r="AE524" i="1"/>
  <c r="AE523" i="1"/>
  <c r="AE522" i="1"/>
  <c r="AE521" i="1"/>
  <c r="AE520" i="1"/>
  <c r="AE519" i="1"/>
  <c r="AE518" i="1"/>
  <c r="AE517" i="1"/>
  <c r="AE516" i="1"/>
  <c r="AE515" i="1"/>
  <c r="AE514" i="1"/>
  <c r="AE513" i="1"/>
  <c r="AE512" i="1"/>
  <c r="AE511" i="1"/>
  <c r="AE510" i="1"/>
  <c r="AE509" i="1"/>
  <c r="AE508" i="1"/>
  <c r="AE507" i="1"/>
  <c r="AE506" i="1"/>
  <c r="AE505" i="1"/>
  <c r="AE504" i="1"/>
  <c r="AE503" i="1"/>
  <c r="AE502" i="1"/>
  <c r="AE501" i="1"/>
  <c r="AE500" i="1"/>
  <c r="AE499" i="1"/>
  <c r="AE498" i="1"/>
  <c r="AE497" i="1"/>
  <c r="AE496" i="1"/>
  <c r="AE495" i="1"/>
  <c r="AE494" i="1"/>
  <c r="AE493" i="1"/>
  <c r="AE492" i="1"/>
  <c r="AE491" i="1"/>
  <c r="AE490" i="1"/>
  <c r="AE489" i="1"/>
  <c r="AE488" i="1"/>
  <c r="AE487" i="1"/>
  <c r="AE486" i="1"/>
  <c r="AE485" i="1"/>
  <c r="AE484" i="1"/>
  <c r="AE483" i="1"/>
  <c r="AE482" i="1"/>
  <c r="AE481" i="1"/>
  <c r="AE480" i="1"/>
  <c r="AE479" i="1"/>
  <c r="AE478" i="1"/>
  <c r="AE477" i="1"/>
  <c r="AE476" i="1"/>
  <c r="AE475" i="1"/>
  <c r="AE474" i="1"/>
  <c r="AE473" i="1"/>
  <c r="AE472" i="1"/>
  <c r="AE471" i="1"/>
  <c r="AE470" i="1"/>
  <c r="AE469" i="1"/>
  <c r="AE468" i="1"/>
  <c r="AE467" i="1"/>
  <c r="AE466" i="1"/>
  <c r="AE465" i="1"/>
  <c r="AE464" i="1"/>
  <c r="AE463" i="1"/>
  <c r="AE462" i="1"/>
  <c r="AE461" i="1"/>
  <c r="AE460" i="1"/>
  <c r="AE459" i="1"/>
  <c r="AE458" i="1"/>
  <c r="AE457" i="1"/>
  <c r="AE456" i="1"/>
  <c r="AE455" i="1"/>
  <c r="AE454" i="1"/>
  <c r="AE453" i="1"/>
  <c r="AE452" i="1"/>
  <c r="AE451" i="1"/>
  <c r="AE450" i="1"/>
  <c r="AE449" i="1"/>
  <c r="AE448" i="1"/>
  <c r="AE447" i="1"/>
  <c r="AE446" i="1"/>
  <c r="AE445" i="1"/>
  <c r="AE444" i="1"/>
  <c r="AE443" i="1"/>
  <c r="AE442" i="1"/>
  <c r="AE441" i="1"/>
  <c r="AE440" i="1"/>
  <c r="AE439" i="1"/>
  <c r="AE438" i="1"/>
  <c r="AE437" i="1"/>
  <c r="AE436" i="1"/>
  <c r="AE435" i="1"/>
  <c r="AE434" i="1"/>
  <c r="AE433" i="1"/>
  <c r="AE432" i="1"/>
  <c r="AE431" i="1"/>
  <c r="AE430" i="1"/>
  <c r="AE429" i="1"/>
  <c r="AE428" i="1"/>
  <c r="AE427" i="1"/>
  <c r="AE426" i="1"/>
  <c r="AE425" i="1"/>
  <c r="AE424" i="1"/>
  <c r="AE423" i="1"/>
  <c r="AE422" i="1"/>
  <c r="AE421" i="1"/>
  <c r="AE420" i="1"/>
  <c r="AE419" i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06" i="1"/>
  <c r="AE405" i="1"/>
  <c r="AE404" i="1"/>
  <c r="AE403" i="1"/>
  <c r="AE402" i="1"/>
  <c r="AE401" i="1"/>
  <c r="AE400" i="1"/>
  <c r="AE399" i="1"/>
  <c r="AE398" i="1"/>
  <c r="AE397" i="1"/>
  <c r="AE396" i="1"/>
  <c r="AE395" i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81" i="1"/>
  <c r="AE380" i="1"/>
  <c r="AE379" i="1"/>
  <c r="AE378" i="1"/>
  <c r="AE377" i="1"/>
  <c r="AE376" i="1"/>
  <c r="AE375" i="1"/>
  <c r="AE374" i="1"/>
  <c r="AE373" i="1"/>
  <c r="AE372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AE282" i="1"/>
  <c r="AE281" i="1"/>
  <c r="AE280" i="1"/>
  <c r="AE279" i="1"/>
  <c r="AE278" i="1"/>
  <c r="AE277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  <c r="AM6" i="2"/>
  <c r="AM5" i="2"/>
  <c r="AM4" i="2"/>
  <c r="AH8" i="2"/>
  <c r="AH7" i="2"/>
  <c r="AH6" i="2"/>
  <c r="AH5" i="2"/>
  <c r="AH4" i="2"/>
  <c r="AC8" i="2"/>
  <c r="AC7" i="2"/>
  <c r="AC6" i="2"/>
  <c r="AC5" i="2"/>
  <c r="AC4" i="2"/>
  <c r="X11" i="2"/>
  <c r="X10" i="2"/>
  <c r="X9" i="2"/>
  <c r="X8" i="2"/>
  <c r="X7" i="2"/>
  <c r="X6" i="2"/>
  <c r="X5" i="2"/>
  <c r="X4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4" i="2"/>
  <c r="I5" i="2"/>
  <c r="I6" i="2"/>
  <c r="I7" i="2"/>
  <c r="I8" i="2"/>
  <c r="AC1044" i="1"/>
  <c r="AC1043" i="1"/>
  <c r="AC1042" i="1"/>
  <c r="AC1041" i="1"/>
  <c r="AC1040" i="1"/>
  <c r="AC1039" i="1"/>
  <c r="AC1038" i="1"/>
  <c r="AC1037" i="1"/>
  <c r="AC1036" i="1"/>
  <c r="AC1035" i="1"/>
  <c r="AC1034" i="1"/>
  <c r="AC1033" i="1"/>
  <c r="AC1032" i="1"/>
  <c r="AC1031" i="1"/>
  <c r="AC1030" i="1"/>
  <c r="AC1029" i="1"/>
  <c r="AC1028" i="1"/>
  <c r="AC1027" i="1"/>
  <c r="AC1026" i="1"/>
  <c r="AC1025" i="1"/>
  <c r="AC1024" i="1"/>
  <c r="AC1023" i="1"/>
  <c r="AC1022" i="1"/>
  <c r="AC1021" i="1"/>
  <c r="AC1020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5" i="1"/>
  <c r="AC1004" i="1"/>
  <c r="AC1003" i="1"/>
  <c r="AC1002" i="1"/>
  <c r="AC1001" i="1"/>
  <c r="AC1000" i="1"/>
  <c r="AC999" i="1"/>
  <c r="AC998" i="1"/>
  <c r="AC997" i="1"/>
  <c r="AC996" i="1"/>
  <c r="AC995" i="1"/>
  <c r="AC994" i="1"/>
  <c r="AC993" i="1"/>
  <c r="AC992" i="1"/>
  <c r="AC991" i="1"/>
  <c r="AC990" i="1"/>
  <c r="AC989" i="1"/>
  <c r="AC988" i="1"/>
  <c r="AC987" i="1"/>
  <c r="AC986" i="1"/>
  <c r="AC985" i="1"/>
  <c r="AC984" i="1"/>
  <c r="AC983" i="1"/>
  <c r="AC982" i="1"/>
  <c r="AC981" i="1"/>
  <c r="AC980" i="1"/>
  <c r="AC979" i="1"/>
  <c r="AC978" i="1"/>
  <c r="AC977" i="1"/>
  <c r="AC976" i="1"/>
  <c r="AC975" i="1"/>
  <c r="AC974" i="1"/>
  <c r="AC973" i="1"/>
  <c r="AC972" i="1"/>
  <c r="AC971" i="1"/>
  <c r="AC970" i="1"/>
  <c r="AC969" i="1"/>
  <c r="AC968" i="1"/>
  <c r="AC967" i="1"/>
  <c r="AC966" i="1"/>
  <c r="AC965" i="1"/>
  <c r="AC964" i="1"/>
  <c r="AC963" i="1"/>
  <c r="AC962" i="1"/>
  <c r="AC961" i="1"/>
  <c r="AC960" i="1"/>
  <c r="AC959" i="1"/>
  <c r="AC958" i="1"/>
  <c r="AC957" i="1"/>
  <c r="AC956" i="1"/>
  <c r="AC955" i="1"/>
  <c r="AC954" i="1"/>
  <c r="AC953" i="1"/>
  <c r="AC952" i="1"/>
  <c r="AC951" i="1"/>
  <c r="AC950" i="1"/>
  <c r="AC949" i="1"/>
  <c r="AC948" i="1"/>
  <c r="AC947" i="1"/>
  <c r="AC946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AC933" i="1"/>
  <c r="AC932" i="1"/>
  <c r="AC931" i="1"/>
  <c r="AC930" i="1"/>
  <c r="AC929" i="1"/>
  <c r="AC928" i="1"/>
  <c r="AC927" i="1"/>
  <c r="AC926" i="1"/>
  <c r="AC925" i="1"/>
  <c r="AC924" i="1"/>
  <c r="AC923" i="1"/>
  <c r="AC922" i="1"/>
  <c r="AC921" i="1"/>
  <c r="AC920" i="1"/>
  <c r="AC919" i="1"/>
  <c r="AC918" i="1"/>
  <c r="AC917" i="1"/>
  <c r="AC916" i="1"/>
  <c r="AC915" i="1"/>
  <c r="AC914" i="1"/>
  <c r="AC913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90" i="1"/>
  <c r="AC889" i="1"/>
  <c r="AC888" i="1"/>
  <c r="AC887" i="1"/>
  <c r="AC886" i="1"/>
  <c r="AC885" i="1"/>
  <c r="AC884" i="1"/>
  <c r="AC883" i="1"/>
  <c r="AC882" i="1"/>
  <c r="AC881" i="1"/>
  <c r="AC880" i="1"/>
  <c r="AC879" i="1"/>
  <c r="AC878" i="1"/>
  <c r="AC877" i="1"/>
  <c r="AC876" i="1"/>
  <c r="AC875" i="1"/>
  <c r="AC874" i="1"/>
  <c r="AC873" i="1"/>
  <c r="AC872" i="1"/>
  <c r="AC871" i="1"/>
  <c r="AC870" i="1"/>
  <c r="AC869" i="1"/>
  <c r="AC868" i="1"/>
  <c r="AC867" i="1"/>
  <c r="AC866" i="1"/>
  <c r="AC865" i="1"/>
  <c r="AC864" i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4" i="2"/>
</calcChain>
</file>

<file path=xl/sharedStrings.xml><?xml version="1.0" encoding="utf-8"?>
<sst xmlns="http://schemas.openxmlformats.org/spreadsheetml/2006/main" count="39233" uniqueCount="1122">
  <si>
    <t>Campaign Status</t>
  </si>
  <si>
    <t>ID</t>
  </si>
  <si>
    <t>Campaign Name</t>
  </si>
  <si>
    <t>Content Rating</t>
  </si>
  <si>
    <t>Dimensions</t>
  </si>
  <si>
    <t>Ad Format</t>
  </si>
  <si>
    <t>Exchange</t>
  </si>
  <si>
    <t>Device</t>
  </si>
  <si>
    <t>Targeting</t>
  </si>
  <si>
    <t>Active Ads</t>
  </si>
  <si>
    <t>Paused Ads</t>
  </si>
  <si>
    <t>Unlimited Budget</t>
  </si>
  <si>
    <t>Custom Budget</t>
  </si>
  <si>
    <t>Impressions</t>
  </si>
  <si>
    <t>Clicks</t>
  </si>
  <si>
    <t>CTR</t>
  </si>
  <si>
    <t>Conversion</t>
  </si>
  <si>
    <t>Cost</t>
  </si>
  <si>
    <t>eCPM</t>
  </si>
  <si>
    <t>eCPC</t>
  </si>
  <si>
    <t>eCPA</t>
  </si>
  <si>
    <t>Tracker</t>
  </si>
  <si>
    <t>Rules</t>
  </si>
  <si>
    <t>Autopilot</t>
  </si>
  <si>
    <t>Plays</t>
  </si>
  <si>
    <t>Skips</t>
  </si>
  <si>
    <t>Finishes</t>
  </si>
  <si>
    <t>Group</t>
  </si>
  <si>
    <t>Labels</t>
  </si>
  <si>
    <t>RUNNING</t>
  </si>
  <si>
    <t>CPA - AI - Video-IS - Desktop - USA</t>
  </si>
  <si>
    <t>nsfw</t>
  </si>
  <si>
    <t>In-Stream Video</t>
  </si>
  <si>
    <t>TJX</t>
  </si>
  <si>
    <t>desktop</t>
  </si>
  <si>
    <t>GEO,Frequency,BrowserLanguage,Segment</t>
  </si>
  <si>
    <t>Yes</t>
  </si>
  <si>
    <t>Unlimited</t>
  </si>
  <si>
    <t>AI</t>
  </si>
  <si>
    <t>PAUSED</t>
  </si>
  <si>
    <t>CPA - AI - Video-IS - Android - USA - BROKEN</t>
  </si>
  <si>
    <t>mobile</t>
  </si>
  <si>
    <t>GEO,Frequency,OS,BrowserLanguage,Segment</t>
  </si>
  <si>
    <t>Bin</t>
  </si>
  <si>
    <t>CPA - AI - Video-IS - iOS - USA - BROKEN</t>
  </si>
  <si>
    <t>CPA - AI - Video-IS - Desktop - Aus</t>
  </si>
  <si>
    <t>CPA - AI - Video-IS - iOS - Aus</t>
  </si>
  <si>
    <t>CPA - AI - Video-IS - excl. iOS - Aus</t>
  </si>
  <si>
    <t>CPA - AI - Video-IS - Desktop - Canada</t>
  </si>
  <si>
    <t>CPA - AI - Video-IS - iOS - Canada</t>
  </si>
  <si>
    <t>CPA - AI - Video-IS - excl. iOS - Canada</t>
  </si>
  <si>
    <t>CPA - AI - Video-IS - Desktop - UK</t>
  </si>
  <si>
    <t>CPA - AI - Video-IS - iOS - UK</t>
  </si>
  <si>
    <t>CPA - AI - Video-IS - excl. iOS - UK</t>
  </si>
  <si>
    <t>CPA - AI - Video-IS - excl. iOS - Norway</t>
  </si>
  <si>
    <t>CPA - AI - Video-IS - iOS - Norway</t>
  </si>
  <si>
    <t>CPA - AI - Video-IS - Desktop - Norway</t>
  </si>
  <si>
    <t>CPA - Trans - Video-IS - Android - USA</t>
  </si>
  <si>
    <t>GEO,Frequency,OS,BrowserLanguage</t>
  </si>
  <si>
    <t>CPA - Shorties - Android - USA</t>
  </si>
  <si>
    <t>Shorties</t>
  </si>
  <si>
    <t>CPA - VR - Video-IS - Android - USA</t>
  </si>
  <si>
    <t>GEO,Frequency,Keyword,OS,BrowserLanguage</t>
  </si>
  <si>
    <t>No</t>
  </si>
  <si>
    <t>CPA - Furry - Video-IS - Android - USA - BROKEN</t>
  </si>
  <si>
    <t>CPA - Cosplay - Video-IS - Android - USA</t>
  </si>
  <si>
    <t>CPA - Massage - Video-IS - Android - USA</t>
  </si>
  <si>
    <t>CPA - JOI - Video-IS - Android - USA</t>
  </si>
  <si>
    <t>CPA - Japanese - Video-IS - Android - USA</t>
  </si>
  <si>
    <t>CPA - AI - Video-IS - Desktop - Mexico</t>
  </si>
  <si>
    <t>CPA - AI - Video-IS - iOS - Mexico</t>
  </si>
  <si>
    <t>CPA - AI - Video-IS - excl. iOS - Mexico</t>
  </si>
  <si>
    <t>CPA - AI - Video-IS - excl. iOS - Italy</t>
  </si>
  <si>
    <t>CPA - AI - Video-IS - iOS - Italy</t>
  </si>
  <si>
    <t>CPA - AI - Video-IS - Desktop - Italy</t>
  </si>
  <si>
    <t>CPA - AI - Video-IS - Desktop - Japan</t>
  </si>
  <si>
    <t>CPA - AI - Video-IS - iOS - Japan</t>
  </si>
  <si>
    <t>CPA - AI - Video-IS - Android - Japan</t>
  </si>
  <si>
    <t>CPA - AI - Shorties - Android - USA</t>
  </si>
  <si>
    <t>CPA - AI - Shorties - iOS - USA</t>
  </si>
  <si>
    <t>CPA - AI - Shorties - iOS - Aus</t>
  </si>
  <si>
    <t>CPA - AI - Shorties - Android - Aus</t>
  </si>
  <si>
    <t>CPA - JOI - Video-IS - iOS - USA</t>
  </si>
  <si>
    <t>CPA - JOI - Video-IS - Desktop - USA - BROKEN</t>
  </si>
  <si>
    <t>GEO,Frequency,Keyword,BrowserLanguage</t>
  </si>
  <si>
    <t>CPA - JOI - Video-IS - Android - Aus</t>
  </si>
  <si>
    <t>CPA - JOI - Video-IS - iOS - Aus</t>
  </si>
  <si>
    <t>CPA - JOI - Video-IS - Desktop - Aus</t>
  </si>
  <si>
    <t>CPA - JOI - Video-IS - Desktop - UK</t>
  </si>
  <si>
    <t>CPA - JOI - Video-IS - iOS - UK</t>
  </si>
  <si>
    <t>CPA - JOI - Video-IS - Android - UK</t>
  </si>
  <si>
    <t>CPA - JOI - Video-IS - Desktop - Canada</t>
  </si>
  <si>
    <t>CPA - JOI - Video-IS - iOS - Canada</t>
  </si>
  <si>
    <t>CPA - JOI - Video-IS - Android - Canada - BROKEN</t>
  </si>
  <si>
    <t>CPA - Furry - Video-IS - iOS - USA</t>
  </si>
  <si>
    <t>CPA - Furry - Video-IS - Desktop - USA</t>
  </si>
  <si>
    <t>Furry</t>
  </si>
  <si>
    <t>CPA - Furry - Video-IS - Desktop - Canada</t>
  </si>
  <si>
    <t>CPA - Furry - Video-IS - iOS - Canada - BROKEN</t>
  </si>
  <si>
    <t>CPA - Furry - Video-IS - Android - Canada</t>
  </si>
  <si>
    <t>CPAa - Furry - Video-IS - Desktop - Aus</t>
  </si>
  <si>
    <t>CPA - Furry - Video-IS - iOS - Aus</t>
  </si>
  <si>
    <t>CPA - Furry - Video-IS - Android - Aus</t>
  </si>
  <si>
    <t>CPA - Furry - Video-IS - Desktop - UK</t>
  </si>
  <si>
    <t>CPA - Furry - Video-IS - iOS - UK</t>
  </si>
  <si>
    <t>CPA - Furry - Video-IS - Android - UK</t>
  </si>
  <si>
    <t>CPA - VTuber - Video-IS - iOS - USA</t>
  </si>
  <si>
    <t>CPA - Compilation - Video-IS - iOS - USA</t>
  </si>
  <si>
    <t>CPA - Cuck - Video-IS - iOS - USA</t>
  </si>
  <si>
    <t>CPA - Gaming - Video-IS - iOS - USA</t>
  </si>
  <si>
    <t>CPA - POV - Video-IS - iOS - USA</t>
  </si>
  <si>
    <t>CPA - Romantic - Video-IS - iOS - USA</t>
  </si>
  <si>
    <t>CPA - Roleplay - Video-IS - iOS - USA</t>
  </si>
  <si>
    <t>CPAa - Fantasy - Video-IS - iOS - USA</t>
  </si>
  <si>
    <t>CPA - Webcam - Video-IS - iOS - USA</t>
  </si>
  <si>
    <t>CPA - Gameshow - Video-IS - iOS - USA</t>
  </si>
  <si>
    <t>CPA - Jav - Video-IS - iOS - USA</t>
  </si>
  <si>
    <t>CPA - Casting - Video-IS - iOS - USA</t>
  </si>
  <si>
    <t>CPA - FinDom - Video-IS - iOS - USA</t>
  </si>
  <si>
    <t>Archive</t>
  </si>
  <si>
    <t>CPA - Webcams - Video-IS - iOS - USA</t>
  </si>
  <si>
    <t>CPA - OF - Video-IS - iOS - USA</t>
  </si>
  <si>
    <t>CPA - Trans - Video-IS - iOS - USA</t>
  </si>
  <si>
    <t>CPA - Trans - Video-IS - Desktop - USA</t>
  </si>
  <si>
    <t>GEO,Frequency,BrowserLanguage</t>
  </si>
  <si>
    <t>CPA - Trans - Video-IS - Android - Aus</t>
  </si>
  <si>
    <t>CPA - Trans - Video-IS - iOS - Aus</t>
  </si>
  <si>
    <t>CPA - Trans - Video-IS - Android - Canada</t>
  </si>
  <si>
    <t>CPA - Trans - Video-IS - iOS - Canada</t>
  </si>
  <si>
    <t>CPA - Trans - Video-IS - Desktop - Aus</t>
  </si>
  <si>
    <t>CPA - Trans - Video-IS - Desktop - UK</t>
  </si>
  <si>
    <t>CPA - Trans - Video-IS - Desktop - Canada</t>
  </si>
  <si>
    <t>CPA - Trans - Video-IS - iOS - UK</t>
  </si>
  <si>
    <t>CPA - Trans - Video-IS - Android - UK</t>
  </si>
  <si>
    <t>CPA - Fantasy - Video-IS - Android - USA</t>
  </si>
  <si>
    <t>CPA - Fantasy - Video-IS - Desktop - USA</t>
  </si>
  <si>
    <t>CPA - Fantasy - Video-IS - iOS - Aus</t>
  </si>
  <si>
    <t>CPA - Fantasy - Video-IS - Android - Aus</t>
  </si>
  <si>
    <t>CPA - Fantasy - Video-IS - Desktop - Aus</t>
  </si>
  <si>
    <t>CPA - Fantasy - Video-IS - iOS - UK</t>
  </si>
  <si>
    <t>CPA - Fantasy - Video-IS - Android - UK</t>
  </si>
  <si>
    <t>CPA - Fantasy - Video-IS - Desktop - UK</t>
  </si>
  <si>
    <t>CPA - Fantasy - Video-IS - Desktop - Canada</t>
  </si>
  <si>
    <t>CPA - Fantasy - Video-IS - Android - Canada</t>
  </si>
  <si>
    <t>CPA - Fantasy - Video-IS - iOS - Canada</t>
  </si>
  <si>
    <t>CPA - Cosplay - Video-IS - iOS - USA</t>
  </si>
  <si>
    <t>CPA - Cosplay - Video-IS - Desktop - USA</t>
  </si>
  <si>
    <t>CPA - Cosplay - Video-IS - Android - Aus</t>
  </si>
  <si>
    <t>CPA - Cosplay - Video-IS - iOS - Aus</t>
  </si>
  <si>
    <t>CPA - Cosplay - Video-IS - Desktop - Aus</t>
  </si>
  <si>
    <t>CPA - Cosplay - Video-IS - Desktop - Canada</t>
  </si>
  <si>
    <t>CPA - Cosplay - Video-IS - iOS - Canada</t>
  </si>
  <si>
    <t>CPA - Cosplay - Video-IS - Android - Canada</t>
  </si>
  <si>
    <t>CPAa - Cosplay - Video-IS - Android - UK</t>
  </si>
  <si>
    <t>CPA - Cosplay - Video-IS - iOS - UK</t>
  </si>
  <si>
    <t>CPA - Cosplay - Video-IS - Desktop - UK</t>
  </si>
  <si>
    <t>CPA - FinDom - Video-IS - Android - USA</t>
  </si>
  <si>
    <t>CPA - FinDom - Video-IS - Desktop - USA</t>
  </si>
  <si>
    <t>FinDom</t>
  </si>
  <si>
    <t>CPA - FinDom - Video-IS - iOS - Aus</t>
  </si>
  <si>
    <t>CPA - FinDom - Video-IS - excl. iOS - Aus</t>
  </si>
  <si>
    <t>CPA - FinDom - Video-IS - Desktop - Aus</t>
  </si>
  <si>
    <t>CPA - FinDom - Video-IS - Desktop - Canada</t>
  </si>
  <si>
    <t>CPA - FinDom - Video-IS - Android - Canada</t>
  </si>
  <si>
    <t>CPA - FinDom - Video-IS - iOS - Canada</t>
  </si>
  <si>
    <t>CPAa - FinDom - Video-IS - iOS - UK</t>
  </si>
  <si>
    <t>CPA - FinDom - Video-IS - Android - UK</t>
  </si>
  <si>
    <t>CPA - FinDom - Video-IS - Desktop - UK</t>
  </si>
  <si>
    <t>CPA - VTuber - Video-IS - Android - USA</t>
  </si>
  <si>
    <t>CPA - Vtuber - Video-IS - Desktop - USA</t>
  </si>
  <si>
    <t>CPA - Vtuber - Video-IS - Desktop - Aus</t>
  </si>
  <si>
    <t>CPA - VTuber - Video-IS - excl. iOS - Aus</t>
  </si>
  <si>
    <t>Ocean</t>
  </si>
  <si>
    <t>CPA - VTuber - Video-IS - iOS - Aus</t>
  </si>
  <si>
    <t>CPA - VTuber - Video-IS - iOS - UK</t>
  </si>
  <si>
    <t>CPA - VTuber - Video-IS - Android - UK</t>
  </si>
  <si>
    <t>CPA - Vtuber - Video-IS - Desktop - UK</t>
  </si>
  <si>
    <t>CPA - Vtuber - Video-IS - Desktop - Canada</t>
  </si>
  <si>
    <t>CPA - VTuber - Video-IS - Android - Canada</t>
  </si>
  <si>
    <t>CPA - VTuber - Video-IS - iOS - Canada</t>
  </si>
  <si>
    <t>CPA2 - Hentai - Video-IS - iOS - USA - BROKEN</t>
  </si>
  <si>
    <t>CPA2 - Hentai - Video-IS - Android - USA</t>
  </si>
  <si>
    <t>CPA2 - Hentai - Video-IS - Desktop - US</t>
  </si>
  <si>
    <t>CPA2 - Hentai - Video-IS - iOS - Aus</t>
  </si>
  <si>
    <t>CPA2 - Hentai - Video-IS - Android - Aus - BROKEN</t>
  </si>
  <si>
    <t>CPA2 - Hentai - Video-IS - iOS - UK</t>
  </si>
  <si>
    <t>CPA2 - Hentai - Video-IS - Android - UK</t>
  </si>
  <si>
    <t>CPA2 - Hentai - Video-IS - Android - Canada</t>
  </si>
  <si>
    <t>CPA2 - Hentai - Video-IS - iOS - Canada - BROKEN</t>
  </si>
  <si>
    <t>CPA2 - Hentai - Video-IS - Desktop - Canada</t>
  </si>
  <si>
    <t>CPA2 - Hentai - Video-IS - Desktop - UK</t>
  </si>
  <si>
    <t>CPA2 - Hentai - Video-IS - Desktop - Aus</t>
  </si>
  <si>
    <t>CPA - Webcam - Video-IS - Android - USA</t>
  </si>
  <si>
    <t>CPA - Webcam - Video-IS - Desktop - USA</t>
  </si>
  <si>
    <t>CPA - Webcam - Video-IS - iOS - Aus</t>
  </si>
  <si>
    <t>CPA - Webcam - Video-IS - Android - Aus</t>
  </si>
  <si>
    <t>CPA - Webcam - Video-IS - Desktop - Aus</t>
  </si>
  <si>
    <t>CPA - Webcam - Video-IS - Desktop - Canada - BROKEN</t>
  </si>
  <si>
    <t>CPA - Webcam - Video-IS - Android - Canada</t>
  </si>
  <si>
    <t>CPA - Webcam - Video-IS - iOS - Canada</t>
  </si>
  <si>
    <t>CPA - Webcam - Video-IS - Desktop - UK</t>
  </si>
  <si>
    <t>CPA - Webcam - Video-IS - Android - UK</t>
  </si>
  <si>
    <t>CPA - Webcam - Video-IS - iOS - UK</t>
  </si>
  <si>
    <t>CPA - Cuck - Video-IS - Andriod - USA</t>
  </si>
  <si>
    <t>CPA - Romantic - Video-IS - Android - USA</t>
  </si>
  <si>
    <t>CPA - Shorties - iOS - USA</t>
  </si>
  <si>
    <t>GEO,Frequency,OS,Browser,BrowserLanguage</t>
  </si>
  <si>
    <t>CPA - Shorties - iOS - Aus</t>
  </si>
  <si>
    <t>CPA - Shorties - Android - Aus</t>
  </si>
  <si>
    <t>CPA - Shorties - Android - Canada</t>
  </si>
  <si>
    <t>CPA - Shorties - iOS - Canada</t>
  </si>
  <si>
    <t>CPA - Shorties - iOS - UK</t>
  </si>
  <si>
    <t>CPA - Shorties - Android - UK</t>
  </si>
  <si>
    <t>CPA - Casting - Video-IS - Android - USA</t>
  </si>
  <si>
    <t>CPA - Casting - Video-IS - Android - Aus</t>
  </si>
  <si>
    <t>CPA - Casting - Video-IS - iOS - Aus</t>
  </si>
  <si>
    <t>CPA - Casting - Video-IS - Android - UK</t>
  </si>
  <si>
    <t>CPA - Casting - Video-IS - iOS - UK</t>
  </si>
  <si>
    <t>CPA - Casting - Video-IS - Android - Canada</t>
  </si>
  <si>
    <t>CPA - Casting - Video-IS - iOS - Canada</t>
  </si>
  <si>
    <t>CPA - Humiliation - Video-IS - Mobile - USA</t>
  </si>
  <si>
    <t>CPA - Cheating - Video-IS - Mobile - USA</t>
  </si>
  <si>
    <t>CPA - StepMum - Video-IS - Mobile - USA</t>
  </si>
  <si>
    <t>CPA - StepDaughter - Video-IS - Mobile - USA</t>
  </si>
  <si>
    <t>CPA - StepSis - Video-IS - Mobile - USA</t>
  </si>
  <si>
    <t>CPA - SoloGirl - Video-IS - Mobile - USA</t>
  </si>
  <si>
    <t>CPA - SexDoll - Video-IS - Mobile - USA</t>
  </si>
  <si>
    <t>CPA - FreeUse - Video-IS - Mobile - USA</t>
  </si>
  <si>
    <t>CPA - DatingSim - Video-IS - Mobile - USA</t>
  </si>
  <si>
    <t>CPA - FuckingMachine - Video-IS - Mobile - USA</t>
  </si>
  <si>
    <t>CPA - Dildo - Video-IS - Mobile - USA</t>
  </si>
  <si>
    <t>CPA - MILF - Video-IS - Mobile - USA</t>
  </si>
  <si>
    <t>CPA - Voyeur - Video-IS - Mobile - USA</t>
  </si>
  <si>
    <t>CPA - OrgasmControl - Video-IS - Mobile - USA</t>
  </si>
  <si>
    <t>CPA - Mature - Video-IS - Mobile - USA</t>
  </si>
  <si>
    <t>CPA - Funny - Video-IS - Mobile - USA</t>
  </si>
  <si>
    <t>CPA - FemDom - Video-IS - Mobile - USA</t>
  </si>
  <si>
    <t>CPA - Exhibitionism - Video-IS - Mobile - USA</t>
  </si>
  <si>
    <t>CPA - Camgirl - Video-IS - Mobile - USA</t>
  </si>
  <si>
    <t>CPA - AdultGames - Video-IS - Mobile - USA</t>
  </si>
  <si>
    <t>CPA - GameStreaming - Video-IS - Mobile - USA</t>
  </si>
  <si>
    <t>CPA - VOD Hentai - Video-IS - Mobile - USA</t>
  </si>
  <si>
    <t>CPA - Clone - Video-IS - Mobile - USA</t>
  </si>
  <si>
    <t>CPA - Blonde - Video-IS - Mobile - USA - BROKEN</t>
  </si>
  <si>
    <t>CPA - Goth - Video-IS - Mobile - USA</t>
  </si>
  <si>
    <t>CPA - Hentai - NativeVideo - Mobile - USA</t>
  </si>
  <si>
    <t>640 x 360</t>
  </si>
  <si>
    <t>Display</t>
  </si>
  <si>
    <t>CPA - Gay - Mobile - USA - BROKEN</t>
  </si>
  <si>
    <t>CPA - Brunette - Video-IS - Mobile - USA</t>
  </si>
  <si>
    <t>CPA - Ebony - Video-IS - Mobile - USA</t>
  </si>
  <si>
    <t>CPA - Indian - Video-IS - Mobile - USA</t>
  </si>
  <si>
    <t>CPA - Red Head - Video-IS - Mobile - USA</t>
  </si>
  <si>
    <t>CPAa - Blowjob - Video-IS - Mobile - USA</t>
  </si>
  <si>
    <t>CPA - Blowjob - Video-IS - Mobile - USA</t>
  </si>
  <si>
    <t>GEO,Frequency,Keyword,OS,Browser,BrowserLanguage</t>
  </si>
  <si>
    <t>CPA - StepDaughter - Video-IS - Android - USA - BROKEN</t>
  </si>
  <si>
    <t>CPA - StepDaughter - Video-IS - Desktop - USA</t>
  </si>
  <si>
    <t>CPAa - StepDaughter - Video-IS - iOS - USA</t>
  </si>
  <si>
    <t>CPA - StepDaughter - Video-IS - Android - Aus</t>
  </si>
  <si>
    <t>CPA - StepDaughter - Video-IS - Desktop - Aus</t>
  </si>
  <si>
    <t>CPAa - StepDaughter - Video-IS - iOS - Aus</t>
  </si>
  <si>
    <t>CPA - StepDaughter - Video-IS - Android - Canada</t>
  </si>
  <si>
    <t>CPA - StepDaughter - Video-IS - Desktop - Canada</t>
  </si>
  <si>
    <t>CPA - StepDaughter - Video-IS - iOS - Canada - BROKEN</t>
  </si>
  <si>
    <t>CPA - StepDaughter - Video-IS - Android - UK</t>
  </si>
  <si>
    <t>CPAa - StepDaughter - Video-IS - iOS - UK</t>
  </si>
  <si>
    <t>CPA - StepDaughter - Video-IS - Desktop - UK</t>
  </si>
  <si>
    <t>CPA - SexDoll - Video-IS - iOS - USA</t>
  </si>
  <si>
    <t>CPA - SexDoll - Video-IS - excl. iOS - USA</t>
  </si>
  <si>
    <t>CPA - SexDoll - Video-IS - Desktop - USA</t>
  </si>
  <si>
    <t>CPA - SexDoll - Video-IS - iOS - Aus</t>
  </si>
  <si>
    <t>CPA - SexDoll - Video-IS - Android - Aus - BROKEN</t>
  </si>
  <si>
    <t>CPA - SexDoll - Video-IS - Desktop - Aus</t>
  </si>
  <si>
    <t>CPA - SexDoll - Video-IS - iOS - UK</t>
  </si>
  <si>
    <t>CPA - SexDoll - Video-IS - Desktop - UK</t>
  </si>
  <si>
    <t>CPA - SexDoll - Video-IS - Android - UK</t>
  </si>
  <si>
    <t>CPA - SexDoll - Video-IS - Android - Canada</t>
  </si>
  <si>
    <t>CPA - SexDoll - Video-IS - Desktop - Canada</t>
  </si>
  <si>
    <t>CPA - SexDoll - Video-IS - iOS - Canada - BROKEN</t>
  </si>
  <si>
    <t>CPA - Gay - iOS - Video-IS - USA</t>
  </si>
  <si>
    <t>CPA - Gay - Android - Video-IS - USA</t>
  </si>
  <si>
    <t>CPA - Gay - Desktop - Video-IS USA</t>
  </si>
  <si>
    <t>CPA - Gay - iOS - Video-IS - Aus</t>
  </si>
  <si>
    <t>CPA - Gay - Android - Video-IS - Aus</t>
  </si>
  <si>
    <t>CPA - Gay - Desktop - Video-IS - Aus</t>
  </si>
  <si>
    <t>CPA - Gay - Desktop - Video-IS - UK</t>
  </si>
  <si>
    <t>CPA - Gay - Android - Video-IS - UK</t>
  </si>
  <si>
    <t>CPA - Gay - iOS - Video-IS - UK</t>
  </si>
  <si>
    <t>CPA - Gay - iOS - Video-IS - Canada</t>
  </si>
  <si>
    <t>CPA - Gay - Android - Video-IS - Canada</t>
  </si>
  <si>
    <t>CPA - Gay - Desktop - Video-IS - Canada</t>
  </si>
  <si>
    <t>CPA - Blonde - Video-IS - Android - Canada</t>
  </si>
  <si>
    <t>CPA - Blonde - Video-IS - iOS - Canada</t>
  </si>
  <si>
    <t>CPA - Blonde - Video-IS - Desktop - Canada</t>
  </si>
  <si>
    <t>CPA - Blonde - Video-IS - Android - UK</t>
  </si>
  <si>
    <t>CPA - Blonde - Video-IS - Desktop - UK</t>
  </si>
  <si>
    <t>CPA - Blonde - Video-IS - iOS - UK</t>
  </si>
  <si>
    <t>CPAa - Blonde - Video-IS - iOS - Aus</t>
  </si>
  <si>
    <t>CPA - Blonde - Video-IS - Desktop - Aus</t>
  </si>
  <si>
    <t>CPA - Blonde - Video-IS - Android - Aus</t>
  </si>
  <si>
    <t>CPAa - Blonde - Video-IS - Android - USA - BROKEN</t>
  </si>
  <si>
    <t>CPA - Blonde - Video-IS - Desktop - USA</t>
  </si>
  <si>
    <t>Tests</t>
  </si>
  <si>
    <t>CPAa - Blonde - Video-IS - iOS - USA</t>
  </si>
  <si>
    <t>CPA - Blowjob - Video-IS - iOS - USA</t>
  </si>
  <si>
    <t>CPA - Blowjob - Video-IS - Desktop - USA</t>
  </si>
  <si>
    <t>CPAa - Blowjob - Video-IS - Android - USA - BROKEN</t>
  </si>
  <si>
    <t>CPA - Blowjob - Video-IS - iOS - Aus</t>
  </si>
  <si>
    <t>CPA - Blowjob - Video-IS - Desktop - Aus - BROKEN</t>
  </si>
  <si>
    <t>CPA - Blowjob - Video-IS - Android - Aus</t>
  </si>
  <si>
    <t>CPA - Blowjob - Video-IS - iOS - UK</t>
  </si>
  <si>
    <t>CPA - Blowjob - Video-IS - Desktop - UK</t>
  </si>
  <si>
    <t>CPA - Blowjob - Video-IS - Android - UK</t>
  </si>
  <si>
    <t>CPA - Blowjob - Video-IS - Android - Canada</t>
  </si>
  <si>
    <t>CPA - Blowjob - Video-IS - Desktop - Canada - BROKEN</t>
  </si>
  <si>
    <t>CPA - Blowjob - Video-IS - iOS - Canada</t>
  </si>
  <si>
    <t>CPA - MILF - Video-IS - iOS - Canada</t>
  </si>
  <si>
    <t>CPA - MILF - Video-IS - Desktop - Canada</t>
  </si>
  <si>
    <t>CPA - MILF - Video-IS - Android - Canada</t>
  </si>
  <si>
    <t>CPA - MILF - Video-IS - iOS - UK</t>
  </si>
  <si>
    <t>CPA - MILF - Video-IS - Desktop - UK</t>
  </si>
  <si>
    <t>CPA - MILF - Video-IS - Android - UK - BROKEN</t>
  </si>
  <si>
    <t>CPA - MILF - Video-IS - Android - Aus</t>
  </si>
  <si>
    <t>CPA - MILF - Video-IS - Desktop - Aus</t>
  </si>
  <si>
    <t>CPA - MILF - Video-IS - iOS - Aus</t>
  </si>
  <si>
    <t>CPA - MILF - Video-IS - iOS - USA</t>
  </si>
  <si>
    <t>CPA - MILF - Video-IS - Desktop - USA - BROKEN</t>
  </si>
  <si>
    <t>CPAa - MILF - Video-IS - Android - USA</t>
  </si>
  <si>
    <t>CPA - Missionary - Video-IS - Mobile - USA - BROKEN</t>
  </si>
  <si>
    <t>CPA - Cowgirl - Video-IS - Mobile - USA - BROKEN</t>
  </si>
  <si>
    <t>CPA - Cumshot - Video-IS - Mobile - USA</t>
  </si>
  <si>
    <t>CPA - Titjob - Video-IS - Mobile - USA</t>
  </si>
  <si>
    <t>CPAa - Cowgirl - Video-IS - iOS - USA</t>
  </si>
  <si>
    <t>CPA - Cowgirl - Video-IS - Android - USA - BROKEN</t>
  </si>
  <si>
    <t>CPA - Cowgirl - Video-IS - Desktop - USA - BROKEN</t>
  </si>
  <si>
    <t>CPA - Cowgirl - Video-IS - iOS - Aus</t>
  </si>
  <si>
    <t>CPA - Cowgirl - Video-IS - Android - Aus</t>
  </si>
  <si>
    <t>CPA - Cowgirl - Video-IS - Desktop - Aus - BROKEN</t>
  </si>
  <si>
    <t>CPA - Cowgirl - Video-IS - iOS - UK</t>
  </si>
  <si>
    <t>CPA - Cowgirl - Video-IS - Android - UK</t>
  </si>
  <si>
    <t>CPA - Cowgirl - Video-IS - Desktop - UK</t>
  </si>
  <si>
    <t>CPA - Cowgirl - Video-IS - iOS - Canada</t>
  </si>
  <si>
    <t>CPA - Cowgirl - Video-IS - excl. iOS - Canada</t>
  </si>
  <si>
    <t>CPA - Cowgirl - Video-IS - Desktop - Canada</t>
  </si>
  <si>
    <t>CPAa - Missionary - Video-IS - iOS - USA - BROKEN</t>
  </si>
  <si>
    <t>CPAa - Missionary - Video-IS - Android - USA - BROKEN</t>
  </si>
  <si>
    <t>CPA - Missionary - Video-IS - Desktop - USA</t>
  </si>
  <si>
    <t>Missionary</t>
  </si>
  <si>
    <t>CPA - Missionary - Video-IS - iOS - Aus</t>
  </si>
  <si>
    <t>CPA - Missionary - Video-IS - Android - Aus</t>
  </si>
  <si>
    <t>CPA - Missionary - Video-IS - Desktop - Aus</t>
  </si>
  <si>
    <t>CPA - Missionary - Video-IS - iOS - UK</t>
  </si>
  <si>
    <t>CPA - Missionary - Video-IS - Android - UK</t>
  </si>
  <si>
    <t>CPA - Missionary - Video-IS - Desktop - UK</t>
  </si>
  <si>
    <t>CPA - Missionary - Video-IS - iOS - Canada</t>
  </si>
  <si>
    <t>CPA - Missionary - Video-IS - excl. iOS - Canada</t>
  </si>
  <si>
    <t>CPA - Missionary - Video-IS - Desktop - Canada - BROKEN</t>
  </si>
  <si>
    <t>CPA - Femdom - Video-IS - Desktop - USA</t>
  </si>
  <si>
    <t>CPA - Femdom - Video-IS - iOS - USA</t>
  </si>
  <si>
    <t>CPA - Femdom - Video-IS - excl. iOS - USA</t>
  </si>
  <si>
    <t>CPA - Femdom - Video-IS - Desktop - Aus</t>
  </si>
  <si>
    <t>CPA - Femdom - Video-IS - iOS - Aus</t>
  </si>
  <si>
    <t>CPA - Femdom - Video-IS - excl. iOS - Aus</t>
  </si>
  <si>
    <t>CPA - Femdom - Video-IS - Android - UK</t>
  </si>
  <si>
    <t>CPA - Femdom - Video-IS - Desktop - UK</t>
  </si>
  <si>
    <t>CPAa - Femdom - Video-IS - iOS - UK</t>
  </si>
  <si>
    <t>CPA - Femdom - Video-IS - Android - Canada</t>
  </si>
  <si>
    <t>CPA - Femdom - Video-IS - Desktop - Canada</t>
  </si>
  <si>
    <t>CPA - Femdom - Video-IS - iOS - Canada</t>
  </si>
  <si>
    <t>CPA - AI Alt - Video-IS - Mobile - USA</t>
  </si>
  <si>
    <t>CPA - Tattoo - Video-IS - Mobile - USA</t>
  </si>
  <si>
    <t>CPA - Handjob - Video-IS - Mobile - USA</t>
  </si>
  <si>
    <t>CPA - Ass - Video-IS - Mobile - USA</t>
  </si>
  <si>
    <t>CPA - Lingerie - Video-IS - Mobile - USA</t>
  </si>
  <si>
    <t>CPA - TransV2 - Video-IS - Mobile - USA</t>
  </si>
  <si>
    <t>CPA - POV - Video-IS - Mobile - USA</t>
  </si>
  <si>
    <t>CPA - JOI - Video-IS - Mobile - USA - BROKEN</t>
  </si>
  <si>
    <t>CPA - FaceFuck - Video-IS - Mobile - USA</t>
  </si>
  <si>
    <t>CPAa - Threesome - Video-IS - Mobile - USA - BROKEN</t>
  </si>
  <si>
    <t>CPA - Gangbang - Video-IS - Mobile - USA</t>
  </si>
  <si>
    <t>CPA - Anal - Video-IS - Mobile - USA</t>
  </si>
  <si>
    <t>CPA - Gangbang - Video-IS - iOS - USA</t>
  </si>
  <si>
    <t>CPA - Gangbang - Video-IS - Desktop - USA</t>
  </si>
  <si>
    <t>CPAa - Gangbang - Video-IS - iOS - USA</t>
  </si>
  <si>
    <t>(clone) CPA - Gangbang - Video-IS - iOS - USA</t>
  </si>
  <si>
    <t>CPA - Gangbang - Video-IS - Android - USA</t>
  </si>
  <si>
    <t>CPA - Gangbang - Video-IS - Android - Aus</t>
  </si>
  <si>
    <t>CPA - Gangbang - Video-IS - Desktop - Aus</t>
  </si>
  <si>
    <t>CPA - Gangbang - Video-IS - iOS - Aus</t>
  </si>
  <si>
    <t>CPA - Gangbang - Video-IS - iOS - Canada</t>
  </si>
  <si>
    <t>CPA - Gangbang - Video-IS - Desktop - Canada</t>
  </si>
  <si>
    <t>CPA - Gangbang - Video-IS - Android - Canada</t>
  </si>
  <si>
    <t>CPA - Gangbang - Video-IS - Android - UK</t>
  </si>
  <si>
    <t>CPAa - Gangbang - Video-IS - Desktop - UK</t>
  </si>
  <si>
    <t>CPA - Gangbang - Video-IS - iOS - UK</t>
  </si>
  <si>
    <t>CPA - Threesome - Video-IS - iOS - UK</t>
  </si>
  <si>
    <t>CPA - Threesome - Video-IS - Desktop - UK</t>
  </si>
  <si>
    <t>CPA - Threesome - Video-IS - Android - UK</t>
  </si>
  <si>
    <t>CPA - Threesome - Video-IS - Android - USA</t>
  </si>
  <si>
    <t>CPA - Threesome - Video-IS - Desktop - USA</t>
  </si>
  <si>
    <t>Threesome</t>
  </si>
  <si>
    <t>CPA - Threesome - Video-IS - iOS - USA</t>
  </si>
  <si>
    <t>CPA - Threesome - Video-IS - Android - Aus</t>
  </si>
  <si>
    <t>CPA - Threesome - Video-IS - Desktop - Aus</t>
  </si>
  <si>
    <t>CPA - Threesome - Video-IS - iOS - Aus</t>
  </si>
  <si>
    <t>CPA - Threesome - Video-IS - iOS - Canada</t>
  </si>
  <si>
    <t>CPA - Threesome - Video-IS - Desktop - Canada</t>
  </si>
  <si>
    <t>CPA - Threesome - Video-IS - Android - Canada</t>
  </si>
  <si>
    <t>CPA - Handjob - Video-IS - Android - USA</t>
  </si>
  <si>
    <t>CPA - Handjob - Video-IS - Desktop - USA - BROKEN</t>
  </si>
  <si>
    <t>CPA - Handjob - Video-IS - iOS - USA</t>
  </si>
  <si>
    <t>CPA - Handjob - Video-IS - iOS - Aus</t>
  </si>
  <si>
    <t>CPA - Handjob - Video-IS - Desktop - Aus</t>
  </si>
  <si>
    <t>CPAa - Handjob - Video-IS - Android - Aus</t>
  </si>
  <si>
    <t>CPAa - Handjob - Video-IS - Android - UK</t>
  </si>
  <si>
    <t>CPA - Handjob - Video-IS - Desktop - UK</t>
  </si>
  <si>
    <t>CPA - Handjob - Video-IS - iOS - UK</t>
  </si>
  <si>
    <t>CPA - Handjob - Video-IS - iOS - Canada</t>
  </si>
  <si>
    <t>CPA - Handjob - Video-IS - Desktop - Canada</t>
  </si>
  <si>
    <t>CPA - Handjob - Video-IS - Android - Canada</t>
  </si>
  <si>
    <t>CPA - TransV2 - Video-IS - Android - Canada - BROKEN</t>
  </si>
  <si>
    <t>CPA - TransV2 - Video-IS - Desktop - Canada</t>
  </si>
  <si>
    <t>TransV2</t>
  </si>
  <si>
    <t>CPA - TransV2 - Video-IS - iOS - Canada</t>
  </si>
  <si>
    <t>CPA - TransV2 - Video-IS - iOS - UK</t>
  </si>
  <si>
    <t>CPA - TransV2 - Video-IS - Desktop - UK</t>
  </si>
  <si>
    <t>CPA - TransV2 - Video-IS - Android - UK</t>
  </si>
  <si>
    <t>CPA - TransV2 - Video-IS - Android - Aus</t>
  </si>
  <si>
    <t>CPA - TransV2 - Video-IS - Desktop - Aus - BROKEN</t>
  </si>
  <si>
    <t>CPA - TransV2 - Video-IS - iOS - Aus</t>
  </si>
  <si>
    <t>CPA - TransV2 - Video-IS - iOS - USA</t>
  </si>
  <si>
    <t>CPA - TransV2 - Video-IS - Desktop - USA</t>
  </si>
  <si>
    <t>CPA - TransV2 - Video-IS - Android - USA</t>
  </si>
  <si>
    <t>CPA - Teen - Video-IS - Mobile - USA</t>
  </si>
  <si>
    <t>CPA - Amateur - Video-IS - Mobile - USA</t>
  </si>
  <si>
    <t>CPA - Festival - Video-IS - Mobile - USA</t>
  </si>
  <si>
    <t>CPA - Cam - Video-IS - Mobile - USA</t>
  </si>
  <si>
    <t>CPA - Curvy - Video-IS - Mobile - USA</t>
  </si>
  <si>
    <t>CPA - Busty - Video-IS - Mobile - USA</t>
  </si>
  <si>
    <t>CPA - Doctor - Video-IS - Mobile - USA</t>
  </si>
  <si>
    <t>CPA - Nurse - Video-IS - Mobile - USA</t>
  </si>
  <si>
    <t>CPA - Police - Video-IS - Mobile - USA</t>
  </si>
  <si>
    <t>CPA - Solider - Video-IS - Mobile - USA</t>
  </si>
  <si>
    <t>CPA - Uniform - Video-IS - Mobile - USA</t>
  </si>
  <si>
    <t>CPA - Tutor - Video-IS - Mobile - USA</t>
  </si>
  <si>
    <t>CPA - Teacher - Video-IS - Mobile - USA</t>
  </si>
  <si>
    <t>CPA - Overwatch - Video-IS - Mobile - USA</t>
  </si>
  <si>
    <t>CPA - LoL - Video-IS - Mobile - USA</t>
  </si>
  <si>
    <t>CPA - Fortnight - Video-IS - Mobile - USA</t>
  </si>
  <si>
    <t>CPA - rule34 - Video-IS - Mobile - USA</t>
  </si>
  <si>
    <t>CPA - pokemon - Video-IS - Mobile - USA</t>
  </si>
  <si>
    <t>CPA - Frieren - Video-IS - Mobile - USA</t>
  </si>
  <si>
    <t>CPA - One Piece - Video-IS - Mobile - USA</t>
  </si>
  <si>
    <t>CPA - Demon Slayer - Video-IS - Mobile - USA</t>
  </si>
  <si>
    <t>CPA - Yoga - Video-IS - Mobile - USA</t>
  </si>
  <si>
    <t>CPA - TanLines - Video-IS - Mobile - USA</t>
  </si>
  <si>
    <t>CPA - Athlete - Video-IS - Mobile - USA</t>
  </si>
  <si>
    <t>CPA - Stuck - Video-IS - Mobile - USA</t>
  </si>
  <si>
    <t>CPA - Korean - Video-IS - Mobile - USA</t>
  </si>
  <si>
    <t>CPA - Chinese - Video-IS - Mobile - USA</t>
  </si>
  <si>
    <t>CPA - Pegging - Video-IS - Mobile - USA</t>
  </si>
  <si>
    <t>CPA - BBC - Video-IS - Mobile - USA</t>
  </si>
  <si>
    <t>CPA - Bikini - Video-IS - Mobile - USA</t>
  </si>
  <si>
    <t>CPA - Stocking/Socks - Video-IS - Mobile - USA</t>
  </si>
  <si>
    <t>CPA - Cuck - Video-IS - Mobile - USA</t>
  </si>
  <si>
    <t>CPA - Female POV - Video-IS - Mobile - USA</t>
  </si>
  <si>
    <t>CPA - Braista - Video-IS - Mobile - USA</t>
  </si>
  <si>
    <t>CPA - Wedding - Video-IS - Mobile - USA</t>
  </si>
  <si>
    <t>CPA - AI Porn - Video-IS - Mobile - USA</t>
  </si>
  <si>
    <t>CPA - Orgy - Video-IS - Mobile - USA</t>
  </si>
  <si>
    <t>CPA - Bathroom - Video-IS - Mobile - USA</t>
  </si>
  <si>
    <t>CPA - Shower - Video-IS - Mobile - USA</t>
  </si>
  <si>
    <t>CPA - Office - Video-IS - Mobile - USA</t>
  </si>
  <si>
    <t>CPA - Wife - Video-IS - Mobile - USA</t>
  </si>
  <si>
    <t>CPA - Bukkake - Video-IS - Mobile - USA</t>
  </si>
  <si>
    <t>CPA - Big Dick - Video-IS - Mobile - USA</t>
  </si>
  <si>
    <t>CPA - French - Video-IS - Mobile - USA</t>
  </si>
  <si>
    <t>CPA - Fetish - Video-IS - Mobile - USA</t>
  </si>
  <si>
    <t>CPA - Genshin Impact - Video-IS - Mobile - USA</t>
  </si>
  <si>
    <t>CPA - Minecraft - Video-IS - Mobile - USA</t>
  </si>
  <si>
    <t>CPA - Resident Evil - Video-IS - Mobile - USA</t>
  </si>
  <si>
    <t>CPA - Valorant - Video-IS - Mobile - USA</t>
  </si>
  <si>
    <t>CPA - Marvel - Video-IS - iOS - USA</t>
  </si>
  <si>
    <t>Marvel</t>
  </si>
  <si>
    <t>CPA - Chun Li - Video-IS - Mobile - USA</t>
  </si>
  <si>
    <t>CPA - Lara Croft - Video-IS - Mobile - USA</t>
  </si>
  <si>
    <t>CPA - Creampie - Video-IS - Mobile - USA - BROKEN</t>
  </si>
  <si>
    <t>CPA - Tifa - Video-IS - Mobile - USA</t>
  </si>
  <si>
    <t>CPA - DVA - Video-IS - Mobile - USA</t>
  </si>
  <si>
    <t>CPA - VideoGameChars - Video-IS - Mobile - USA</t>
  </si>
  <si>
    <t>CPA - Slime - Video-IS - Mobile - USA</t>
  </si>
  <si>
    <t>CPA - Monster Girls - Video-IS - Mobile - USA</t>
  </si>
  <si>
    <t>CPA - Cuck - Video-IS - Android - USA</t>
  </si>
  <si>
    <t>CPA - Cuck - Video-IS - Desktop- USA</t>
  </si>
  <si>
    <t>CPA - Cuck - Video-IS - Desktop- Aus</t>
  </si>
  <si>
    <t>CPA - Cuck - Video-IS - Android - Aus</t>
  </si>
  <si>
    <t>CPA - Cuck - Video-IS - iOS - Aus</t>
  </si>
  <si>
    <t>CPA - Cuck - Video-IS - iOS - Canada</t>
  </si>
  <si>
    <t>CPA - Cuck - Video-IS - Android - Canada</t>
  </si>
  <si>
    <t>CPA - Cuck - Video-IS - Desktop - Canada</t>
  </si>
  <si>
    <t>CPA - Cuck - Video-IS - Desktop - UK</t>
  </si>
  <si>
    <t>CPA - Cuck - Video-IS - Android - UK</t>
  </si>
  <si>
    <t>CPA - Cuck - Video-IS - iOS - UK</t>
  </si>
  <si>
    <t>CPA - Cuck - Video-IS - iOS - NZ</t>
  </si>
  <si>
    <t>CPA - Cuck - Video-IS - Android - NZ</t>
  </si>
  <si>
    <t>CPA - Cuck - Video-IS - Desktop - NZ</t>
  </si>
  <si>
    <t>CPA - Marvel - Video-IS - excl. iOS - USA</t>
  </si>
  <si>
    <t>CPA - Marvel - Video-IS - Desktop - USA</t>
  </si>
  <si>
    <t>CPA - Marvel - Video-IS - Desktop - Aus</t>
  </si>
  <si>
    <t>CPA - Marvel - Video-IS - iOS - Aus</t>
  </si>
  <si>
    <t>CPA - Marvel - Video-IS - excl. iOS - Aus</t>
  </si>
  <si>
    <t>CPA - Marvel - Video-IS - Android - Canada</t>
  </si>
  <si>
    <t>CPA - Marvel - Video-IS - iOS - Canada</t>
  </si>
  <si>
    <t>CPA - Marvel - Video-IS - Desktop - Canada</t>
  </si>
  <si>
    <t>CPA - Marvel - Video-IS - Desktop - UK</t>
  </si>
  <si>
    <t>CPA - Marvel - Video-IS - iOS - UK</t>
  </si>
  <si>
    <t>CPA - Marvel - Video-IS - Android - UK</t>
  </si>
  <si>
    <t>CPA - Marvel - Video-IS - Android - NZ</t>
  </si>
  <si>
    <t>CPA - Marvel - Video-IS - iOS - NZ</t>
  </si>
  <si>
    <t>CPA - Marvel - Video-IS - Desktop - NZ</t>
  </si>
  <si>
    <t>CPA - Bukkake - Video-IS - Desktop - NZ</t>
  </si>
  <si>
    <t>CPA - Bukkake - Video-IS - iOS - NZ</t>
  </si>
  <si>
    <t>CPA - Bukkake - Video-IS - excl. iOS - NZ</t>
  </si>
  <si>
    <t>CPA - Bukkake - Video-IS - excl. iOS - USA</t>
  </si>
  <si>
    <t>CPA - Bukkake - Video-IS - iOS - USA</t>
  </si>
  <si>
    <t>CPA - Bukkake - Video-IS - Desktop - USA</t>
  </si>
  <si>
    <t>CPA - Bukkake - Video-IS - Desktop - Aus</t>
  </si>
  <si>
    <t>CPA - Bukkake - Video-IS - iOS - Aus</t>
  </si>
  <si>
    <t>CPA - Bukkake - Video-IS - Android - Aus</t>
  </si>
  <si>
    <t>CPA - Bukkake - Video-IS - Android - UK</t>
  </si>
  <si>
    <t>CPA - Bukkake - Video-IS - iOS - UK</t>
  </si>
  <si>
    <t>CPA - Bukkake - Video-IS - Desktop - UK</t>
  </si>
  <si>
    <t>CPA - Bukkake - Video-IS - Desktop - Canada</t>
  </si>
  <si>
    <t>CPA - Bukkake - Video-IS - iOS - Canada</t>
  </si>
  <si>
    <t>CPA - Bukkake - Video-IS - Android - Canada</t>
  </si>
  <si>
    <t>CPA - Office - Video-IS - Android - Canada</t>
  </si>
  <si>
    <t>CPA - Office - Video-IS - iOS - Canada</t>
  </si>
  <si>
    <t>CPA - Office - Video-IS - Desktop - Canada</t>
  </si>
  <si>
    <t>CPA - Office - Video-IS - Desktop - USA</t>
  </si>
  <si>
    <t>CPA - Office - Video-IS - iOS - USA</t>
  </si>
  <si>
    <t>CPA - Office - Video-IS - Android - USA</t>
  </si>
  <si>
    <t>CPA - Office - Video-IS - excl. iOS - Aus</t>
  </si>
  <si>
    <t>CPA - Office - Video-IS - iOS - Aus</t>
  </si>
  <si>
    <t>CPA - Office - Video-IS - Desktop - Aus</t>
  </si>
  <si>
    <t>CPA - Office - Video-IS - Desktop - UK</t>
  </si>
  <si>
    <t>CPA - Office - Video-IS - iOS - UK</t>
  </si>
  <si>
    <t>CPA - Office - Video-IS - Android - UK</t>
  </si>
  <si>
    <t>CPA - Office - Video-IS - Android - NZ</t>
  </si>
  <si>
    <t>CPA - Office - Video-IS - iOS - NZ</t>
  </si>
  <si>
    <t>CPA - Office - Video-IS - Desktop - NZ</t>
  </si>
  <si>
    <t>CPA - Bikini - Video-IS - Desktop - NZ</t>
  </si>
  <si>
    <t>CPA - Bikini - Video-IS - iOS - NZ</t>
  </si>
  <si>
    <t>CPA - Bikini - Video-IS - Android - NZ</t>
  </si>
  <si>
    <t>CPA - Bikini - Video-IS - Android - USA</t>
  </si>
  <si>
    <t>CPA - Bikini - Video-IS - iOS - USA</t>
  </si>
  <si>
    <t>CPA - Bikini - Video-IS - Desktop - USA</t>
  </si>
  <si>
    <t>CPA - Bikini - Video-IS - Desktop - Canada</t>
  </si>
  <si>
    <t>CPA - Bikini - Video-IS - iOS - Canada</t>
  </si>
  <si>
    <t>CPA - Bikini - Video-IS - Android - Canada</t>
  </si>
  <si>
    <t>CPA - Bikini - Video-IS - Android - UK</t>
  </si>
  <si>
    <t>CPA - Bikini - Video-IS - iOS - UK</t>
  </si>
  <si>
    <t>CPA - Bikini - Video-IS - Desktop - UK</t>
  </si>
  <si>
    <t>CPA - Bikini - Video-IS - Desktop - Aus</t>
  </si>
  <si>
    <t>CPA - Bikini - Video-IS - iOS - Aus</t>
  </si>
  <si>
    <t>CPA - Bikini - Video-IS - Android - Aus</t>
  </si>
  <si>
    <t>CPA - Pegging - Video-IS - Desktop - Aus</t>
  </si>
  <si>
    <t>CPA - Pegging - Video-IS - excl. iOS - Aus</t>
  </si>
  <si>
    <t>CPA - Pegging - Video-IS - iOS - Aus</t>
  </si>
  <si>
    <t>CPA - Pegging - Video-IS - iOS - USA</t>
  </si>
  <si>
    <t>CPA - Pegging - Video-IS - Android - USA</t>
  </si>
  <si>
    <t>CPA - Pegging - Video-IS - Desktop - USA</t>
  </si>
  <si>
    <t>CPA - Pegging - Video-IS - Desktop - Canada</t>
  </si>
  <si>
    <t>CPA - Pegging - Video-IS - excl. iOS - Canada</t>
  </si>
  <si>
    <t>CPA - Pegging - Video-IS - iOS - Canada</t>
  </si>
  <si>
    <t>CPA - Pegging - Video-IS - iOS - UK</t>
  </si>
  <si>
    <t>CPA - Pegging - Video-IS - Android - UK</t>
  </si>
  <si>
    <t>CPA - Pegging - Video-IS - Desktop - UK</t>
  </si>
  <si>
    <t>CPA - Pegging - Video-IS - Desktop - NZ</t>
  </si>
  <si>
    <t>CPA - Pegging - Video-IS - Android - NZ</t>
  </si>
  <si>
    <t>CPA - Pegging - Video-IS - iOS - NZ</t>
  </si>
  <si>
    <t>CPA - Shorties - iOS - NZ</t>
  </si>
  <si>
    <t>CPA - Handjob - Video-IS - Desktop - NZ</t>
  </si>
  <si>
    <t>CPA - Shorties - Android - NZ</t>
  </si>
  <si>
    <t>CPA - Cowgirl - NativeVideo - Mobile - USA</t>
  </si>
  <si>
    <t>CPA - Missionary - NativeVideo - Mobile - USA</t>
  </si>
  <si>
    <t>CPA - Blonde - NativeVideo - Mobile - USA</t>
  </si>
  <si>
    <t>CPA - Handjob - NativeVideo - Mobile - USA</t>
  </si>
  <si>
    <t>CPA - JOI - NativeVideo - Mobile - USA</t>
  </si>
  <si>
    <t>CPA - Creampie - Video-IS - Mobile - USA</t>
  </si>
  <si>
    <t>CPA - TransV2 - Video-IS - Desktop - Aus</t>
  </si>
  <si>
    <t>CPA - TransV2 - Video-IS - Android - Canada</t>
  </si>
  <si>
    <t>CPA - Handjob - Video-IS - Desktop - USA</t>
  </si>
  <si>
    <t>CPA - Threesome - Video-IS - Mobile - USA</t>
  </si>
  <si>
    <t>CPA - JOI - Video-IS - Mobile - USA</t>
  </si>
  <si>
    <t>CPA - Missionary - Video-IS - Desktop - Canada</t>
  </si>
  <si>
    <t>CPA - Missionary - Video-IS - Android - USA</t>
  </si>
  <si>
    <t>CPA - Missionary - Video-IS - iOS - USA</t>
  </si>
  <si>
    <t>CPA - Cowgirl - Video-IS - Desktop - Aus</t>
  </si>
  <si>
    <t>CPA - Cowgirl - Video-IS - Desktop - USA</t>
  </si>
  <si>
    <t>CPA - Cowgirl - Video-IS - Android - USA</t>
  </si>
  <si>
    <t>CPA - Cowgirl - Video-IS - Mobile - USA</t>
  </si>
  <si>
    <t>CPA - Missionary - Video-IS - Mobile - USA</t>
  </si>
  <si>
    <t>CPA - MILF - Video-IS - Desktop - USA</t>
  </si>
  <si>
    <t>CPA - MILF - Video-IS - Android - UK</t>
  </si>
  <si>
    <t>CPA - Blowjob - Video-IS - Desktop - Canada</t>
  </si>
  <si>
    <t>Blowjob</t>
  </si>
  <si>
    <t>CPA - Blowjob - Video-IS - Desktop - Aus</t>
  </si>
  <si>
    <t>CPA - Blowjob - Video-IS - Android - USA</t>
  </si>
  <si>
    <t>CPA - Blonde - Video-IS - Android - USA</t>
  </si>
  <si>
    <t>CPA - SexDoll - Video-IS - iOS - Canada</t>
  </si>
  <si>
    <t>CPA - SexDoll - Video-IS - Android - Aus</t>
  </si>
  <si>
    <t>CPA - StepDaughter - Video-IS - iOS - Canada</t>
  </si>
  <si>
    <t>CPA - StepDaughter - Video-IS - Android - USA</t>
  </si>
  <si>
    <t>CPA - Gay - Mobile - USA</t>
  </si>
  <si>
    <t>CPA - Blonde - Video-IS - Mobile - USA</t>
  </si>
  <si>
    <t>CPA - Webcam - Video-IS - Desktop - Canada</t>
  </si>
  <si>
    <t>CPA - Hentai - Video-IS - iOS - Canada</t>
  </si>
  <si>
    <t>Hentai</t>
  </si>
  <si>
    <t>CPA - Hentai - Video-IS - Android - Aus</t>
  </si>
  <si>
    <t>CPA - Hentai - Video-IS - iOS - USA</t>
  </si>
  <si>
    <t>CPA - Furry - Video-IS - iOS - Canada</t>
  </si>
  <si>
    <t>CPA - JOI - Video-IS - Android - Canada</t>
  </si>
  <si>
    <t>CPA - JOI - Video-IS - Desktop - USA</t>
  </si>
  <si>
    <t>CPA - Furry - Video-IS - excl. iOS - USA</t>
  </si>
  <si>
    <t>CPA - AI - Video-IS - iOS - USA</t>
  </si>
  <si>
    <t>CPA - AI - Video-IS - excl. iOS - USA</t>
  </si>
  <si>
    <t>CPA - Cowgirl - Video-IS - iOS - USA</t>
  </si>
  <si>
    <t>CPA - Blonde - Video-IS - iOS - USA</t>
  </si>
  <si>
    <t>CPA - Fantasy - Video-IS - iOS - USA</t>
  </si>
  <si>
    <t>CPA - Threesome - Video-IS - excl. iOS - USA</t>
  </si>
  <si>
    <t>CPA - Fantasy - Video-IS - excl. iOS - USA</t>
  </si>
  <si>
    <t>CPA - Handjob - Video-IS - excl. iOS - USA</t>
  </si>
  <si>
    <t>CPA - MILF - Video-IS - excl. iOS - USA</t>
  </si>
  <si>
    <t>CPA - Blonde - Video-IS - excl. iOS - USA</t>
  </si>
  <si>
    <t>CPA - Blowjob - Video-IS - excl. iOS - USA</t>
  </si>
  <si>
    <t>CPA - Missionary - Video-IS - excl. iOS - USA</t>
  </si>
  <si>
    <t>CPA - Cowgirl - Video-IS - excl. iOS - USA</t>
  </si>
  <si>
    <t>CPA - JOI - Video-IS - excl. iOS - USA</t>
  </si>
  <si>
    <t>CPA - Trans - Video-IS - excl. iOS - USA</t>
  </si>
  <si>
    <t>CPA - Transv2 - Video-IS - iOS - USA</t>
  </si>
  <si>
    <t>CPA - Transv2 - Video-IS - excl. iOS - USA</t>
  </si>
  <si>
    <t>CPA - Hentai - Video-IS - excl. iOS - USA</t>
  </si>
  <si>
    <t>CPA - Hentai - Video-IS - Desktop - USA</t>
  </si>
  <si>
    <t>CPA - Hentai - Video-IS - excl. iOS - Aus</t>
  </si>
  <si>
    <t>CPA - Hentai - Video-IS - Desktop - Aus</t>
  </si>
  <si>
    <t>CPA - Hentai - Video-IS - iOS - Aus</t>
  </si>
  <si>
    <t>CPA - Hentai - Video-IS - Desktop - Canada</t>
  </si>
  <si>
    <t>CPA - Hentai - Video-IS - excl. iOS - Canada</t>
  </si>
  <si>
    <t>CPA - Hentai - Video-IS - iOS - NZ</t>
  </si>
  <si>
    <t>CPA - Hentai - Video-IS - excl. iOS - NZ</t>
  </si>
  <si>
    <t>CPA - Hentai - Video-IS - Desktop - NZ</t>
  </si>
  <si>
    <t>CPA - Hentai - Video-IS - Desktop - UK</t>
  </si>
  <si>
    <t>CPA - Hentai - Video-IS - excl. iOS - UK</t>
  </si>
  <si>
    <t>CPA - Hentai - Video-IS - iOS - UK</t>
  </si>
  <si>
    <t>OLD_CPA_Hentai_NativeVideo_iOS_USA_SD</t>
  </si>
  <si>
    <t>OLD_CPA_Hentai_NativeVideo_excl.-iOS_USA_SD</t>
  </si>
  <si>
    <t>CPA - Hentai - NativeVideo - Desktop - USA</t>
  </si>
  <si>
    <t>OLD_CPA_Hentai_NativeVideo_Desktop_Aus_SD</t>
  </si>
  <si>
    <t>OLD_CPA_Hentai_NativeVideo_excl.-iOS_Aus_SD</t>
  </si>
  <si>
    <t>OLD_CPA_Hentai_NativeVideo_iOS_Aus_SD</t>
  </si>
  <si>
    <t>CPA - Hentai - NativeVideo - iOS - Canada</t>
  </si>
  <si>
    <t>OLD_CPA_Hentai_NativeVideo_excl.-iOS_Canada_SD</t>
  </si>
  <si>
    <t>OLD_CPA_Hentai_NativeVideo_Desktop_Canada_SD</t>
  </si>
  <si>
    <t>OLD_CPA_Hentai_NativeVideo_Desktop_NZ_SD</t>
  </si>
  <si>
    <t>OLD_CPA_Hentai_300x250_Desktop_UK_SD</t>
  </si>
  <si>
    <t>OLD_CPA_Hentai_NativeVideo_iOS_NZ_SD</t>
  </si>
  <si>
    <t>OLD_CPA_Hentai_NativeVideo_excl.-iOS_UK_SD</t>
  </si>
  <si>
    <t>CPA - Hentai - NativeVideo - excl. iOS - UK</t>
  </si>
  <si>
    <t>OLD_CPA_Hentai_NativeVideo_Desktop_UK_SD</t>
  </si>
  <si>
    <t>CPA - Hentai - 300x250 - iOS - USA</t>
  </si>
  <si>
    <t>300 x 250</t>
  </si>
  <si>
    <t>CPA - Hentai - 300x250 - Desktop - USA</t>
  </si>
  <si>
    <t>OLD_CPA_Hentai_300x250_excl.-iOS_USA_SD</t>
  </si>
  <si>
    <t>OLD_CPA_Hentai_300x250_excl.-iOS_Aus_SD</t>
  </si>
  <si>
    <t>CPA - Hentai - 300x250 - Desktop - Aus</t>
  </si>
  <si>
    <t>OLD_CPA_Hentai_300x250_iOS_Aus_SD</t>
  </si>
  <si>
    <t>OLD_CPA_Hentai_300x250_iOS_UK_SD</t>
  </si>
  <si>
    <t>CPA - Hentai - 300x250 - Desktop - UK</t>
  </si>
  <si>
    <t>OLD_CPA_Hentai_300x250_excl.-iOS_UK_SD</t>
  </si>
  <si>
    <t>CPA - Hentai - 300x250 - Desktop - Canada</t>
  </si>
  <si>
    <t>CPA - Hentai - 300x250 - iOS - Canada</t>
  </si>
  <si>
    <t>CPA - Hentai - 300x250 - excl. iOS - Canada</t>
  </si>
  <si>
    <t>OLD_CPA_Hentai_300x250_excl.-iOS_NZ_SD</t>
  </si>
  <si>
    <t>OLD_CPA_Hentai_300x250_iOS_NZ_SD</t>
  </si>
  <si>
    <t>OLD_CPA_Hentai_300x250_Desktop_NZ_SD</t>
  </si>
  <si>
    <t>CPA - Gay - Video-IS - excl. iOS - USA</t>
  </si>
  <si>
    <t>General</t>
  </si>
  <si>
    <t>CPA - Gay - Video-IS - iOS - USA</t>
  </si>
  <si>
    <t>CPA - AI - Video - Desktop - USA</t>
  </si>
  <si>
    <t>NOT RUNNING</t>
  </si>
  <si>
    <t>GEO,Frequency,OS,Segment</t>
  </si>
  <si>
    <t>CPA - AI - Shorties - iOS - UK</t>
  </si>
  <si>
    <t>CPA - AI - Shorties - Android - UK</t>
  </si>
  <si>
    <t>CPA - AI - Shorties - Android - Canada</t>
  </si>
  <si>
    <t>CPA - AI - Shorties - iOS - Canada</t>
  </si>
  <si>
    <t>CPA - AI - Shorties - Android - NZ</t>
  </si>
  <si>
    <t>CPA - AI - Shorties - iOS - NZ</t>
  </si>
  <si>
    <t>CPA - AI - Shorties - Android - IE</t>
  </si>
  <si>
    <t>CPA - AI - Shorties - iOS - IE</t>
  </si>
  <si>
    <t>CPA - AI - Video-IS - iOS - NZ</t>
  </si>
  <si>
    <t>CPA - AI - Video-IS - iOS - IE</t>
  </si>
  <si>
    <t>CPA - AI - Video-IS - excl. iOS - NZ</t>
  </si>
  <si>
    <t>CPA - AI - Video-IS - Android - IE</t>
  </si>
  <si>
    <t>CPA - AI - Video-IS - Desktop - NZ</t>
  </si>
  <si>
    <t>CPA - AI - Video-IS - Desktop - IE</t>
  </si>
  <si>
    <t>CPA - AI - 950x250 - Desktop - US</t>
  </si>
  <si>
    <t>950 x 250</t>
  </si>
  <si>
    <t>CPA - AI - 950x250 - Desktop - UK</t>
  </si>
  <si>
    <t>CPA - AI - 950x250 - Desktop - Canada</t>
  </si>
  <si>
    <t>CPA - AI - 950x250 - Desktop - Aus</t>
  </si>
  <si>
    <t>CPA - AI - 950x250 - Desktop - NZ</t>
  </si>
  <si>
    <t>CPA - AI - 950x250 - Desktop - IE</t>
  </si>
  <si>
    <t>CPA - AI - 950x250 - Mobile - USA</t>
  </si>
  <si>
    <t>CPA - AI - 950x250 - Mobile - Aus</t>
  </si>
  <si>
    <t>CPA - KEY1 - Video-IS - Desktop - USA - 1</t>
  </si>
  <si>
    <t>GEO,Frequency,Keyword</t>
  </si>
  <si>
    <t>CPA - KEY1 - Video-IS - Desktop - USA - 2</t>
  </si>
  <si>
    <t>CPA - INT1KEY1 - Preroll - Desktop - USA</t>
  </si>
  <si>
    <t>GEO,Frequency,Keyword,Segment</t>
  </si>
  <si>
    <t>CPA - Marvel - Video-IS - excl. iOS - UK</t>
  </si>
  <si>
    <t>CPA - Marvel - Video-IS - excl. iOS - Canada</t>
  </si>
  <si>
    <t>CPA - Marvel - Video-IS - excl. iOS - NZ</t>
  </si>
  <si>
    <t>GEO,Frequency,Keyword,Browser,BrowserLanguage</t>
  </si>
  <si>
    <t>CPA - Missionary - Video-IS - Desktop - NZ</t>
  </si>
  <si>
    <t>CPA - Missionary - Video-IS - excl. iOS - UK</t>
  </si>
  <si>
    <t>CPA - Missionary - Video-IS - excl. iOS - Aus</t>
  </si>
  <si>
    <t>CPA - Missionary - Video-IS - excl. iOS - NZ</t>
  </si>
  <si>
    <t>CPA - Missionary - Video-IS - iOS - NZ</t>
  </si>
  <si>
    <t>CPA - TransV2 - Video-IS - excl. iOS - USA</t>
  </si>
  <si>
    <t>CPA - TransV2 - Video-IS - excl. iOS - Aus</t>
  </si>
  <si>
    <t>CPA - TransV2 - Video-IS - excl. iOS - UK</t>
  </si>
  <si>
    <t>CPA - TransV2 - Video-IS - excl. iOS - Canada</t>
  </si>
  <si>
    <t>CPA - TransV2 - Video-IS - excl. iOS - NZ</t>
  </si>
  <si>
    <t>CPA - TransV2 - Video-IS - iOS - NZ</t>
  </si>
  <si>
    <t>CPA - TransV2 - Video-IS - Desktop - NZ</t>
  </si>
  <si>
    <t>CPA - VideoGameBatch - Video-IS - ALL - USA</t>
  </si>
  <si>
    <t>all</t>
  </si>
  <si>
    <t>CPA - Nintendo - Video-IS - ALL - USA</t>
  </si>
  <si>
    <t>CPA - Pokemon/Digimon - Video-IS - ALL - USA</t>
  </si>
  <si>
    <t>CPA - DC - Video-IS - ALL - USA</t>
  </si>
  <si>
    <t>CPA - Starwars - Video-IS - ALL - USA</t>
  </si>
  <si>
    <t>CPA - CartoonBatch - Video-IS - ALL - USA</t>
  </si>
  <si>
    <t>CPA - VOD Video Game Buy - Video-IS - ALL - USA</t>
  </si>
  <si>
    <t>CPA - VOD Hentai Intent - Video-IS - ALL - USA</t>
  </si>
  <si>
    <t>CPA - Dating Intent - Video-IS - ALL - USA</t>
  </si>
  <si>
    <t>CPA - VOD VR Intent - Video-IS - ALL - USA</t>
  </si>
  <si>
    <t>CPA - Sex Toy Intent - Video-IS - ALL - USA</t>
  </si>
  <si>
    <t>CPA - Erotica Interest - Video-IS - ALL - USA</t>
  </si>
  <si>
    <t>CPA - Game Streaming Interest - Video-IS - ALL - USA</t>
  </si>
  <si>
    <t>CPA - Casino Intent - Video-IS - ALL - USA</t>
  </si>
  <si>
    <t>CPA - Furry - Video-IS - Desktop - Aus</t>
  </si>
  <si>
    <t>CPA - Furry - Video-IS - Desktop - NZ</t>
  </si>
  <si>
    <t>CPA - Furry - Video-IS - excl. iOS - Aus</t>
  </si>
  <si>
    <t>CPA - Furry - Video-IS - excl. iOS - UK</t>
  </si>
  <si>
    <t>CPA - Furry - Video-IS - excl. iOS - Canada</t>
  </si>
  <si>
    <t>CPA - Furry - Video-IS - excl. iOS - NZ</t>
  </si>
  <si>
    <t>CPA - Furry - Video-IS - iOS - NZ</t>
  </si>
  <si>
    <t>CPA - Header Retargeting - Video-IS - Mobile - USA</t>
  </si>
  <si>
    <t>GEO,Frequency</t>
  </si>
  <si>
    <t>Remarketing</t>
  </si>
  <si>
    <t>CPA - Header Retargeting - Video-IS - Mobile - Australia</t>
  </si>
  <si>
    <t>CPA - Header Retargeting - Video-IS - Mobile - Canada</t>
  </si>
  <si>
    <t>CPA - Header Retargeting - Video-IS - Mobile - Denmark</t>
  </si>
  <si>
    <t>CPA - Header Retargeting - Video-IS - Mobile - New Zealand</t>
  </si>
  <si>
    <t>CPA - Header Retargeting - Video-IS - Mobile - Norway</t>
  </si>
  <si>
    <t>CPA - Header Retargeting - Video-IS - Mobile - United Kingdom</t>
  </si>
  <si>
    <t>CPA - Blowjob - Video-IS - Desktop - NZ</t>
  </si>
  <si>
    <t>CPA - Blowjob - Video-IS - iOS - NZ</t>
  </si>
  <si>
    <t>CPA - Blowjob - Video-IS - excl. iOS - NZ</t>
  </si>
  <si>
    <t>CPA - Blowjob - Video-IS - excl. iOS - Canada</t>
  </si>
  <si>
    <t>CPA - Blowjob - Video-IS - excl. iOS - Aus</t>
  </si>
  <si>
    <t>CPA - Blowjob - Video-IS - excl. iOS - UK</t>
  </si>
  <si>
    <t>CPA - Shorties - Video-IS - iOS - USA</t>
  </si>
  <si>
    <t>CPA - Shorties - Video-IS - excl. iOS - USA</t>
  </si>
  <si>
    <t>CPA - Shorties - Video-IS - excl. iOS - Aus</t>
  </si>
  <si>
    <t>CPA - Shorties - Video-IS - excl. iOS - UK</t>
  </si>
  <si>
    <t>CPA - Shorties - Video-IS - excl. iOS - Canada</t>
  </si>
  <si>
    <t>CPA - Shorties - Video-IS - excl. iOS - NZ</t>
  </si>
  <si>
    <t>CPA - Shorties - Video-IS - iOS - Canada</t>
  </si>
  <si>
    <t>CPA - Shorties - Video-IS - iOS - UK</t>
  </si>
  <si>
    <t>CPA - Shorties - Video-IS - iOS - Aus</t>
  </si>
  <si>
    <t>CPA - Shorties - Video-IS - iOS - NZ</t>
  </si>
  <si>
    <t>Cowgirl</t>
  </si>
  <si>
    <t>CPA - Cowgirl - Video-IS - iOS - NZ</t>
  </si>
  <si>
    <t>CPA - Cowgirl - Video-IS - excl. iOS - UK</t>
  </si>
  <si>
    <t>CPA - Cowgirl - Video-IS - excl. iOS - Aus</t>
  </si>
  <si>
    <t>CPA - Cowgirl - Video-IS - excl. iOS - NZ</t>
  </si>
  <si>
    <t>CPA - Cowgirl - Video-IS - Desktop - NZ</t>
  </si>
  <si>
    <t>Trans</t>
  </si>
  <si>
    <t>CPA - Erotica Interest - Video-IS - Desktop - USA</t>
  </si>
  <si>
    <t>Erotica Interest</t>
  </si>
  <si>
    <t>CPA - Erotica Interest - Video-IS - iOS - USA</t>
  </si>
  <si>
    <t>CPA - Erotica Interest - Video-IS - excl. iOS - USA</t>
  </si>
  <si>
    <t>CPA - Erotica Interest - Video-IS - Desktop - Aus</t>
  </si>
  <si>
    <t>CPA - Erotica Interest - Video-IS - Desktop - UK</t>
  </si>
  <si>
    <t>CPA - Erotica Interest - Video-IS - Desktop - Canada</t>
  </si>
  <si>
    <t>CPA - Erotica Interest - Video-IS - Desktop - NZ</t>
  </si>
  <si>
    <t>CPA - Erotica Interest - Video-IS - iOS - UK</t>
  </si>
  <si>
    <t>CPA - Erotica Interest - Video-IS - iOS - Canada</t>
  </si>
  <si>
    <t>CPA - Erotica Interest - Video-IS - iOS - Aus</t>
  </si>
  <si>
    <t>CPA - Erotica Interest - Video-IS - iOS - NZ</t>
  </si>
  <si>
    <t>CPA - Erotica Interest - Video-IS - excl. iOS - UK</t>
  </si>
  <si>
    <t>CPA - Erotica Interest - Video-IS - excl. iOS - Canada</t>
  </si>
  <si>
    <t>CPA - Erotica Interest - Video-IS - excl. iOS - Aus</t>
  </si>
  <si>
    <t>CPA - Erotica Interest - Video-IS - excl. iOS - NZ</t>
  </si>
  <si>
    <t>CPA - VR Intent - Video-IS - Desktop - USA</t>
  </si>
  <si>
    <t>VR Intent</t>
  </si>
  <si>
    <t>CPA - VR Intent - Video-IS - iOS - USA</t>
  </si>
  <si>
    <t>CPA - VR Intent - Video-IS - excl. iOS - USA</t>
  </si>
  <si>
    <t>CPA - VR Intent - Video-IS - Desktop - Aus</t>
  </si>
  <si>
    <t>CPA - VR Intent - Video-IS - Desktop - UK</t>
  </si>
  <si>
    <t>CPA - VR Intent - Video-IS - Desktop - NZ</t>
  </si>
  <si>
    <t>CPA - VR Intent - Video-IS - Desktop - Canada</t>
  </si>
  <si>
    <t>CPA - VR Intent - Video-IS - iOS - Aus</t>
  </si>
  <si>
    <t>CPA - VR Intent - Video-IS - iOS - UK</t>
  </si>
  <si>
    <t>CPA - VR Intent - Video-IS - iOS - Canada</t>
  </si>
  <si>
    <t>CPA - VR Intent - Video-IS - iOS - NZ</t>
  </si>
  <si>
    <t>CPA - VR Intent - Video-IS - excl. iOS - UK</t>
  </si>
  <si>
    <t>CPA - VR Intent - Video-IS - excl. iOS - Canada</t>
  </si>
  <si>
    <t>CPA - VR Intent - Video-IS - excl. iOS - NZ</t>
  </si>
  <si>
    <t>CPA - VR Intent - Video-IS - excl. iOS - Aus</t>
  </si>
  <si>
    <t>CPA - VOD Hentai Intent - Video-IS - Desktop - USA</t>
  </si>
  <si>
    <t>VOD Hentai Intent</t>
  </si>
  <si>
    <t>CPA - VOD Hentai Intent - Video-IS - iOS - USA</t>
  </si>
  <si>
    <t>CPA - VOD Hentai Intent - Video-IS - excl. iOS - USA</t>
  </si>
  <si>
    <t>CPA - VOD Hentai Intent - Video-IS - Desktop - NZ</t>
  </si>
  <si>
    <t>CPA - VOD Hentai Intent - Video-IS - Desktop - Aus</t>
  </si>
  <si>
    <t>CPA - VOD Hentai Intent - Video-IS - Desktop - Canada</t>
  </si>
  <si>
    <t>CPA - VOD Hentai Intent - Video-IS - Desktop - UK</t>
  </si>
  <si>
    <t>CPA - VOD Hentai Intent - Video-IS - iOS - Aus</t>
  </si>
  <si>
    <t>CPA - VOD Hentai Intent - Video-IS - iOS - Canada</t>
  </si>
  <si>
    <t>CPA - VOD Hentai Intent - Video-IS - iOS - UK</t>
  </si>
  <si>
    <t>CPA - VOD Hentai Intent - Video-IS - iOS - NZ</t>
  </si>
  <si>
    <t>CPA - VOD Hentai Intent - Video-IS - excl. iOS - Aus</t>
  </si>
  <si>
    <t>CPA - VOD Hentai Intent - Video-IS - excl. iOS - UK</t>
  </si>
  <si>
    <t>CPA - VOD Hentai Intent - Video-IS - excl. iOS - NZ</t>
  </si>
  <si>
    <t>CPA - VOD Hentai Intent - Video-IS - excl. iOS - Canada</t>
  </si>
  <si>
    <t>CPA - Trans - Video-IS - iOS - NZ</t>
  </si>
  <si>
    <t>CPA - Trans - Video-IS - Desktop - NZ</t>
  </si>
  <si>
    <t>CPA - Trans - Video-IS - excl. iOS - Aus</t>
  </si>
  <si>
    <t>CPA - Trans - Video-IS - excl. iOS - Canada</t>
  </si>
  <si>
    <t>CPA - Trans - Video-IS - excl. iOS - UK</t>
  </si>
  <si>
    <t>CPA - Trans - Video-IS - excl. iOS - NZ</t>
  </si>
  <si>
    <t>CPA - Blowjob - Video-IS - iOS - USA NEW</t>
  </si>
  <si>
    <t>CPA - Hentai - Video-IS - excl. iOS - OTH</t>
  </si>
  <si>
    <t>CPA - Hentai - Video-IS - iOS - OTH</t>
  </si>
  <si>
    <t>CPA - Hentai - Video-IS - Desktop - OTH</t>
  </si>
  <si>
    <t>CPA - Global - Video-IS - Desktop - OTH</t>
  </si>
  <si>
    <t>Global</t>
  </si>
  <si>
    <t>CPA - Global - Video-IS - iOS - OTH</t>
  </si>
  <si>
    <t>CPA - Global - Video-IS - excl. iOS - OTH</t>
  </si>
  <si>
    <t>CPA - FinDom - Video-IS - Desktop - NZ</t>
  </si>
  <si>
    <t>CPA - FinDom - Video-IS - excl. iOS - USA</t>
  </si>
  <si>
    <t>CPA - FinDom - Video-IS - excl. iOS - Canada</t>
  </si>
  <si>
    <t>CPA - FinDom - Video-IS - excl. iOS - UK</t>
  </si>
  <si>
    <t>CPA - FinDom - Video-IS - excl. iOS - NZ</t>
  </si>
  <si>
    <t>CPA - FinDom - Video-IS - iOS - NZ</t>
  </si>
  <si>
    <t>CPA - FinDom - Video-IS - iOS - UK</t>
  </si>
  <si>
    <t>CPA - Threesome - Video-IS - Desktop - NZ</t>
  </si>
  <si>
    <t>CPA - Threesome - Video-IS - excl. iOS - UK</t>
  </si>
  <si>
    <t>CPA - Threesome - Video-IS - excl. iOS - Canada</t>
  </si>
  <si>
    <t>CPA - Threesome - Video-IS - excl. iOS - NZ</t>
  </si>
  <si>
    <t>CPA - Threesome - Video-IS - excl. iOS - Aus</t>
  </si>
  <si>
    <t>CPA - Threesome - Video-IS - iOS - NZ</t>
  </si>
  <si>
    <t>CPA - Global - Video-IS - excl. iOS - OTH2</t>
  </si>
  <si>
    <t>CPA - Global - Video-IS - iOS - OTH2</t>
  </si>
  <si>
    <t>GEO,Frequency,Keyword,OS</t>
  </si>
  <si>
    <t>CPA - Global - Video-IS - Desktop - OTH2</t>
  </si>
  <si>
    <t>CPA - Global - Video-IS - Desktop - OTH3</t>
  </si>
  <si>
    <t>CPA - Global - Video-IS - iOS - OTH3</t>
  </si>
  <si>
    <t>CPA - Global - Video-IS - excl. iOS - OTH3</t>
  </si>
  <si>
    <t>CPA - Global - Video-IS - iOS - OTH4</t>
  </si>
  <si>
    <t>CPA - Global - Video-IS - Desktop - OTH4</t>
  </si>
  <si>
    <t>CPA - Global - Video-IS - excl. iOS - OTH4</t>
  </si>
  <si>
    <t>CPA - Global - Video-IS - iOS - OTH5</t>
  </si>
  <si>
    <t>CPA - Global - Video-IS - Desktop - OTH5</t>
  </si>
  <si>
    <t>CPA - Global - Video-IS - excl. iOS - OTH5</t>
  </si>
  <si>
    <t>CPA - Global - Video-IS - Desktop - OTH6</t>
  </si>
  <si>
    <t>CPA - Global - Video-IS - excl. iOS - OTH6</t>
  </si>
  <si>
    <t>CPA - Global - Video-IS - iOS - OTH6</t>
  </si>
  <si>
    <t>OLD_CPA_Batch-1_Native-Homepage_excl-iOS_USA_SD</t>
  </si>
  <si>
    <t>OLD_CPA_Batch-1_Native-Homepage_USA_SD</t>
  </si>
  <si>
    <t>OLD_CPA_Indian_NativeVideo_Desktop_USA_SD</t>
  </si>
  <si>
    <t>Indian</t>
  </si>
  <si>
    <t>CPA - Indian - NativeVideo - excl. iOS - USA</t>
  </si>
  <si>
    <t>CPA - Indian - NativeVideo - iOS - USA</t>
  </si>
  <si>
    <t>CPA - BigTits - NATIVEVIDEO - Desktop - USA</t>
  </si>
  <si>
    <t>Big Tits</t>
  </si>
  <si>
    <t>CPA - BigTits - NativeVideo - excl. iOS - USA</t>
  </si>
  <si>
    <t>CPA - BigTits - NativeVideo - iOS - USA</t>
  </si>
  <si>
    <t>CPA - General 300Header - 300x100 - Mobile - USA</t>
  </si>
  <si>
    <t>300 x 100</t>
  </si>
  <si>
    <t>CPA-INDIAN-NATIVEVIDEO-DESKTOP-USA-RT_TEST</t>
  </si>
  <si>
    <t>CPA _Shorties_iOS_USA</t>
  </si>
  <si>
    <t>US_EN_NATIVE_CPM_PH_ALL-MOB_HENTAI_SEGMENT_ALL_TJ</t>
  </si>
  <si>
    <t>US_EN_NATIVE_CPM_PH_HOMEPAGE_iOS_ALL_TJ</t>
  </si>
  <si>
    <t>CA_EN_NATIVE_CPM_PH_HOMEPAGE_ALL-MOB_ALL_TJ</t>
  </si>
  <si>
    <t>US_EN_PREROLL_CPA_ALL_KEY-INDIAN_ALL_M_JB</t>
  </si>
  <si>
    <t>US_EN_PREROLL_CPA_ALL_KEY-Blonde_AND_M_JB</t>
  </si>
  <si>
    <t>Blonde</t>
  </si>
  <si>
    <t>US_EN_PREROLL_CPA_ALL_KEY-Blonde_iOS_M_JB</t>
  </si>
  <si>
    <t>US_EN_PREROLL_CPA_ALL_KEY-Blonde_DESK_M_JB</t>
  </si>
  <si>
    <t>CA_EN_PREROLL_CPA_ALL_KEY-Hentai-Cartoon_AND_M_JB</t>
  </si>
  <si>
    <t>CA_EN_PREROLL_CPA_ALL_KEY-Hentai-Cartoon_iOS_M_JB</t>
  </si>
  <si>
    <t>CA_EN_PREROLL_CPA_ALL_KEY-Hentai-Cartoon_DESK_M_JB</t>
  </si>
  <si>
    <t>US_EN_PREROLL_CPA_ALL_KEY-Hentai-Cartoon_AND_M_JB</t>
  </si>
  <si>
    <t>US_EN_PREROLL_CPA_ALL_KEY-Hentai-Cartoon_iOS_M_JB</t>
  </si>
  <si>
    <t>US_EN_PREROLL_CPA_ALL_KEY-Hentai-Cartoon_DESK_M_JB</t>
  </si>
  <si>
    <t>AUS_EN_PREROLL_CPA_ALL_KEY-Hentai-Cartoon_AND_M_JB</t>
  </si>
  <si>
    <t>AUS_EN_PREROLL_CPA_ALL_KEY-Hentai-Cartoon_iOS_M_JB</t>
  </si>
  <si>
    <t>AUS_EN_PREROLL_CPA_ALL_KEY-Hentai-Cartoon_DESK_M_JB</t>
  </si>
  <si>
    <t>UK_EN_PREROLL_CPA_ALL_KEY-Hentai-Cartoon_AND_M_JB</t>
  </si>
  <si>
    <t>UK_EN_PREROLL_CPA_ALL_KEY-Hentai-Cartoon_iOS_M_JB</t>
  </si>
  <si>
    <t>UK_EN_PREROLL_CPA_ALL_KEY-Hentai-Cartoon_DESK_M_JB</t>
  </si>
  <si>
    <t>T2_EN_PREROLL_CPA_ALL_KEY-Hentai-Cartoon_AND_M_JB</t>
  </si>
  <si>
    <t>T2_EN_PREROLL_CPA_ALL_KEY-Hentai-Cartoon_iOS_M_JB</t>
  </si>
  <si>
    <t>T2_EN_PREROLL_CPA_ALL_KEY-Hentai-Cartoon_DESK_M_JB</t>
  </si>
  <si>
    <t>US_EN_PREROLL_CPA_ALL_Broad_AND_MF_JB</t>
  </si>
  <si>
    <t>Broad</t>
  </si>
  <si>
    <t>US_EN_PREROLL_CPA_ALL_Broad_iOS_MF_JB</t>
  </si>
  <si>
    <t>US_EN_PREROLL_CPA_ALL_Broad_DESK_MF_JB</t>
  </si>
  <si>
    <t>US_EN_PREROLL_CPA_PH_KEY-Blowjob_iOS_M_JB</t>
  </si>
  <si>
    <t>US_EN_PREROLL_CPA_PH_KEY-Blowjob_AND_M_JB</t>
  </si>
  <si>
    <t>US_EN_PREROLL_CPA_PH_KEY-Blowjob_DESK_M_JB</t>
  </si>
  <si>
    <t>US_EN_PREROLL_CPA_ALL_KEY-Cowgirl_AND_M_JB</t>
  </si>
  <si>
    <t>US_EN_PREROLL_CPA_ALL_KEY-Cowgirl_iOS_M_JB</t>
  </si>
  <si>
    <t>US_EN_PREROLL_CPA_ALL_KEY-Cowgirl_DESK_M_JB</t>
  </si>
  <si>
    <t>US_EN_PREROLL_CPA_ALL_KEY-Missionary_DESK_M_JB</t>
  </si>
  <si>
    <t>US_EN_PREROLL_CPA_PH-RT_KEY-Missionary_iOS_M_JB</t>
  </si>
  <si>
    <t>UK_EN_PREROLL_CPA_ALL_KEY-Missionary_DESK_M_JB</t>
  </si>
  <si>
    <t>US_EN_PREROLL_CPA_PH-RT_KEY-Missionary_AND_M_JB</t>
  </si>
  <si>
    <t>US_EN_PREROLL_CPA_ALL_KEY-Cumshot_AND_M_JB</t>
  </si>
  <si>
    <t>Cumshot</t>
  </si>
  <si>
    <t>US_EN_PREROLL_CPA_ALL_KEY-Cumshot_iOS_M_JB</t>
  </si>
  <si>
    <t>US_EN_PREROLL_CPA_ALL_KEY-Cumshot_DESK_M_JB</t>
  </si>
  <si>
    <t>US_EN_PREROLL_CPA_T8-YP_KEY-Handjob_DESK_M_JB</t>
  </si>
  <si>
    <t>Handjob</t>
  </si>
  <si>
    <t>US_EN_PREROLL_CPA_T8-PH-YP_KEY-Handjob_AND_M_JB</t>
  </si>
  <si>
    <t>US_EN_PREROLL_CPA_T8-PH-YP_KEY-Handjob_iOS_M_JB</t>
  </si>
  <si>
    <t>NZ_EN_PREROLL_CPA_T8-YP_KEY-Handjob_DESK_M_JB</t>
  </si>
  <si>
    <t>US_EN_SHORTIES_CPM_PH_MOB_MF_TJ</t>
  </si>
  <si>
    <t>GEO</t>
  </si>
  <si>
    <t>US_EN_PREROLL_CPM_PH_KEY-AI_DESK_MF_TJ</t>
  </si>
  <si>
    <t>UK_EN_PREROLL_CPM_PH_KEY-AI_DESK_MF_TJ</t>
  </si>
  <si>
    <t>US_EN_PREROLL_CPA_ALL_SOURCE-Gay_AND_MF_JB</t>
  </si>
  <si>
    <t>Gay</t>
  </si>
  <si>
    <t>US_EN_PREROLL_CPM_PH_KEY-Trans_iOS_M_TJ</t>
  </si>
  <si>
    <t>US_EN_PREROLL_CPM_PH_KEY-Trans_AND_M_TJ</t>
  </si>
  <si>
    <t>US_EN_PREROLL_CPA_ALL_SOURCE-Gay_iOS_MF_JB</t>
  </si>
  <si>
    <t>US_EN_PREROLL_CPA_ALL_SOURCE-Gay_DESK_M_JB</t>
  </si>
  <si>
    <t>AUS_EN_PREROLL_CPA_ALL_SOURCE-Gay_DESK_M_JB</t>
  </si>
  <si>
    <t>CA_EN_PREROLL_CPA_ALL_SOURCE-Gay_DESK_M_JB</t>
  </si>
  <si>
    <t>TEST_EN_PREROLL_CPA_PH_KEY-Blowjob_DESK_M_JB_AUTOTEST1</t>
  </si>
  <si>
    <t>JB-Testing</t>
  </si>
  <si>
    <t>TEST_EN_PREROLL_CPA_PH_KEY-Blowjob_DESK_M_JB_AUTOTEST2</t>
  </si>
  <si>
    <t>TEST_EN_PREROLL_CPA_PH_KEY-Blowjob_DESK_M_JB_AUTOTEST3</t>
  </si>
  <si>
    <t>GEO,Frequency,Keyword,Cookie,BrowserLanguage</t>
  </si>
  <si>
    <t>CA_EN_PREROLL_CPM_PH_KEY-AI_DESK_MF_TJ</t>
  </si>
  <si>
    <t>AU_EN_PREROLL_CPM_PH_KEY-AI_DESK_MF_TJ</t>
  </si>
  <si>
    <t>NZ_EN_PREROLL_CPM_PH_KEY-AI_DESK_MF_TJ</t>
  </si>
  <si>
    <t>US_EN_NATIVE_CPM_PH_HOMEPAGE_ALL-MOB_ALL_TJ</t>
  </si>
  <si>
    <t>AU_EN_NATIVE_CPM_PH_HOMEPAGE_ALL-MOB_ALL_TJ</t>
  </si>
  <si>
    <t>UK_EN_NATIVE_CPM_PH_HOMEPAGE_ALL-MOB_ALL_TJ</t>
  </si>
  <si>
    <t>NZ_EN_NATIVE_CPM_PH_HOMEPAGE_ALL-MOB_ALL_TJ</t>
  </si>
  <si>
    <t>CA_EN_PREROLL_CPA_PH_KEY-Blowjob_iOS_M_JB</t>
  </si>
  <si>
    <t>PH_EN_PREROLL_CPM_PH_MOB_ALL-MOB_ALL_TJ</t>
  </si>
  <si>
    <t>CO_EN_PREROLL_CPM_PH_MOB_ALL-MOB_ALL_TJ</t>
  </si>
  <si>
    <t>MX_EN_NATIVE_CPM_PH_WATCH_ALL-MOB_ALL_TJ</t>
  </si>
  <si>
    <t>PH_EN_NATIVE_CPM_PH_WATCH_ALL-MOB_ALL_TJ</t>
  </si>
  <si>
    <t>MA_EN_PREROLL_CPM_PH_MOB_ALL-MOB_ALL_TJ</t>
  </si>
  <si>
    <t>BR_EN_NATIVE_CPM_PH_WATCH_ALL-MOB_ALL_TJ</t>
  </si>
  <si>
    <t>EG_EN_PREROLL_CPM_PH_MOB_ALL-MOB_ALL_TJ</t>
  </si>
  <si>
    <t>PE_EN_PREROLL_CPM_PH_MOB_ALL-MOB_ALL_TJ</t>
  </si>
  <si>
    <t>DE_EN_NATIVE_CPM_PH_WATCH_ALL-MOB_ALL_TJ</t>
  </si>
  <si>
    <t>NL_EN_PREROLL_CPM_PH_MOB_ALL-MOB_ALL_TJ</t>
  </si>
  <si>
    <t>AR_EN_NATIVE_CPM_PH_WATCH_ALL-MOB_ALL_TJ</t>
  </si>
  <si>
    <t>EC_EN_PREROLL_CPM_PH_MOB_ALL-MOB_ALL_TJ</t>
  </si>
  <si>
    <t>ES_EN_PREROLL_CPM_PH_MOB_ALL-MOB_ALL_TJ</t>
  </si>
  <si>
    <t>CO_EN_NATIVE_CPM_PH_WATCH_ALL-MOB_ALL_TJ</t>
  </si>
  <si>
    <t>LK_EN_PREROLL_CPM_PH_MOB_ALL-MOB_ALL_TJ</t>
  </si>
  <si>
    <t>BR_EN_PREROLL_CPM_PH_MOB_ALL-MOB_ALL_TJ</t>
  </si>
  <si>
    <t>BO_EN_PREROLL_CPM_PH_MOB_ALL-MOB_ALL_TJ</t>
  </si>
  <si>
    <t>NL_EN_NATIVE_CPM_PH_WATCH_ALL-MOB_ALL_TJ</t>
  </si>
  <si>
    <t>SG_EN_PREROLL_CPM_PH_MOB_ALL-MOB_ALL_TJ</t>
  </si>
  <si>
    <t>TN_EN_PREROLL_CPM_PH_MOB_ALL-MOB_ALL_TJ</t>
  </si>
  <si>
    <t>AZ_EN_PREROLL_CPM_PH_MOB_ALL-MOB_ALL_TJ</t>
  </si>
  <si>
    <t>HN_EN_PREROLL_CPM_PH_MOB_ALL-MOB_ALL_TJ</t>
  </si>
  <si>
    <t>PY_EN_PREROLL_CPM_PH_MOB_ALL-MOB_ALL_TJ</t>
  </si>
  <si>
    <t>SV_EN_PREROLL_CPM_PH_MOB_ALL-MOB_ALL_TJ</t>
  </si>
  <si>
    <t>UA_EN_NATIVE_CPM_PH_WATCH_ALL-MOB_ALL_TJ</t>
  </si>
  <si>
    <t>EG_EN_NATIVE_CPM_PH_WATCH_ALL-MOB_ALL_TJ</t>
  </si>
  <si>
    <t>MA_EN_NATIVE_CPM_PH_WATCH_ALL-MOB_ALL_TJ</t>
  </si>
  <si>
    <t>PE_EN_NATIVE_CPM_PH_WATCH_ALL-MOB_ALL_TJ</t>
  </si>
  <si>
    <t>PO_EN_NATIVE_CPM_PH_WATCH_ALL-MOB_ALL_TJ</t>
  </si>
  <si>
    <t>AU_EN_NATIVE_CPM_PH_WATCH_ALL-MOB_ALL_TJ</t>
  </si>
  <si>
    <t>ES_EN_NATIVE_CPM_PH_WATCH_ALL-MOB_ALL_TJ</t>
  </si>
  <si>
    <t>ZA_EN_NATIVE_CPM_PH_WATCH_ALL-MOB_ALL_TJ</t>
  </si>
  <si>
    <t>SG_EN_NATIVE_CPM_PH_WATCH_ALL-MOB_ALL_TJ</t>
  </si>
  <si>
    <t>EC_EN_NATIVE_CPM_PH_WATCH_ALL-MOB_ALL_TJ</t>
  </si>
  <si>
    <t>JP_EN_NATIVE_CPM_PH_WATCH_ALL-MOB_ALL_TJ</t>
  </si>
  <si>
    <t>ES_EN_PREROLL_CPM_PH_DESK_ALL-DESK_ALL_TJ</t>
  </si>
  <si>
    <t>LK_EN_NATIVE_CPM_PH_WATCH_ALL-MOB_ALL_TJ</t>
  </si>
  <si>
    <t>GT_EN_NATIVE_CPM_PH_WATCH_ALL-MOB_ALL_TJ</t>
  </si>
  <si>
    <t>DE_EN_PREROLL_CPM_PH_DESK_ALL-DESK_ALL_TJ</t>
  </si>
  <si>
    <t>CO_EN_PREROLL_CPM_PH_DESK_ALL-DESK_ALL_TJ</t>
  </si>
  <si>
    <t>IT_EN_PREROLL_CPM_PH_DESK_ALL-DESK_ALL_TJ</t>
  </si>
  <si>
    <t>PH_EN_NATIVE_CPM_PH_SEARCH_ALL-MOB_ALL_TJ</t>
  </si>
  <si>
    <t>IN_EN_PREROLL_CPM_TZ_MOB_ALL-MOB_ALL_TJ</t>
  </si>
  <si>
    <t>MX_EN_NATIVE_CPM_PH_SEARCH_ALL-MOB_ALL_TJ</t>
  </si>
  <si>
    <t>EG_EN_NATIVE_CPM_PH_SEARCH_ALL-MOB_ALL_TJ</t>
  </si>
  <si>
    <t>DE_EN_NATIVE_CPM_PH_SEARCH_ALL_MOB_ALL_TJ</t>
  </si>
  <si>
    <t>PH_EN_PREROLL_CPM_PH_TAB_ALL-TAB_ALL_TJ</t>
  </si>
  <si>
    <t>PH_EN_NATIVE_CPM_PH_HOMEPAGE_ALL-MOB_ALL_TJ</t>
  </si>
  <si>
    <t>US_EN_PREROLL_CPM_PH_ALL_DESK_RETARGETING_ALL_TJ</t>
  </si>
  <si>
    <t>GEO,Frequency,Cookie</t>
  </si>
  <si>
    <t>MX_EN_PREROLL_CPM_PH_ALL_DESK_RETARGETING_ALL_TJ</t>
  </si>
  <si>
    <t>CA_EN_PREROLL_CPM_PH_ALL_DESK_RETARGETING_ALL_TJ</t>
  </si>
  <si>
    <t>AU_EN_PREROLL_CPM_PH_ALL_DESK_RETARGETING_ALL_TJ</t>
  </si>
  <si>
    <t>UK_EN_PREROLL_CPM_PH_ALL_DESK_RETARGETING_ALL_TJ</t>
  </si>
  <si>
    <t>NZ_EN_PREROLL_CPM_PH_ALL_DESK_RETARGETING_ALL_TJ</t>
  </si>
  <si>
    <t>US_EN_PREROLL_CPM_PH_ALL_MOB_RETARGETING_ALL_TJ</t>
  </si>
  <si>
    <t>CA_EN_PREROLL_CPM_PH_ALL_MOB_RETARGETING_ALL_TJ</t>
  </si>
  <si>
    <t>GEO,Cookie</t>
  </si>
  <si>
    <t>UK_EN_PREROLL_CPM_PH_ALL_MOB_RETARGETING_ALL_TJ</t>
  </si>
  <si>
    <t>AU_EN_PREROLL_CPM_PH_ALL_MOB_RETARGETING_ALL_TJ</t>
  </si>
  <si>
    <t>NZ_EN_PREROLL_CPM_PH_ALL_MOB_RETARGETING_ALL_TJ</t>
  </si>
  <si>
    <t>MX_EN_PREROLL_CPM_PH_ALL_MOB_RETARGETING_ALL_TJ</t>
  </si>
  <si>
    <t>LATAM_ES_NATIVE_CPM_PH_ALL_MOB_ALL_TJ</t>
  </si>
  <si>
    <t>LATAM_ES_NATIVE_CPM_PH_ALL_DESK_ALL_TJ</t>
  </si>
  <si>
    <t>AU_EN_NATIVE_CPM_PH_ALL_MOB_RETARGETING_ALL_TJ</t>
  </si>
  <si>
    <t>GEO,Frequency,Cookie,BrowserLanguage</t>
  </si>
  <si>
    <t>CA_EN_NATIVE_CPM_PH_ALL_MOB_RETARGETING_ALL_TJ</t>
  </si>
  <si>
    <t>UK_EN_NATIVE_CPM_PH_ALL_MOB_RETARGETING_ALL_TJ</t>
  </si>
  <si>
    <t>US_EN_NATIVE_CPM_PH_ALL_MOB_RETARGETING_ALL_TJ</t>
  </si>
  <si>
    <t>MX_EN_NATIVE_CPM_PH_ALL_MOB_RETARGETING_ALL_TJ</t>
  </si>
  <si>
    <t>NZ_EN_NATIVE_CPM_PH_ALL_MOB_RETARGETING_ALL_TJ</t>
  </si>
  <si>
    <t>JB_NATIVE_TEST</t>
  </si>
  <si>
    <t>UA_EN_SHORTIES_CPM_PH_MOB_ALL_TJ</t>
  </si>
  <si>
    <t>PL_EN_SHORTIES_CPM_PH_MOB_ALL_TJ</t>
  </si>
  <si>
    <t>MX_EN_SHORTIES_CPM_PH_MOB_ALL_TJ</t>
  </si>
  <si>
    <t>PH_EN_SHORTIES_CPM_PH_MOB_ALL_TJ</t>
  </si>
  <si>
    <t>AR_EN_SHORTIES_CPM_PH_MOB_ALL_TJ</t>
  </si>
  <si>
    <t>DE_EN_SHORTIES_CPM_PH_MOB_ALL_TJ</t>
  </si>
  <si>
    <t>CO_EN_SHORTIES_CPM_PH_MOB_ALL_TJ</t>
  </si>
  <si>
    <t>CL_EN_SHORTIES_CPM_PH_MOB_ALL_TJ</t>
  </si>
  <si>
    <t>AU_EN_SHORTIES_CPM_PH_MOB_ALL_TJ</t>
  </si>
  <si>
    <t>NL_EN_SHORTIES_CPM_PH_MOB_ALL_TJ</t>
  </si>
  <si>
    <t>US_EN_NATIVE_CPM_PH_ALL_DESK_RETARGETING_ALL_TJ</t>
  </si>
  <si>
    <t>CA_EN_NATIVE_CPM_PH_ALL_DESK_RETARGETING_ALL_TJ</t>
  </si>
  <si>
    <t>UK_EN_NATIVE_CPM_PH_ALL_DESK_RETARGETING_ALL_TJ</t>
  </si>
  <si>
    <t>AU_EN_NATIVE_CPM_PH_ALL_DESK_RETARGETING_ALL_TJ</t>
  </si>
  <si>
    <t>MX_EN_NATIVE_CPM_PH_ALL_DESK_RETARGETING_ALL_TJ</t>
  </si>
  <si>
    <t>NZ_EN_NATIVE_CPM_PH_ALL_DESK_RETARGETING_ALL_TJ</t>
  </si>
  <si>
    <t>US_EN_PREROLL_CPM_PH_KEY-Pokemon_ALL_CLICK RETARGETING_M_TJ</t>
  </si>
  <si>
    <t>US_EN_NATIVE_CPM_PH_HOMEPAGE_EXCL-iOS_CLICK RETARGETING_ALL_TJ</t>
  </si>
  <si>
    <t>US_EN_BANNER_CPM_PH_ALL_DESK_300x250_ALL_TJ</t>
  </si>
  <si>
    <t>MX_EN_BANNER_CPM_PH_ALL_MOB_MIDDLE_ALL_TJ</t>
  </si>
  <si>
    <t>BR_EN_BANNER_CPM_PH_ALL_MOB_MIDDLE_ALL_TJ</t>
  </si>
  <si>
    <t>Row Labels</t>
  </si>
  <si>
    <t>Grand Total</t>
  </si>
  <si>
    <t>Sum of Cost</t>
  </si>
  <si>
    <t>Sum of Conversion</t>
  </si>
  <si>
    <t>Mapping</t>
  </si>
  <si>
    <t>Native - Homepage</t>
  </si>
  <si>
    <t>Native - Search</t>
  </si>
  <si>
    <t>Native - Watch</t>
  </si>
  <si>
    <t>OLD</t>
  </si>
  <si>
    <t>Keyword - Preroll</t>
  </si>
  <si>
    <t>General - Pre-roll</t>
  </si>
  <si>
    <t>General - Pre-roll - T3</t>
  </si>
  <si>
    <t>(blank)</t>
  </si>
  <si>
    <t>Country</t>
  </si>
  <si>
    <t>(c</t>
  </si>
  <si>
    <t>AR</t>
  </si>
  <si>
    <t>AU</t>
  </si>
  <si>
    <t>AZ</t>
  </si>
  <si>
    <t>BO</t>
  </si>
  <si>
    <t>BR</t>
  </si>
  <si>
    <t>CA</t>
  </si>
  <si>
    <t>CL</t>
  </si>
  <si>
    <t>CO</t>
  </si>
  <si>
    <t>CP</t>
  </si>
  <si>
    <t>DE</t>
  </si>
  <si>
    <t>EC</t>
  </si>
  <si>
    <t>EG</t>
  </si>
  <si>
    <t>ES</t>
  </si>
  <si>
    <t>GT</t>
  </si>
  <si>
    <t>HN</t>
  </si>
  <si>
    <t>IN</t>
  </si>
  <si>
    <t>IT</t>
  </si>
  <si>
    <t>JB</t>
  </si>
  <si>
    <t>JP</t>
  </si>
  <si>
    <t>LA</t>
  </si>
  <si>
    <t>LK</t>
  </si>
  <si>
    <t>MA</t>
  </si>
  <si>
    <t>MX</t>
  </si>
  <si>
    <t>NL</t>
  </si>
  <si>
    <t>NZ</t>
  </si>
  <si>
    <t>OL</t>
  </si>
  <si>
    <t>PE</t>
  </si>
  <si>
    <t>PH</t>
  </si>
  <si>
    <t>PL</t>
  </si>
  <si>
    <t>PO</t>
  </si>
  <si>
    <t>PY</t>
  </si>
  <si>
    <t>SG</t>
  </si>
  <si>
    <t>SV</t>
  </si>
  <si>
    <t>T2</t>
  </si>
  <si>
    <t>TE</t>
  </si>
  <si>
    <t>TN</t>
  </si>
  <si>
    <t>UA</t>
  </si>
  <si>
    <t>UK</t>
  </si>
  <si>
    <t>US</t>
  </si>
  <si>
    <t>ZA</t>
  </si>
  <si>
    <t>No USA?</t>
  </si>
  <si>
    <t>JB/TJ</t>
  </si>
  <si>
    <t>TJ</t>
  </si>
  <si>
    <t>Date</t>
  </si>
  <si>
    <t>13th+14th</t>
  </si>
  <si>
    <t>11th</t>
  </si>
  <si>
    <t>Values</t>
  </si>
  <si>
    <t>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</si>
</sst>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left" indent="1"/>
    </xf>
    <xf numFmtId="165" fontId="0" fillId="34" borderId="0" xfId="1" applyNumberFormat="1" applyFont="1" applyFill="1"/>
    <xf numFmtId="165" fontId="0" fillId="35" borderId="0" xfId="1" applyNumberFormat="1" applyFont="1" applyFill="1"/>
    <xf numFmtId="1" fontId="0" fillId="0" borderId="0" xfId="0" applyNumberFormat="1"/>
    <xf numFmtId="1" fontId="0" fillId="34" borderId="0" xfId="0" applyNumberFormat="1" applyFill="1"/>
    <xf numFmtId="1" fontId="0" fillId="35" borderId="0" xfId="1" applyNumberFormat="1" applyFont="1" applyFill="1"/>
    <xf numFmtId="1" fontId="0" fillId="0" borderId="0" xfId="1" applyNumberFormat="1" applyFont="1"/>
    <xf numFmtId="1" fontId="0" fillId="35" borderId="0" xfId="0" applyNumberFormat="1" applyFill="1"/>
    <xf numFmtId="0" fontId="0" fillId="36" borderId="0" xfId="0" applyFill="1"/>
    <xf numFmtId="165" fontId="16" fillId="36" borderId="0" xfId="1" applyNumberFormat="1" applyFont="1" applyFill="1"/>
    <xf numFmtId="165" fontId="16" fillId="33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28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ott Dommett" refreshedDate="45975.536096990741" createdVersion="8" refreshedVersion="8" minRefreshableVersion="3" recordCount="1043" xr:uid="{305544EC-7100-A343-90EA-AC3B5DB74AEB}">
  <cacheSource type="worksheet">
    <worksheetSource ref="A1:AD1044" sheet="Nov Extract"/>
  </cacheSource>
  <cacheFields count="30">
    <cacheField name="Campaign Status" numFmtId="0">
      <sharedItems/>
    </cacheField>
    <cacheField name="ID" numFmtId="0">
      <sharedItems containsSemiMixedTypes="0" containsString="0" containsNumber="1" containsInteger="1" minValue="1011737002" maxValue="1013059151"/>
    </cacheField>
    <cacheField name="Campaign Name" numFmtId="0">
      <sharedItems count="962">
        <s v="CPA - AI - Video-IS - Desktop - USA"/>
        <s v="CPA - AI - Video-IS - Android - USA - BROKEN"/>
        <s v="CPA - AI - Video-IS - iOS - USA - BROKEN"/>
        <s v="CPA - AI - Video-IS - Desktop - Aus"/>
        <s v="CPA - AI - Video-IS - iOS - Aus"/>
        <s v="CPA - AI - Video-IS - excl. iOS - Aus"/>
        <s v="CPA - AI - Video-IS - Desktop - Canada"/>
        <s v="CPA - AI - Video-IS - iOS - Canada"/>
        <s v="CPA - AI - Video-IS - excl. iOS - Canada"/>
        <s v="CPA - AI - Video-IS - Desktop - UK"/>
        <s v="CPA - AI - Video-IS - iOS - UK"/>
        <s v="CPA - AI - Video-IS - excl. iOS - UK"/>
        <s v="CPA - AI - Video-IS - excl. iOS - Norway"/>
        <s v="CPA - AI - Video-IS - iOS - Norway"/>
        <s v="CPA - AI - Video-IS - Desktop - Norway"/>
        <s v="CPA - Trans - Video-IS - Android - USA"/>
        <s v="CPA - Shorties - Android - USA"/>
        <s v="CPA - VR - Video-IS - Android - USA"/>
        <s v="CPA - Furry - Video-IS - Android - USA - BROKEN"/>
        <s v="CPA - Cosplay - Video-IS - Android - USA"/>
        <s v="CPA - Massage - Video-IS - Android - USA"/>
        <s v="CPA - JOI - Video-IS - Android - USA"/>
        <s v="CPA - Japanese - Video-IS - Android - USA"/>
        <s v="CPA - AI - Video-IS - Desktop - Mexico"/>
        <s v="CPA - AI - Video-IS - iOS - Mexico"/>
        <s v="CPA - AI - Video-IS - excl. iOS - Mexico"/>
        <s v="CPA - AI - Video-IS - excl. iOS - Italy"/>
        <s v="CPA - AI - Video-IS - iOS - Italy"/>
        <s v="CPA - AI - Video-IS - Desktop - Italy"/>
        <s v="CPA - AI - Video-IS - Desktop - Japan"/>
        <s v="CPA - AI - Video-IS - iOS - Japan"/>
        <s v="CPA - AI - Video-IS - Android - Japan"/>
        <s v="CPA - AI - Shorties - Android - USA"/>
        <s v="CPA - AI - Shorties - iOS - USA"/>
        <s v="CPA - AI - Shorties - iOS - Aus"/>
        <s v="CPA - AI - Shorties - Android - Aus"/>
        <s v="CPA - JOI - Video-IS - iOS - USA"/>
        <s v="CPA - JOI - Video-IS - Desktop - USA - BROKEN"/>
        <s v="CPA - JOI - Video-IS - Android - Aus"/>
        <s v="CPA - JOI - Video-IS - iOS - Aus"/>
        <s v="CPA - JOI - Video-IS - Desktop - Aus"/>
        <s v="CPA - JOI - Video-IS - Desktop - UK"/>
        <s v="CPA - JOI - Video-IS - iOS - UK"/>
        <s v="CPA - JOI - Video-IS - Android - UK"/>
        <s v="CPA - JOI - Video-IS - Desktop - Canada"/>
        <s v="CPA - JOI - Video-IS - iOS - Canada"/>
        <s v="CPA - JOI - Video-IS - Android - Canada - BROKEN"/>
        <s v="CPA - Furry - Video-IS - iOS - USA"/>
        <s v="CPA - Furry - Video-IS - Desktop - USA"/>
        <s v="CPA - Furry - Video-IS - Desktop - Canada"/>
        <s v="CPA - Furry - Video-IS - iOS - Canada - BROKEN"/>
        <s v="CPA - Furry - Video-IS - Android - Canada"/>
        <s v="CPAa - Furry - Video-IS - Desktop - Aus"/>
        <s v="CPA - Furry - Video-IS - iOS - Aus"/>
        <s v="CPA - Furry - Video-IS - Android - Aus"/>
        <s v="CPA - Furry - Video-IS - Desktop - UK"/>
        <s v="CPA - Furry - Video-IS - iOS - UK"/>
        <s v="CPA - Furry - Video-IS - Android - UK"/>
        <s v="CPA - VTuber - Video-IS - iOS - USA"/>
        <s v="CPA - Compilation - Video-IS - iOS - USA"/>
        <s v="CPA - Cuck - Video-IS - iOS - USA"/>
        <s v="CPA - Gaming - Video-IS - iOS - USA"/>
        <s v="CPA - POV - Video-IS - iOS - USA"/>
        <s v="CPA - Romantic - Video-IS - iOS - USA"/>
        <s v="CPA - Roleplay - Video-IS - iOS - USA"/>
        <s v="CPAa - Fantasy - Video-IS - iOS - USA"/>
        <s v="CPA - Webcam - Video-IS - iOS - USA"/>
        <s v="CPA - Gameshow - Video-IS - iOS - USA"/>
        <s v="CPA - Jav - Video-IS - iOS - USA"/>
        <s v="CPA - Casting - Video-IS - iOS - USA"/>
        <s v="CPA - FinDom - Video-IS - iOS - USA"/>
        <s v="CPA - Webcams - Video-IS - iOS - USA"/>
        <s v="CPA - OF - Video-IS - iOS - USA"/>
        <s v="CPA - Trans - Video-IS - iOS - USA"/>
        <s v="CPA - Trans - Video-IS - Desktop - USA"/>
        <s v="CPA - Trans - Video-IS - Android - Aus"/>
        <s v="CPA - Trans - Video-IS - iOS - Aus"/>
        <s v="CPA - Trans - Video-IS - Android - Canada"/>
        <s v="CPA - Trans - Video-IS - iOS - Canada"/>
        <s v="CPA - Trans - Video-IS - Desktop - Aus"/>
        <s v="CPA - Trans - Video-IS - Desktop - UK"/>
        <s v="CPA - Trans - Video-IS - Desktop - Canada"/>
        <s v="CPA - Trans - Video-IS - iOS - UK"/>
        <s v="CPA - Trans - Video-IS - Android - UK"/>
        <s v="CPA - Fantasy - Video-IS - Android - USA"/>
        <s v="CPA - Fantasy - Video-IS - Desktop - USA"/>
        <s v="CPA - Fantasy - Video-IS - iOS - Aus"/>
        <s v="CPA - Fantasy - Video-IS - Android - Aus"/>
        <s v="CPA - Fantasy - Video-IS - Desktop - Aus"/>
        <s v="CPA - Fantasy - Video-IS - iOS - UK"/>
        <s v="CPA - Fantasy - Video-IS - Android - UK"/>
        <s v="CPA - Fantasy - Video-IS - Desktop - UK"/>
        <s v="CPA - Fantasy - Video-IS - Desktop - Canada"/>
        <s v="CPA - Fantasy - Video-IS - Android - Canada"/>
        <s v="CPA - Fantasy - Video-IS - iOS - Canada"/>
        <s v="CPA - Cosplay - Video-IS - iOS - USA"/>
        <s v="CPA - Cosplay - Video-IS - Desktop - USA"/>
        <s v="CPA - Cosplay - Video-IS - Android - Aus"/>
        <s v="CPA - Cosplay - Video-IS - iOS - Aus"/>
        <s v="CPA - Cosplay - Video-IS - Desktop - Aus"/>
        <s v="CPA - Cosplay - Video-IS - Desktop - Canada"/>
        <s v="CPA - Cosplay - Video-IS - iOS - Canada"/>
        <s v="CPA - Cosplay - Video-IS - Android - Canada"/>
        <s v="CPAa - Cosplay - Video-IS - Android - UK"/>
        <s v="CPA - Cosplay - Video-IS - iOS - UK"/>
        <s v="CPA - Cosplay - Video-IS - Desktop - UK"/>
        <s v="CPA - FinDom - Video-IS - Android - USA"/>
        <s v="CPA - FinDom - Video-IS - Desktop - USA"/>
        <s v="CPA - FinDom - Video-IS - iOS - Aus"/>
        <s v="CPA - FinDom - Video-IS - excl. iOS - Aus"/>
        <s v="CPA - FinDom - Video-IS - Desktop - Aus"/>
        <s v="CPA - FinDom - Video-IS - Desktop - Canada"/>
        <s v="CPA - FinDom - Video-IS - Android - Canada"/>
        <s v="CPA - FinDom - Video-IS - iOS - Canada"/>
        <s v="CPAa - FinDom - Video-IS - iOS - UK"/>
        <s v="CPA - FinDom - Video-IS - Android - UK"/>
        <s v="CPA - FinDom - Video-IS - Desktop - UK"/>
        <s v="CPA - VTuber - Video-IS - Android - USA"/>
        <s v="CPA - Vtuber - Video-IS - Desktop - USA"/>
        <s v="CPA - Vtuber - Video-IS - Desktop - Aus"/>
        <s v="CPA - VTuber - Video-IS - excl. iOS - Aus"/>
        <s v="CPA - VTuber - Video-IS - iOS - Aus"/>
        <s v="CPA - VTuber - Video-IS - iOS - UK"/>
        <s v="CPA - VTuber - Video-IS - Android - UK"/>
        <s v="CPA - Vtuber - Video-IS - Desktop - UK"/>
        <s v="CPA - Vtuber - Video-IS - Desktop - Canada"/>
        <s v="CPA - VTuber - Video-IS - Android - Canada"/>
        <s v="CPA - VTuber - Video-IS - iOS - Canada"/>
        <s v="CPA2 - Hentai - Video-IS - iOS - USA - BROKEN"/>
        <s v="CPA2 - Hentai - Video-IS - Android - USA"/>
        <s v="CPA2 - Hentai - Video-IS - Desktop - US"/>
        <s v="CPA2 - Hentai - Video-IS - iOS - Aus"/>
        <s v="CPA2 - Hentai - Video-IS - Android - Aus - BROKEN"/>
        <s v="CPA2 - Hentai - Video-IS - iOS - UK"/>
        <s v="CPA2 - Hentai - Video-IS - Android - UK"/>
        <s v="CPA2 - Hentai - Video-IS - Android - Canada"/>
        <s v="CPA2 - Hentai - Video-IS - iOS - Canada - BROKEN"/>
        <s v="CPA2 - Hentai - Video-IS - Desktop - Canada"/>
        <s v="CPA2 - Hentai - Video-IS - Desktop - UK"/>
        <s v="CPA2 - Hentai - Video-IS - Desktop - Aus"/>
        <s v="CPA - Webcam - Video-IS - Android - USA"/>
        <s v="CPA - Webcam - Video-IS - Desktop - USA"/>
        <s v="CPA - Webcam - Video-IS - iOS - Aus"/>
        <s v="CPA - Webcam - Video-IS - Android - Aus"/>
        <s v="CPA - Webcam - Video-IS - Desktop - Aus"/>
        <s v="CPA - Webcam - Video-IS - Desktop - Canada - BROKEN"/>
        <s v="CPA - Webcam - Video-IS - Android - Canada"/>
        <s v="CPA - Webcam - Video-IS - iOS - Canada"/>
        <s v="CPA - Webcam - Video-IS - Desktop - UK"/>
        <s v="CPA - Webcam - Video-IS - Android - UK"/>
        <s v="CPA - Webcam - Video-IS - iOS - UK"/>
        <s v="CPA - Cuck - Video-IS - Andriod - USA"/>
        <s v="CPA - Romantic - Video-IS - Android - USA"/>
        <s v="CPA - Shorties - iOS - USA"/>
        <s v="CPA - Shorties - iOS - Aus"/>
        <s v="CPA - Shorties - Android - Aus"/>
        <s v="CPA - Shorties - Android - Canada"/>
        <s v="CPA - Shorties - iOS - Canada"/>
        <s v="CPA - Shorties - iOS - UK"/>
        <s v="CPA - Shorties - Android - UK"/>
        <s v="CPA - Casting - Video-IS - Android - USA"/>
        <s v="CPA - Casting - Video-IS - Android - Aus"/>
        <s v="CPA - Casting - Video-IS - iOS - Aus"/>
        <s v="CPA - Casting - Video-IS - Android - UK"/>
        <s v="CPA - Casting - Video-IS - iOS - UK"/>
        <s v="CPA - Casting - Video-IS - Android - Canada"/>
        <s v="CPA - Casting - Video-IS - iOS - Canada"/>
        <s v="CPA - Humiliation - Video-IS - Mobile - USA"/>
        <s v="CPA - Cheating - Video-IS - Mobile - USA"/>
        <s v="CPA - StepMum - Video-IS - Mobile - USA"/>
        <s v="CPA - StepDaughter - Video-IS - Mobile - USA"/>
        <s v="CPA - StepSis - Video-IS - Mobile - USA"/>
        <s v="CPA - SoloGirl - Video-IS - Mobile - USA"/>
        <s v="CPA - SexDoll - Video-IS - Mobile - USA"/>
        <s v="CPA - FreeUse - Video-IS - Mobile - USA"/>
        <s v="CPA - DatingSim - Video-IS - Mobile - USA"/>
        <s v="CPA - FuckingMachine - Video-IS - Mobile - USA"/>
        <s v="CPA - Dildo - Video-IS - Mobile - USA"/>
        <s v="CPA - MILF - Video-IS - Mobile - USA"/>
        <s v="CPA - Voyeur - Video-IS - Mobile - USA"/>
        <s v="CPA - OrgasmControl - Video-IS - Mobile - USA"/>
        <s v="CPA - Mature - Video-IS - Mobile - USA"/>
        <s v="CPA - Funny - Video-IS - Mobile - USA"/>
        <s v="CPA - FemDom - Video-IS - Mobile - USA"/>
        <s v="CPA - Exhibitionism - Video-IS - Mobile - USA"/>
        <s v="CPA - Camgirl - Video-IS - Mobile - USA"/>
        <s v="CPA - AdultGames - Video-IS - Mobile - USA"/>
        <s v="CPA - GameStreaming - Video-IS - Mobile - USA"/>
        <s v="CPA - VOD Hentai - Video-IS - Mobile - USA"/>
        <s v="CPA - Clone - Video-IS - Mobile - USA"/>
        <s v="CPA - Blonde - Video-IS - Mobile - USA - BROKEN"/>
        <s v="CPA - Goth - Video-IS - Mobile - USA"/>
        <s v="CPA - Hentai - NativeVideo - Mobile - USA"/>
        <s v="CPA - Gay - Mobile - USA - BROKEN"/>
        <s v="CPA - Brunette - Video-IS - Mobile - USA"/>
        <s v="CPA - Ebony - Video-IS - Mobile - USA"/>
        <s v="CPA - Indian - Video-IS - Mobile - USA"/>
        <s v="CPA - Red Head - Video-IS - Mobile - USA"/>
        <s v="CPAa - Blowjob - Video-IS - Mobile - USA"/>
        <s v="CPA - Blowjob - Video-IS - Mobile - USA"/>
        <s v="CPA - StepDaughter - Video-IS - Android - USA - BROKEN"/>
        <s v="CPA - StepDaughter - Video-IS - Desktop - USA"/>
        <s v="CPAa - StepDaughter - Video-IS - iOS - USA"/>
        <s v="CPA - StepDaughter - Video-IS - Android - Aus"/>
        <s v="CPA - StepDaughter - Video-IS - Desktop - Aus"/>
        <s v="CPAa - StepDaughter - Video-IS - iOS - Aus"/>
        <s v="CPA - StepDaughter - Video-IS - Android - Canada"/>
        <s v="CPA - StepDaughter - Video-IS - Desktop - Canada"/>
        <s v="CPA - StepDaughter - Video-IS - iOS - Canada - BROKEN"/>
        <s v="CPA - StepDaughter - Video-IS - Android - UK"/>
        <s v="CPAa - StepDaughter - Video-IS - iOS - UK"/>
        <s v="CPA - StepDaughter - Video-IS - Desktop - UK"/>
        <s v="CPA - SexDoll - Video-IS - iOS - USA"/>
        <s v="CPA - SexDoll - Video-IS - excl. iOS - USA"/>
        <s v="CPA - SexDoll - Video-IS - Desktop - USA"/>
        <s v="CPA - SexDoll - Video-IS - iOS - Aus"/>
        <s v="CPA - SexDoll - Video-IS - Android - Aus - BROKEN"/>
        <s v="CPA - SexDoll - Video-IS - Desktop - Aus"/>
        <s v="CPA - SexDoll - Video-IS - iOS - UK"/>
        <s v="CPA - SexDoll - Video-IS - Desktop - UK"/>
        <s v="CPA - SexDoll - Video-IS - Android - UK"/>
        <s v="CPA - SexDoll - Video-IS - Android - Canada"/>
        <s v="CPA - SexDoll - Video-IS - Desktop - Canada"/>
        <s v="CPA - SexDoll - Video-IS - iOS - Canada - BROKEN"/>
        <s v="CPA - Gay - iOS - Video-IS - USA"/>
        <s v="CPA - Gay - Android - Video-IS - USA"/>
        <s v="CPA - Gay - Desktop - Video-IS USA"/>
        <s v="CPA - Gay - iOS - Video-IS - Aus"/>
        <s v="CPA - Gay - Android - Video-IS - Aus"/>
        <s v="CPA - Gay - Desktop - Video-IS - Aus"/>
        <s v="CPA - Gay - Desktop - Video-IS - UK"/>
        <s v="CPA - Gay - Android - Video-IS - UK"/>
        <s v="CPA - Gay - iOS - Video-IS - UK"/>
        <s v="CPA - Gay - iOS - Video-IS - Canada"/>
        <s v="CPA - Gay - Android - Video-IS - Canada"/>
        <s v="CPA - Gay - Desktop - Video-IS - Canada"/>
        <s v="CPA - Blonde - Video-IS - Android - Canada"/>
        <s v="CPA - Blonde - Video-IS - iOS - Canada"/>
        <s v="CPA - Blonde - Video-IS - Desktop - Canada"/>
        <s v="CPA - Blonde - Video-IS - Android - UK"/>
        <s v="CPA - Blonde - Video-IS - Desktop - UK"/>
        <s v="CPA - Blonde - Video-IS - iOS - UK"/>
        <s v="CPAa - Blonde - Video-IS - iOS - Aus"/>
        <s v="CPA - Blonde - Video-IS - Desktop - Aus"/>
        <s v="CPA - Blonde - Video-IS - Android - Aus"/>
        <s v="CPAa - Blonde - Video-IS - Android - USA - BROKEN"/>
        <s v="CPA - Blonde - Video-IS - Desktop - USA"/>
        <s v="CPAa - Blonde - Video-IS - iOS - USA"/>
        <s v="CPA - Blowjob - Video-IS - iOS - USA"/>
        <s v="CPA - Blowjob - Video-IS - Desktop - USA"/>
        <s v="CPAa - Blowjob - Video-IS - Android - USA - BROKEN"/>
        <s v="CPA - Blowjob - Video-IS - iOS - Aus"/>
        <s v="CPA - Blowjob - Video-IS - Desktop - Aus - BROKEN"/>
        <s v="CPA - Blowjob - Video-IS - Android - Aus"/>
        <s v="CPA - Blowjob - Video-IS - iOS - UK"/>
        <s v="CPA - Blowjob - Video-IS - Desktop - UK"/>
        <s v="CPA - Blowjob - Video-IS - Android - UK"/>
        <s v="CPA - Blowjob - Video-IS - Android - Canada"/>
        <s v="CPA - Blowjob - Video-IS - Desktop - Canada - BROKEN"/>
        <s v="CPA - Blowjob - Video-IS - iOS - Canada"/>
        <s v="CPA - MILF - Video-IS - iOS - Canada"/>
        <s v="CPA - MILF - Video-IS - Desktop - Canada"/>
        <s v="CPA - MILF - Video-IS - Android - Canada"/>
        <s v="CPA - MILF - Video-IS - iOS - UK"/>
        <s v="CPA - MILF - Video-IS - Desktop - UK"/>
        <s v="CPA - MILF - Video-IS - Android - UK - BROKEN"/>
        <s v="CPA - MILF - Video-IS - Android - Aus"/>
        <s v="CPA - MILF - Video-IS - Desktop - Aus"/>
        <s v="CPA - MILF - Video-IS - iOS - Aus"/>
        <s v="CPA - MILF - Video-IS - iOS - USA"/>
        <s v="CPA - MILF - Video-IS - Desktop - USA - BROKEN"/>
        <s v="CPAa - MILF - Video-IS - Android - USA"/>
        <s v="CPA - Missionary - Video-IS - Mobile - USA - BROKEN"/>
        <s v="CPA - Cowgirl - Video-IS - Mobile - USA - BROKEN"/>
        <s v="CPA - Cumshot - Video-IS - Mobile - USA"/>
        <s v="CPA - Titjob - Video-IS - Mobile - USA"/>
        <s v="CPAa - Cowgirl - Video-IS - iOS - USA"/>
        <s v="CPA - Cowgirl - Video-IS - Android - USA - BROKEN"/>
        <s v="CPA - Cowgirl - Video-IS - Desktop - USA - BROKEN"/>
        <s v="CPA - Cowgirl - Video-IS - iOS - Aus"/>
        <s v="CPA - Cowgirl - Video-IS - Android - Aus"/>
        <s v="CPA - Cowgirl - Video-IS - Desktop - Aus - BROKEN"/>
        <s v="CPA - Cowgirl - Video-IS - iOS - UK"/>
        <s v="CPA - Cowgirl - Video-IS - Android - UK"/>
        <s v="CPA - Cowgirl - Video-IS - Desktop - UK"/>
        <s v="CPA - Cowgirl - Video-IS - iOS - Canada"/>
        <s v="CPA - Cowgirl - Video-IS - excl. iOS - Canada"/>
        <s v="CPA - Cowgirl - Video-IS - Desktop - Canada"/>
        <s v="CPAa - Missionary - Video-IS - iOS - USA - BROKEN"/>
        <s v="CPAa - Missionary - Video-IS - Android - USA - BROKEN"/>
        <s v="CPA - Missionary - Video-IS - Desktop - USA"/>
        <s v="CPA - Missionary - Video-IS - iOS - Aus"/>
        <s v="CPA - Missionary - Video-IS - Android - Aus"/>
        <s v="CPA - Missionary - Video-IS - Desktop - Aus"/>
        <s v="CPA - Missionary - Video-IS - iOS - UK"/>
        <s v="CPA - Missionary - Video-IS - Android - UK"/>
        <s v="CPA - Missionary - Video-IS - Desktop - UK"/>
        <s v="CPA - Missionary - Video-IS - iOS - Canada"/>
        <s v="CPA - Missionary - Video-IS - excl. iOS - Canada"/>
        <s v="CPA - Missionary - Video-IS - Desktop - Canada - BROKEN"/>
        <s v="CPA - Femdom - Video-IS - Desktop - USA"/>
        <s v="CPA - Femdom - Video-IS - iOS - USA"/>
        <s v="CPA - Femdom - Video-IS - excl. iOS - USA"/>
        <s v="CPA - Femdom - Video-IS - Desktop - Aus"/>
        <s v="CPA - Femdom - Video-IS - iOS - Aus"/>
        <s v="CPA - Femdom - Video-IS - excl. iOS - Aus"/>
        <s v="CPA - Femdom - Video-IS - Android - UK"/>
        <s v="CPA - Femdom - Video-IS - Desktop - UK"/>
        <s v="CPAa - Femdom - Video-IS - iOS - UK"/>
        <s v="CPA - Femdom - Video-IS - Android - Canada"/>
        <s v="CPA - Femdom - Video-IS - Desktop - Canada"/>
        <s v="CPA - Femdom - Video-IS - iOS - Canada"/>
        <s v="CPA - AI Alt - Video-IS - Mobile - USA"/>
        <s v="CPA - Tattoo - Video-IS - Mobile - USA"/>
        <s v="CPA - Handjob - Video-IS - Mobile - USA"/>
        <s v="CPA - Ass - Video-IS - Mobile - USA"/>
        <s v="CPA - Lingerie - Video-IS - Mobile - USA"/>
        <s v="CPA - TransV2 - Video-IS - Mobile - USA"/>
        <s v="CPA - POV - Video-IS - Mobile - USA"/>
        <s v="CPA - JOI - Video-IS - Mobile - USA - BROKEN"/>
        <s v="CPA - FaceFuck - Video-IS - Mobile - USA"/>
        <s v="CPAa - Threesome - Video-IS - Mobile - USA - BROKEN"/>
        <s v="CPA - Gangbang - Video-IS - Mobile - USA"/>
        <s v="CPA - Anal - Video-IS - Mobile - USA"/>
        <s v="CPA - Gangbang - Video-IS - iOS - USA"/>
        <s v="CPA - Gangbang - Video-IS - Desktop - USA"/>
        <s v="CPAa - Gangbang - Video-IS - iOS - USA"/>
        <s v="(clone) CPA - Gangbang - Video-IS - iOS - USA"/>
        <s v="CPA - Gangbang - Video-IS - Android - USA"/>
        <s v="CPA - Gangbang - Video-IS - Android - Aus"/>
        <s v="CPA - Gangbang - Video-IS - Desktop - Aus"/>
        <s v="CPA - Gangbang - Video-IS - iOS - Aus"/>
        <s v="CPA - Gangbang - Video-IS - iOS - Canada"/>
        <s v="CPA - Gangbang - Video-IS - Desktop - Canada"/>
        <s v="CPA - Gangbang - Video-IS - Android - Canada"/>
        <s v="CPA - Gangbang - Video-IS - Android - UK"/>
        <s v="CPAa - Gangbang - Video-IS - Desktop - UK"/>
        <s v="CPA - Gangbang - Video-IS - iOS - UK"/>
        <s v="CPA - Threesome - Video-IS - iOS - UK"/>
        <s v="CPA - Threesome - Video-IS - Desktop - UK"/>
        <s v="CPA - Threesome - Video-IS - Android - UK"/>
        <s v="CPA - Threesome - Video-IS - Android - USA"/>
        <s v="CPA - Threesome - Video-IS - Desktop - USA"/>
        <s v="CPA - Threesome - Video-IS - iOS - USA"/>
        <s v="CPA - Threesome - Video-IS - Android - Aus"/>
        <s v="CPA - Threesome - Video-IS - Desktop - Aus"/>
        <s v="CPA - Threesome - Video-IS - iOS - Aus"/>
        <s v="CPA - Threesome - Video-IS - iOS - Canada"/>
        <s v="CPA - Threesome - Video-IS - Desktop - Canada"/>
        <s v="CPA - Threesome - Video-IS - Android - Canada"/>
        <s v="CPA - Handjob - Video-IS - Android - USA"/>
        <s v="CPA - Handjob - Video-IS - Desktop - USA - BROKEN"/>
        <s v="CPA - Handjob - Video-IS - iOS - USA"/>
        <s v="CPA - Handjob - Video-IS - iOS - Aus"/>
        <s v="CPA - Handjob - Video-IS - Desktop - Aus"/>
        <s v="CPAa - Handjob - Video-IS - Android - Aus"/>
        <s v="CPAa - Handjob - Video-IS - Android - UK"/>
        <s v="CPA - Handjob - Video-IS - Desktop - UK"/>
        <s v="CPA - Handjob - Video-IS - iOS - UK"/>
        <s v="CPA - Handjob - Video-IS - iOS - Canada"/>
        <s v="CPA - Handjob - Video-IS - Desktop - Canada"/>
        <s v="CPA - Handjob - Video-IS - Android - Canada"/>
        <s v="CPA - TransV2 - Video-IS - Android - Canada - BROKEN"/>
        <s v="CPA - TransV2 - Video-IS - Desktop - Canada"/>
        <s v="CPA - TransV2 - Video-IS - iOS - Canada"/>
        <s v="CPA - TransV2 - Video-IS - iOS - UK"/>
        <s v="CPA - TransV2 - Video-IS - Desktop - UK"/>
        <s v="CPA - TransV2 - Video-IS - Android - UK"/>
        <s v="CPA - TransV2 - Video-IS - Android - Aus"/>
        <s v="CPA - TransV2 - Video-IS - Desktop - Aus - BROKEN"/>
        <s v="CPA - TransV2 - Video-IS - iOS - Aus"/>
        <s v="CPA - TransV2 - Video-IS - iOS - USA"/>
        <s v="CPA - TransV2 - Video-IS - Desktop - USA"/>
        <s v="CPA - TransV2 - Video-IS - Android - USA"/>
        <s v="CPA - Teen - Video-IS - Mobile - USA"/>
        <s v="CPA - Amateur - Video-IS - Mobile - USA"/>
        <s v="CPA - Festival - Video-IS - Mobile - USA"/>
        <s v="CPA - Cam - Video-IS - Mobile - USA"/>
        <s v="CPA - Curvy - Video-IS - Mobile - USA"/>
        <s v="CPA - Busty - Video-IS - Mobile - USA"/>
        <s v="CPA - Doctor - Video-IS - Mobile - USA"/>
        <s v="CPA - Nurse - Video-IS - Mobile - USA"/>
        <s v="CPA - Police - Video-IS - Mobile - USA"/>
        <s v="CPA - Solider - Video-IS - Mobile - USA"/>
        <s v="CPA - Uniform - Video-IS - Mobile - USA"/>
        <s v="CPA - Tutor - Video-IS - Mobile - USA"/>
        <s v="CPA - Teacher - Video-IS - Mobile - USA"/>
        <s v="CPA - Overwatch - Video-IS - Mobile - USA"/>
        <s v="CPA - LoL - Video-IS - Mobile - USA"/>
        <s v="CPA - Fortnight - Video-IS - Mobile - USA"/>
        <s v="CPA - rule34 - Video-IS - Mobile - USA"/>
        <s v="CPA - pokemon - Video-IS - Mobile - USA"/>
        <s v="CPA - Frieren - Video-IS - Mobile - USA"/>
        <s v="CPA - One Piece - Video-IS - Mobile - USA"/>
        <s v="CPA - Demon Slayer - Video-IS - Mobile - USA"/>
        <s v="CPA - Yoga - Video-IS - Mobile - USA"/>
        <s v="CPA - TanLines - Video-IS - Mobile - USA"/>
        <s v="CPA - Athlete - Video-IS - Mobile - USA"/>
        <s v="CPA - Stuck - Video-IS - Mobile - USA"/>
        <s v="CPA - Korean - Video-IS - Mobile - USA"/>
        <s v="CPA - Chinese - Video-IS - Mobile - USA"/>
        <s v="CPA - Pegging - Video-IS - Mobile - USA"/>
        <s v="CPA - BBC - Video-IS - Mobile - USA"/>
        <s v="CPA - Bikini - Video-IS - Mobile - USA"/>
        <s v="CPA - Stocking/Socks - Video-IS - Mobile - USA"/>
        <s v="CPA - Cuck - Video-IS - Mobile - USA"/>
        <s v="CPA - Female POV - Video-IS - Mobile - USA"/>
        <s v="CPA - Braista - Video-IS - Mobile - USA"/>
        <s v="CPA - Wedding - Video-IS - Mobile - USA"/>
        <s v="CPA - AI Porn - Video-IS - Mobile - USA"/>
        <s v="CPA - Orgy - Video-IS - Mobile - USA"/>
        <s v="CPA - Bathroom - Video-IS - Mobile - USA"/>
        <s v="CPA - Shower - Video-IS - Mobile - USA"/>
        <s v="CPA - Office - Video-IS - Mobile - USA"/>
        <s v="CPA - Wife - Video-IS - Mobile - USA"/>
        <s v="CPA - Bukkake - Video-IS - Mobile - USA"/>
        <s v="CPA - Big Dick - Video-IS - Mobile - USA"/>
        <s v="CPA - French - Video-IS - Mobile - USA"/>
        <s v="CPA - Fetish - Video-IS - Mobile - USA"/>
        <s v="CPA - Genshin Impact - Video-IS - Mobile - USA"/>
        <s v="CPA - Minecraft - Video-IS - Mobile - USA"/>
        <s v="CPA - Resident Evil - Video-IS - Mobile - USA"/>
        <s v="CPA - Valorant - Video-IS - Mobile - USA"/>
        <s v="CPA - Marvel - Video-IS - iOS - USA"/>
        <s v="CPA - Chun Li - Video-IS - Mobile - USA"/>
        <s v="CPA - Lara Croft - Video-IS - Mobile - USA"/>
        <s v="CPA - Creampie - Video-IS - Mobile - USA - BROKEN"/>
        <s v="CPA - Tifa - Video-IS - Mobile - USA"/>
        <s v="CPA - DVA - Video-IS - Mobile - USA"/>
        <s v="CPA - VideoGameChars - Video-IS - Mobile - USA"/>
        <s v="CPA - Slime - Video-IS - Mobile - USA"/>
        <s v="CPA - Monster Girls - Video-IS - Mobile - USA"/>
        <s v="CPA - Cuck - Video-IS - Android - USA"/>
        <s v="CPA - Cuck - Video-IS - Desktop- USA"/>
        <s v="CPA - Cuck - Video-IS - Desktop- Aus"/>
        <s v="CPA - Cuck - Video-IS - Android - Aus"/>
        <s v="CPA - Cuck - Video-IS - iOS - Aus"/>
        <s v="CPA - Cuck - Video-IS - iOS - Canada"/>
        <s v="CPA - Cuck - Video-IS - Android - Canada"/>
        <s v="CPA - Cuck - Video-IS - Desktop - Canada"/>
        <s v="CPA - Cuck - Video-IS - Desktop - UK"/>
        <s v="CPA - Cuck - Video-IS - Android - UK"/>
        <s v="CPA - Cuck - Video-IS - iOS - UK"/>
        <s v="CPA - Cuck - Video-IS - iOS - NZ"/>
        <s v="CPA - Cuck - Video-IS - Android - NZ"/>
        <s v="CPA - Cuck - Video-IS - Desktop - NZ"/>
        <s v="CPA - Marvel - Video-IS - excl. iOS - USA"/>
        <s v="CPA - Marvel - Video-IS - Desktop - USA"/>
        <s v="CPA - Marvel - Video-IS - Desktop - Aus"/>
        <s v="CPA - Marvel - Video-IS - iOS - Aus"/>
        <s v="CPA - Marvel - Video-IS - excl. iOS - Aus"/>
        <s v="CPA - Marvel - Video-IS - Android - Canada"/>
        <s v="CPA - Marvel - Video-IS - iOS - Canada"/>
        <s v="CPA - Marvel - Video-IS - Desktop - Canada"/>
        <s v="CPA - Marvel - Video-IS - Desktop - UK"/>
        <s v="CPA - Marvel - Video-IS - iOS - UK"/>
        <s v="CPA - Marvel - Video-IS - Android - UK"/>
        <s v="CPA - Marvel - Video-IS - Android - NZ"/>
        <s v="CPA - Marvel - Video-IS - iOS - NZ"/>
        <s v="CPA - Marvel - Video-IS - Desktop - NZ"/>
        <s v="CPA - Bukkake - Video-IS - Desktop - NZ"/>
        <s v="CPA - Bukkake - Video-IS - iOS - NZ"/>
        <s v="CPA - Bukkake - Video-IS - excl. iOS - NZ"/>
        <s v="CPA - Bukkake - Video-IS - excl. iOS - USA"/>
        <s v="CPA - Bukkake - Video-IS - iOS - USA"/>
        <s v="CPA - Bukkake - Video-IS - Desktop - USA"/>
        <s v="CPA - Bukkake - Video-IS - Desktop - Aus"/>
        <s v="CPA - Bukkake - Video-IS - iOS - Aus"/>
        <s v="CPA - Bukkake - Video-IS - Android - Aus"/>
        <s v="CPA - Bukkake - Video-IS - Android - UK"/>
        <s v="CPA - Bukkake - Video-IS - iOS - UK"/>
        <s v="CPA - Bukkake - Video-IS - Desktop - UK"/>
        <s v="CPA - Bukkake - Video-IS - Desktop - Canada"/>
        <s v="CPA - Bukkake - Video-IS - iOS - Canada"/>
        <s v="CPA - Bukkake - Video-IS - Android - Canada"/>
        <s v="CPA - Office - Video-IS - Android - Canada"/>
        <s v="CPA - Office - Video-IS - iOS - Canada"/>
        <s v="CPA - Office - Video-IS - Desktop - Canada"/>
        <s v="CPA - Office - Video-IS - Desktop - USA"/>
        <s v="CPA - Office - Video-IS - iOS - USA"/>
        <s v="CPA - Office - Video-IS - Android - USA"/>
        <s v="CPA - Office - Video-IS - excl. iOS - Aus"/>
        <s v="CPA - Office - Video-IS - iOS - Aus"/>
        <s v="CPA - Office - Video-IS - Desktop - Aus"/>
        <s v="CPA - Office - Video-IS - Desktop - UK"/>
        <s v="CPA - Office - Video-IS - iOS - UK"/>
        <s v="CPA - Office - Video-IS - Android - UK"/>
        <s v="CPA - Office - Video-IS - Android - NZ"/>
        <s v="CPA - Office - Video-IS - iOS - NZ"/>
        <s v="CPA - Office - Video-IS - Desktop - NZ"/>
        <s v="CPA - Bikini - Video-IS - Desktop - NZ"/>
        <s v="CPA - Bikini - Video-IS - iOS - NZ"/>
        <s v="CPA - Bikini - Video-IS - Android - NZ"/>
        <s v="CPA - Bikini - Video-IS - Android - USA"/>
        <s v="CPA - Bikini - Video-IS - iOS - USA"/>
        <s v="CPA - Bikini - Video-IS - Desktop - USA"/>
        <s v="CPA - Bikini - Video-IS - Desktop - Canada"/>
        <s v="CPA - Bikini - Video-IS - iOS - Canada"/>
        <s v="CPA - Bikini - Video-IS - Android - Canada"/>
        <s v="CPA - Bikini - Video-IS - Android - UK"/>
        <s v="CPA - Bikini - Video-IS - iOS - UK"/>
        <s v="CPA - Bikini - Video-IS - Desktop - UK"/>
        <s v="CPA - Bikini - Video-IS - Desktop - Aus"/>
        <s v="CPA - Bikini - Video-IS - iOS - Aus"/>
        <s v="CPA - Bikini - Video-IS - Android - Aus"/>
        <s v="CPA - Pegging - Video-IS - Desktop - Aus"/>
        <s v="CPA - Pegging - Video-IS - excl. iOS - Aus"/>
        <s v="CPA - Pegging - Video-IS - iOS - Aus"/>
        <s v="CPA - Pegging - Video-IS - iOS - USA"/>
        <s v="CPA - Pegging - Video-IS - Android - USA"/>
        <s v="CPA - Pegging - Video-IS - Desktop - USA"/>
        <s v="CPA - Pegging - Video-IS - Desktop - Canada"/>
        <s v="CPA - Pegging - Video-IS - excl. iOS - Canada"/>
        <s v="CPA - Pegging - Video-IS - iOS - Canada"/>
        <s v="CPA - Pegging - Video-IS - iOS - UK"/>
        <s v="CPA - Pegging - Video-IS - Android - UK"/>
        <s v="CPA - Pegging - Video-IS - Desktop - UK"/>
        <s v="CPA - Pegging - Video-IS - Desktop - NZ"/>
        <s v="CPA - Pegging - Video-IS - Android - NZ"/>
        <s v="CPA - Pegging - Video-IS - iOS - NZ"/>
        <s v="CPA - Shorties - iOS - NZ"/>
        <s v="CPA - Handjob - Video-IS - Desktop - NZ"/>
        <s v="CPA - Shorties - Android - NZ"/>
        <s v="CPA - Cowgirl - NativeVideo - Mobile - USA"/>
        <s v="CPA - Missionary - NativeVideo - Mobile - USA"/>
        <s v="CPA - Blonde - NativeVideo - Mobile - USA"/>
        <s v="CPA - Handjob - NativeVideo - Mobile - USA"/>
        <s v="CPA - JOI - NativeVideo - Mobile - USA"/>
        <s v="CPA - Creampie - Video-IS - Mobile - USA"/>
        <s v="CPA - TransV2 - Video-IS - Desktop - Aus"/>
        <s v="CPA - TransV2 - Video-IS - Android - Canada"/>
        <s v="CPA - Handjob - Video-IS - Desktop - USA"/>
        <s v="CPA - Threesome - Video-IS - Mobile - USA"/>
        <s v="CPA - JOI - Video-IS - Mobile - USA"/>
        <s v="CPA - Missionary - Video-IS - Desktop - Canada"/>
        <s v="CPA - Missionary - Video-IS - Android - USA"/>
        <s v="CPA - Missionary - Video-IS - iOS - USA"/>
        <s v="CPA - Cowgirl - Video-IS - Desktop - Aus"/>
        <s v="CPA - Cowgirl - Video-IS - Desktop - USA"/>
        <s v="CPA - Cowgirl - Video-IS - Android - USA"/>
        <s v="CPA - Cowgirl - Video-IS - Mobile - USA"/>
        <s v="CPA - Missionary - Video-IS - Mobile - USA"/>
        <s v="CPA - MILF - Video-IS - Desktop - USA"/>
        <s v="CPA - MILF - Video-IS - Android - UK"/>
        <s v="CPA - Blowjob - Video-IS - Desktop - Canada"/>
        <s v="CPA - Blowjob - Video-IS - Desktop - Aus"/>
        <s v="CPA - Blowjob - Video-IS - Android - USA"/>
        <s v="CPA - Blonde - Video-IS - Android - USA"/>
        <s v="CPA - SexDoll - Video-IS - iOS - Canada"/>
        <s v="CPA - SexDoll - Video-IS - Android - Aus"/>
        <s v="CPA - StepDaughter - Video-IS - iOS - Canada"/>
        <s v="CPA - StepDaughter - Video-IS - Android - USA"/>
        <s v="CPA - Gay - Mobile - USA"/>
        <s v="CPA - Blonde - Video-IS - Mobile - USA"/>
        <s v="CPA - Webcam - Video-IS - Desktop - Canada"/>
        <s v="CPA - Hentai - Video-IS - iOS - Canada"/>
        <s v="CPA - Hentai - Video-IS - Android - Aus"/>
        <s v="CPA - Hentai - Video-IS - iOS - USA"/>
        <s v="CPA - Furry - Video-IS - iOS - Canada"/>
        <s v="CPA - JOI - Video-IS - Android - Canada"/>
        <s v="CPA - JOI - Video-IS - Desktop - USA"/>
        <s v="CPA - Furry - Video-IS - excl. iOS - USA"/>
        <s v="CPA - AI - Video-IS - iOS - USA"/>
        <s v="CPA - AI - Video-IS - excl. iOS - USA"/>
        <s v="CPA - Cowgirl - Video-IS - iOS - USA"/>
        <s v="CPA - Blonde - Video-IS - iOS - USA"/>
        <s v="CPA - Fantasy - Video-IS - iOS - USA"/>
        <s v="CPA - Threesome - Video-IS - excl. iOS - USA"/>
        <s v="CPA - Fantasy - Video-IS - excl. iOS - USA"/>
        <s v="CPA - Handjob - Video-IS - excl. iOS - USA"/>
        <s v="CPA - MILF - Video-IS - excl. iOS - USA"/>
        <s v="CPA - Blonde - Video-IS - excl. iOS - USA"/>
        <s v="CPA - Blowjob - Video-IS - excl. iOS - USA"/>
        <s v="CPA - Missionary - Video-IS - excl. iOS - USA"/>
        <s v="CPA - Cowgirl - Video-IS - excl. iOS - USA"/>
        <s v="CPA - JOI - Video-IS - excl. iOS - USA"/>
        <s v="CPA - Trans - Video-IS - excl. iOS - USA"/>
        <s v="CPA - Transv2 - Video-IS - excl. iOS - USA"/>
        <s v="CPA - Hentai - Video-IS - excl. iOS - USA"/>
        <s v="CPA - Hentai - Video-IS - Desktop - USA"/>
        <s v="CPA - Hentai - Video-IS - excl. iOS - Aus"/>
        <s v="CPA - Hentai - Video-IS - Desktop - Aus"/>
        <s v="CPA - Hentai - Video-IS - iOS - Aus"/>
        <s v="CPA - Hentai - Video-IS - Desktop - Canada"/>
        <s v="CPA - Hentai - Video-IS - excl. iOS - Canada"/>
        <s v="CPA - Hentai - Video-IS - iOS - NZ"/>
        <s v="CPA - Hentai - Video-IS - excl. iOS - NZ"/>
        <s v="CPA - Hentai - Video-IS - Desktop - NZ"/>
        <s v="CPA - Hentai - Video-IS - Desktop - UK"/>
        <s v="CPA - Hentai - Video-IS - excl. iOS - UK"/>
        <s v="CPA - Hentai - Video-IS - iOS - UK"/>
        <s v="OLD_CPA_Hentai_NativeVideo_iOS_USA_SD"/>
        <s v="OLD_CPA_Hentai_NativeVideo_excl.-iOS_USA_SD"/>
        <s v="CPA - Hentai - NativeVideo - Desktop - USA"/>
        <s v="OLD_CPA_Hentai_NativeVideo_Desktop_Aus_SD"/>
        <s v="OLD_CPA_Hentai_NativeVideo_excl.-iOS_Aus_SD"/>
        <s v="OLD_CPA_Hentai_NativeVideo_iOS_Aus_SD"/>
        <s v="CPA - Hentai - NativeVideo - iOS - Canada"/>
        <s v="OLD_CPA_Hentai_NativeVideo_excl.-iOS_Canada_SD"/>
        <s v="OLD_CPA_Hentai_NativeVideo_Desktop_Canada_SD"/>
        <s v="OLD_CPA_Hentai_NativeVideo_Desktop_NZ_SD"/>
        <s v="OLD_CPA_Hentai_300x250_Desktop_UK_SD"/>
        <s v="OLD_CPA_Hentai_NativeVideo_iOS_NZ_SD"/>
        <s v="OLD_CPA_Hentai_NativeVideo_excl.-iOS_UK_SD"/>
        <s v="CPA - Hentai - NativeVideo - excl. iOS - UK"/>
        <s v="OLD_CPA_Hentai_NativeVideo_Desktop_UK_SD"/>
        <s v="CPA - Hentai - 300x250 - iOS - USA"/>
        <s v="CPA - Hentai - 300x250 - Desktop - USA"/>
        <s v="OLD_CPA_Hentai_300x250_excl.-iOS_USA_SD"/>
        <s v="OLD_CPA_Hentai_300x250_excl.-iOS_Aus_SD"/>
        <s v="CPA - Hentai - 300x250 - Desktop - Aus"/>
        <s v="OLD_CPA_Hentai_300x250_iOS_Aus_SD"/>
        <s v="OLD_CPA_Hentai_300x250_iOS_UK_SD"/>
        <s v="CPA - Hentai - 300x250 - Desktop - UK"/>
        <s v="OLD_CPA_Hentai_300x250_excl.-iOS_UK_SD"/>
        <s v="CPA - Hentai - 300x250 - Desktop - Canada"/>
        <s v="CPA - Hentai - 300x250 - iOS - Canada"/>
        <s v="CPA - Hentai - 300x250 - excl. iOS - Canada"/>
        <s v="OLD_CPA_Hentai_300x250_excl.-iOS_NZ_SD"/>
        <s v="OLD_CPA_Hentai_300x250_iOS_NZ_SD"/>
        <s v="OLD_CPA_Hentai_300x250_Desktop_NZ_SD"/>
        <s v="CPA - Gay - Video-IS - excl. iOS - USA"/>
        <s v="CPA - Gay - Video-IS - iOS - USA"/>
        <s v="CPA - AI - Video - Desktop - USA"/>
        <s v="CPA - AI - Shorties - iOS - UK"/>
        <s v="CPA - AI - Shorties - Android - UK"/>
        <s v="CPA - AI - Shorties - Android - Canada"/>
        <s v="CPA - AI - Shorties - iOS - Canada"/>
        <s v="CPA - AI - Shorties - Android - NZ"/>
        <s v="CPA - AI - Shorties - iOS - NZ"/>
        <s v="CPA - AI - Shorties - Android - IE"/>
        <s v="CPA - AI - Shorties - iOS - IE"/>
        <s v="CPA - AI - Video-IS - iOS - NZ"/>
        <s v="CPA - AI - Video-IS - iOS - IE"/>
        <s v="CPA - AI - Video-IS - excl. iOS - NZ"/>
        <s v="CPA - AI - Video-IS - Android - IE"/>
        <s v="CPA - AI - Video-IS - Desktop - NZ"/>
        <s v="CPA - AI - Video-IS - Desktop - IE"/>
        <s v="CPA - AI - 950x250 - Desktop - US"/>
        <s v="CPA - AI - 950x250 - Desktop - UK"/>
        <s v="CPA - AI - 950x250 - Desktop - Canada"/>
        <s v="CPA - AI - 950x250 - Desktop - Aus"/>
        <s v="CPA - AI - 950x250 - Desktop - NZ"/>
        <s v="CPA - AI - 950x250 - Desktop - IE"/>
        <s v="CPA - AI - 950x250 - Mobile - USA"/>
        <s v="CPA - AI - 950x250 - Mobile - Aus"/>
        <s v="CPA - KEY1 - Video-IS - Desktop - USA - 1"/>
        <s v="CPA - KEY1 - Video-IS - Desktop - USA - 2"/>
        <s v="CPA - INT1KEY1 - Preroll - Desktop - USA"/>
        <s v="CPA - Marvel - Video-IS - excl. iOS - UK"/>
        <s v="CPA - Marvel - Video-IS - excl. iOS - Canada"/>
        <s v="CPA - Marvel - Video-IS - excl. iOS - NZ"/>
        <s v="CPA - Missionary - Video-IS - Desktop - NZ"/>
        <s v="CPA - Missionary - Video-IS - excl. iOS - UK"/>
        <s v="CPA - Missionary - Video-IS - excl. iOS - Aus"/>
        <s v="CPA - Missionary - Video-IS - excl. iOS - NZ"/>
        <s v="CPA - Missionary - Video-IS - iOS - NZ"/>
        <s v="CPA - TransV2 - Video-IS - excl. iOS - Aus"/>
        <s v="CPA - TransV2 - Video-IS - excl. iOS - UK"/>
        <s v="CPA - TransV2 - Video-IS - excl. iOS - Canada"/>
        <s v="CPA - TransV2 - Video-IS - excl. iOS - NZ"/>
        <s v="CPA - TransV2 - Video-IS - iOS - NZ"/>
        <s v="CPA - TransV2 - Video-IS - Desktop - NZ"/>
        <s v="CPA - VideoGameBatch - Video-IS - ALL - USA"/>
        <s v="CPA - Nintendo - Video-IS - ALL - USA"/>
        <s v="CPA - Pokemon/Digimon - Video-IS - ALL - USA"/>
        <s v="CPA - DC - Video-IS - ALL - USA"/>
        <s v="CPA - Starwars - Video-IS - ALL - USA"/>
        <s v="CPA - CartoonBatch - Video-IS - ALL - USA"/>
        <s v="CPA - VOD Video Game Buy - Video-IS - ALL - USA"/>
        <s v="CPA - VOD Hentai Intent - Video-IS - ALL - USA"/>
        <s v="CPA - Dating Intent - Video-IS - ALL - USA"/>
        <s v="CPA - VOD VR Intent - Video-IS - ALL - USA"/>
        <s v="CPA - Sex Toy Intent - Video-IS - ALL - USA"/>
        <s v="CPA - Erotica Interest - Video-IS - ALL - USA"/>
        <s v="CPA - Game Streaming Interest - Video-IS - ALL - USA"/>
        <s v="CPA - Casino Intent - Video-IS - ALL - USA"/>
        <s v="CPA - Furry - Video-IS - Desktop - Aus"/>
        <s v="CPA - Furry - Video-IS - Desktop - NZ"/>
        <s v="CPA - Furry - Video-IS - excl. iOS - Aus"/>
        <s v="CPA - Furry - Video-IS - excl. iOS - UK"/>
        <s v="CPA - Furry - Video-IS - excl. iOS - Canada"/>
        <s v="CPA - Furry - Video-IS - excl. iOS - NZ"/>
        <s v="CPA - Furry - Video-IS - iOS - NZ"/>
        <s v="CPA - Header Retargeting - Video-IS - Mobile - USA"/>
        <s v="CPA - Header Retargeting - Video-IS - Mobile - Australia"/>
        <s v="CPA - Header Retargeting - Video-IS - Mobile - Canada"/>
        <s v="CPA - Header Retargeting - Video-IS - Mobile - Denmark"/>
        <s v="CPA - Header Retargeting - Video-IS - Mobile - New Zealand"/>
        <s v="CPA - Header Retargeting - Video-IS - Mobile - Norway"/>
        <s v="CPA - Header Retargeting - Video-IS - Mobile - United Kingdom"/>
        <s v="CPA - Blowjob - Video-IS - Desktop - NZ"/>
        <s v="CPA - Blowjob - Video-IS - iOS - NZ"/>
        <s v="CPA - Blowjob - Video-IS - excl. iOS - NZ"/>
        <s v="CPA - Blowjob - Video-IS - excl. iOS - Canada"/>
        <s v="CPA - Blowjob - Video-IS - excl. iOS - Aus"/>
        <s v="CPA - Blowjob - Video-IS - excl. iOS - UK"/>
        <s v="CPA - Shorties - Video-IS - iOS - USA"/>
        <s v="CPA - Shorties - Video-IS - excl. iOS - USA"/>
        <s v="CPA - Shorties - Video-IS - excl. iOS - Aus"/>
        <s v="CPA - Shorties - Video-IS - excl. iOS - UK"/>
        <s v="CPA - Shorties - Video-IS - excl. iOS - Canada"/>
        <s v="CPA - Shorties - Video-IS - excl. iOS - NZ"/>
        <s v="CPA - Shorties - Video-IS - iOS - Canada"/>
        <s v="CPA - Shorties - Video-IS - iOS - UK"/>
        <s v="CPA - Shorties - Video-IS - iOS - Aus"/>
        <s v="CPA - Shorties - Video-IS - iOS - NZ"/>
        <s v="CPA - Cowgirl - Video-IS - iOS - NZ"/>
        <s v="CPA - Cowgirl - Video-IS - excl. iOS - UK"/>
        <s v="CPA - Cowgirl - Video-IS - excl. iOS - Aus"/>
        <s v="CPA - Cowgirl - Video-IS - excl. iOS - NZ"/>
        <s v="CPA - Cowgirl - Video-IS - Desktop - NZ"/>
        <s v="CPA - Erotica Interest - Video-IS - Desktop - USA"/>
        <s v="CPA - Erotica Interest - Video-IS - iOS - USA"/>
        <s v="CPA - Erotica Interest - Video-IS - excl. iOS - USA"/>
        <s v="CPA - Erotica Interest - Video-IS - Desktop - Aus"/>
        <s v="CPA - Erotica Interest - Video-IS - Desktop - UK"/>
        <s v="CPA - Erotica Interest - Video-IS - Desktop - Canada"/>
        <s v="CPA - Erotica Interest - Video-IS - Desktop - NZ"/>
        <s v="CPA - Erotica Interest - Video-IS - iOS - UK"/>
        <s v="CPA - Erotica Interest - Video-IS - iOS - Canada"/>
        <s v="CPA - Erotica Interest - Video-IS - iOS - Aus"/>
        <s v="CPA - Erotica Interest - Video-IS - iOS - NZ"/>
        <s v="CPA - Erotica Interest - Video-IS - excl. iOS - UK"/>
        <s v="CPA - Erotica Interest - Video-IS - excl. iOS - Canada"/>
        <s v="CPA - Erotica Interest - Video-IS - excl. iOS - Aus"/>
        <s v="CPA - Erotica Interest - Video-IS - excl. iOS - NZ"/>
        <s v="CPA - VR Intent - Video-IS - Desktop - USA"/>
        <s v="CPA - VR Intent - Video-IS - iOS - USA"/>
        <s v="CPA - VR Intent - Video-IS - excl. iOS - USA"/>
        <s v="CPA - VR Intent - Video-IS - Desktop - Aus"/>
        <s v="CPA - VR Intent - Video-IS - Desktop - UK"/>
        <s v="CPA - VR Intent - Video-IS - Desktop - NZ"/>
        <s v="CPA - VR Intent - Video-IS - Desktop - Canada"/>
        <s v="CPA - VR Intent - Video-IS - iOS - Aus"/>
        <s v="CPA - VR Intent - Video-IS - iOS - UK"/>
        <s v="CPA - VR Intent - Video-IS - iOS - Canada"/>
        <s v="CPA - VR Intent - Video-IS - iOS - NZ"/>
        <s v="CPA - VR Intent - Video-IS - excl. iOS - UK"/>
        <s v="CPA - VR Intent - Video-IS - excl. iOS - Canada"/>
        <s v="CPA - VR Intent - Video-IS - excl. iOS - NZ"/>
        <s v="CPA - VR Intent - Video-IS - excl. iOS - Aus"/>
        <s v="CPA - VOD Hentai Intent - Video-IS - Desktop - USA"/>
        <s v="CPA - VOD Hentai Intent - Video-IS - iOS - USA"/>
        <s v="CPA - VOD Hentai Intent - Video-IS - excl. iOS - USA"/>
        <s v="CPA - VOD Hentai Intent - Video-IS - Desktop - NZ"/>
        <s v="CPA - VOD Hentai Intent - Video-IS - Desktop - Aus"/>
        <s v="CPA - VOD Hentai Intent - Video-IS - Desktop - Canada"/>
        <s v="CPA - VOD Hentai Intent - Video-IS - Desktop - UK"/>
        <s v="CPA - VOD Hentai Intent - Video-IS - iOS - Aus"/>
        <s v="CPA - VOD Hentai Intent - Video-IS - iOS - Canada"/>
        <s v="CPA - VOD Hentai Intent - Video-IS - iOS - UK"/>
        <s v="CPA - VOD Hentai Intent - Video-IS - iOS - NZ"/>
        <s v="CPA - VOD Hentai Intent - Video-IS - excl. iOS - Aus"/>
        <s v="CPA - VOD Hentai Intent - Video-IS - excl. iOS - UK"/>
        <s v="CPA - VOD Hentai Intent - Video-IS - excl. iOS - NZ"/>
        <s v="CPA - VOD Hentai Intent - Video-IS - excl. iOS - Canada"/>
        <s v="CPA - Trans - Video-IS - iOS - NZ"/>
        <s v="CPA - Trans - Video-IS - Desktop - NZ"/>
        <s v="CPA - Trans - Video-IS - excl. iOS - Aus"/>
        <s v="CPA - Trans - Video-IS - excl. iOS - Canada"/>
        <s v="CPA - Trans - Video-IS - excl. iOS - UK"/>
        <s v="CPA - Trans - Video-IS - excl. iOS - NZ"/>
        <s v="CPA - Blowjob - Video-IS - iOS - USA NEW"/>
        <s v="CPA - Hentai - Video-IS - excl. iOS - OTH"/>
        <s v="CPA - Hentai - Video-IS - iOS - OTH"/>
        <s v="CPA - Hentai - Video-IS - Desktop - OTH"/>
        <s v="CPA - Global - Video-IS - Desktop - OTH"/>
        <s v="CPA - Global - Video-IS - iOS - OTH"/>
        <s v="CPA - Global - Video-IS - excl. iOS - OTH"/>
        <s v="CPA - FinDom - Video-IS - Desktop - NZ"/>
        <s v="CPA - FinDom - Video-IS - excl. iOS - USA"/>
        <s v="CPA - FinDom - Video-IS - excl. iOS - Canada"/>
        <s v="CPA - FinDom - Video-IS - excl. iOS - UK"/>
        <s v="CPA - FinDom - Video-IS - excl. iOS - NZ"/>
        <s v="CPA - FinDom - Video-IS - iOS - NZ"/>
        <s v="CPA - FinDom - Video-IS - iOS - UK"/>
        <s v="CPA - Threesome - Video-IS - Desktop - NZ"/>
        <s v="CPA - Threesome - Video-IS - excl. iOS - UK"/>
        <s v="CPA - Threesome - Video-IS - excl. iOS - Canada"/>
        <s v="CPA - Threesome - Video-IS - excl. iOS - NZ"/>
        <s v="CPA - Threesome - Video-IS - excl. iOS - Aus"/>
        <s v="CPA - Threesome - Video-IS - iOS - NZ"/>
        <s v="CPA - Global - Video-IS - excl. iOS - OTH2"/>
        <s v="CPA - Global - Video-IS - iOS - OTH2"/>
        <s v="CPA - Global - Video-IS - Desktop - OTH2"/>
        <s v="CPA - Global - Video-IS - Desktop - OTH3"/>
        <s v="CPA - Global - Video-IS - iOS - OTH3"/>
        <s v="CPA - Global - Video-IS - excl. iOS - OTH3"/>
        <s v="CPA - Global - Video-IS - iOS - OTH4"/>
        <s v="CPA - Global - Video-IS - Desktop - OTH4"/>
        <s v="CPA - Global - Video-IS - excl. iOS - OTH4"/>
        <s v="CPA - Global - Video-IS - iOS - OTH5"/>
        <s v="CPA - Global - Video-IS - Desktop - OTH5"/>
        <s v="CPA - Global - Video-IS - excl. iOS - OTH5"/>
        <s v="CPA - Global - Video-IS - Desktop - OTH6"/>
        <s v="CPA - Global - Video-IS - excl. iOS - OTH6"/>
        <s v="CPA - Global - Video-IS - iOS - OTH6"/>
        <s v="OLD_CPA_Batch-1_Native-Homepage_excl-iOS_USA_SD"/>
        <s v="OLD_CPA_Batch-1_Native-Homepage_USA_SD"/>
        <s v="OLD_CPA_Indian_NativeVideo_Desktop_USA_SD"/>
        <s v="CPA - Indian - NativeVideo - excl. iOS - USA"/>
        <s v="CPA - Indian - NativeVideo - iOS - USA"/>
        <s v="CPA - BigTits - NATIVEVIDEO - Desktop - USA"/>
        <s v="CPA - BigTits - NativeVideo - excl. iOS - USA"/>
        <s v="CPA - BigTits - NativeVideo - iOS - USA"/>
        <s v="CPA - General 300Header - 300x100 - Mobile - USA"/>
        <s v="CPA-INDIAN-NATIVEVIDEO-DESKTOP-USA-RT_TEST"/>
        <s v="CPA _Shorties_iOS_USA"/>
        <s v="US_EN_NATIVE_CPM_PH_ALL-MOB_HENTAI_SEGMENT_ALL_TJ"/>
        <s v="US_EN_NATIVE_CPM_PH_HOMEPAGE_iOS_ALL_TJ"/>
        <s v="CA_EN_NATIVE_CPM_PH_HOMEPAGE_ALL-MOB_ALL_TJ"/>
        <s v="US_EN_PREROLL_CPA_ALL_KEY-INDIAN_ALL_M_JB"/>
        <s v="US_EN_PREROLL_CPA_ALL_KEY-Blonde_AND_M_JB"/>
        <s v="US_EN_PREROLL_CPA_ALL_KEY-Blonde_iOS_M_JB"/>
        <s v="US_EN_PREROLL_CPA_ALL_KEY-Blonde_DESK_M_JB"/>
        <s v="CA_EN_PREROLL_CPA_ALL_KEY-Hentai-Cartoon_AND_M_JB"/>
        <s v="CA_EN_PREROLL_CPA_ALL_KEY-Hentai-Cartoon_iOS_M_JB"/>
        <s v="CA_EN_PREROLL_CPA_ALL_KEY-Hentai-Cartoon_DESK_M_JB"/>
        <s v="US_EN_PREROLL_CPA_ALL_KEY-Hentai-Cartoon_AND_M_JB"/>
        <s v="US_EN_PREROLL_CPA_ALL_KEY-Hentai-Cartoon_iOS_M_JB"/>
        <s v="US_EN_PREROLL_CPA_ALL_KEY-Hentai-Cartoon_DESK_M_JB"/>
        <s v="AUS_EN_PREROLL_CPA_ALL_KEY-Hentai-Cartoon_AND_M_JB"/>
        <s v="AUS_EN_PREROLL_CPA_ALL_KEY-Hentai-Cartoon_iOS_M_JB"/>
        <s v="AUS_EN_PREROLL_CPA_ALL_KEY-Hentai-Cartoon_DESK_M_JB"/>
        <s v="UK_EN_PREROLL_CPA_ALL_KEY-Hentai-Cartoon_AND_M_JB"/>
        <s v="UK_EN_PREROLL_CPA_ALL_KEY-Hentai-Cartoon_iOS_M_JB"/>
        <s v="UK_EN_PREROLL_CPA_ALL_KEY-Hentai-Cartoon_DESK_M_JB"/>
        <s v="T2_EN_PREROLL_CPA_ALL_KEY-Hentai-Cartoon_AND_M_JB"/>
        <s v="T2_EN_PREROLL_CPA_ALL_KEY-Hentai-Cartoon_iOS_M_JB"/>
        <s v="T2_EN_PREROLL_CPA_ALL_KEY-Hentai-Cartoon_DESK_M_JB"/>
        <s v="US_EN_PREROLL_CPA_ALL_Broad_AND_MF_JB"/>
        <s v="US_EN_PREROLL_CPA_ALL_Broad_iOS_MF_JB"/>
        <s v="US_EN_PREROLL_CPA_ALL_Broad_DESK_MF_JB"/>
        <s v="US_EN_PREROLL_CPA_PH_KEY-Blowjob_iOS_M_JB"/>
        <s v="US_EN_PREROLL_CPA_PH_KEY-Blowjob_AND_M_JB"/>
        <s v="US_EN_PREROLL_CPA_PH_KEY-Blowjob_DESK_M_JB"/>
        <s v="US_EN_PREROLL_CPA_ALL_KEY-Cowgirl_AND_M_JB"/>
        <s v="US_EN_PREROLL_CPA_ALL_KEY-Cowgirl_iOS_M_JB"/>
        <s v="US_EN_PREROLL_CPA_ALL_KEY-Cowgirl_DESK_M_JB"/>
        <s v="US_EN_PREROLL_CPA_ALL_KEY-Missionary_DESK_M_JB"/>
        <s v="US_EN_PREROLL_CPA_PH-RT_KEY-Missionary_iOS_M_JB"/>
        <s v="UK_EN_PREROLL_CPA_ALL_KEY-Missionary_DESK_M_JB"/>
        <s v="US_EN_PREROLL_CPA_PH-RT_KEY-Missionary_AND_M_JB"/>
        <s v="US_EN_PREROLL_CPA_ALL_KEY-Cumshot_AND_M_JB"/>
        <s v="US_EN_PREROLL_CPA_ALL_KEY-Cumshot_iOS_M_JB"/>
        <s v="US_EN_PREROLL_CPA_ALL_KEY-Cumshot_DESK_M_JB"/>
        <s v="US_EN_PREROLL_CPA_T8-YP_KEY-Handjob_DESK_M_JB"/>
        <s v="US_EN_PREROLL_CPA_T8-PH-YP_KEY-Handjob_AND_M_JB"/>
        <s v="US_EN_PREROLL_CPA_T8-PH-YP_KEY-Handjob_iOS_M_JB"/>
        <s v="NZ_EN_PREROLL_CPA_T8-YP_KEY-Handjob_DESK_M_JB"/>
        <s v="US_EN_SHORTIES_CPM_PH_MOB_MF_TJ"/>
        <s v="US_EN_PREROLL_CPM_PH_KEY-AI_DESK_MF_TJ"/>
        <s v="UK_EN_PREROLL_CPM_PH_KEY-AI_DESK_MF_TJ"/>
        <s v="US_EN_PREROLL_CPA_ALL_SOURCE-Gay_AND_MF_JB"/>
        <s v="US_EN_PREROLL_CPM_PH_KEY-Trans_iOS_M_TJ"/>
        <s v="US_EN_PREROLL_CPM_PH_KEY-Trans_AND_M_TJ"/>
        <s v="US_EN_PREROLL_CPA_ALL_SOURCE-Gay_iOS_MF_JB"/>
        <s v="US_EN_PREROLL_CPA_ALL_SOURCE-Gay_DESK_M_JB"/>
        <s v="AUS_EN_PREROLL_CPA_ALL_SOURCE-Gay_DESK_M_JB"/>
        <s v="CA_EN_PREROLL_CPA_ALL_SOURCE-Gay_DESK_M_JB"/>
        <s v="TEST_EN_PREROLL_CPA_PH_KEY-Blowjob_DESK_M_JB_AUTOTEST1"/>
        <s v="TEST_EN_PREROLL_CPA_PH_KEY-Blowjob_DESK_M_JB_AUTOTEST2"/>
        <s v="TEST_EN_PREROLL_CPA_PH_KEY-Blowjob_DESK_M_JB_AUTOTEST3"/>
        <s v="CA_EN_PREROLL_CPM_PH_KEY-AI_DESK_MF_TJ"/>
        <s v="AU_EN_PREROLL_CPM_PH_KEY-AI_DESK_MF_TJ"/>
        <s v="NZ_EN_PREROLL_CPM_PH_KEY-AI_DESK_MF_TJ"/>
        <s v="US_EN_NATIVE_CPM_PH_HOMEPAGE_ALL-MOB_ALL_TJ"/>
        <s v="AU_EN_NATIVE_CPM_PH_HOMEPAGE_ALL-MOB_ALL_TJ"/>
        <s v="UK_EN_NATIVE_CPM_PH_HOMEPAGE_ALL-MOB_ALL_TJ"/>
        <s v="NZ_EN_NATIVE_CPM_PH_HOMEPAGE_ALL-MOB_ALL_TJ"/>
        <s v="CA_EN_PREROLL_CPA_PH_KEY-Blowjob_iOS_M_JB"/>
        <s v="PH_EN_PREROLL_CPM_PH_MOB_ALL-MOB_ALL_TJ"/>
        <s v="CO_EN_PREROLL_CPM_PH_MOB_ALL-MOB_ALL_TJ"/>
        <s v="MX_EN_NATIVE_CPM_PH_WATCH_ALL-MOB_ALL_TJ"/>
        <s v="PH_EN_NATIVE_CPM_PH_WATCH_ALL-MOB_ALL_TJ"/>
        <s v="MA_EN_PREROLL_CPM_PH_MOB_ALL-MOB_ALL_TJ"/>
        <s v="BR_EN_NATIVE_CPM_PH_WATCH_ALL-MOB_ALL_TJ"/>
        <s v="EG_EN_PREROLL_CPM_PH_MOB_ALL-MOB_ALL_TJ"/>
        <s v="PE_EN_PREROLL_CPM_PH_MOB_ALL-MOB_ALL_TJ"/>
        <s v="DE_EN_NATIVE_CPM_PH_WATCH_ALL-MOB_ALL_TJ"/>
        <s v="NL_EN_PREROLL_CPM_PH_MOB_ALL-MOB_ALL_TJ"/>
        <s v="AR_EN_NATIVE_CPM_PH_WATCH_ALL-MOB_ALL_TJ"/>
        <s v="EC_EN_PREROLL_CPM_PH_MOB_ALL-MOB_ALL_TJ"/>
        <s v="ES_EN_PREROLL_CPM_PH_MOB_ALL-MOB_ALL_TJ"/>
        <s v="CO_EN_NATIVE_CPM_PH_WATCH_ALL-MOB_ALL_TJ"/>
        <s v="LK_EN_PREROLL_CPM_PH_MOB_ALL-MOB_ALL_TJ"/>
        <s v="BR_EN_PREROLL_CPM_PH_MOB_ALL-MOB_ALL_TJ"/>
        <s v="BO_EN_PREROLL_CPM_PH_MOB_ALL-MOB_ALL_TJ"/>
        <s v="NL_EN_NATIVE_CPM_PH_WATCH_ALL-MOB_ALL_TJ"/>
        <s v="SG_EN_PREROLL_CPM_PH_MOB_ALL-MOB_ALL_TJ"/>
        <s v="TN_EN_PREROLL_CPM_PH_MOB_ALL-MOB_ALL_TJ"/>
        <s v="AZ_EN_PREROLL_CPM_PH_MOB_ALL-MOB_ALL_TJ"/>
        <s v="HN_EN_PREROLL_CPM_PH_MOB_ALL-MOB_ALL_TJ"/>
        <s v="PY_EN_PREROLL_CPM_PH_MOB_ALL-MOB_ALL_TJ"/>
        <s v="SV_EN_PREROLL_CPM_PH_MOB_ALL-MOB_ALL_TJ"/>
        <s v="UA_EN_NATIVE_CPM_PH_WATCH_ALL-MOB_ALL_TJ"/>
        <s v="EG_EN_NATIVE_CPM_PH_WATCH_ALL-MOB_ALL_TJ"/>
        <s v="MA_EN_NATIVE_CPM_PH_WATCH_ALL-MOB_ALL_TJ"/>
        <s v="PE_EN_NATIVE_CPM_PH_WATCH_ALL-MOB_ALL_TJ"/>
        <s v="PO_EN_NATIVE_CPM_PH_WATCH_ALL-MOB_ALL_TJ"/>
        <s v="AU_EN_NATIVE_CPM_PH_WATCH_ALL-MOB_ALL_TJ"/>
        <s v="ES_EN_NATIVE_CPM_PH_WATCH_ALL-MOB_ALL_TJ"/>
        <s v="ZA_EN_NATIVE_CPM_PH_WATCH_ALL-MOB_ALL_TJ"/>
        <s v="SG_EN_NATIVE_CPM_PH_WATCH_ALL-MOB_ALL_TJ"/>
        <s v="EC_EN_NATIVE_CPM_PH_WATCH_ALL-MOB_ALL_TJ"/>
        <s v="JP_EN_NATIVE_CPM_PH_WATCH_ALL-MOB_ALL_TJ"/>
        <s v="ES_EN_PREROLL_CPM_PH_DESK_ALL-DESK_ALL_TJ"/>
        <s v="LK_EN_NATIVE_CPM_PH_WATCH_ALL-MOB_ALL_TJ"/>
        <s v="GT_EN_NATIVE_CPM_PH_WATCH_ALL-MOB_ALL_TJ"/>
        <s v="DE_EN_PREROLL_CPM_PH_DESK_ALL-DESK_ALL_TJ"/>
        <s v="CO_EN_PREROLL_CPM_PH_DESK_ALL-DESK_ALL_TJ"/>
        <s v="IT_EN_PREROLL_CPM_PH_DESK_ALL-DESK_ALL_TJ"/>
        <s v="PH_EN_NATIVE_CPM_PH_SEARCH_ALL-MOB_ALL_TJ"/>
        <s v="IN_EN_PREROLL_CPM_TZ_MOB_ALL-MOB_ALL_TJ"/>
        <s v="MX_EN_NATIVE_CPM_PH_SEARCH_ALL-MOB_ALL_TJ"/>
        <s v="EG_EN_NATIVE_CPM_PH_SEARCH_ALL-MOB_ALL_TJ"/>
        <s v="DE_EN_NATIVE_CPM_PH_SEARCH_ALL_MOB_ALL_TJ"/>
        <s v="PH_EN_PREROLL_CPM_PH_TAB_ALL-TAB_ALL_TJ"/>
        <s v="PH_EN_NATIVE_CPM_PH_HOMEPAGE_ALL-MOB_ALL_TJ"/>
        <s v="US_EN_PREROLL_CPM_PH_ALL_DESK_RETARGETING_ALL_TJ"/>
        <s v="MX_EN_PREROLL_CPM_PH_ALL_DESK_RETARGETING_ALL_TJ"/>
        <s v="CA_EN_PREROLL_CPM_PH_ALL_DESK_RETARGETING_ALL_TJ"/>
        <s v="AU_EN_PREROLL_CPM_PH_ALL_DESK_RETARGETING_ALL_TJ"/>
        <s v="UK_EN_PREROLL_CPM_PH_ALL_DESK_RETARGETING_ALL_TJ"/>
        <s v="NZ_EN_PREROLL_CPM_PH_ALL_DESK_RETARGETING_ALL_TJ"/>
        <s v="US_EN_PREROLL_CPM_PH_ALL_MOB_RETARGETING_ALL_TJ"/>
        <s v="CA_EN_PREROLL_CPM_PH_ALL_MOB_RETARGETING_ALL_TJ"/>
        <s v="UK_EN_PREROLL_CPM_PH_ALL_MOB_RETARGETING_ALL_TJ"/>
        <s v="AU_EN_PREROLL_CPM_PH_ALL_MOB_RETARGETING_ALL_TJ"/>
        <s v="NZ_EN_PREROLL_CPM_PH_ALL_MOB_RETARGETING_ALL_TJ"/>
        <s v="MX_EN_PREROLL_CPM_PH_ALL_MOB_RETARGETING_ALL_TJ"/>
        <s v="LATAM_ES_NATIVE_CPM_PH_ALL_MOB_ALL_TJ"/>
        <s v="LATAM_ES_NATIVE_CPM_PH_ALL_DESK_ALL_TJ"/>
        <s v="AU_EN_NATIVE_CPM_PH_ALL_MOB_RETARGETING_ALL_TJ"/>
        <s v="CA_EN_NATIVE_CPM_PH_ALL_MOB_RETARGETING_ALL_TJ"/>
        <s v="UK_EN_NATIVE_CPM_PH_ALL_MOB_RETARGETING_ALL_TJ"/>
        <s v="US_EN_NATIVE_CPM_PH_ALL_MOB_RETARGETING_ALL_TJ"/>
        <s v="MX_EN_NATIVE_CPM_PH_ALL_MOB_RETARGETING_ALL_TJ"/>
        <s v="NZ_EN_NATIVE_CPM_PH_ALL_MOB_RETARGETING_ALL_TJ"/>
        <s v="JB_NATIVE_TEST"/>
        <s v="UA_EN_SHORTIES_CPM_PH_MOB_ALL_TJ"/>
        <s v="PL_EN_SHORTIES_CPM_PH_MOB_ALL_TJ"/>
        <s v="MX_EN_SHORTIES_CPM_PH_MOB_ALL_TJ"/>
        <s v="PH_EN_SHORTIES_CPM_PH_MOB_ALL_TJ"/>
        <s v="AR_EN_SHORTIES_CPM_PH_MOB_ALL_TJ"/>
        <s v="DE_EN_SHORTIES_CPM_PH_MOB_ALL_TJ"/>
        <s v="CO_EN_SHORTIES_CPM_PH_MOB_ALL_TJ"/>
        <s v="CL_EN_SHORTIES_CPM_PH_MOB_ALL_TJ"/>
        <s v="AU_EN_SHORTIES_CPM_PH_MOB_ALL_TJ"/>
        <s v="NL_EN_SHORTIES_CPM_PH_MOB_ALL_TJ"/>
        <s v="US_EN_NATIVE_CPM_PH_ALL_DESK_RETARGETING_ALL_TJ"/>
        <s v="CA_EN_NATIVE_CPM_PH_ALL_DESK_RETARGETING_ALL_TJ"/>
        <s v="UK_EN_NATIVE_CPM_PH_ALL_DESK_RETARGETING_ALL_TJ"/>
        <s v="AU_EN_NATIVE_CPM_PH_ALL_DESK_RETARGETING_ALL_TJ"/>
        <s v="MX_EN_NATIVE_CPM_PH_ALL_DESK_RETARGETING_ALL_TJ"/>
        <s v="NZ_EN_NATIVE_CPM_PH_ALL_DESK_RETARGETING_ALL_TJ"/>
        <s v="US_EN_PREROLL_CPM_PH_KEY-Pokemon_ALL_CLICK RETARGETING_M_TJ"/>
        <s v="US_EN_NATIVE_CPM_PH_HOMEPAGE_EXCL-iOS_CLICK RETARGETING_ALL_TJ"/>
        <s v="US_EN_BANNER_CPM_PH_ALL_DESK_300x250_ALL_TJ"/>
        <s v="MX_EN_BANNER_CPM_PH_ALL_MOB_MIDDLE_ALL_TJ"/>
        <s v="BR_EN_BANNER_CPM_PH_ALL_MOB_MIDDLE_ALL_TJ"/>
      </sharedItems>
    </cacheField>
    <cacheField name="Content Rating" numFmtId="0">
      <sharedItems/>
    </cacheField>
    <cacheField name="Dimensions" numFmtId="0">
      <sharedItems containsDate="1" containsMixedTypes="1" minDate="1899-12-30T09:16:00" maxDate="1899-12-30T16:09:00"/>
    </cacheField>
    <cacheField name="Ad Format" numFmtId="0">
      <sharedItems/>
    </cacheField>
    <cacheField name="Exchange" numFmtId="0">
      <sharedItems/>
    </cacheField>
    <cacheField name="Device" numFmtId="0">
      <sharedItems/>
    </cacheField>
    <cacheField name="Targeting" numFmtId="0">
      <sharedItems/>
    </cacheField>
    <cacheField name="Active Ads" numFmtId="0">
      <sharedItems containsSemiMixedTypes="0" containsString="0" containsNumber="1" containsInteger="1" minValue="1" maxValue="1730"/>
    </cacheField>
    <cacheField name="Paused Ads" numFmtId="0">
      <sharedItems containsSemiMixedTypes="0" containsString="0" containsNumber="1" containsInteger="1" minValue="0" maxValue="89"/>
    </cacheField>
    <cacheField name="Unlimited Budget" numFmtId="0">
      <sharedItems/>
    </cacheField>
    <cacheField name="Custom Budget" numFmtId="0">
      <sharedItems containsMixedTypes="1" containsNumber="1" containsInteger="1" minValue="25" maxValue="2000"/>
    </cacheField>
    <cacheField name="Impressions" numFmtId="0">
      <sharedItems containsSemiMixedTypes="0" containsString="0" containsNumber="1" containsInteger="1" minValue="0" maxValue="178063110"/>
    </cacheField>
    <cacheField name="Clicks" numFmtId="0">
      <sharedItems containsSemiMixedTypes="0" containsString="0" containsNumber="1" containsInteger="1" minValue="0" maxValue="2316269"/>
    </cacheField>
    <cacheField name="CTR" numFmtId="0">
      <sharedItems containsSemiMixedTypes="0" containsString="0" containsNumber="1" minValue="0" maxValue="28.571429999999999"/>
    </cacheField>
    <cacheField name="Conversion" numFmtId="0">
      <sharedItems containsString="0" containsBlank="1" containsNumber="1" containsInteger="1" minValue="0" maxValue="52"/>
    </cacheField>
    <cacheField name="Cost" numFmtId="0">
      <sharedItems containsSemiMixedTypes="0" containsString="0" containsNumber="1" minValue="0" maxValue="8209.7999999999993"/>
    </cacheField>
    <cacheField name="eCPM" numFmtId="0">
      <sharedItems containsSemiMixedTypes="0" containsString="0" containsNumber="1" minValue="0" maxValue="4.9210000000000003"/>
    </cacheField>
    <cacheField name="eCPC" numFmtId="0">
      <sharedItems containsSemiMixedTypes="0" containsString="0" containsNumber="1" minValue="0" maxValue="0.33300000000000002"/>
    </cacheField>
    <cacheField name="eCPA" numFmtId="0">
      <sharedItems containsSemiMixedTypes="0" containsString="0" containsNumber="1" minValue="0" maxValue="1157.278"/>
    </cacheField>
    <cacheField name="Tracker" numFmtId="0">
      <sharedItems containsSemiMixedTypes="0" containsString="0" containsNumber="1" containsInteger="1" minValue="1" maxValue="2"/>
    </cacheField>
    <cacheField name="Rules" numFmtId="0">
      <sharedItems containsSemiMixedTypes="0" containsString="0" containsNumber="1" containsInteger="1" minValue="0" maxValue="0"/>
    </cacheField>
    <cacheField name="Autopilot" numFmtId="0">
      <sharedItems/>
    </cacheField>
    <cacheField name="Plays" numFmtId="0">
      <sharedItems containsString="0" containsBlank="1" containsNumber="1" containsInteger="1" minValue="0" maxValue="40851548"/>
    </cacheField>
    <cacheField name="Skips" numFmtId="0">
      <sharedItems containsString="0" containsBlank="1" containsNumber="1" containsInteger="1" minValue="0" maxValue="36104929"/>
    </cacheField>
    <cacheField name="Finishes" numFmtId="0">
      <sharedItems containsString="0" containsBlank="1" containsNumber="1" containsInteger="1" minValue="0" maxValue="2595500"/>
    </cacheField>
    <cacheField name="Group" numFmtId="0">
      <sharedItems/>
    </cacheField>
    <cacheField name="Country" numFmtId="0">
      <sharedItems count="41">
        <s v="CP"/>
        <s v="(c"/>
        <s v="OL"/>
        <s v="US"/>
        <s v="CA"/>
        <s v="AU"/>
        <s v="UK"/>
        <s v="T2"/>
        <s v="NZ"/>
        <s v="TE"/>
        <s v="PH"/>
        <s v="CO"/>
        <s v="MX"/>
        <s v="MA"/>
        <s v="BR"/>
        <s v="EG"/>
        <s v="PE"/>
        <s v="DE"/>
        <s v="NL"/>
        <s v="AR"/>
        <s v="EC"/>
        <s v="ES"/>
        <s v="LK"/>
        <s v="BO"/>
        <s v="SG"/>
        <s v="TN"/>
        <s v="AZ"/>
        <s v="HN"/>
        <s v="PY"/>
        <s v="SV"/>
        <s v="UA"/>
        <s v="PO"/>
        <s v="ZA"/>
        <s v="JP"/>
        <s v="GT"/>
        <s v="IT"/>
        <s v="IN"/>
        <s v="LA"/>
        <s v="JB"/>
        <s v="PL"/>
        <s v="CL"/>
      </sharedItems>
    </cacheField>
    <cacheField name="Labels" numFmtId="0">
      <sharedItems containsBlank="1" count="34">
        <s v="AI"/>
        <s v="Bin"/>
        <s v="Shorties"/>
        <s v="Keyword - Preroll"/>
        <s v="Furry"/>
        <s v="Archive"/>
        <s v="Trans"/>
        <s v="FinDom"/>
        <s v="Ocean"/>
        <s v="Tests"/>
        <s v="Missionary"/>
        <s v="Marvel"/>
        <s v="Hentai"/>
        <s v="General"/>
        <s v="Remarketing"/>
        <s v="Blowjob"/>
        <s v="Cowgirl"/>
        <s v="Erotica Interest"/>
        <s v="VR Intent"/>
        <s v="VOD Hentai Intent"/>
        <s v="Global"/>
        <s v="Threesome"/>
        <s v="Native - Homepage"/>
        <s v="Indian"/>
        <s v="Big Tits"/>
        <s v="General - Pre-roll"/>
        <s v="General - Pre-roll - T3"/>
        <s v="Gay"/>
        <s v="JB-Testing"/>
        <s v="Native - Watch"/>
        <s v="Native - Search"/>
        <s v="TransV2" u="1"/>
        <m u="1"/>
        <s v="Nativ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ott Dommett" refreshedDate="45975.54021284722" createdVersion="8" refreshedVersion="8" minRefreshableVersion="3" recordCount="1044" xr:uid="{77638499-72C0-5E40-A417-7A955FC57AE5}">
  <cacheSource type="worksheet">
    <worksheetSource ref="A1:AE1048576" sheet="Nov Extract"/>
  </cacheSource>
  <cacheFields count="31">
    <cacheField name="Campaign Status" numFmtId="0">
      <sharedItems containsBlank="1"/>
    </cacheField>
    <cacheField name="ID" numFmtId="0">
      <sharedItems containsString="0" containsBlank="1" containsNumber="1" containsInteger="1" minValue="1011737002" maxValue="1013059151"/>
    </cacheField>
    <cacheField name="Campaign Name" numFmtId="0">
      <sharedItems containsBlank="1"/>
    </cacheField>
    <cacheField name="Content Rating" numFmtId="0">
      <sharedItems containsBlank="1"/>
    </cacheField>
    <cacheField name="Dimensions" numFmtId="0">
      <sharedItems containsDate="1" containsBlank="1" containsMixedTypes="1" minDate="1899-12-30T09:16:00" maxDate="1899-12-30T16:09:00"/>
    </cacheField>
    <cacheField name="Ad Format" numFmtId="0">
      <sharedItems containsBlank="1"/>
    </cacheField>
    <cacheField name="Exchange" numFmtId="0">
      <sharedItems containsBlank="1"/>
    </cacheField>
    <cacheField name="Device" numFmtId="0">
      <sharedItems containsBlank="1"/>
    </cacheField>
    <cacheField name="Targeting" numFmtId="0">
      <sharedItems containsBlank="1"/>
    </cacheField>
    <cacheField name="Active Ads" numFmtId="0">
      <sharedItems containsString="0" containsBlank="1" containsNumber="1" containsInteger="1" minValue="1" maxValue="1730"/>
    </cacheField>
    <cacheField name="Paused Ads" numFmtId="0">
      <sharedItems containsString="0" containsBlank="1" containsNumber="1" containsInteger="1" minValue="0" maxValue="89"/>
    </cacheField>
    <cacheField name="Unlimited Budget" numFmtId="0">
      <sharedItems containsBlank="1"/>
    </cacheField>
    <cacheField name="Custom Budget" numFmtId="0">
      <sharedItems containsBlank="1" containsMixedTypes="1" containsNumber="1" containsInteger="1" minValue="25" maxValue="2000"/>
    </cacheField>
    <cacheField name="Impressions" numFmtId="0">
      <sharedItems containsString="0" containsBlank="1" containsNumber="1" containsInteger="1" minValue="0" maxValue="178063110"/>
    </cacheField>
    <cacheField name="Clicks" numFmtId="0">
      <sharedItems containsString="0" containsBlank="1" containsNumber="1" containsInteger="1" minValue="0" maxValue="2316269"/>
    </cacheField>
    <cacheField name="CTR" numFmtId="0">
      <sharedItems containsString="0" containsBlank="1" containsNumber="1" minValue="0" maxValue="28.571429999999999"/>
    </cacheField>
    <cacheField name="Conversion" numFmtId="0">
      <sharedItems containsString="0" containsBlank="1" containsNumber="1" containsInteger="1" minValue="0" maxValue="52"/>
    </cacheField>
    <cacheField name="Cost" numFmtId="0">
      <sharedItems containsString="0" containsBlank="1" containsNumber="1" minValue="0" maxValue="8209.7999999999993"/>
    </cacheField>
    <cacheField name="eCPM" numFmtId="0">
      <sharedItems containsString="0" containsBlank="1" containsNumber="1" minValue="0" maxValue="4.9210000000000003"/>
    </cacheField>
    <cacheField name="eCPC" numFmtId="0">
      <sharedItems containsString="0" containsBlank="1" containsNumber="1" minValue="0" maxValue="0.33300000000000002"/>
    </cacheField>
    <cacheField name="eCPA" numFmtId="0">
      <sharedItems containsString="0" containsBlank="1" containsNumber="1" minValue="0" maxValue="1157.278"/>
    </cacheField>
    <cacheField name="Tracker" numFmtId="0">
      <sharedItems containsString="0" containsBlank="1" containsNumber="1" containsInteger="1" minValue="1" maxValue="2"/>
    </cacheField>
    <cacheField name="Rules" numFmtId="0">
      <sharedItems containsString="0" containsBlank="1" containsNumber="1" containsInteger="1" minValue="0" maxValue="0"/>
    </cacheField>
    <cacheField name="Autopilot" numFmtId="0">
      <sharedItems containsBlank="1"/>
    </cacheField>
    <cacheField name="Plays" numFmtId="0">
      <sharedItems containsString="0" containsBlank="1" containsNumber="1" containsInteger="1" minValue="0" maxValue="40851548"/>
    </cacheField>
    <cacheField name="Skips" numFmtId="0">
      <sharedItems containsString="0" containsBlank="1" containsNumber="1" containsInteger="1" minValue="0" maxValue="36104929"/>
    </cacheField>
    <cacheField name="Finishes" numFmtId="0">
      <sharedItems containsString="0" containsBlank="1" containsNumber="1" containsInteger="1" minValue="0" maxValue="2595500"/>
    </cacheField>
    <cacheField name="Group" numFmtId="0">
      <sharedItems containsBlank="1"/>
    </cacheField>
    <cacheField name="Country" numFmtId="0">
      <sharedItems containsBlank="1"/>
    </cacheField>
    <cacheField name="Labels" numFmtId="0">
      <sharedItems containsBlank="1" count="32">
        <s v="AI"/>
        <s v="Bin"/>
        <s v="Shorties"/>
        <s v="Keyword - Preroll"/>
        <s v="Furry"/>
        <s v="Archive"/>
        <s v="Trans"/>
        <s v="FinDom"/>
        <s v="Ocean"/>
        <s v="Tests"/>
        <s v="Missionary"/>
        <s v="Marvel"/>
        <s v="Hentai"/>
        <s v="General"/>
        <s v="Remarketing"/>
        <s v="Blowjob"/>
        <s v="Cowgirl"/>
        <s v="Erotica Interest"/>
        <s v="VR Intent"/>
        <s v="VOD Hentai Intent"/>
        <s v="Global"/>
        <s v="Threesome"/>
        <s v="Native - Homepage"/>
        <s v="Indian"/>
        <s v="Big Tits"/>
        <s v="General - Pre-roll"/>
        <s v="General - Pre-roll - T3"/>
        <s v="Gay"/>
        <s v="JB-Testing"/>
        <s v="Native - Watch"/>
        <s v="Native - Search"/>
        <m/>
      </sharedItems>
    </cacheField>
    <cacheField name="JB/TJ" numFmtId="0">
      <sharedItems containsBlank="1" count="4">
        <s v="OLD"/>
        <s v="TJ"/>
        <s v="J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ott Dommett" refreshedDate="45975.543582754632" createdVersion="8" refreshedVersion="8" minRefreshableVersion="3" recordCount="2087" xr:uid="{490749B1-ED93-9841-A5CC-185C92DCBCAA}">
  <cacheSource type="worksheet">
    <worksheetSource ref="A1:AF1048576" sheet="Specific Extracts"/>
  </cacheSource>
  <cacheFields count="32">
    <cacheField name="Date" numFmtId="0">
      <sharedItems containsBlank="1" count="3">
        <s v="13th+14th"/>
        <s v="11th"/>
        <m/>
      </sharedItems>
    </cacheField>
    <cacheField name="Campaign Status" numFmtId="0">
      <sharedItems containsBlank="1"/>
    </cacheField>
    <cacheField name="ID" numFmtId="0">
      <sharedItems containsString="0" containsBlank="1" containsNumber="1" containsInteger="1" minValue="1011737002" maxValue="1013059151"/>
    </cacheField>
    <cacheField name="Campaign Name" numFmtId="0">
      <sharedItems containsBlank="1" count="963">
        <s v="CPA - AI - Video-IS - Desktop - USA"/>
        <s v="CPA - AI - Video-IS - Android - USA - BROKEN"/>
        <s v="CPA - AI - Video-IS - iOS - USA - BROKEN"/>
        <s v="CPA - AI - Video-IS - Desktop - Aus"/>
        <s v="CPA - AI - Video-IS - iOS - Aus"/>
        <s v="CPA - AI - Video-IS - excl. iOS - Aus"/>
        <s v="CPA - AI - Video-IS - Desktop - Canada"/>
        <s v="CPA - AI - Video-IS - iOS - Canada"/>
        <s v="CPA - AI - Video-IS - excl. iOS - Canada"/>
        <s v="CPA - AI - Video-IS - Desktop - UK"/>
        <s v="CPA - AI - Video-IS - iOS - UK"/>
        <s v="CPA - AI - Video-IS - excl. iOS - UK"/>
        <s v="CPA - AI - Video-IS - excl. iOS - Norway"/>
        <s v="CPA - AI - Video-IS - iOS - Norway"/>
        <s v="CPA - AI - Video-IS - Desktop - Norway"/>
        <s v="CPA - Trans - Video-IS - Android - USA"/>
        <s v="CPA - Shorties - Android - USA"/>
        <s v="CPA - VR - Video-IS - Android - USA"/>
        <s v="CPA - Furry - Video-IS - Android - USA - BROKEN"/>
        <s v="CPA - Cosplay - Video-IS - Android - USA"/>
        <s v="CPA - Massage - Video-IS - Android - USA"/>
        <s v="CPA - JOI - Video-IS - Android - USA"/>
        <s v="CPA - Japanese - Video-IS - Android - USA"/>
        <s v="CPA - AI - Video-IS - Desktop - Mexico"/>
        <s v="CPA - AI - Video-IS - iOS - Mexico"/>
        <s v="CPA - AI - Video-IS - excl. iOS - Mexico"/>
        <s v="CPA - AI - Video-IS - excl. iOS - Italy"/>
        <s v="CPA - AI - Video-IS - iOS - Italy"/>
        <s v="CPA - AI - Video-IS - Desktop - Italy"/>
        <s v="CPA - AI - Video-IS - Desktop - Japan"/>
        <s v="CPA - AI - Video-IS - iOS - Japan"/>
        <s v="CPA - AI - Video-IS - Android - Japan"/>
        <s v="CPA - AI - Shorties - Android - USA"/>
        <s v="CPA - AI - Shorties - iOS - USA"/>
        <s v="CPA - AI - Shorties - iOS - Aus"/>
        <s v="CPA - AI - Shorties - Android - Aus"/>
        <s v="CPA - JOI - Video-IS - iOS - USA"/>
        <s v="CPA - JOI - Video-IS - Desktop - USA - BROKEN"/>
        <s v="CPA - JOI - Video-IS - Android - Aus"/>
        <s v="CPA - JOI - Video-IS - iOS - Aus"/>
        <s v="CPA - JOI - Video-IS - Desktop - Aus"/>
        <s v="CPA - JOI - Video-IS - Desktop - UK"/>
        <s v="CPA - JOI - Video-IS - iOS - UK"/>
        <s v="CPA - JOI - Video-IS - Android - UK"/>
        <s v="CPA - JOI - Video-IS - Desktop - Canada"/>
        <s v="CPA - JOI - Video-IS - iOS - Canada"/>
        <s v="CPA - JOI - Video-IS - Android - Canada - BROKEN"/>
        <s v="CPA - Furry - Video-IS - iOS - USA"/>
        <s v="CPA - Furry - Video-IS - Desktop - USA"/>
        <s v="CPA - Furry - Video-IS - Desktop - Canada"/>
        <s v="CPA - Furry - Video-IS - iOS - Canada - BROKEN"/>
        <s v="CPA - Furry - Video-IS - Android - Canada"/>
        <s v="CPAa - Furry - Video-IS - Desktop - Aus"/>
        <s v="CPA - Furry - Video-IS - iOS - Aus"/>
        <s v="CPA - Furry - Video-IS - Android - Aus"/>
        <s v="CPA - Furry - Video-IS - Desktop - UK"/>
        <s v="CPA - Furry - Video-IS - iOS - UK"/>
        <s v="CPA - Furry - Video-IS - Android - UK"/>
        <s v="CPA - VTuber - Video-IS - iOS - USA"/>
        <s v="CPA - Compilation - Video-IS - iOS - USA"/>
        <s v="CPA - Cuck - Video-IS - iOS - USA"/>
        <s v="CPA - Gaming - Video-IS - iOS - USA"/>
        <s v="CPA - POV - Video-IS - iOS - USA"/>
        <s v="CPA - Romantic - Video-IS - iOS - USA"/>
        <s v="CPA - Roleplay - Video-IS - iOS - USA"/>
        <s v="CPAa - Fantasy - Video-IS - iOS - USA"/>
        <s v="CPA - Webcam - Video-IS - iOS - USA"/>
        <s v="CPA - Gameshow - Video-IS - iOS - USA"/>
        <s v="CPA - Jav - Video-IS - iOS - USA"/>
        <s v="CPA - Casting - Video-IS - iOS - USA"/>
        <s v="CPA - FinDom - Video-IS - iOS - USA"/>
        <s v="CPA - Webcams - Video-IS - iOS - USA"/>
        <s v="CPA - OF - Video-IS - iOS - USA"/>
        <s v="CPA - Trans - Video-IS - iOS - USA"/>
        <s v="CPA - Trans - Video-IS - Desktop - USA"/>
        <s v="CPA - Trans - Video-IS - Android - Aus"/>
        <s v="CPA - Trans - Video-IS - iOS - Aus"/>
        <s v="CPA - Trans - Video-IS - Android - Canada"/>
        <s v="CPA - Trans - Video-IS - iOS - Canada"/>
        <s v="CPA - Trans - Video-IS - Desktop - Aus"/>
        <s v="CPA - Trans - Video-IS - Desktop - UK"/>
        <s v="CPA - Trans - Video-IS - Desktop - Canada"/>
        <s v="CPA - Trans - Video-IS - iOS - UK"/>
        <s v="CPA - Trans - Video-IS - Android - UK"/>
        <s v="CPA - Fantasy - Video-IS - Android - USA"/>
        <s v="CPA - Fantasy - Video-IS - Desktop - USA"/>
        <s v="CPA - Fantasy - Video-IS - iOS - Aus"/>
        <s v="CPA - Fantasy - Video-IS - Android - Aus"/>
        <s v="CPA - Fantasy - Video-IS - Desktop - Aus"/>
        <s v="CPA - Fantasy - Video-IS - iOS - UK"/>
        <s v="CPA - Fantasy - Video-IS - Android - UK"/>
        <s v="CPA - Fantasy - Video-IS - Desktop - UK"/>
        <s v="CPA - Fantasy - Video-IS - Desktop - Canada"/>
        <s v="CPA - Fantasy - Video-IS - Android - Canada"/>
        <s v="CPA - Fantasy - Video-IS - iOS - Canada"/>
        <s v="CPA - Cosplay - Video-IS - iOS - USA"/>
        <s v="CPA - Cosplay - Video-IS - Desktop - USA"/>
        <s v="CPA - Cosplay - Video-IS - Android - Aus"/>
        <s v="CPA - Cosplay - Video-IS - iOS - Aus"/>
        <s v="CPA - Cosplay - Video-IS - Desktop - Aus"/>
        <s v="CPA - Cosplay - Video-IS - Desktop - Canada"/>
        <s v="CPA - Cosplay - Video-IS - iOS - Canada"/>
        <s v="CPA - Cosplay - Video-IS - Android - Canada"/>
        <s v="CPAa - Cosplay - Video-IS - Android - UK"/>
        <s v="CPA - Cosplay - Video-IS - iOS - UK"/>
        <s v="CPA - Cosplay - Video-IS - Desktop - UK"/>
        <s v="CPA - FinDom - Video-IS - Android - USA"/>
        <s v="CPA - FinDom - Video-IS - Desktop - USA"/>
        <s v="CPA - FinDom - Video-IS - iOS - Aus"/>
        <s v="CPA - FinDom - Video-IS - excl. iOS - Aus"/>
        <s v="CPA - FinDom - Video-IS - Desktop - Aus"/>
        <s v="CPA - FinDom - Video-IS - Desktop - Canada"/>
        <s v="CPA - FinDom - Video-IS - Android - Canada"/>
        <s v="CPA - FinDom - Video-IS - iOS - Canada"/>
        <s v="CPAa - FinDom - Video-IS - iOS - UK"/>
        <s v="CPA - FinDom - Video-IS - Android - UK"/>
        <s v="CPA - FinDom - Video-IS - Desktop - UK"/>
        <s v="CPA - VTuber - Video-IS - Android - USA"/>
        <s v="CPA - Vtuber - Video-IS - Desktop - USA"/>
        <s v="CPA - Vtuber - Video-IS - Desktop - Aus"/>
        <s v="CPA - VTuber - Video-IS - excl. iOS - Aus"/>
        <s v="CPA - VTuber - Video-IS - iOS - Aus"/>
        <s v="CPA - VTuber - Video-IS - iOS - UK"/>
        <s v="CPA - VTuber - Video-IS - Android - UK"/>
        <s v="CPA - Vtuber - Video-IS - Desktop - UK"/>
        <s v="CPA - Vtuber - Video-IS - Desktop - Canada"/>
        <s v="CPA - VTuber - Video-IS - Android - Canada"/>
        <s v="CPA - VTuber - Video-IS - iOS - Canada"/>
        <s v="CPA2 - Hentai - Video-IS - iOS - USA - BROKEN"/>
        <s v="CPA2 - Hentai - Video-IS - Android - USA"/>
        <s v="CPA2 - Hentai - Video-IS - Desktop - US"/>
        <s v="CPA2 - Hentai - Video-IS - iOS - Aus"/>
        <s v="CPA2 - Hentai - Video-IS - Android - Aus - BROKEN"/>
        <s v="CPA2 - Hentai - Video-IS - iOS - UK"/>
        <s v="CPA2 - Hentai - Video-IS - Android - UK"/>
        <s v="CPA2 - Hentai - Video-IS - Android - Canada"/>
        <s v="CPA2 - Hentai - Video-IS - iOS - Canada - BROKEN"/>
        <s v="CPA2 - Hentai - Video-IS - Desktop - Canada"/>
        <s v="CPA2 - Hentai - Video-IS - Desktop - UK"/>
        <s v="CPA2 - Hentai - Video-IS - Desktop - Aus"/>
        <s v="CPA - Webcam - Video-IS - Android - USA"/>
        <s v="CPA - Webcam - Video-IS - Desktop - USA"/>
        <s v="CPA - Webcam - Video-IS - iOS - Aus"/>
        <s v="CPA - Webcam - Video-IS - Android - Aus"/>
        <s v="CPA - Webcam - Video-IS - Desktop - Aus"/>
        <s v="CPA - Webcam - Video-IS - Desktop - Canada - BROKEN"/>
        <s v="CPA - Webcam - Video-IS - Android - Canada"/>
        <s v="CPA - Webcam - Video-IS - iOS - Canada"/>
        <s v="CPA - Webcam - Video-IS - Desktop - UK"/>
        <s v="CPA - Webcam - Video-IS - Android - UK"/>
        <s v="CPA - Webcam - Video-IS - iOS - UK"/>
        <s v="CPA - Cuck - Video-IS - Andriod - USA"/>
        <s v="CPA - Romantic - Video-IS - Android - USA"/>
        <s v="CPA - Shorties - iOS - USA"/>
        <s v="CPA - Shorties - iOS - Aus"/>
        <s v="CPA - Shorties - Android - Aus"/>
        <s v="CPA - Shorties - Android - Canada"/>
        <s v="CPA - Shorties - iOS - Canada"/>
        <s v="CPA - Shorties - iOS - UK"/>
        <s v="CPA - Shorties - Android - UK"/>
        <s v="CPA - Casting - Video-IS - Android - USA"/>
        <s v="CPA - Casting - Video-IS - Android - Aus"/>
        <s v="CPA - Casting - Video-IS - iOS - Aus"/>
        <s v="CPA - Casting - Video-IS - Android - UK"/>
        <s v="CPA - Casting - Video-IS - iOS - UK"/>
        <s v="CPA - Casting - Video-IS - Android - Canada"/>
        <s v="CPA - Casting - Video-IS - iOS - Canada"/>
        <s v="CPA - Humiliation - Video-IS - Mobile - USA"/>
        <s v="CPA - Cheating - Video-IS - Mobile - USA"/>
        <s v="CPA - StepMum - Video-IS - Mobile - USA"/>
        <s v="CPA - StepDaughter - Video-IS - Mobile - USA"/>
        <s v="CPA - StepSis - Video-IS - Mobile - USA"/>
        <s v="CPA - SoloGirl - Video-IS - Mobile - USA"/>
        <s v="CPA - SexDoll - Video-IS - Mobile - USA"/>
        <s v="CPA - FreeUse - Video-IS - Mobile - USA"/>
        <s v="CPA - DatingSim - Video-IS - Mobile - USA"/>
        <s v="CPA - FuckingMachine - Video-IS - Mobile - USA"/>
        <s v="CPA - Dildo - Video-IS - Mobile - USA"/>
        <s v="CPA - MILF - Video-IS - Mobile - USA"/>
        <s v="CPA - Voyeur - Video-IS - Mobile - USA"/>
        <s v="CPA - OrgasmControl - Video-IS - Mobile - USA"/>
        <s v="CPA - Mature - Video-IS - Mobile - USA"/>
        <s v="CPA - Funny - Video-IS - Mobile - USA"/>
        <s v="CPA - FemDom - Video-IS - Mobile - USA"/>
        <s v="CPA - Exhibitionism - Video-IS - Mobile - USA"/>
        <s v="CPA - Camgirl - Video-IS - Mobile - USA"/>
        <s v="CPA - AdultGames - Video-IS - Mobile - USA"/>
        <s v="CPA - GameStreaming - Video-IS - Mobile - USA"/>
        <s v="CPA - VOD Hentai - Video-IS - Mobile - USA"/>
        <s v="CPA - Clone - Video-IS - Mobile - USA"/>
        <s v="CPA - Blonde - Video-IS - Mobile - USA - BROKEN"/>
        <s v="CPA - Goth - Video-IS - Mobile - USA"/>
        <s v="CPA - Hentai - NativeVideo - Mobile - USA"/>
        <s v="CPA - Gay - Mobile - USA - BROKEN"/>
        <s v="CPA - Brunette - Video-IS - Mobile - USA"/>
        <s v="CPA - Ebony - Video-IS - Mobile - USA"/>
        <s v="CPA - Indian - Video-IS - Mobile - USA"/>
        <s v="CPA - Red Head - Video-IS - Mobile - USA"/>
        <s v="CPAa - Blowjob - Video-IS - Mobile - USA"/>
        <s v="CPA - Blowjob - Video-IS - Mobile - USA"/>
        <s v="CPA - StepDaughter - Video-IS - Android - USA - BROKEN"/>
        <s v="CPA - StepDaughter - Video-IS - Desktop - USA"/>
        <s v="CPAa - StepDaughter - Video-IS - iOS - USA"/>
        <s v="CPA - StepDaughter - Video-IS - Android - Aus"/>
        <s v="CPA - StepDaughter - Video-IS - Desktop - Aus"/>
        <s v="CPAa - StepDaughter - Video-IS - iOS - Aus"/>
        <s v="CPA - StepDaughter - Video-IS - Android - Canada"/>
        <s v="CPA - StepDaughter - Video-IS - Desktop - Canada"/>
        <s v="CPA - StepDaughter - Video-IS - iOS - Canada - BROKEN"/>
        <s v="CPA - StepDaughter - Video-IS - Android - UK"/>
        <s v="CPAa - StepDaughter - Video-IS - iOS - UK"/>
        <s v="CPA - StepDaughter - Video-IS - Desktop - UK"/>
        <s v="CPA - SexDoll - Video-IS - iOS - USA"/>
        <s v="CPA - SexDoll - Video-IS - excl. iOS - USA"/>
        <s v="CPA - SexDoll - Video-IS - Desktop - USA"/>
        <s v="CPA - SexDoll - Video-IS - iOS - Aus"/>
        <s v="CPA - SexDoll - Video-IS - Android - Aus - BROKEN"/>
        <s v="CPA - SexDoll - Video-IS - Desktop - Aus"/>
        <s v="CPA - SexDoll - Video-IS - iOS - UK"/>
        <s v="CPA - SexDoll - Video-IS - Desktop - UK"/>
        <s v="CPA - SexDoll - Video-IS - Android - UK"/>
        <s v="CPA - SexDoll - Video-IS - Android - Canada"/>
        <s v="CPA - SexDoll - Video-IS - Desktop - Canada"/>
        <s v="CPA - SexDoll - Video-IS - iOS - Canada - BROKEN"/>
        <s v="CPA - Gay - iOS - Video-IS - USA"/>
        <s v="CPA - Gay - Android - Video-IS - USA"/>
        <s v="CPA - Gay - Desktop - Video-IS USA"/>
        <s v="CPA - Gay - iOS - Video-IS - Aus"/>
        <s v="CPA - Gay - Android - Video-IS - Aus"/>
        <s v="CPA - Gay - Desktop - Video-IS - Aus"/>
        <s v="CPA - Gay - Desktop - Video-IS - UK"/>
        <s v="CPA - Gay - Android - Video-IS - UK"/>
        <s v="CPA - Gay - iOS - Video-IS - UK"/>
        <s v="CPA - Gay - iOS - Video-IS - Canada"/>
        <s v="CPA - Gay - Android - Video-IS - Canada"/>
        <s v="CPA - Gay - Desktop - Video-IS - Canada"/>
        <s v="CPA - Blonde - Video-IS - Android - Canada"/>
        <s v="CPA - Blonde - Video-IS - iOS - Canada"/>
        <s v="CPA - Blonde - Video-IS - Desktop - Canada"/>
        <s v="CPA - Blonde - Video-IS - Android - UK"/>
        <s v="CPA - Blonde - Video-IS - Desktop - UK"/>
        <s v="CPA - Blonde - Video-IS - iOS - UK"/>
        <s v="CPAa - Blonde - Video-IS - iOS - Aus"/>
        <s v="CPA - Blonde - Video-IS - Desktop - Aus"/>
        <s v="CPA - Blonde - Video-IS - Android - Aus"/>
        <s v="CPAa - Blonde - Video-IS - Android - USA - BROKEN"/>
        <s v="CPA - Blonde - Video-IS - Desktop - USA"/>
        <s v="CPAa - Blonde - Video-IS - iOS - USA"/>
        <s v="CPA - Blowjob - Video-IS - iOS - USA"/>
        <s v="CPA - Blowjob - Video-IS - Desktop - USA"/>
        <s v="CPAa - Blowjob - Video-IS - Android - USA - BROKEN"/>
        <s v="CPA - Blowjob - Video-IS - iOS - Aus"/>
        <s v="CPA - Blowjob - Video-IS - Desktop - Aus - BROKEN"/>
        <s v="CPA - Blowjob - Video-IS - Android - Aus"/>
        <s v="CPA - Blowjob - Video-IS - iOS - UK"/>
        <s v="CPA - Blowjob - Video-IS - Desktop - UK"/>
        <s v="CPA - Blowjob - Video-IS - Android - UK"/>
        <s v="CPA - Blowjob - Video-IS - Android - Canada"/>
        <s v="CPA - Blowjob - Video-IS - Desktop - Canada - BROKEN"/>
        <s v="CPA - Blowjob - Video-IS - iOS - Canada"/>
        <s v="CPA - MILF - Video-IS - iOS - Canada"/>
        <s v="CPA - MILF - Video-IS - Desktop - Canada"/>
        <s v="CPA - MILF - Video-IS - Android - Canada"/>
        <s v="CPA - MILF - Video-IS - iOS - UK"/>
        <s v="CPA - MILF - Video-IS - Desktop - UK"/>
        <s v="CPA - MILF - Video-IS - Android - UK - BROKEN"/>
        <s v="CPA - MILF - Video-IS - Android - Aus"/>
        <s v="CPA - MILF - Video-IS - Desktop - Aus"/>
        <s v="CPA - MILF - Video-IS - iOS - Aus"/>
        <s v="CPA - MILF - Video-IS - iOS - USA"/>
        <s v="CPA - MILF - Video-IS - Desktop - USA - BROKEN"/>
        <s v="CPAa - MILF - Video-IS - Android - USA"/>
        <s v="CPA - Missionary - Video-IS - Mobile - USA - BROKEN"/>
        <s v="CPA - Cowgirl - Video-IS - Mobile - USA - BROKEN"/>
        <s v="CPA - Cumshot - Video-IS - Mobile - USA"/>
        <s v="CPA - Titjob - Video-IS - Mobile - USA"/>
        <s v="CPAa - Cowgirl - Video-IS - iOS - USA"/>
        <s v="CPA - Cowgirl - Video-IS - Android - USA - BROKEN"/>
        <s v="CPA - Cowgirl - Video-IS - Desktop - USA - BROKEN"/>
        <s v="CPA - Cowgirl - Video-IS - iOS - Aus"/>
        <s v="CPA - Cowgirl - Video-IS - Android - Aus"/>
        <s v="CPA - Cowgirl - Video-IS - Desktop - Aus - BROKEN"/>
        <s v="CPA - Cowgirl - Video-IS - iOS - UK"/>
        <s v="CPA - Cowgirl - Video-IS - Android - UK"/>
        <s v="CPA - Cowgirl - Video-IS - Desktop - UK"/>
        <s v="CPA - Cowgirl - Video-IS - iOS - Canada"/>
        <s v="CPA - Cowgirl - Video-IS - excl. iOS - Canada"/>
        <s v="CPA - Cowgirl - Video-IS - Desktop - Canada"/>
        <s v="CPAa - Missionary - Video-IS - iOS - USA - BROKEN"/>
        <s v="CPAa - Missionary - Video-IS - Android - USA - BROKEN"/>
        <s v="CPA - Missionary - Video-IS - Desktop - USA"/>
        <s v="CPA - Missionary - Video-IS - iOS - Aus"/>
        <s v="CPA - Missionary - Video-IS - Android - Aus"/>
        <s v="CPA - Missionary - Video-IS - Desktop - Aus"/>
        <s v="CPA - Missionary - Video-IS - iOS - UK"/>
        <s v="CPA - Missionary - Video-IS - Android - UK"/>
        <s v="CPA - Missionary - Video-IS - Desktop - UK"/>
        <s v="CPA - Missionary - Video-IS - iOS - Canada"/>
        <s v="CPA - Missionary - Video-IS - excl. iOS - Canada"/>
        <s v="CPA - Missionary - Video-IS - Desktop - Canada - BROKEN"/>
        <s v="CPA - Femdom - Video-IS - Desktop - USA"/>
        <s v="CPA - Femdom - Video-IS - iOS - USA"/>
        <s v="CPA - Femdom - Video-IS - excl. iOS - USA"/>
        <s v="CPA - Femdom - Video-IS - Desktop - Aus"/>
        <s v="CPA - Femdom - Video-IS - iOS - Aus"/>
        <s v="CPA - Femdom - Video-IS - excl. iOS - Aus"/>
        <s v="CPA - Femdom - Video-IS - Android - UK"/>
        <s v="CPA - Femdom - Video-IS - Desktop - UK"/>
        <s v="CPAa - Femdom - Video-IS - iOS - UK"/>
        <s v="CPA - Femdom - Video-IS - Android - Canada"/>
        <s v="CPA - Femdom - Video-IS - Desktop - Canada"/>
        <s v="CPA - Femdom - Video-IS - iOS - Canada"/>
        <s v="CPA - AI Alt - Video-IS - Mobile - USA"/>
        <s v="CPA - Tattoo - Video-IS - Mobile - USA"/>
        <s v="CPA - Handjob - Video-IS - Mobile - USA"/>
        <s v="CPA - Ass - Video-IS - Mobile - USA"/>
        <s v="CPA - Lingerie - Video-IS - Mobile - USA"/>
        <s v="CPA - TransV2 - Video-IS - Mobile - USA"/>
        <s v="CPA - POV - Video-IS - Mobile - USA"/>
        <s v="CPA - JOI - Video-IS - Mobile - USA - BROKEN"/>
        <s v="CPA - FaceFuck - Video-IS - Mobile - USA"/>
        <s v="CPAa - Threesome - Video-IS - Mobile - USA - BROKEN"/>
        <s v="CPA - Gangbang - Video-IS - Mobile - USA"/>
        <s v="CPA - Anal - Video-IS - Mobile - USA"/>
        <s v="CPA - Gangbang - Video-IS - iOS - USA"/>
        <s v="CPA - Gangbang - Video-IS - Desktop - USA"/>
        <s v="CPAa - Gangbang - Video-IS - iOS - USA"/>
        <s v="(clone) CPA - Gangbang - Video-IS - iOS - USA"/>
        <s v="CPA - Gangbang - Video-IS - Android - USA"/>
        <s v="CPA - Gangbang - Video-IS - Android - Aus"/>
        <s v="CPA - Gangbang - Video-IS - Desktop - Aus"/>
        <s v="CPA - Gangbang - Video-IS - iOS - Aus"/>
        <s v="CPA - Gangbang - Video-IS - iOS - Canada"/>
        <s v="CPA - Gangbang - Video-IS - Desktop - Canada"/>
        <s v="CPA - Gangbang - Video-IS - Android - Canada"/>
        <s v="CPA - Gangbang - Video-IS - Android - UK"/>
        <s v="CPAa - Gangbang - Video-IS - Desktop - UK"/>
        <s v="CPA - Gangbang - Video-IS - iOS - UK"/>
        <s v="CPA - Threesome - Video-IS - iOS - UK"/>
        <s v="CPA - Threesome - Video-IS - Desktop - UK"/>
        <s v="CPA - Threesome - Video-IS - Android - UK"/>
        <s v="CPA - Threesome - Video-IS - Android - USA"/>
        <s v="CPA - Threesome - Video-IS - Desktop - USA"/>
        <s v="CPA - Threesome - Video-IS - iOS - USA"/>
        <s v="CPA - Threesome - Video-IS - Android - Aus"/>
        <s v="CPA - Threesome - Video-IS - Desktop - Aus"/>
        <s v="CPA - Threesome - Video-IS - iOS - Aus"/>
        <s v="CPA - Threesome - Video-IS - iOS - Canada"/>
        <s v="CPA - Threesome - Video-IS - Desktop - Canada"/>
        <s v="CPA - Threesome - Video-IS - Android - Canada"/>
        <s v="CPA - Handjob - Video-IS - Android - USA"/>
        <s v="CPA - Handjob - Video-IS - Desktop - USA - BROKEN"/>
        <s v="CPA - Handjob - Video-IS - iOS - USA"/>
        <s v="CPA - Handjob - Video-IS - iOS - Aus"/>
        <s v="CPA - Handjob - Video-IS - Desktop - Aus"/>
        <s v="CPAa - Handjob - Video-IS - Android - Aus"/>
        <s v="CPAa - Handjob - Video-IS - Android - UK"/>
        <s v="CPA - Handjob - Video-IS - Desktop - UK"/>
        <s v="CPA - Handjob - Video-IS - iOS - UK"/>
        <s v="CPA - Handjob - Video-IS - iOS - Canada"/>
        <s v="CPA - Handjob - Video-IS - Desktop - Canada"/>
        <s v="CPA - Handjob - Video-IS - Android - Canada"/>
        <s v="CPA - TransV2 - Video-IS - Android - Canada - BROKEN"/>
        <s v="CPA - TransV2 - Video-IS - Desktop - Canada"/>
        <s v="CPA - TransV2 - Video-IS - iOS - Canada"/>
        <s v="CPA - TransV2 - Video-IS - iOS - UK"/>
        <s v="CPA - TransV2 - Video-IS - Desktop - UK"/>
        <s v="CPA - TransV2 - Video-IS - Android - UK"/>
        <s v="CPA - TransV2 - Video-IS - Android - Aus"/>
        <s v="CPA - TransV2 - Video-IS - Desktop - Aus - BROKEN"/>
        <s v="CPA - TransV2 - Video-IS - iOS - Aus"/>
        <s v="CPA - TransV2 - Video-IS - iOS - USA"/>
        <s v="CPA - TransV2 - Video-IS - Desktop - USA"/>
        <s v="CPA - TransV2 - Video-IS - Android - USA"/>
        <s v="CPA - Teen - Video-IS - Mobile - USA"/>
        <s v="CPA - Amateur - Video-IS - Mobile - USA"/>
        <s v="CPA - Festival - Video-IS - Mobile - USA"/>
        <s v="CPA - Cam - Video-IS - Mobile - USA"/>
        <s v="CPA - Curvy - Video-IS - Mobile - USA"/>
        <s v="CPA - Busty - Video-IS - Mobile - USA"/>
        <s v="CPA - Doctor - Video-IS - Mobile - USA"/>
        <s v="CPA - Nurse - Video-IS - Mobile - USA"/>
        <s v="CPA - Police - Video-IS - Mobile - USA"/>
        <s v="CPA - Solider - Video-IS - Mobile - USA"/>
        <s v="CPA - Uniform - Video-IS - Mobile - USA"/>
        <s v="CPA - Tutor - Video-IS - Mobile - USA"/>
        <s v="CPA - Teacher - Video-IS - Mobile - USA"/>
        <s v="CPA - Overwatch - Video-IS - Mobile - USA"/>
        <s v="CPA - LoL - Video-IS - Mobile - USA"/>
        <s v="CPA - Fortnight - Video-IS - Mobile - USA"/>
        <s v="CPA - rule34 - Video-IS - Mobile - USA"/>
        <s v="CPA - pokemon - Video-IS - Mobile - USA"/>
        <s v="CPA - Frieren - Video-IS - Mobile - USA"/>
        <s v="CPA - One Piece - Video-IS - Mobile - USA"/>
        <s v="CPA - Demon Slayer - Video-IS - Mobile - USA"/>
        <s v="CPA - Yoga - Video-IS - Mobile - USA"/>
        <s v="CPA - TanLines - Video-IS - Mobile - USA"/>
        <s v="CPA - Athlete - Video-IS - Mobile - USA"/>
        <s v="CPA - Stuck - Video-IS - Mobile - USA"/>
        <s v="CPA - Korean - Video-IS - Mobile - USA"/>
        <s v="CPA - Chinese - Video-IS - Mobile - USA"/>
        <s v="CPA - Pegging - Video-IS - Mobile - USA"/>
        <s v="CPA - BBC - Video-IS - Mobile - USA"/>
        <s v="CPA - Bikini - Video-IS - Mobile - USA"/>
        <s v="CPA - Stocking/Socks - Video-IS - Mobile - USA"/>
        <s v="CPA - Cuck - Video-IS - Mobile - USA"/>
        <s v="CPA - Female POV - Video-IS - Mobile - USA"/>
        <s v="CPA - Braista - Video-IS - Mobile - USA"/>
        <s v="CPA - Wedding - Video-IS - Mobile - USA"/>
        <s v="CPA - AI Porn - Video-IS - Mobile - USA"/>
        <s v="CPA - Orgy - Video-IS - Mobile - USA"/>
        <s v="CPA - Bathroom - Video-IS - Mobile - USA"/>
        <s v="CPA - Shower - Video-IS - Mobile - USA"/>
        <s v="CPA - Office - Video-IS - Mobile - USA"/>
        <s v="CPA - Wife - Video-IS - Mobile - USA"/>
        <s v="CPA - Bukkake - Video-IS - Mobile - USA"/>
        <s v="CPA - Big Dick - Video-IS - Mobile - USA"/>
        <s v="CPA - French - Video-IS - Mobile - USA"/>
        <s v="CPA - Fetish - Video-IS - Mobile - USA"/>
        <s v="CPA - Genshin Impact - Video-IS - Mobile - USA"/>
        <s v="CPA - Minecraft - Video-IS - Mobile - USA"/>
        <s v="CPA - Resident Evil - Video-IS - Mobile - USA"/>
        <s v="CPA - Valorant - Video-IS - Mobile - USA"/>
        <s v="CPA - Marvel - Video-IS - iOS - USA"/>
        <s v="CPA - Chun Li - Video-IS - Mobile - USA"/>
        <s v="CPA - Lara Croft - Video-IS - Mobile - USA"/>
        <s v="CPA - Creampie - Video-IS - Mobile - USA - BROKEN"/>
        <s v="CPA - Tifa - Video-IS - Mobile - USA"/>
        <s v="CPA - DVA - Video-IS - Mobile - USA"/>
        <s v="CPA - VideoGameChars - Video-IS - Mobile - USA"/>
        <s v="CPA - Slime - Video-IS - Mobile - USA"/>
        <s v="CPA - Monster Girls - Video-IS - Mobile - USA"/>
        <s v="CPA - Cuck - Video-IS - Android - USA"/>
        <s v="CPA - Cuck - Video-IS - Desktop- USA"/>
        <s v="CPA - Cuck - Video-IS - Desktop- Aus"/>
        <s v="CPA - Cuck - Video-IS - Android - Aus"/>
        <s v="CPA - Cuck - Video-IS - iOS - Aus"/>
        <s v="CPA - Cuck - Video-IS - iOS - Canada"/>
        <s v="CPA - Cuck - Video-IS - Android - Canada"/>
        <s v="CPA - Cuck - Video-IS - Desktop - Canada"/>
        <s v="CPA - Cuck - Video-IS - Desktop - UK"/>
        <s v="CPA - Cuck - Video-IS - Android - UK"/>
        <s v="CPA - Cuck - Video-IS - iOS - UK"/>
        <s v="CPA - Cuck - Video-IS - iOS - NZ"/>
        <s v="CPA - Cuck - Video-IS - Android - NZ"/>
        <s v="CPA - Cuck - Video-IS - Desktop - NZ"/>
        <s v="CPA - Marvel - Video-IS - excl. iOS - USA"/>
        <s v="CPA - Marvel - Video-IS - Desktop - USA"/>
        <s v="CPA - Marvel - Video-IS - Desktop - Aus"/>
        <s v="CPA - Marvel - Video-IS - iOS - Aus"/>
        <s v="CPA - Marvel - Video-IS - excl. iOS - Aus"/>
        <s v="CPA - Marvel - Video-IS - Android - Canada"/>
        <s v="CPA - Marvel - Video-IS - iOS - Canada"/>
        <s v="CPA - Marvel - Video-IS - Desktop - Canada"/>
        <s v="CPA - Marvel - Video-IS - Desktop - UK"/>
        <s v="CPA - Marvel - Video-IS - iOS - UK"/>
        <s v="CPA - Marvel - Video-IS - Android - UK"/>
        <s v="CPA - Marvel - Video-IS - Android - NZ"/>
        <s v="CPA - Marvel - Video-IS - iOS - NZ"/>
        <s v="CPA - Marvel - Video-IS - Desktop - NZ"/>
        <s v="CPA - Bukkake - Video-IS - Desktop - NZ"/>
        <s v="CPA - Bukkake - Video-IS - iOS - NZ"/>
        <s v="CPA - Bukkake - Video-IS - excl. iOS - NZ"/>
        <s v="CPA - Bukkake - Video-IS - excl. iOS - USA"/>
        <s v="CPA - Bukkake - Video-IS - iOS - USA"/>
        <s v="CPA - Bukkake - Video-IS - Desktop - USA"/>
        <s v="CPA - Bukkake - Video-IS - Desktop - Aus"/>
        <s v="CPA - Bukkake - Video-IS - iOS - Aus"/>
        <s v="CPA - Bukkake - Video-IS - Android - Aus"/>
        <s v="CPA - Bukkake - Video-IS - Android - UK"/>
        <s v="CPA - Bukkake - Video-IS - iOS - UK"/>
        <s v="CPA - Bukkake - Video-IS - Desktop - UK"/>
        <s v="CPA - Bukkake - Video-IS - Desktop - Canada"/>
        <s v="CPA - Bukkake - Video-IS - iOS - Canada"/>
        <s v="CPA - Bukkake - Video-IS - Android - Canada"/>
        <s v="CPA - Office - Video-IS - Android - Canada"/>
        <s v="CPA - Office - Video-IS - iOS - Canada"/>
        <s v="CPA - Office - Video-IS - Desktop - Canada"/>
        <s v="CPA - Office - Video-IS - Desktop - USA"/>
        <s v="CPA - Office - Video-IS - iOS - USA"/>
        <s v="CPA - Office - Video-IS - Android - USA"/>
        <s v="CPA - Office - Video-IS - excl. iOS - Aus"/>
        <s v="CPA - Office - Video-IS - iOS - Aus"/>
        <s v="CPA - Office - Video-IS - Desktop - Aus"/>
        <s v="CPA - Office - Video-IS - Desktop - UK"/>
        <s v="CPA - Office - Video-IS - iOS - UK"/>
        <s v="CPA - Office - Video-IS - Android - UK"/>
        <s v="CPA - Office - Video-IS - Android - NZ"/>
        <s v="CPA - Office - Video-IS - iOS - NZ"/>
        <s v="CPA - Office - Video-IS - Desktop - NZ"/>
        <s v="CPA - Bikini - Video-IS - Desktop - NZ"/>
        <s v="CPA - Bikini - Video-IS - iOS - NZ"/>
        <s v="CPA - Bikini - Video-IS - Android - NZ"/>
        <s v="CPA - Bikini - Video-IS - Android - USA"/>
        <s v="CPA - Bikini - Video-IS - iOS - USA"/>
        <s v="CPA - Bikini - Video-IS - Desktop - USA"/>
        <s v="CPA - Bikini - Video-IS - Desktop - Canada"/>
        <s v="CPA - Bikini - Video-IS - iOS - Canada"/>
        <s v="CPA - Bikini - Video-IS - Android - Canada"/>
        <s v="CPA - Bikini - Video-IS - Android - UK"/>
        <s v="CPA - Bikini - Video-IS - iOS - UK"/>
        <s v="CPA - Bikini - Video-IS - Desktop - UK"/>
        <s v="CPA - Bikini - Video-IS - Desktop - Aus"/>
        <s v="CPA - Bikini - Video-IS - iOS - Aus"/>
        <s v="CPA - Bikini - Video-IS - Android - Aus"/>
        <s v="CPA - Pegging - Video-IS - Desktop - Aus"/>
        <s v="CPA - Pegging - Video-IS - excl. iOS - Aus"/>
        <s v="CPA - Pegging - Video-IS - iOS - Aus"/>
        <s v="CPA - Pegging - Video-IS - iOS - USA"/>
        <s v="CPA - Pegging - Video-IS - Android - USA"/>
        <s v="CPA - Pegging - Video-IS - Desktop - USA"/>
        <s v="CPA - Pegging - Video-IS - Desktop - Canada"/>
        <s v="CPA - Pegging - Video-IS - excl. iOS - Canada"/>
        <s v="CPA - Pegging - Video-IS - iOS - Canada"/>
        <s v="CPA - Pegging - Video-IS - iOS - UK"/>
        <s v="CPA - Pegging - Video-IS - Android - UK"/>
        <s v="CPA - Pegging - Video-IS - Desktop - UK"/>
        <s v="CPA - Pegging - Video-IS - Desktop - NZ"/>
        <s v="CPA - Pegging - Video-IS - Android - NZ"/>
        <s v="CPA - Pegging - Video-IS - iOS - NZ"/>
        <s v="CPA - Shorties - iOS - NZ"/>
        <s v="CPA - Handjob - Video-IS - Desktop - NZ"/>
        <s v="CPA - Shorties - Android - NZ"/>
        <s v="CPA - Cowgirl - NativeVideo - Mobile - USA"/>
        <s v="CPA - Missionary - NativeVideo - Mobile - USA"/>
        <s v="CPA - Blonde - NativeVideo - Mobile - USA"/>
        <s v="CPA - Handjob - NativeVideo - Mobile - USA"/>
        <s v="CPA - JOI - NativeVideo - Mobile - USA"/>
        <s v="CPA - Creampie - Video-IS - Mobile - USA"/>
        <s v="CPA - TransV2 - Video-IS - Desktop - Aus"/>
        <s v="CPA - TransV2 - Video-IS - Android - Canada"/>
        <s v="CPA - Handjob - Video-IS - Desktop - USA"/>
        <s v="CPA - Threesome - Video-IS - Mobile - USA"/>
        <s v="CPA - JOI - Video-IS - Mobile - USA"/>
        <s v="CPA - Missionary - Video-IS - Desktop - Canada"/>
        <s v="CPA - Missionary - Video-IS - Android - USA"/>
        <s v="CPA - Missionary - Video-IS - iOS - USA"/>
        <s v="CPA - Cowgirl - Video-IS - Desktop - Aus"/>
        <s v="CPA - Cowgirl - Video-IS - Desktop - USA"/>
        <s v="CPA - Cowgirl - Video-IS - Android - USA"/>
        <s v="CPA - Cowgirl - Video-IS - Mobile - USA"/>
        <s v="CPA - Missionary - Video-IS - Mobile - USA"/>
        <s v="CPA - MILF - Video-IS - Desktop - USA"/>
        <s v="CPA - MILF - Video-IS - Android - UK"/>
        <s v="CPA - Blowjob - Video-IS - Desktop - Canada"/>
        <s v="CPA - Blowjob - Video-IS - Desktop - Aus"/>
        <s v="CPA - Blowjob - Video-IS - Android - USA"/>
        <s v="CPA - Blonde - Video-IS - Android - USA"/>
        <s v="CPA - SexDoll - Video-IS - iOS - Canada"/>
        <s v="CPA - SexDoll - Video-IS - Android - Aus"/>
        <s v="CPA - StepDaughter - Video-IS - iOS - Canada"/>
        <s v="CPA - StepDaughter - Video-IS - Android - USA"/>
        <s v="CPA - Gay - Mobile - USA"/>
        <s v="CPA - Blonde - Video-IS - Mobile - USA"/>
        <s v="CPA - Webcam - Video-IS - Desktop - Canada"/>
        <s v="CPA - Hentai - Video-IS - iOS - Canada"/>
        <s v="CPA - Hentai - Video-IS - Android - Aus"/>
        <s v="CPA - Hentai - Video-IS - iOS - USA"/>
        <s v="CPA - Furry - Video-IS - iOS - Canada"/>
        <s v="CPA - JOI - Video-IS - Android - Canada"/>
        <s v="CPA - JOI - Video-IS - Desktop - USA"/>
        <s v="CPA - Furry - Video-IS - excl. iOS - USA"/>
        <s v="CPA - AI - Video-IS - iOS - USA"/>
        <s v="CPA - AI - Video-IS - excl. iOS - USA"/>
        <s v="CPA - Cowgirl - Video-IS - iOS - USA"/>
        <s v="CPA - Blonde - Video-IS - iOS - USA"/>
        <s v="CPA - Fantasy - Video-IS - iOS - USA"/>
        <s v="CPA - Threesome - Video-IS - excl. iOS - USA"/>
        <s v="CPA - Fantasy - Video-IS - excl. iOS - USA"/>
        <s v="CPA - Handjob - Video-IS - excl. iOS - USA"/>
        <s v="CPA - MILF - Video-IS - excl. iOS - USA"/>
        <s v="CPA - Blonde - Video-IS - excl. iOS - USA"/>
        <s v="CPA - Blowjob - Video-IS - excl. iOS - USA"/>
        <s v="CPA - Missionary - Video-IS - excl. iOS - USA"/>
        <s v="CPA - Cowgirl - Video-IS - excl. iOS - USA"/>
        <s v="CPA - JOI - Video-IS - excl. iOS - USA"/>
        <s v="CPA - Trans - Video-IS - excl. iOS - USA"/>
        <s v="CPA - Transv2 - Video-IS - excl. iOS - USA"/>
        <s v="CPA - Hentai - Video-IS - excl. iOS - USA"/>
        <s v="CPA - Hentai - Video-IS - Desktop - USA"/>
        <s v="CPA - Hentai - Video-IS - excl. iOS - Aus"/>
        <s v="CPA - Hentai - Video-IS - Desktop - Aus"/>
        <s v="CPA - Hentai - Video-IS - iOS - Aus"/>
        <s v="CPA - Hentai - Video-IS - Desktop - Canada"/>
        <s v="CPA - Hentai - Video-IS - excl. iOS - Canada"/>
        <s v="CPA - Hentai - Video-IS - iOS - NZ"/>
        <s v="CPA - Hentai - Video-IS - excl. iOS - NZ"/>
        <s v="CPA - Hentai - Video-IS - Desktop - NZ"/>
        <s v="CPA - Hentai - Video-IS - Desktop - UK"/>
        <s v="CPA - Hentai - Video-IS - excl. iOS - UK"/>
        <s v="CPA - Hentai - Video-IS - iOS - UK"/>
        <s v="OLD_CPA_Hentai_NativeVideo_iOS_USA_SD"/>
        <s v="OLD_CPA_Hentai_NativeVideo_excl.-iOS_USA_SD"/>
        <s v="CPA - Hentai - NativeVideo - Desktop - USA"/>
        <s v="OLD_CPA_Hentai_NativeVideo_Desktop_Aus_SD"/>
        <s v="OLD_CPA_Hentai_NativeVideo_excl.-iOS_Aus_SD"/>
        <s v="OLD_CPA_Hentai_NativeVideo_iOS_Aus_SD"/>
        <s v="CPA - Hentai - NativeVideo - iOS - Canada"/>
        <s v="OLD_CPA_Hentai_NativeVideo_excl.-iOS_Canada_SD"/>
        <s v="OLD_CPA_Hentai_NativeVideo_Desktop_Canada_SD"/>
        <s v="OLD_CPA_Hentai_NativeVideo_Desktop_NZ_SD"/>
        <s v="OLD_CPA_Hentai_300x250_Desktop_UK_SD"/>
        <s v="OLD_CPA_Hentai_NativeVideo_iOS_NZ_SD"/>
        <s v="OLD_CPA_Hentai_NativeVideo_excl.-iOS_UK_SD"/>
        <s v="CPA - Hentai - NativeVideo - excl. iOS - UK"/>
        <s v="OLD_CPA_Hentai_NativeVideo_Desktop_UK_SD"/>
        <s v="CPA - Hentai - 300x250 - iOS - USA"/>
        <s v="CPA - Hentai - 300x250 - Desktop - USA"/>
        <s v="OLD_CPA_Hentai_300x250_excl.-iOS_USA_SD"/>
        <s v="OLD_CPA_Hentai_300x250_excl.-iOS_Aus_SD"/>
        <s v="CPA - Hentai - 300x250 - Desktop - Aus"/>
        <s v="OLD_CPA_Hentai_300x250_iOS_Aus_SD"/>
        <s v="OLD_CPA_Hentai_300x250_iOS_UK_SD"/>
        <s v="CPA - Hentai - 300x250 - Desktop - UK"/>
        <s v="OLD_CPA_Hentai_300x250_excl.-iOS_UK_SD"/>
        <s v="CPA - Hentai - 300x250 - Desktop - Canada"/>
        <s v="CPA - Hentai - 300x250 - iOS - Canada"/>
        <s v="CPA - Hentai - 300x250 - excl. iOS - Canada"/>
        <s v="OLD_CPA_Hentai_300x250_excl.-iOS_NZ_SD"/>
        <s v="OLD_CPA_Hentai_300x250_iOS_NZ_SD"/>
        <s v="OLD_CPA_Hentai_300x250_Desktop_NZ_SD"/>
        <s v="CPA - Gay - Video-IS - excl. iOS - USA"/>
        <s v="CPA - Gay - Video-IS - iOS - USA"/>
        <s v="CPA - AI - Video - Desktop - USA"/>
        <s v="CPA - AI - Shorties - iOS - UK"/>
        <s v="CPA - AI - Shorties - Android - UK"/>
        <s v="CPA - AI - Shorties - Android - Canada"/>
        <s v="CPA - AI - Shorties - iOS - Canada"/>
        <s v="CPA - AI - Shorties - Android - NZ"/>
        <s v="CPA - AI - Shorties - iOS - NZ"/>
        <s v="CPA - AI - Shorties - Android - IE"/>
        <s v="CPA - AI - Shorties - iOS - IE"/>
        <s v="CPA - AI - Video-IS - iOS - NZ"/>
        <s v="CPA - AI - Video-IS - iOS - IE"/>
        <s v="CPA - AI - Video-IS - excl. iOS - NZ"/>
        <s v="CPA - AI - Video-IS - Android - IE"/>
        <s v="CPA - AI - Video-IS - Desktop - NZ"/>
        <s v="CPA - AI - Video-IS - Desktop - IE"/>
        <s v="CPA - AI - 950x250 - Desktop - US"/>
        <s v="CPA - AI - 950x250 - Desktop - UK"/>
        <s v="CPA - AI - 950x250 - Desktop - Canada"/>
        <s v="CPA - AI - 950x250 - Desktop - Aus"/>
        <s v="CPA - AI - 950x250 - Desktop - NZ"/>
        <s v="CPA - AI - 950x250 - Desktop - IE"/>
        <s v="CPA - AI - 950x250 - Mobile - USA"/>
        <s v="CPA - AI - 950x250 - Mobile - Aus"/>
        <s v="CPA - KEY1 - Video-IS - Desktop - USA - 1"/>
        <s v="CPA - KEY1 - Video-IS - Desktop - USA - 2"/>
        <s v="CPA - INT1KEY1 - Preroll - Desktop - USA"/>
        <s v="CPA - Marvel - Video-IS - excl. iOS - UK"/>
        <s v="CPA - Marvel - Video-IS - excl. iOS - Canada"/>
        <s v="CPA - Marvel - Video-IS - excl. iOS - NZ"/>
        <s v="CPA - Missionary - Video-IS - Desktop - NZ"/>
        <s v="CPA - Missionary - Video-IS - excl. iOS - UK"/>
        <s v="CPA - Missionary - Video-IS - excl. iOS - Aus"/>
        <s v="CPA - Missionary - Video-IS - excl. iOS - NZ"/>
        <s v="CPA - Missionary - Video-IS - iOS - NZ"/>
        <s v="CPA - TransV2 - Video-IS - excl. iOS - Aus"/>
        <s v="CPA - TransV2 - Video-IS - excl. iOS - UK"/>
        <s v="CPA - TransV2 - Video-IS - excl. iOS - Canada"/>
        <s v="CPA - TransV2 - Video-IS - excl. iOS - NZ"/>
        <s v="CPA - TransV2 - Video-IS - iOS - NZ"/>
        <s v="CPA - TransV2 - Video-IS - Desktop - NZ"/>
        <s v="CPA - VideoGameBatch - Video-IS - ALL - USA"/>
        <s v="CPA - Nintendo - Video-IS - ALL - USA"/>
        <s v="CPA - Pokemon/Digimon - Video-IS - ALL - USA"/>
        <s v="CPA - DC - Video-IS - ALL - USA"/>
        <s v="CPA - Starwars - Video-IS - ALL - USA"/>
        <s v="CPA - CartoonBatch - Video-IS - ALL - USA"/>
        <s v="CPA - VOD Video Game Buy - Video-IS - ALL - USA"/>
        <s v="CPA - VOD Hentai Intent - Video-IS - ALL - USA"/>
        <s v="CPA - Dating Intent - Video-IS - ALL - USA"/>
        <s v="CPA - VOD VR Intent - Video-IS - ALL - USA"/>
        <s v="CPA - Sex Toy Intent - Video-IS - ALL - USA"/>
        <s v="CPA - Erotica Interest - Video-IS - ALL - USA"/>
        <s v="CPA - Game Streaming Interest - Video-IS - ALL - USA"/>
        <s v="CPA - Casino Intent - Video-IS - ALL - USA"/>
        <s v="CPA - Furry - Video-IS - Desktop - Aus"/>
        <s v="CPA - Furry - Video-IS - Desktop - NZ"/>
        <s v="CPA - Furry - Video-IS - excl. iOS - Aus"/>
        <s v="CPA - Furry - Video-IS - excl. iOS - UK"/>
        <s v="CPA - Furry - Video-IS - excl. iOS - Canada"/>
        <s v="CPA - Furry - Video-IS - excl. iOS - NZ"/>
        <s v="CPA - Furry - Video-IS - iOS - NZ"/>
        <s v="CPA - Header Retargeting - Video-IS - Mobile - USA"/>
        <s v="CPA - Header Retargeting - Video-IS - Mobile - Australia"/>
        <s v="CPA - Header Retargeting - Video-IS - Mobile - Canada"/>
        <s v="CPA - Header Retargeting - Video-IS - Mobile - Denmark"/>
        <s v="CPA - Header Retargeting - Video-IS - Mobile - New Zealand"/>
        <s v="CPA - Header Retargeting - Video-IS - Mobile - Norway"/>
        <s v="CPA - Header Retargeting - Video-IS - Mobile - United Kingdom"/>
        <s v="CPA - Blowjob - Video-IS - Desktop - NZ"/>
        <s v="CPA - Blowjob - Video-IS - iOS - NZ"/>
        <s v="CPA - Blowjob - Video-IS - excl. iOS - NZ"/>
        <s v="CPA - Blowjob - Video-IS - excl. iOS - Canada"/>
        <s v="CPA - Blowjob - Video-IS - excl. iOS - Aus"/>
        <s v="CPA - Blowjob - Video-IS - excl. iOS - UK"/>
        <s v="CPA - Shorties - Video-IS - iOS - USA"/>
        <s v="CPA - Shorties - Video-IS - excl. iOS - USA"/>
        <s v="CPA - Shorties - Video-IS - excl. iOS - Aus"/>
        <s v="CPA - Shorties - Video-IS - excl. iOS - UK"/>
        <s v="CPA - Shorties - Video-IS - excl. iOS - Canada"/>
        <s v="CPA - Shorties - Video-IS - excl. iOS - NZ"/>
        <s v="CPA - Shorties - Video-IS - iOS - Canada"/>
        <s v="CPA - Shorties - Video-IS - iOS - UK"/>
        <s v="CPA - Shorties - Video-IS - iOS - Aus"/>
        <s v="CPA - Shorties - Video-IS - iOS - NZ"/>
        <s v="CPA - Cowgirl - Video-IS - iOS - NZ"/>
        <s v="CPA - Cowgirl - Video-IS - excl. iOS - UK"/>
        <s v="CPA - Cowgirl - Video-IS - excl. iOS - Aus"/>
        <s v="CPA - Cowgirl - Video-IS - excl. iOS - NZ"/>
        <s v="CPA - Cowgirl - Video-IS - Desktop - NZ"/>
        <s v="CPA - Erotica Interest - Video-IS - Desktop - USA"/>
        <s v="CPA - Erotica Interest - Video-IS - iOS - USA"/>
        <s v="CPA - Erotica Interest - Video-IS - excl. iOS - USA"/>
        <s v="CPA - Erotica Interest - Video-IS - Desktop - Aus"/>
        <s v="CPA - Erotica Interest - Video-IS - Desktop - UK"/>
        <s v="CPA - Erotica Interest - Video-IS - Desktop - Canada"/>
        <s v="CPA - Erotica Interest - Video-IS - Desktop - NZ"/>
        <s v="CPA - Erotica Interest - Video-IS - iOS - UK"/>
        <s v="CPA - Erotica Interest - Video-IS - iOS - Canada"/>
        <s v="CPA - Erotica Interest - Video-IS - iOS - Aus"/>
        <s v="CPA - Erotica Interest - Video-IS - iOS - NZ"/>
        <s v="CPA - Erotica Interest - Video-IS - excl. iOS - UK"/>
        <s v="CPA - Erotica Interest - Video-IS - excl. iOS - Canada"/>
        <s v="CPA - Erotica Interest - Video-IS - excl. iOS - Aus"/>
        <s v="CPA - Erotica Interest - Video-IS - excl. iOS - NZ"/>
        <s v="CPA - VR Intent - Video-IS - Desktop - USA"/>
        <s v="CPA - VR Intent - Video-IS - iOS - USA"/>
        <s v="CPA - VR Intent - Video-IS - excl. iOS - USA"/>
        <s v="CPA - VR Intent - Video-IS - Desktop - Aus"/>
        <s v="CPA - VR Intent - Video-IS - Desktop - UK"/>
        <s v="CPA - VR Intent - Video-IS - Desktop - NZ"/>
        <s v="CPA - VR Intent - Video-IS - Desktop - Canada"/>
        <s v="CPA - VR Intent - Video-IS - iOS - Aus"/>
        <s v="CPA - VR Intent - Video-IS - iOS - UK"/>
        <s v="CPA - VR Intent - Video-IS - iOS - Canada"/>
        <s v="CPA - VR Intent - Video-IS - iOS - NZ"/>
        <s v="CPA - VR Intent - Video-IS - excl. iOS - UK"/>
        <s v="CPA - VR Intent - Video-IS - excl. iOS - Canada"/>
        <s v="CPA - VR Intent - Video-IS - excl. iOS - NZ"/>
        <s v="CPA - VR Intent - Video-IS - excl. iOS - Aus"/>
        <s v="CPA - VOD Hentai Intent - Video-IS - Desktop - USA"/>
        <s v="CPA - VOD Hentai Intent - Video-IS - iOS - USA"/>
        <s v="CPA - VOD Hentai Intent - Video-IS - excl. iOS - USA"/>
        <s v="CPA - VOD Hentai Intent - Video-IS - Desktop - NZ"/>
        <s v="CPA - VOD Hentai Intent - Video-IS - Desktop - Aus"/>
        <s v="CPA - VOD Hentai Intent - Video-IS - Desktop - Canada"/>
        <s v="CPA - VOD Hentai Intent - Video-IS - Desktop - UK"/>
        <s v="CPA - VOD Hentai Intent - Video-IS - iOS - Aus"/>
        <s v="CPA - VOD Hentai Intent - Video-IS - iOS - Canada"/>
        <s v="CPA - VOD Hentai Intent - Video-IS - iOS - UK"/>
        <s v="CPA - VOD Hentai Intent - Video-IS - iOS - NZ"/>
        <s v="CPA - VOD Hentai Intent - Video-IS - excl. iOS - Aus"/>
        <s v="CPA - VOD Hentai Intent - Video-IS - excl. iOS - UK"/>
        <s v="CPA - VOD Hentai Intent - Video-IS - excl. iOS - NZ"/>
        <s v="CPA - VOD Hentai Intent - Video-IS - excl. iOS - Canada"/>
        <s v="CPA - Trans - Video-IS - iOS - NZ"/>
        <s v="CPA - Trans - Video-IS - Desktop - NZ"/>
        <s v="CPA - Trans - Video-IS - excl. iOS - Aus"/>
        <s v="CPA - Trans - Video-IS - excl. iOS - Canada"/>
        <s v="CPA - Trans - Video-IS - excl. iOS - UK"/>
        <s v="CPA - Trans - Video-IS - excl. iOS - NZ"/>
        <s v="CPA - Blowjob - Video-IS - iOS - USA NEW"/>
        <s v="CPA - Hentai - Video-IS - excl. iOS - OTH"/>
        <s v="CPA - Hentai - Video-IS - iOS - OTH"/>
        <s v="CPA - Hentai - Video-IS - Desktop - OTH"/>
        <s v="CPA - Global - Video-IS - Desktop - OTH"/>
        <s v="CPA - Global - Video-IS - iOS - OTH"/>
        <s v="CPA - Global - Video-IS - excl. iOS - OTH"/>
        <s v="CPA - FinDom - Video-IS - Desktop - NZ"/>
        <s v="CPA - FinDom - Video-IS - excl. iOS - USA"/>
        <s v="CPA - FinDom - Video-IS - excl. iOS - Canada"/>
        <s v="CPA - FinDom - Video-IS - excl. iOS - UK"/>
        <s v="CPA - FinDom - Video-IS - excl. iOS - NZ"/>
        <s v="CPA - FinDom - Video-IS - iOS - NZ"/>
        <s v="CPA - FinDom - Video-IS - iOS - UK"/>
        <s v="CPA - Threesome - Video-IS - Desktop - NZ"/>
        <s v="CPA - Threesome - Video-IS - excl. iOS - UK"/>
        <s v="CPA - Threesome - Video-IS - excl. iOS - Canada"/>
        <s v="CPA - Threesome - Video-IS - excl. iOS - NZ"/>
        <s v="CPA - Threesome - Video-IS - excl. iOS - Aus"/>
        <s v="CPA - Threesome - Video-IS - iOS - NZ"/>
        <s v="CPA - Global - Video-IS - excl. iOS - OTH2"/>
        <s v="CPA - Global - Video-IS - iOS - OTH2"/>
        <s v="CPA - Global - Video-IS - Desktop - OTH2"/>
        <s v="CPA - Global - Video-IS - Desktop - OTH3"/>
        <s v="CPA - Global - Video-IS - iOS - OTH3"/>
        <s v="CPA - Global - Video-IS - excl. iOS - OTH3"/>
        <s v="CPA - Global - Video-IS - iOS - OTH4"/>
        <s v="CPA - Global - Video-IS - Desktop - OTH4"/>
        <s v="CPA - Global - Video-IS - excl. iOS - OTH4"/>
        <s v="CPA - Global - Video-IS - iOS - OTH5"/>
        <s v="CPA - Global - Video-IS - Desktop - OTH5"/>
        <s v="CPA - Global - Video-IS - excl. iOS - OTH5"/>
        <s v="CPA - Global - Video-IS - Desktop - OTH6"/>
        <s v="CPA - Global - Video-IS - excl. iOS - OTH6"/>
        <s v="CPA - Global - Video-IS - iOS - OTH6"/>
        <s v="OLD_CPA_Batch-1_Native-Homepage_excl-iOS_USA_SD"/>
        <s v="OLD_CPA_Batch-1_Native-Homepage_USA_SD"/>
        <s v="OLD_CPA_Indian_NativeVideo_Desktop_USA_SD"/>
        <s v="CPA - Indian - NativeVideo - excl. iOS - USA"/>
        <s v="CPA - Indian - NativeVideo - iOS - USA"/>
        <s v="CPA - BigTits - NATIVEVIDEO - Desktop - USA"/>
        <s v="CPA - BigTits - NativeVideo - excl. iOS - USA"/>
        <s v="CPA - BigTits - NativeVideo - iOS - USA"/>
        <s v="CPA - General 300Header - 300x100 - Mobile - USA"/>
        <s v="CPA-INDIAN-NATIVEVIDEO-DESKTOP-USA-RT_TEST"/>
        <s v="CPA _Shorties_iOS_USA"/>
        <s v="US_EN_NATIVE_CPM_PH_ALL-MOB_HENTAI_SEGMENT_ALL_TJ"/>
        <s v="US_EN_NATIVE_CPM_PH_HOMEPAGE_iOS_ALL_TJ"/>
        <s v="CA_EN_NATIVE_CPM_PH_HOMEPAGE_ALL-MOB_ALL_TJ"/>
        <s v="US_EN_PREROLL_CPA_ALL_KEY-INDIAN_ALL_M_JB"/>
        <s v="US_EN_PREROLL_CPA_ALL_KEY-Blonde_AND_M_JB"/>
        <s v="US_EN_PREROLL_CPA_ALL_KEY-Blonde_iOS_M_JB"/>
        <s v="US_EN_PREROLL_CPA_ALL_KEY-Blonde_DESK_M_JB"/>
        <s v="CA_EN_PREROLL_CPA_ALL_KEY-Hentai-Cartoon_AND_M_JB"/>
        <s v="CA_EN_PREROLL_CPA_ALL_KEY-Hentai-Cartoon_iOS_M_JB"/>
        <s v="CA_EN_PREROLL_CPA_ALL_KEY-Hentai-Cartoon_DESK_M_JB"/>
        <s v="US_EN_PREROLL_CPA_ALL_KEY-Hentai-Cartoon_AND_M_JB"/>
        <s v="US_EN_PREROLL_CPA_ALL_KEY-Hentai-Cartoon_iOS_M_JB"/>
        <s v="US_EN_PREROLL_CPA_ALL_KEY-Hentai-Cartoon_DESK_M_JB"/>
        <s v="AUS_EN_PREROLL_CPA_ALL_KEY-Hentai-Cartoon_AND_M_JB"/>
        <s v="AUS_EN_PREROLL_CPA_ALL_KEY-Hentai-Cartoon_iOS_M_JB"/>
        <s v="AUS_EN_PREROLL_CPA_ALL_KEY-Hentai-Cartoon_DESK_M_JB"/>
        <s v="UK_EN_PREROLL_CPA_ALL_KEY-Hentai-Cartoon_AND_M_JB"/>
        <s v="UK_EN_PREROLL_CPA_ALL_KEY-Hentai-Cartoon_iOS_M_JB"/>
        <s v="UK_EN_PREROLL_CPA_ALL_KEY-Hentai-Cartoon_DESK_M_JB"/>
        <s v="T2_EN_PREROLL_CPA_ALL_KEY-Hentai-Cartoon_AND_M_JB"/>
        <s v="T2_EN_PREROLL_CPA_ALL_KEY-Hentai-Cartoon_iOS_M_JB"/>
        <s v="T2_EN_PREROLL_CPA_ALL_KEY-Hentai-Cartoon_DESK_M_JB"/>
        <s v="US_EN_PREROLL_CPA_ALL_Broad_AND_MF_JB"/>
        <s v="US_EN_PREROLL_CPA_ALL_Broad_iOS_MF_JB"/>
        <s v="US_EN_PREROLL_CPA_ALL_Broad_DESK_MF_JB"/>
        <s v="US_EN_PREROLL_CPA_PH_KEY-Blowjob_iOS_M_JB"/>
        <s v="US_EN_PREROLL_CPA_PH_KEY-Blowjob_AND_M_JB"/>
        <s v="US_EN_PREROLL_CPA_PH_KEY-Blowjob_DESK_M_JB"/>
        <s v="US_EN_PREROLL_CPA_ALL_KEY-Cowgirl_AND_M_JB"/>
        <s v="US_EN_PREROLL_CPA_ALL_KEY-Cowgirl_iOS_M_JB"/>
        <s v="US_EN_PREROLL_CPA_ALL_KEY-Cowgirl_DESK_M_JB"/>
        <s v="US_EN_PREROLL_CPA_ALL_KEY-Missionary_DESK_M_JB"/>
        <s v="US_EN_PREROLL_CPA_PH-RT_KEY-Missionary_iOS_M_JB"/>
        <s v="UK_EN_PREROLL_CPA_ALL_KEY-Missionary_DESK_M_JB"/>
        <s v="US_EN_PREROLL_CPA_PH-RT_KEY-Missionary_AND_M_JB"/>
        <s v="US_EN_PREROLL_CPA_ALL_KEY-Cumshot_AND_M_JB"/>
        <s v="US_EN_PREROLL_CPA_ALL_KEY-Cumshot_iOS_M_JB"/>
        <s v="US_EN_PREROLL_CPA_ALL_KEY-Cumshot_DESK_M_JB"/>
        <s v="US_EN_PREROLL_CPA_T8-YP_KEY-Handjob_DESK_M_JB"/>
        <s v="US_EN_PREROLL_CPA_T8-PH-YP_KEY-Handjob_AND_M_JB"/>
        <s v="US_EN_PREROLL_CPA_T8-PH-YP_KEY-Handjob_iOS_M_JB"/>
        <s v="NZ_EN_PREROLL_CPA_T8-YP_KEY-Handjob_DESK_M_JB"/>
        <s v="US_EN_SHORTIES_CPM_PH_MOB_MF_TJ"/>
        <s v="US_EN_PREROLL_CPM_PH_KEY-AI_DESK_MF_TJ"/>
        <s v="UK_EN_PREROLL_CPM_PH_KEY-AI_DESK_MF_TJ"/>
        <s v="US_EN_PREROLL_CPA_ALL_SOURCE-Gay_AND_MF_JB"/>
        <s v="US_EN_PREROLL_CPM_PH_KEY-Trans_iOS_M_TJ"/>
        <s v="US_EN_PREROLL_CPM_PH_KEY-Trans_AND_M_TJ"/>
        <s v="US_EN_PREROLL_CPA_ALL_SOURCE-Gay_iOS_MF_JB"/>
        <s v="US_EN_PREROLL_CPA_ALL_SOURCE-Gay_DESK_M_JB"/>
        <s v="AUS_EN_PREROLL_CPA_ALL_SOURCE-Gay_DESK_M_JB"/>
        <s v="CA_EN_PREROLL_CPA_ALL_SOURCE-Gay_DESK_M_JB"/>
        <s v="TEST_EN_PREROLL_CPA_PH_KEY-Blowjob_DESK_M_JB_AUTOTEST1"/>
        <s v="TEST_EN_PREROLL_CPA_PH_KEY-Blowjob_DESK_M_JB_AUTOTEST2"/>
        <s v="TEST_EN_PREROLL_CPA_PH_KEY-Blowjob_DESK_M_JB_AUTOTEST3"/>
        <s v="CA_EN_PREROLL_CPM_PH_KEY-AI_DESK_MF_TJ"/>
        <s v="AU_EN_PREROLL_CPM_PH_KEY-AI_DESK_MF_TJ"/>
        <s v="NZ_EN_PREROLL_CPM_PH_KEY-AI_DESK_MF_TJ"/>
        <s v="US_EN_NATIVE_CPM_PH_HOMEPAGE_ALL-MOB_ALL_TJ"/>
        <s v="AU_EN_NATIVE_CPM_PH_HOMEPAGE_ALL-MOB_ALL_TJ"/>
        <s v="UK_EN_NATIVE_CPM_PH_HOMEPAGE_ALL-MOB_ALL_TJ"/>
        <s v="NZ_EN_NATIVE_CPM_PH_HOMEPAGE_ALL-MOB_ALL_TJ"/>
        <s v="CA_EN_PREROLL_CPA_PH_KEY-Blowjob_iOS_M_JB"/>
        <s v="PH_EN_PREROLL_CPM_PH_MOB_ALL-MOB_ALL_TJ"/>
        <s v="CO_EN_PREROLL_CPM_PH_MOB_ALL-MOB_ALL_TJ"/>
        <s v="MX_EN_NATIVE_CPM_PH_WATCH_ALL-MOB_ALL_TJ"/>
        <s v="PH_EN_NATIVE_CPM_PH_WATCH_ALL-MOB_ALL_TJ"/>
        <s v="MA_EN_PREROLL_CPM_PH_MOB_ALL-MOB_ALL_TJ"/>
        <s v="BR_EN_NATIVE_CPM_PH_WATCH_ALL-MOB_ALL_TJ"/>
        <s v="EG_EN_PREROLL_CPM_PH_MOB_ALL-MOB_ALL_TJ"/>
        <s v="PE_EN_PREROLL_CPM_PH_MOB_ALL-MOB_ALL_TJ"/>
        <s v="DE_EN_NATIVE_CPM_PH_WATCH_ALL-MOB_ALL_TJ"/>
        <s v="NL_EN_PREROLL_CPM_PH_MOB_ALL-MOB_ALL_TJ"/>
        <s v="AR_EN_NATIVE_CPM_PH_WATCH_ALL-MOB_ALL_TJ"/>
        <s v="EC_EN_PREROLL_CPM_PH_MOB_ALL-MOB_ALL_TJ"/>
        <s v="ES_EN_PREROLL_CPM_PH_MOB_ALL-MOB_ALL_TJ"/>
        <s v="CO_EN_NATIVE_CPM_PH_WATCH_ALL-MOB_ALL_TJ"/>
        <s v="LK_EN_PREROLL_CPM_PH_MOB_ALL-MOB_ALL_TJ"/>
        <s v="BR_EN_PREROLL_CPM_PH_MOB_ALL-MOB_ALL_TJ"/>
        <s v="BO_EN_PREROLL_CPM_PH_MOB_ALL-MOB_ALL_TJ"/>
        <s v="NL_EN_NATIVE_CPM_PH_WATCH_ALL-MOB_ALL_TJ"/>
        <s v="SG_EN_PREROLL_CPM_PH_MOB_ALL-MOB_ALL_TJ"/>
        <s v="TN_EN_PREROLL_CPM_PH_MOB_ALL-MOB_ALL_TJ"/>
        <s v="AZ_EN_PREROLL_CPM_PH_MOB_ALL-MOB_ALL_TJ"/>
        <s v="HN_EN_PREROLL_CPM_PH_MOB_ALL-MOB_ALL_TJ"/>
        <s v="PY_EN_PREROLL_CPM_PH_MOB_ALL-MOB_ALL_TJ"/>
        <s v="SV_EN_PREROLL_CPM_PH_MOB_ALL-MOB_ALL_TJ"/>
        <s v="UA_EN_NATIVE_CPM_PH_WATCH_ALL-MOB_ALL_TJ"/>
        <s v="EG_EN_NATIVE_CPM_PH_WATCH_ALL-MOB_ALL_TJ"/>
        <s v="MA_EN_NATIVE_CPM_PH_WATCH_ALL-MOB_ALL_TJ"/>
        <s v="PE_EN_NATIVE_CPM_PH_WATCH_ALL-MOB_ALL_TJ"/>
        <s v="PO_EN_NATIVE_CPM_PH_WATCH_ALL-MOB_ALL_TJ"/>
        <s v="AU_EN_NATIVE_CPM_PH_WATCH_ALL-MOB_ALL_TJ"/>
        <s v="ES_EN_NATIVE_CPM_PH_WATCH_ALL-MOB_ALL_TJ"/>
        <s v="ZA_EN_NATIVE_CPM_PH_WATCH_ALL-MOB_ALL_TJ"/>
        <s v="SG_EN_NATIVE_CPM_PH_WATCH_ALL-MOB_ALL_TJ"/>
        <s v="EC_EN_NATIVE_CPM_PH_WATCH_ALL-MOB_ALL_TJ"/>
        <s v="JP_EN_NATIVE_CPM_PH_WATCH_ALL-MOB_ALL_TJ"/>
        <s v="ES_EN_PREROLL_CPM_PH_DESK_ALL-DESK_ALL_TJ"/>
        <s v="LK_EN_NATIVE_CPM_PH_WATCH_ALL-MOB_ALL_TJ"/>
        <s v="GT_EN_NATIVE_CPM_PH_WATCH_ALL-MOB_ALL_TJ"/>
        <s v="DE_EN_PREROLL_CPM_PH_DESK_ALL-DESK_ALL_TJ"/>
        <s v="CO_EN_PREROLL_CPM_PH_DESK_ALL-DESK_ALL_TJ"/>
        <s v="IT_EN_PREROLL_CPM_PH_DESK_ALL-DESK_ALL_TJ"/>
        <s v="PH_EN_NATIVE_CPM_PH_SEARCH_ALL-MOB_ALL_TJ"/>
        <s v="IN_EN_PREROLL_CPM_TZ_MOB_ALL-MOB_ALL_TJ"/>
        <s v="MX_EN_NATIVE_CPM_PH_SEARCH_ALL-MOB_ALL_TJ"/>
        <s v="EG_EN_NATIVE_CPM_PH_SEARCH_ALL-MOB_ALL_TJ"/>
        <s v="DE_EN_NATIVE_CPM_PH_SEARCH_ALL_MOB_ALL_TJ"/>
        <s v="PH_EN_PREROLL_CPM_PH_TAB_ALL-TAB_ALL_TJ"/>
        <s v="PH_EN_NATIVE_CPM_PH_HOMEPAGE_ALL-MOB_ALL_TJ"/>
        <s v="US_EN_PREROLL_CPM_PH_ALL_DESK_RETARGETING_ALL_TJ"/>
        <s v="MX_EN_PREROLL_CPM_PH_ALL_DESK_RETARGETING_ALL_TJ"/>
        <s v="CA_EN_PREROLL_CPM_PH_ALL_DESK_RETARGETING_ALL_TJ"/>
        <s v="AU_EN_PREROLL_CPM_PH_ALL_DESK_RETARGETING_ALL_TJ"/>
        <s v="UK_EN_PREROLL_CPM_PH_ALL_DESK_RETARGETING_ALL_TJ"/>
        <s v="NZ_EN_PREROLL_CPM_PH_ALL_DESK_RETARGETING_ALL_TJ"/>
        <s v="US_EN_PREROLL_CPM_PH_ALL_MOB_RETARGETING_ALL_TJ"/>
        <s v="CA_EN_PREROLL_CPM_PH_ALL_MOB_RETARGETING_ALL_TJ"/>
        <s v="UK_EN_PREROLL_CPM_PH_ALL_MOB_RETARGETING_ALL_TJ"/>
        <s v="AU_EN_PREROLL_CPM_PH_ALL_MOB_RETARGETING_ALL_TJ"/>
        <s v="NZ_EN_PREROLL_CPM_PH_ALL_MOB_RETARGETING_ALL_TJ"/>
        <s v="MX_EN_PREROLL_CPM_PH_ALL_MOB_RETARGETING_ALL_TJ"/>
        <s v="LATAM_ES_NATIVE_CPM_PH_ALL_MOB_ALL_TJ"/>
        <s v="LATAM_ES_NATIVE_CPM_PH_ALL_DESK_ALL_TJ"/>
        <s v="AU_EN_NATIVE_CPM_PH_ALL_MOB_RETARGETING_ALL_TJ"/>
        <s v="CA_EN_NATIVE_CPM_PH_ALL_MOB_RETARGETING_ALL_TJ"/>
        <s v="UK_EN_NATIVE_CPM_PH_ALL_MOB_RETARGETING_ALL_TJ"/>
        <s v="US_EN_NATIVE_CPM_PH_ALL_MOB_RETARGETING_ALL_TJ"/>
        <s v="MX_EN_NATIVE_CPM_PH_ALL_MOB_RETARGETING_ALL_TJ"/>
        <s v="NZ_EN_NATIVE_CPM_PH_ALL_MOB_RETARGETING_ALL_TJ"/>
        <s v="JB_NATIVE_TEST"/>
        <s v="UA_EN_SHORTIES_CPM_PH_MOB_ALL_TJ"/>
        <s v="PL_EN_SHORTIES_CPM_PH_MOB_ALL_TJ"/>
        <s v="MX_EN_SHORTIES_CPM_PH_MOB_ALL_TJ"/>
        <s v="PH_EN_SHORTIES_CPM_PH_MOB_ALL_TJ"/>
        <s v="AR_EN_SHORTIES_CPM_PH_MOB_ALL_TJ"/>
        <s v="DE_EN_SHORTIES_CPM_PH_MOB_ALL_TJ"/>
        <s v="CO_EN_SHORTIES_CPM_PH_MOB_ALL_TJ"/>
        <s v="CL_EN_SHORTIES_CPM_PH_MOB_ALL_TJ"/>
        <s v="AU_EN_SHORTIES_CPM_PH_MOB_ALL_TJ"/>
        <s v="NL_EN_SHORTIES_CPM_PH_MOB_ALL_TJ"/>
        <s v="US_EN_NATIVE_CPM_PH_ALL_DESK_RETARGETING_ALL_TJ"/>
        <s v="CA_EN_NATIVE_CPM_PH_ALL_DESK_RETARGETING_ALL_TJ"/>
        <s v="UK_EN_NATIVE_CPM_PH_ALL_DESK_RETARGETING_ALL_TJ"/>
        <s v="AU_EN_NATIVE_CPM_PH_ALL_DESK_RETARGETING_ALL_TJ"/>
        <s v="MX_EN_NATIVE_CPM_PH_ALL_DESK_RETARGETING_ALL_TJ"/>
        <s v="NZ_EN_NATIVE_CPM_PH_ALL_DESK_RETARGETING_ALL_TJ"/>
        <s v="US_EN_PREROLL_CPM_PH_KEY-Pokemon_ALL_CLICK RETARGETING_M_TJ"/>
        <s v="US_EN_NATIVE_CPM_PH_HOMEPAGE_EXCL-iOS_CLICK RETARGETING_ALL_TJ"/>
        <s v="US_EN_BANNER_CPM_PH_ALL_DESK_300x250_ALL_TJ"/>
        <s v="MX_EN_BANNER_CPM_PH_ALL_MOB_MIDDLE_ALL_TJ"/>
        <s v="BR_EN_BANNER_CPM_PH_ALL_MOB_MIDDLE_ALL_TJ"/>
        <m/>
      </sharedItems>
    </cacheField>
    <cacheField name="Content Rating" numFmtId="0">
      <sharedItems containsBlank="1"/>
    </cacheField>
    <cacheField name="Dimensions" numFmtId="0">
      <sharedItems containsDate="1" containsBlank="1" containsMixedTypes="1" minDate="1899-12-30T09:16:00" maxDate="1899-12-30T16:09:00"/>
    </cacheField>
    <cacheField name="Ad Format" numFmtId="0">
      <sharedItems containsBlank="1"/>
    </cacheField>
    <cacheField name="Exchange" numFmtId="0">
      <sharedItems containsBlank="1"/>
    </cacheField>
    <cacheField name="Device" numFmtId="0">
      <sharedItems containsBlank="1"/>
    </cacheField>
    <cacheField name="Targeting" numFmtId="0">
      <sharedItems containsBlank="1"/>
    </cacheField>
    <cacheField name="Active Ads" numFmtId="0">
      <sharedItems containsString="0" containsBlank="1" containsNumber="1" containsInteger="1" minValue="1" maxValue="1730"/>
    </cacheField>
    <cacheField name="Paused Ads" numFmtId="0">
      <sharedItems containsString="0" containsBlank="1" containsNumber="1" containsInteger="1" minValue="0" maxValue="89"/>
    </cacheField>
    <cacheField name="Unlimited Budget" numFmtId="0">
      <sharedItems containsBlank="1"/>
    </cacheField>
    <cacheField name="Custom Budget" numFmtId="0">
      <sharedItems containsBlank="1" containsMixedTypes="1" containsNumber="1" containsInteger="1" minValue="25" maxValue="2000"/>
    </cacheField>
    <cacheField name="Impressions" numFmtId="0">
      <sharedItems containsString="0" containsBlank="1" containsNumber="1" containsInteger="1" minValue="0" maxValue="18962900"/>
    </cacheField>
    <cacheField name="Clicks" numFmtId="0">
      <sharedItems containsString="0" containsBlank="1" containsNumber="1" containsInteger="1" minValue="0" maxValue="199372"/>
    </cacheField>
    <cacheField name="CTR" numFmtId="0">
      <sharedItems containsString="0" containsBlank="1" containsNumber="1" minValue="0" maxValue="50"/>
    </cacheField>
    <cacheField name="Conversion" numFmtId="0">
      <sharedItems containsString="0" containsBlank="1" containsNumber="1" containsInteger="1" minValue="0" maxValue="15"/>
    </cacheField>
    <cacheField name="Cost" numFmtId="0">
      <sharedItems containsString="0" containsBlank="1" containsNumber="1" minValue="0" maxValue="2822.16"/>
    </cacheField>
    <cacheField name="eCPM" numFmtId="0">
      <sharedItems containsString="0" containsBlank="1" containsNumber="1" minValue="0" maxValue="4.9269999999999996"/>
    </cacheField>
    <cacheField name="eCPC" numFmtId="0">
      <sharedItems containsString="0" containsBlank="1" containsNumber="1" minValue="0" maxValue="0.95799999999999996"/>
    </cacheField>
    <cacheField name="eCPA" numFmtId="0">
      <sharedItems containsString="0" containsBlank="1" containsNumber="1" minValue="0" maxValue="425.89499999999998"/>
    </cacheField>
    <cacheField name="Tracker" numFmtId="0">
      <sharedItems containsString="0" containsBlank="1" containsNumber="1" containsInteger="1" minValue="1" maxValue="2"/>
    </cacheField>
    <cacheField name="Rules" numFmtId="0">
      <sharedItems containsString="0" containsBlank="1" containsNumber="1" containsInteger="1" minValue="0" maxValue="0"/>
    </cacheField>
    <cacheField name="Autopilot" numFmtId="0">
      <sharedItems containsBlank="1"/>
    </cacheField>
    <cacheField name="Plays" numFmtId="0">
      <sharedItems containsString="0" containsBlank="1" containsNumber="1" containsInteger="1" minValue="0" maxValue="3598474"/>
    </cacheField>
    <cacheField name="Skips" numFmtId="0">
      <sharedItems containsString="0" containsBlank="1" containsNumber="1" containsInteger="1" minValue="0" maxValue="3186786"/>
    </cacheField>
    <cacheField name="Finishes" numFmtId="0">
      <sharedItems containsString="0" containsBlank="1" containsNumber="1" containsInteger="1" minValue="0" maxValue="227804"/>
    </cacheField>
    <cacheField name="Group" numFmtId="0">
      <sharedItems containsBlank="1"/>
    </cacheField>
    <cacheField name="Country" numFmtId="0">
      <sharedItems containsBlank="1" count="42">
        <s v="CP"/>
        <s v="(c"/>
        <s v="OL"/>
        <s v="US"/>
        <s v="CA"/>
        <s v="AU"/>
        <s v="UK"/>
        <s v="T2"/>
        <s v="NZ"/>
        <s v="TE"/>
        <s v="PH"/>
        <s v="CO"/>
        <s v="MX"/>
        <s v="MA"/>
        <s v="BR"/>
        <s v="EG"/>
        <s v="PE"/>
        <s v="DE"/>
        <s v="NL"/>
        <s v="AR"/>
        <s v="EC"/>
        <s v="ES"/>
        <s v="LK"/>
        <s v="BO"/>
        <s v="SG"/>
        <s v="TN"/>
        <s v="AZ"/>
        <s v="HN"/>
        <s v="PY"/>
        <s v="SV"/>
        <s v="UA"/>
        <s v="PO"/>
        <s v="ZA"/>
        <s v="JP"/>
        <s v="GT"/>
        <s v="IT"/>
        <s v="IN"/>
        <s v="LA"/>
        <s v="JB"/>
        <s v="PL"/>
        <s v="CL"/>
        <m/>
      </sharedItems>
    </cacheField>
    <cacheField name="Labels" numFmtId="0">
      <sharedItems containsBlank="1" count="32">
        <s v="AI"/>
        <s v="Bin"/>
        <s v="Shorties"/>
        <s v="Keyword - Preroll"/>
        <s v="Furry"/>
        <s v="Archive"/>
        <s v="Trans"/>
        <s v="FinDom"/>
        <s v="Ocean"/>
        <s v="Tests"/>
        <s v="Missionary"/>
        <s v="Marvel"/>
        <s v="Hentai"/>
        <s v="General"/>
        <s v="Remarketing"/>
        <s v="Blowjob"/>
        <s v="Cowgirl"/>
        <s v="Erotica Interest"/>
        <s v="VR Intent"/>
        <s v="VOD Hentai Intent"/>
        <s v="Global"/>
        <s v="Threesome"/>
        <s v="Native - Homepage"/>
        <s v="Indian"/>
        <s v="Big Tits"/>
        <s v="General - Pre-roll"/>
        <s v="General - Pre-roll - T3"/>
        <s v="Gay"/>
        <s v="JB-Testing"/>
        <s v="Native - Watch"/>
        <s v="Native - Search"/>
        <m/>
      </sharedItems>
    </cacheField>
    <cacheField name="JB/TJ" numFmtId="0">
      <sharedItems containsBlank="1" count="4">
        <s v="OLD"/>
        <s v="TJ"/>
        <s v="J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3">
  <r>
    <s v="RUNNING"/>
    <n v="1011737002"/>
    <x v="0"/>
    <s v="nsfw"/>
    <d v="1899-12-30T16:09:00"/>
    <s v="In-Stream Video"/>
    <s v="TJX"/>
    <s v="desktop"/>
    <s v="GEO,Frequency,BrowserLanguage,Segment"/>
    <n v="230"/>
    <n v="0"/>
    <s v="Yes"/>
    <s v="Unlimited"/>
    <n v="49512"/>
    <n v="2730"/>
    <n v="5.5138100000000003"/>
    <n v="7"/>
    <n v="213.56"/>
    <n v="4.3129999999999997"/>
    <n v="7.8E-2"/>
    <n v="30.507999999999999"/>
    <n v="1"/>
    <n v="0"/>
    <s v="Yes"/>
    <n v="49511"/>
    <n v="39008"/>
    <n v="5936"/>
    <s v="AI"/>
    <x v="0"/>
    <x v="0"/>
  </r>
  <r>
    <s v="PAUSED"/>
    <n v="1011737052"/>
    <x v="1"/>
    <s v="nsfw"/>
    <d v="1899-12-30T16:09:00"/>
    <s v="In-Stream Video"/>
    <s v="TJX"/>
    <s v="mobile"/>
    <s v="GEO,Frequency,OS,BrowserLanguage,Segment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737062"/>
    <x v="2"/>
    <s v="nsfw"/>
    <d v="1899-12-30T16:09:00"/>
    <s v="In-Stream Video"/>
    <s v="TJX"/>
    <s v="mobile"/>
    <s v="GEO,Frequency,OS,BrowserLanguage,Segment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1737262"/>
    <x v="3"/>
    <s v="nsfw"/>
    <d v="1899-12-30T16:09:00"/>
    <s v="In-Stream Video"/>
    <s v="TJX"/>
    <s v="desktop"/>
    <s v="GEO,Frequency,BrowserLanguage,Segment"/>
    <n v="215"/>
    <n v="0"/>
    <s v="Yes"/>
    <s v="Unlimited"/>
    <n v="5627"/>
    <n v="312"/>
    <n v="5.5446999999999997"/>
    <n v="0"/>
    <n v="15.32"/>
    <n v="2.7229999999999999"/>
    <n v="4.9000000000000002E-2"/>
    <n v="0"/>
    <n v="1"/>
    <n v="0"/>
    <s v="Yes"/>
    <n v="5627"/>
    <n v="4466"/>
    <n v="668"/>
    <s v="AI"/>
    <x v="0"/>
    <x v="0"/>
  </r>
  <r>
    <s v="RUNNING"/>
    <n v="1011737272"/>
    <x v="4"/>
    <s v="nsfw"/>
    <d v="1899-12-30T16:09:00"/>
    <s v="In-Stream Video"/>
    <s v="TJX"/>
    <s v="mobile"/>
    <s v="GEO,Frequency,OS,BrowserLanguage,Segment"/>
    <n v="638"/>
    <n v="0"/>
    <s v="Yes"/>
    <s v="Unlimited"/>
    <n v="11261"/>
    <n v="518"/>
    <n v="4.5999499999999998"/>
    <n v="1"/>
    <n v="39.159999999999997"/>
    <n v="3.4769999999999999"/>
    <n v="7.5999999999999998E-2"/>
    <n v="39.158000000000001"/>
    <n v="1"/>
    <n v="0"/>
    <s v="Yes"/>
    <n v="11261"/>
    <n v="9916"/>
    <n v="1073"/>
    <s v="AI"/>
    <x v="0"/>
    <x v="0"/>
  </r>
  <r>
    <s v="RUNNING"/>
    <n v="1011737322"/>
    <x v="5"/>
    <s v="nsfw"/>
    <d v="1899-12-30T16:09:00"/>
    <s v="In-Stream Video"/>
    <s v="TJX"/>
    <s v="mobile"/>
    <s v="GEO,Frequency,OS,BrowserLanguage,Segment"/>
    <n v="638"/>
    <n v="0"/>
    <s v="Yes"/>
    <s v="Unlimited"/>
    <n v="11408"/>
    <n v="538"/>
    <n v="4.7159800000000001"/>
    <n v="1"/>
    <n v="45.48"/>
    <n v="3.9870000000000001"/>
    <n v="8.5000000000000006E-2"/>
    <n v="45.484999999999999"/>
    <n v="1"/>
    <n v="0"/>
    <s v="Yes"/>
    <n v="11408"/>
    <n v="9960"/>
    <n v="1131"/>
    <s v="AI"/>
    <x v="0"/>
    <x v="0"/>
  </r>
  <r>
    <s v="RUNNING"/>
    <n v="1011744802"/>
    <x v="6"/>
    <s v="nsfw"/>
    <d v="1899-12-30T16:09:00"/>
    <s v="In-Stream Video"/>
    <s v="TJX"/>
    <s v="desktop"/>
    <s v="GEO,Frequency,BrowserLanguage,Segment"/>
    <n v="285"/>
    <n v="0"/>
    <s v="Yes"/>
    <s v="Unlimited"/>
    <n v="15510"/>
    <n v="889"/>
    <n v="5.7317900000000002"/>
    <n v="1"/>
    <n v="69.8"/>
    <n v="4.5"/>
    <n v="7.9000000000000001E-2"/>
    <n v="69.8"/>
    <n v="1"/>
    <n v="0"/>
    <s v="Yes"/>
    <n v="15510"/>
    <n v="12253"/>
    <n v="1897"/>
    <s v="AI"/>
    <x v="0"/>
    <x v="0"/>
  </r>
  <r>
    <s v="PAUSED"/>
    <n v="1011744812"/>
    <x v="7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744822"/>
    <x v="8"/>
    <s v="nsfw"/>
    <d v="1899-12-30T16:09:00"/>
    <s v="In-Stream Video"/>
    <s v="TJX"/>
    <s v="mobile"/>
    <s v="GEO,Frequency,OS,BrowserLanguage,Segment"/>
    <n v="638"/>
    <n v="0"/>
    <s v="Yes"/>
    <s v="Unlimited"/>
    <n v="0"/>
    <n v="0"/>
    <n v="0"/>
    <m/>
    <n v="0"/>
    <n v="0"/>
    <n v="0"/>
    <n v="0"/>
    <n v="1"/>
    <n v="0"/>
    <s v="Yes"/>
    <m/>
    <m/>
    <m/>
    <s v="AI"/>
    <x v="0"/>
    <x v="0"/>
  </r>
  <r>
    <s v="RUNNING"/>
    <n v="1011744832"/>
    <x v="9"/>
    <s v="nsfw"/>
    <d v="1899-12-30T16:09:00"/>
    <s v="In-Stream Video"/>
    <s v="TJX"/>
    <s v="desktop"/>
    <s v="GEO,Frequency,BrowserLanguage,Segment"/>
    <n v="215"/>
    <n v="0"/>
    <s v="Yes"/>
    <s v="Unlimited"/>
    <n v="2477"/>
    <n v="113"/>
    <n v="4.56196"/>
    <n v="0"/>
    <n v="11.28"/>
    <n v="4.5549999999999997"/>
    <n v="0.1"/>
    <n v="0"/>
    <n v="1"/>
    <n v="0"/>
    <s v="Yes"/>
    <n v="2477"/>
    <n v="1935"/>
    <n v="342"/>
    <s v="AI"/>
    <x v="0"/>
    <x v="0"/>
  </r>
  <r>
    <s v="PAUSED"/>
    <n v="1011744842"/>
    <x v="10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1744852"/>
    <x v="11"/>
    <s v="nsfw"/>
    <d v="1899-12-30T16:09:00"/>
    <s v="In-Stream Video"/>
    <s v="TJX"/>
    <s v="mobile"/>
    <s v="GEO,Frequency,OS,BrowserLanguage,Segment"/>
    <n v="638"/>
    <n v="0"/>
    <s v="Yes"/>
    <s v="Unlimited"/>
    <n v="7148"/>
    <n v="354"/>
    <n v="4.95242"/>
    <n v="1"/>
    <n v="29.31"/>
    <n v="4.101"/>
    <n v="8.3000000000000004E-2"/>
    <n v="29.314"/>
    <n v="1"/>
    <n v="0"/>
    <s v="Yes"/>
    <n v="7148"/>
    <n v="6451"/>
    <n v="512"/>
    <s v="AI"/>
    <x v="0"/>
    <x v="0"/>
  </r>
  <r>
    <s v="PAUSED"/>
    <n v="1011744862"/>
    <x v="12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744872"/>
    <x v="13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744882"/>
    <x v="14"/>
    <s v="nsfw"/>
    <d v="1899-12-30T16:09:00"/>
    <s v="In-Stream Video"/>
    <s v="TJX"/>
    <s v="desktop"/>
    <s v="GEO,Frequency,BrowserLanguage,Segment"/>
    <n v="2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13152"/>
    <x v="15"/>
    <s v="nsfw"/>
    <d v="1899-12-30T16:09:00"/>
    <s v="In-Stream Video"/>
    <s v="TJX"/>
    <s v="mobile"/>
    <s v="GEO,Frequency,OS,BrowserLanguage"/>
    <n v="35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13182"/>
    <x v="16"/>
    <s v="nsfw"/>
    <d v="1899-12-30T09:16:00"/>
    <s v="In-Stream Video"/>
    <s v="TJX"/>
    <s v="mobile"/>
    <s v="GEO,Frequency,OS,BrowserLanguage"/>
    <n v="11"/>
    <n v="0"/>
    <s v="Yes"/>
    <s v="Unlimited"/>
    <n v="0"/>
    <n v="0"/>
    <n v="0"/>
    <m/>
    <n v="0"/>
    <n v="0"/>
    <n v="0"/>
    <n v="0"/>
    <n v="1"/>
    <n v="0"/>
    <s v="Yes"/>
    <m/>
    <m/>
    <m/>
    <s v="Shorties"/>
    <x v="0"/>
    <x v="2"/>
  </r>
  <r>
    <s v="PAUSED"/>
    <n v="1011813292"/>
    <x v="17"/>
    <s v="nsfw"/>
    <d v="1899-12-30T16:09:00"/>
    <s v="In-Stream Video"/>
    <s v="TJX"/>
    <s v="mobile"/>
    <s v="GEO,Frequency,Keyword,OS,BrowserLanguage"/>
    <n v="117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13302"/>
    <x v="18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13312"/>
    <x v="19"/>
    <s v="nsfw"/>
    <d v="1899-12-30T16:09:00"/>
    <s v="In-Stream Video"/>
    <s v="TJX"/>
    <s v="mobile"/>
    <s v="GEO,Frequency,Keyword,OS,BrowserLanguage"/>
    <n v="65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13322"/>
    <x v="20"/>
    <s v="nsfw"/>
    <d v="1899-12-30T16:09:00"/>
    <s v="In-Stream Video"/>
    <s v="TJX"/>
    <s v="mobile"/>
    <s v="GEO,Frequency,Keyword,OS,BrowserLanguage"/>
    <n v="64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13332"/>
    <x v="21"/>
    <s v="nsfw"/>
    <d v="1899-12-30T16:09:00"/>
    <s v="In-Stream Video"/>
    <s v="TJX"/>
    <s v="mobile"/>
    <s v="GEO,Frequency,Keyword,OS,BrowserLanguage"/>
    <n v="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13342"/>
    <x v="22"/>
    <s v="nsfw"/>
    <d v="1899-12-30T16:09:00"/>
    <s v="In-Stream Video"/>
    <s v="TJX"/>
    <s v="mobile"/>
    <s v="GEO,Frequency,Keyword,OS,BrowserLanguage"/>
    <n v="117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13352"/>
    <x v="23"/>
    <s v="nsfw"/>
    <d v="1899-12-30T16:09:00"/>
    <s v="In-Stream Video"/>
    <s v="TJX"/>
    <s v="desktop"/>
    <s v="GEO,Frequency,BrowserLanguage,Segment"/>
    <n v="215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13362"/>
    <x v="24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13372"/>
    <x v="25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1813382"/>
    <x v="26"/>
    <s v="nsfw"/>
    <d v="1899-12-30T16:09:00"/>
    <s v="In-Stream Video"/>
    <s v="TJX"/>
    <s v="mobile"/>
    <s v="GEO,Frequency,OS,BrowserLanguage,Segment"/>
    <n v="539"/>
    <n v="0"/>
    <s v="Yes"/>
    <s v="Unlimited"/>
    <n v="1045"/>
    <n v="83"/>
    <n v="7.9425800000000004"/>
    <n v="0"/>
    <n v="4.04"/>
    <n v="3.8690000000000002"/>
    <n v="4.9000000000000002E-2"/>
    <n v="0"/>
    <n v="1"/>
    <n v="0"/>
    <s v="Yes"/>
    <n v="1045"/>
    <n v="899"/>
    <n v="107"/>
    <s v="Bin"/>
    <x v="0"/>
    <x v="0"/>
  </r>
  <r>
    <s v="RUNNING"/>
    <n v="1011813392"/>
    <x v="27"/>
    <s v="nsfw"/>
    <d v="1899-12-30T16:09:00"/>
    <s v="In-Stream Video"/>
    <s v="TJX"/>
    <s v="mobile"/>
    <s v="GEO,Frequency,OS,BrowserLanguage,Segment"/>
    <n v="539"/>
    <n v="0"/>
    <s v="Yes"/>
    <s v="Unlimited"/>
    <n v="812"/>
    <n v="38"/>
    <n v="4.6798000000000002"/>
    <n v="0"/>
    <n v="3.24"/>
    <n v="3.9860000000000002"/>
    <n v="8.5000000000000006E-2"/>
    <n v="0"/>
    <n v="1"/>
    <n v="0"/>
    <s v="Yes"/>
    <n v="812"/>
    <n v="708"/>
    <n v="77"/>
    <s v="Bin"/>
    <x v="0"/>
    <x v="3"/>
  </r>
  <r>
    <s v="PAUSED"/>
    <n v="1011813402"/>
    <x v="28"/>
    <s v="nsfw"/>
    <d v="1899-12-30T16:09:00"/>
    <s v="In-Stream Video"/>
    <s v="TJX"/>
    <s v="desktop"/>
    <s v="GEO,Frequency,BrowserLanguage,Segment"/>
    <n v="2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13412"/>
    <x v="29"/>
    <s v="nsfw"/>
    <d v="1899-12-30T16:09:00"/>
    <s v="In-Stream Video"/>
    <s v="TJX"/>
    <s v="desktop"/>
    <s v="GEO,Frequency,BrowserLanguage,Segment"/>
    <n v="215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13422"/>
    <x v="30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13432"/>
    <x v="31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352"/>
    <x v="32"/>
    <s v="nsfw"/>
    <d v="1899-12-30T09:16:00"/>
    <s v="In-Stream Video"/>
    <s v="TJX"/>
    <s v="mobile"/>
    <s v="GEO,Frequency,OS,BrowserLanguage,Segment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362"/>
    <x v="33"/>
    <s v="nsfw"/>
    <d v="1899-12-30T09:16:00"/>
    <s v="In-Stream Video"/>
    <s v="TJX"/>
    <s v="mobile"/>
    <s v="GEO,Frequency,OS,BrowserLanguage,Segment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372"/>
    <x v="34"/>
    <s v="nsfw"/>
    <d v="1899-12-30T09:16:00"/>
    <s v="In-Stream Video"/>
    <s v="TJX"/>
    <s v="mobile"/>
    <s v="GEO,Frequency,OS,BrowserLanguage,Segment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382"/>
    <x v="35"/>
    <s v="nsfw"/>
    <d v="1899-12-30T09:16:00"/>
    <s v="In-Stream Video"/>
    <s v="TJX"/>
    <s v="mobile"/>
    <s v="GEO,Frequency,OS,BrowserLanguage,Segment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392"/>
    <x v="36"/>
    <s v="nsfw"/>
    <d v="1899-12-30T16:09:00"/>
    <s v="In-Stream Video"/>
    <s v="TJX"/>
    <s v="mobile"/>
    <s v="GEO,Frequency,Keyword,OS,BrowserLanguage"/>
    <n v="72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412"/>
    <x v="37"/>
    <s v="nsfw"/>
    <d v="1899-12-30T16:09:00"/>
    <s v="In-Stream Video"/>
    <s v="TJX"/>
    <s v="desktop"/>
    <s v="GEO,Frequency,Keyword,BrowserLanguage"/>
    <n v="1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422"/>
    <x v="38"/>
    <s v="nsfw"/>
    <d v="1899-12-30T16:09:00"/>
    <s v="In-Stream Video"/>
    <s v="TJX"/>
    <s v="mobile"/>
    <s v="GEO,Frequency,Keyword,OS,BrowserLanguage"/>
    <n v="46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432"/>
    <x v="39"/>
    <s v="nsfw"/>
    <d v="1899-12-30T16:09:00"/>
    <s v="In-Stream Video"/>
    <s v="TJX"/>
    <s v="mobile"/>
    <s v="GEO,Frequency,Keyword,BrowserLanguage"/>
    <n v="46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442"/>
    <x v="40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452"/>
    <x v="41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462"/>
    <x v="42"/>
    <s v="nsfw"/>
    <d v="1899-12-30T16:09:00"/>
    <s v="In-Stream Video"/>
    <s v="TJX"/>
    <s v="mobile"/>
    <s v="GEO,Frequency,Keyword,BrowserLanguage"/>
    <n v="72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472"/>
    <x v="43"/>
    <s v="nsfw"/>
    <d v="1899-12-30T16:09:00"/>
    <s v="In-Stream Video"/>
    <s v="TJX"/>
    <s v="mobile"/>
    <s v="GEO,Frequency,Keyword,OS,BrowserLanguage"/>
    <n v="46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482"/>
    <x v="44"/>
    <s v="nsfw"/>
    <d v="1899-12-30T16:09:00"/>
    <s v="In-Stream Video"/>
    <s v="TJX"/>
    <s v="desktop"/>
    <s v="GEO,Frequency,Keyword,BrowserLanguage"/>
    <n v="26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492"/>
    <x v="45"/>
    <s v="nsfw"/>
    <d v="1899-12-30T16:09:00"/>
    <s v="In-Stream Video"/>
    <s v="TJX"/>
    <s v="mobile"/>
    <s v="GEO,Frequency,Keyword,BrowserLanguage"/>
    <n v="7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502"/>
    <x v="46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512"/>
    <x v="47"/>
    <s v="nsfw"/>
    <d v="1899-12-30T16:09:00"/>
    <s v="In-Stream Video"/>
    <s v="TJX"/>
    <s v="mobile"/>
    <s v="GEO,Frequency,Keyword,OS,BrowserLanguage"/>
    <n v="12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</r>
  <r>
    <s v="RUNNING"/>
    <n v="1011822522"/>
    <x v="48"/>
    <s v="nsfw"/>
    <d v="1899-12-30T16:09:00"/>
    <s v="In-Stream Video"/>
    <s v="TJX"/>
    <s v="desktop"/>
    <s v="GEO,Frequency,Keyword,BrowserLanguage"/>
    <n v="65"/>
    <n v="0"/>
    <s v="Yes"/>
    <s v="Unlimited"/>
    <n v="16659"/>
    <n v="898"/>
    <n v="5.3904800000000002"/>
    <n v="2"/>
    <n v="46.87"/>
    <n v="2.8140000000000001"/>
    <n v="5.1999999999999998E-2"/>
    <n v="23.434999999999999"/>
    <n v="1"/>
    <n v="0"/>
    <s v="Yes"/>
    <n v="16659"/>
    <n v="12323"/>
    <n v="1934"/>
    <s v="Furry"/>
    <x v="0"/>
    <x v="4"/>
  </r>
  <r>
    <s v="PAUSED"/>
    <n v="1011822532"/>
    <x v="49"/>
    <s v="nsfw"/>
    <d v="1899-12-30T16:09:00"/>
    <s v="In-Stream Video"/>
    <s v="TJX"/>
    <s v="desktop"/>
    <s v="GEO,Frequency,Keyword,BrowserLanguage"/>
    <n v="273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</r>
  <r>
    <s v="PAUSED"/>
    <n v="1011822542"/>
    <x v="50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552"/>
    <x v="51"/>
    <s v="nsfw"/>
    <d v="1899-12-30T16:09:00"/>
    <s v="In-Stream Video"/>
    <s v="TJX"/>
    <s v="mobile"/>
    <s v="GEO,Frequency,Keyword,OS,BrowserLanguage"/>
    <n v="126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562"/>
    <x v="52"/>
    <s v="nsfw"/>
    <d v="1899-12-30T16:09:00"/>
    <s v="In-Stream Video"/>
    <s v="TJX"/>
    <s v="desktop"/>
    <s v="GEO,Frequency,Keyword,BrowserLanguage"/>
    <n v="273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572"/>
    <x v="53"/>
    <s v="nsfw"/>
    <d v="1899-12-30T16:09:00"/>
    <s v="In-Stream Video"/>
    <s v="TJX"/>
    <s v="mobile"/>
    <s v="GEO,Frequency,Keyword,OS,BrowserLanguage"/>
    <n v="52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</r>
  <r>
    <s v="PAUSED"/>
    <n v="1011822582"/>
    <x v="54"/>
    <s v="nsfw"/>
    <d v="1899-12-30T16:09:00"/>
    <s v="In-Stream Video"/>
    <s v="TJX"/>
    <s v="mobile"/>
    <s v="GEO,Frequency,Keyword,OS,BrowserLanguage"/>
    <n v="126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592"/>
    <x v="55"/>
    <s v="nsfw"/>
    <d v="1899-12-30T16:09:00"/>
    <s v="In-Stream Video"/>
    <s v="TJX"/>
    <s v="desktop"/>
    <s v="GEO,Frequency,Keyword,BrowserLanguage"/>
    <n v="273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</r>
  <r>
    <s v="PAUSED"/>
    <n v="1011822602"/>
    <x v="56"/>
    <s v="nsfw"/>
    <d v="1899-12-30T16:09:00"/>
    <s v="In-Stream Video"/>
    <s v="TJX"/>
    <s v="mobile"/>
    <s v="GEO,Frequency,Keyword,OS,BrowserLanguage"/>
    <n v="52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612"/>
    <x v="57"/>
    <s v="nsfw"/>
    <d v="1899-12-30T16:09:00"/>
    <s v="In-Stream Video"/>
    <s v="TJX"/>
    <s v="mobile"/>
    <s v="GEO,Frequency,Keyword,OS,BrowserLanguage"/>
    <n v="126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642"/>
    <x v="58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652"/>
    <x v="59"/>
    <s v="nsfw"/>
    <d v="1899-12-30T16:09:00"/>
    <s v="In-Stream Video"/>
    <s v="TJX"/>
    <s v="mobile"/>
    <s v="GEO,Frequency,Keyword,OS,BrowserLanguage"/>
    <n v="616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662"/>
    <x v="60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672"/>
    <x v="61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682"/>
    <x v="62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692"/>
    <x v="63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702"/>
    <x v="64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712"/>
    <x v="65"/>
    <s v="nsfw"/>
    <d v="1899-12-30T16:09:00"/>
    <s v="In-Stream Video"/>
    <s v="TJX"/>
    <s v="mobile"/>
    <s v="GEO,Frequency,Keyword,OS,BrowserLanguage"/>
    <n v="74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722"/>
    <x v="66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732"/>
    <x v="67"/>
    <s v="nsfw"/>
    <d v="1899-12-30T16:09:00"/>
    <s v="In-Stream Video"/>
    <s v="TJX"/>
    <s v="mobile"/>
    <s v="GEO,Frequency,Keyword,OS,BrowserLanguage"/>
    <n v="616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742"/>
    <x v="68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762"/>
    <x v="69"/>
    <s v="nsfw"/>
    <d v="1899-12-30T16:09:00"/>
    <s v="In-Stream Video"/>
    <s v="TJX"/>
    <s v="mobile"/>
    <s v="GEO,Frequency,Keyword,OS,BrowserLanguage"/>
    <n v="74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772"/>
    <x v="70"/>
    <s v="nsfw"/>
    <d v="1899-12-30T16:09:00"/>
    <s v="In-Stream Video"/>
    <s v="TJX"/>
    <s v="mobile"/>
    <s v="GEO,Frequency,Keyword,OS,BrowserLanguage"/>
    <n v="99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5"/>
  </r>
  <r>
    <s v="PAUSED"/>
    <n v="1011822782"/>
    <x v="71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792"/>
    <x v="72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22812"/>
    <x v="73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8812"/>
    <x v="74"/>
    <s v="nsfw"/>
    <d v="1899-12-30T16:09:00"/>
    <s v="In-Stream Video"/>
    <s v="TJX"/>
    <s v="desktop"/>
    <s v="GEO,Frequency,BrowserLanguage"/>
    <n v="17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6"/>
  </r>
  <r>
    <s v="PAUSED"/>
    <n v="1011838822"/>
    <x v="75"/>
    <s v="nsfw"/>
    <d v="1899-12-30T16:09:00"/>
    <s v="In-Stream Video"/>
    <s v="TJX"/>
    <s v="mobile"/>
    <s v="GEO,Frequency,OS,BrowserLanguage"/>
    <n v="242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8832"/>
    <x v="76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6"/>
  </r>
  <r>
    <s v="PAUSED"/>
    <n v="1011838852"/>
    <x v="77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8862"/>
    <x v="78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8882"/>
    <x v="79"/>
    <s v="nsfw"/>
    <d v="1899-12-30T16:09:00"/>
    <s v="In-Stream Video"/>
    <s v="TJX"/>
    <s v="desktop"/>
    <s v="GEO,Frequency,BrowserLanguage"/>
    <n v="1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6"/>
  </r>
  <r>
    <s v="PAUSED"/>
    <n v="1011838892"/>
    <x v="80"/>
    <s v="nsfw"/>
    <d v="1899-12-30T16:09:00"/>
    <s v="In-Stream Video"/>
    <s v="TJX"/>
    <s v="desktop"/>
    <s v="GEO,Frequency,BrowserLanguage"/>
    <n v="230"/>
    <n v="0"/>
    <s v="Yes"/>
    <s v="Unlimited"/>
    <n v="1"/>
    <n v="0"/>
    <n v="0"/>
    <n v="0"/>
    <n v="0"/>
    <n v="3.8109999999999999"/>
    <n v="0"/>
    <n v="0"/>
    <n v="1"/>
    <n v="0"/>
    <s v="Yes"/>
    <n v="1"/>
    <n v="1"/>
    <n v="0"/>
    <s v="Bin"/>
    <x v="0"/>
    <x v="6"/>
  </r>
  <r>
    <s v="PAUSED"/>
    <n v="1011838902"/>
    <x v="81"/>
    <s v="nsfw"/>
    <d v="1899-12-30T16:09:00"/>
    <s v="In-Stream Video"/>
    <s v="TJX"/>
    <s v="desktop"/>
    <s v="GEO,Frequency,BrowserLanguage"/>
    <n v="17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8912"/>
    <x v="82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6"/>
  </r>
  <r>
    <s v="PAUSED"/>
    <n v="1011838922"/>
    <x v="83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8932"/>
    <x v="84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8942"/>
    <x v="85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8952"/>
    <x v="86"/>
    <s v="nsfw"/>
    <d v="1899-12-30T16:09:00"/>
    <s v="In-Stream Video"/>
    <s v="TJX"/>
    <s v="mobile"/>
    <s v="GEO,Frequency,Keyword,OS,BrowserLanguage"/>
    <n v="74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8962"/>
    <x v="87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8972"/>
    <x v="88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8982"/>
    <x v="89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8992"/>
    <x v="90"/>
    <s v="nsfw"/>
    <d v="1899-12-30T16:09:00"/>
    <s v="In-Stream Video"/>
    <s v="TJX"/>
    <s v="mobile"/>
    <s v="GEO,Frequency,Keyword,OS,BrowserLanguage"/>
    <n v="22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002"/>
    <x v="91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012"/>
    <x v="92"/>
    <s v="nsfw"/>
    <d v="1899-12-30T16:09:00"/>
    <s v="In-Stream Video"/>
    <s v="TJX"/>
    <s v="desktop"/>
    <s v="GEO,Frequency,Keyword,BrowserLanguage"/>
    <n v="8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022"/>
    <x v="93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032"/>
    <x v="94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042"/>
    <x v="95"/>
    <s v="nsfw"/>
    <d v="1899-12-30T16:09:00"/>
    <s v="In-Stream Video"/>
    <s v="TJX"/>
    <s v="mobile"/>
    <s v="GEO,Frequency,Keyword,OS,BrowserLanguage"/>
    <n v="130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052"/>
    <x v="96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072"/>
    <x v="97"/>
    <s v="nsfw"/>
    <d v="1899-12-30T16:09:00"/>
    <s v="In-Stream Video"/>
    <s v="TJX"/>
    <s v="mobile"/>
    <s v="GEO,Frequency,Keyword,OS,BrowserLanguage"/>
    <n v="130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082"/>
    <x v="98"/>
    <s v="nsfw"/>
    <d v="1899-12-30T16:09:00"/>
    <s v="In-Stream Video"/>
    <s v="TJX"/>
    <s v="mobile"/>
    <s v="GEO,Frequency,Keyword,OS,BrowserLanguage"/>
    <n v="52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092"/>
    <x v="99"/>
    <s v="nsfw"/>
    <d v="1899-12-30T16:09:00"/>
    <s v="In-Stream Video"/>
    <s v="TJX"/>
    <s v="desktop"/>
    <s v="GEO,Frequency,Keyword,BrowserLanguage"/>
    <n v="26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102"/>
    <x v="100"/>
    <s v="nsfw"/>
    <d v="1899-12-30T16:09:00"/>
    <s v="In-Stream Video"/>
    <s v="TJX"/>
    <s v="desktop"/>
    <s v="GEO,Frequency,Keyword,BrowserLanguage"/>
    <n v="26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112"/>
    <x v="101"/>
    <s v="nsfw"/>
    <d v="1899-12-30T16:09:00"/>
    <s v="In-Stream Video"/>
    <s v="TJX"/>
    <s v="mobile"/>
    <s v="GEO,Frequency,Keyword,OS,BrowserLanguage"/>
    <n v="52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122"/>
    <x v="102"/>
    <s v="nsfw"/>
    <d v="1899-12-30T16:09:00"/>
    <s v="In-Stream Video"/>
    <s v="TJX"/>
    <s v="mobile"/>
    <s v="GEO,Frequency,Keyword,OS,BrowserLanguage"/>
    <n v="130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132"/>
    <x v="103"/>
    <s v="nsfw"/>
    <d v="1899-12-30T16:09:00"/>
    <s v="In-Stream Video"/>
    <s v="TJX"/>
    <s v="mobile"/>
    <s v="GEO,Frequency,Keyword,OS,BrowserLanguage"/>
    <n v="1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142"/>
    <x v="104"/>
    <s v="nsfw"/>
    <d v="1899-12-30T16:09:00"/>
    <s v="In-Stream Video"/>
    <s v="TJX"/>
    <s v="mobile"/>
    <s v="GEO,Frequency,Keyword,OS,BrowserLanguage"/>
    <n v="52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152"/>
    <x v="105"/>
    <s v="nsfw"/>
    <d v="1899-12-30T16:09:00"/>
    <s v="In-Stream Video"/>
    <s v="TJX"/>
    <s v="desktop"/>
    <s v="GEO,Frequency,Keyword,BrowserLanguage"/>
    <n v="26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162"/>
    <x v="106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1839172"/>
    <x v="107"/>
    <s v="nsfw"/>
    <d v="1899-12-30T16:09:00"/>
    <s v="In-Stream Video"/>
    <s v="TJX"/>
    <s v="desktop"/>
    <s v="GEO,Frequency,Keyword,BrowserLanguage"/>
    <n v="45"/>
    <n v="0"/>
    <s v="Yes"/>
    <s v="Unlimited"/>
    <n v="350201"/>
    <n v="16304"/>
    <n v="4.6556100000000002"/>
    <n v="18"/>
    <n v="1320.1"/>
    <n v="3.77"/>
    <n v="8.1000000000000003E-2"/>
    <n v="73.338999999999999"/>
    <n v="1"/>
    <n v="0"/>
    <s v="Yes"/>
    <n v="350185"/>
    <n v="273031"/>
    <n v="44244"/>
    <s v="FinDom"/>
    <x v="0"/>
    <x v="3"/>
  </r>
  <r>
    <s v="PAUSED"/>
    <n v="1011839182"/>
    <x v="108"/>
    <s v="nsfw"/>
    <d v="1899-12-30T16:09:00"/>
    <s v="In-Stream Video"/>
    <s v="TJX"/>
    <s v="mobile"/>
    <s v="GEO,Frequency,Keyword,OS,BrowserLanguage"/>
    <n v="9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</r>
  <r>
    <s v="RUNNING"/>
    <n v="1011839192"/>
    <x v="109"/>
    <s v="nsfw"/>
    <d v="1899-12-30T16:09:00"/>
    <s v="In-Stream Video"/>
    <s v="TJX"/>
    <s v="mobile"/>
    <s v="GEO,Frequency,Keyword,OS,BrowserLanguage"/>
    <n v="99"/>
    <n v="0"/>
    <s v="Yes"/>
    <s v="Unlimited"/>
    <n v="13545"/>
    <n v="846"/>
    <n v="6.2458499999999999"/>
    <n v="0"/>
    <n v="26.67"/>
    <n v="1.9690000000000001"/>
    <n v="3.2000000000000001E-2"/>
    <n v="0"/>
    <n v="1"/>
    <n v="0"/>
    <s v="Yes"/>
    <n v="13545"/>
    <n v="11823"/>
    <n v="1359"/>
    <s v="FinDom"/>
    <x v="0"/>
    <x v="3"/>
  </r>
  <r>
    <s v="PAUSED"/>
    <n v="1011839202"/>
    <x v="110"/>
    <s v="nsfw"/>
    <d v="1899-12-30T16:09:00"/>
    <s v="In-Stream Video"/>
    <s v="TJX"/>
    <s v="desktop"/>
    <s v="GEO,Frequency,Keyword,BrowserLanguage"/>
    <n v="45"/>
    <n v="0"/>
    <s v="Yes"/>
    <s v="Unlimited"/>
    <n v="1"/>
    <n v="0"/>
    <n v="0"/>
    <n v="0"/>
    <n v="0"/>
    <n v="2.512"/>
    <n v="0"/>
    <n v="0"/>
    <n v="1"/>
    <n v="0"/>
    <s v="Yes"/>
    <n v="1"/>
    <n v="0"/>
    <n v="0"/>
    <s v="FinDom"/>
    <x v="0"/>
    <x v="7"/>
  </r>
  <r>
    <s v="RUNNING"/>
    <n v="1011839212"/>
    <x v="111"/>
    <s v="nsfw"/>
    <d v="1899-12-30T16:09:00"/>
    <s v="In-Stream Video"/>
    <s v="TJX"/>
    <s v="desktop"/>
    <s v="GEO,Frequency,Keyword,BrowserLanguage"/>
    <n v="45"/>
    <n v="0"/>
    <s v="Yes"/>
    <s v="Unlimited"/>
    <n v="81043"/>
    <n v="3507"/>
    <n v="4.3273299999999999"/>
    <n v="1"/>
    <n v="212.17"/>
    <n v="2.6179999999999999"/>
    <n v="0.06"/>
    <n v="212.17"/>
    <n v="1"/>
    <n v="0"/>
    <s v="Yes"/>
    <n v="81041"/>
    <n v="62196"/>
    <n v="11029"/>
    <s v="FinDom"/>
    <x v="0"/>
    <x v="3"/>
  </r>
  <r>
    <s v="PAUSED"/>
    <n v="1011839222"/>
    <x v="112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232"/>
    <x v="113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242"/>
    <x v="114"/>
    <s v="nsfw"/>
    <d v="1899-12-30T16:09:00"/>
    <s v="In-Stream Video"/>
    <s v="TJX"/>
    <s v="mobile"/>
    <s v="GEO,Frequency,Keyword,OS,BrowserLanguage"/>
    <n v="9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252"/>
    <x v="115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262"/>
    <x v="116"/>
    <s v="nsfw"/>
    <d v="1899-12-30T16:09:00"/>
    <s v="In-Stream Video"/>
    <s v="TJX"/>
    <s v="desktop"/>
    <s v="GEO,Frequency,Keyword,BrowserLanguage"/>
    <n v="268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3"/>
  </r>
  <r>
    <s v="PAUSED"/>
    <n v="1011839272"/>
    <x v="117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282"/>
    <x v="118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292"/>
    <x v="119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302"/>
    <x v="120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Ocean"/>
    <x v="0"/>
    <x v="8"/>
  </r>
  <r>
    <s v="PAUSED"/>
    <n v="1011839312"/>
    <x v="121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322"/>
    <x v="122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332"/>
    <x v="123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342"/>
    <x v="124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352"/>
    <x v="125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362"/>
    <x v="126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39372"/>
    <x v="127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43472"/>
    <x v="128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43482"/>
    <x v="129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47032"/>
    <x v="130"/>
    <s v="nsfw"/>
    <d v="1899-12-30T16:09:00"/>
    <s v="In-Stream Video"/>
    <s v="TJX"/>
    <s v="desktop"/>
    <s v="GEO,Frequency,Keyword,BrowserLanguage"/>
    <n v="355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47042"/>
    <x v="131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47052"/>
    <x v="132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47062"/>
    <x v="133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47072"/>
    <x v="134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47082"/>
    <x v="135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47092"/>
    <x v="136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47112"/>
    <x v="137"/>
    <s v="nsfw"/>
    <d v="1899-12-30T16:09:00"/>
    <s v="In-Stream Video"/>
    <s v="TJX"/>
    <s v="desktop"/>
    <s v="GEO,Frequency,Keyword,BrowserLanguage"/>
    <n v="355"/>
    <n v="0"/>
    <s v="Yes"/>
    <s v="Unlimited"/>
    <n v="0"/>
    <n v="0"/>
    <n v="0"/>
    <n v="0"/>
    <n v="0"/>
    <n v="0"/>
    <n v="0"/>
    <n v="0"/>
    <n v="1"/>
    <n v="0"/>
    <s v="Yes"/>
    <n v="0"/>
    <n v="0"/>
    <n v="0"/>
    <s v="Bin"/>
    <x v="0"/>
    <x v="1"/>
  </r>
  <r>
    <s v="PAUSED"/>
    <n v="1011847122"/>
    <x v="138"/>
    <s v="nsfw"/>
    <d v="1899-12-30T16:09:00"/>
    <s v="In-Stream Video"/>
    <s v="TJX"/>
    <s v="desktop"/>
    <s v="GEO,Frequency,Keyword,BrowserLanguage"/>
    <n v="355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47132"/>
    <x v="139"/>
    <s v="nsfw"/>
    <d v="1899-12-30T16:09:00"/>
    <s v="In-Stream Video"/>
    <s v="TJX"/>
    <s v="desktop"/>
    <s v="GEO,Frequency,Keyword,BrowserLanguage"/>
    <n v="355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7952"/>
    <x v="140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7962"/>
    <x v="141"/>
    <s v="nsfw"/>
    <d v="1899-12-30T16:09:00"/>
    <s v="In-Stream Video"/>
    <s v="TJX"/>
    <s v="desktop"/>
    <s v="GEO,Frequency,Keyword,BrowserLanguage"/>
    <n v="8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7972"/>
    <x v="142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7982"/>
    <x v="143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7992"/>
    <x v="144"/>
    <s v="nsfw"/>
    <d v="1899-12-30T16:09:00"/>
    <s v="In-Stream Video"/>
    <s v="TJX"/>
    <s v="desktop"/>
    <s v="GEO,Frequency,Keyword,BrowserLanguage"/>
    <n v="8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8002"/>
    <x v="145"/>
    <s v="nsfw"/>
    <d v="1899-12-30T16:09:00"/>
    <s v="In-Stream Video"/>
    <s v="TJX"/>
    <s v="desktop"/>
    <s v="GEO,Frequency,Keyword,BrowserLanguage"/>
    <n v="1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8012"/>
    <x v="146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8022"/>
    <x v="147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8032"/>
    <x v="148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8042"/>
    <x v="149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8052"/>
    <x v="150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8062"/>
    <x v="151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8072"/>
    <x v="152"/>
    <s v="nsfw"/>
    <d v="1899-12-30T16:09:00"/>
    <s v="In-Stream Video"/>
    <s v="TJX"/>
    <s v="mobile"/>
    <s v="GEO,Frequency,Keyword,OS,BrowserLanguage"/>
    <n v="22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8402"/>
    <x v="153"/>
    <s v="nsfw"/>
    <d v="1899-12-30T09:16:00"/>
    <s v="In-Stream Video"/>
    <s v="TJX"/>
    <s v="mobile"/>
    <s v="GEO,Frequency,OS,Browser,BrowserLanguage"/>
    <n v="11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8412"/>
    <x v="154"/>
    <s v="nsfw"/>
    <d v="1899-12-30T09:16:00"/>
    <s v="In-Stream Video"/>
    <s v="TJX"/>
    <s v="mobile"/>
    <s v="GEO,Frequency,OS,BrowserLanguage"/>
    <n v="5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8422"/>
    <x v="155"/>
    <s v="nsfw"/>
    <d v="1899-12-30T09:16:00"/>
    <s v="In-Stream Video"/>
    <s v="TJX"/>
    <s v="mobile"/>
    <s v="GEO,Frequency,OS,BrowserLanguage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8432"/>
    <x v="156"/>
    <s v="nsfw"/>
    <d v="1899-12-30T09:16:00"/>
    <s v="In-Stream Video"/>
    <s v="TJX"/>
    <s v="mobile"/>
    <s v="GEO,Frequency,OS,BrowserLanguage"/>
    <n v="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8442"/>
    <x v="157"/>
    <s v="nsfw"/>
    <d v="1899-12-30T09:16:00"/>
    <s v="In-Stream Video"/>
    <s v="TJX"/>
    <s v="mobile"/>
    <s v="GEO,Frequency,OS,BrowserLanguage"/>
    <n v="11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8452"/>
    <x v="158"/>
    <s v="nsfw"/>
    <d v="1899-12-30T09:16:00"/>
    <s v="In-Stream Video"/>
    <s v="TJX"/>
    <s v="mobile"/>
    <s v="GEO,Frequency,OS,BrowserLanguage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8462"/>
    <x v="159"/>
    <s v="nsfw"/>
    <d v="1899-12-30T09:16:00"/>
    <s v="In-Stream Video"/>
    <s v="TJX"/>
    <s v="mobile"/>
    <s v="GEO,Frequency,OS,BrowserLanguage"/>
    <n v="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9612"/>
    <x v="160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9622"/>
    <x v="161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9632"/>
    <x v="162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9642"/>
    <x v="163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9652"/>
    <x v="164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9662"/>
    <x v="165"/>
    <s v="nsfw"/>
    <d v="1899-12-30T16:09:00"/>
    <s v="In-Stream Video"/>
    <s v="TJX"/>
    <s v="mobile"/>
    <s v="GEO,Frequency,Keyword,OS,BrowserLanguage"/>
    <n v="616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59672"/>
    <x v="166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812"/>
    <x v="167"/>
    <s v="nsfw"/>
    <d v="1899-12-30T16:09:00"/>
    <s v="In-Stream Video"/>
    <s v="TJX"/>
    <s v="mobile"/>
    <s v="GEO,Frequency,Keyword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822"/>
    <x v="168"/>
    <s v="nsfw"/>
    <d v="1899-12-30T16:09:00"/>
    <s v="In-Stream Video"/>
    <s v="TJX"/>
    <s v="mobile"/>
    <s v="GEO,Frequency,Keyword,BrowserLanguage"/>
    <n v="22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832"/>
    <x v="169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842"/>
    <x v="170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852"/>
    <x v="171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862"/>
    <x v="172"/>
    <s v="nsfw"/>
    <d v="1899-12-30T16:09:00"/>
    <s v="In-Stream Video"/>
    <s v="TJX"/>
    <s v="mobile"/>
    <s v="GEO,Frequency,Keyword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872"/>
    <x v="173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882"/>
    <x v="174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892"/>
    <x v="175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902"/>
    <x v="176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912"/>
    <x v="177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922"/>
    <x v="178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932"/>
    <x v="179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942"/>
    <x v="180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952"/>
    <x v="181"/>
    <s v="nsfw"/>
    <d v="1899-12-30T16:09:00"/>
    <s v="In-Stream Video"/>
    <s v="TJX"/>
    <s v="mobile"/>
    <s v="GEO,Frequency,Keyword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962"/>
    <x v="182"/>
    <s v="nsfw"/>
    <d v="1899-12-30T16:09:00"/>
    <s v="In-Stream Video"/>
    <s v="TJX"/>
    <s v="mobile"/>
    <s v="GEO,Frequency,Keyword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972"/>
    <x v="183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982"/>
    <x v="184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0992"/>
    <x v="185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1002"/>
    <x v="186"/>
    <s v="nsfw"/>
    <d v="1899-12-30T16:09:00"/>
    <s v="In-Stream Video"/>
    <s v="TJX"/>
    <s v="mobile"/>
    <s v="GEO,Frequency,BrowserLanguage,Segment"/>
    <n v="616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1012"/>
    <x v="187"/>
    <s v="nsfw"/>
    <d v="1899-12-30T16:09:00"/>
    <s v="In-Stream Video"/>
    <s v="TJX"/>
    <s v="mobile"/>
    <s v="GEO,Frequency,BrowserLanguage,Segment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1022"/>
    <x v="188"/>
    <s v="nsfw"/>
    <d v="1899-12-30T16:09:00"/>
    <s v="In-Stream Video"/>
    <s v="TJX"/>
    <s v="mobile"/>
    <s v="GEO,Frequency,BrowserLanguage,Segment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1032"/>
    <x v="189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1382"/>
    <x v="190"/>
    <s v="nsfw"/>
    <d v="1899-12-30T16:09:00"/>
    <s v="In-Stream Video"/>
    <s v="TJX"/>
    <s v="mobile"/>
    <s v="GEO,Frequency,Keyword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61402"/>
    <x v="191"/>
    <s v="nsfw"/>
    <d v="1899-12-30T16:09:00"/>
    <s v="In-Stream Video"/>
    <s v="TJX"/>
    <s v="mobile"/>
    <s v="GEO,Frequency,Keyword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83592"/>
    <x v="192"/>
    <s v="nsfw"/>
    <s v="640 x 360"/>
    <s v="Display"/>
    <s v="TJX"/>
    <s v="mobile"/>
    <s v="GEO,Frequency,Keyword,BrowserLanguage"/>
    <n v="44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1884752"/>
    <x v="193"/>
    <s v="nsfw"/>
    <d v="1899-12-30T16:09:00"/>
    <s v="In-Stream Video"/>
    <s v="TJX"/>
    <s v="mobile"/>
    <s v="GEO,Frequency,BrowserLanguage"/>
    <n v="9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374472"/>
    <x v="194"/>
    <s v="nsfw"/>
    <d v="1899-12-30T16:09:00"/>
    <s v="In-Stream Video"/>
    <s v="TJX"/>
    <s v="mobile"/>
    <s v="GEO,Frequency,Keyword,BrowserLanguage"/>
    <n v="33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374482"/>
    <x v="195"/>
    <s v="nsfw"/>
    <d v="1899-12-30T16:09:00"/>
    <s v="In-Stream Video"/>
    <s v="TJX"/>
    <s v="mobile"/>
    <s v="GEO,Frequency,Keyword,BrowserLanguage"/>
    <n v="33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374492"/>
    <x v="196"/>
    <s v="nsfw"/>
    <d v="1899-12-30T16:09:00"/>
    <s v="In-Stream Video"/>
    <s v="TJX"/>
    <s v="mobile"/>
    <s v="GEO,Frequency,Keyword,BrowserLanguage"/>
    <n v="33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374502"/>
    <x v="197"/>
    <s v="nsfw"/>
    <d v="1899-12-30T16:09:00"/>
    <s v="In-Stream Video"/>
    <s v="TJX"/>
    <s v="mobile"/>
    <s v="GEO,Frequency,Keyword,BrowserLanguage"/>
    <n v="33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374512"/>
    <x v="198"/>
    <s v="nsfw"/>
    <d v="1899-12-30T16:09:00"/>
    <s v="In-Stream Video"/>
    <s v="TJX"/>
    <s v="mobile"/>
    <s v="GEO,Frequency,Keyword,BrowserLanguage"/>
    <n v="3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374522"/>
    <x v="199"/>
    <s v="nsfw"/>
    <d v="1899-12-30T16:09:00"/>
    <s v="In-Stream Video"/>
    <s v="TJX"/>
    <s v="mobile"/>
    <s v="GEO,Frequency,Keyword,OS,Browser,BrowserLanguage"/>
    <n v="33"/>
    <n v="0"/>
    <s v="Yes"/>
    <s v="Unlimited"/>
    <n v="1"/>
    <n v="0"/>
    <n v="0"/>
    <n v="0"/>
    <n v="0"/>
    <n v="1.893"/>
    <n v="0"/>
    <n v="0"/>
    <n v="1"/>
    <n v="0"/>
    <s v="Yes"/>
    <n v="1"/>
    <n v="1"/>
    <n v="0"/>
    <s v="Bin"/>
    <x v="0"/>
    <x v="1"/>
  </r>
  <r>
    <s v="PAUSED"/>
    <n v="1012702572"/>
    <x v="200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582"/>
    <x v="201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602"/>
    <x v="202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612"/>
    <x v="203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622"/>
    <x v="204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632"/>
    <x v="205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652"/>
    <x v="206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662"/>
    <x v="207"/>
    <s v="nsfw"/>
    <d v="1899-12-30T16:09:00"/>
    <s v="In-Stream Video"/>
    <s v="TJX"/>
    <s v="desktop"/>
    <s v="GEO,Frequency,Keyword,BrowserLanguage"/>
    <n v="404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672"/>
    <x v="20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682"/>
    <x v="209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702"/>
    <x v="210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712"/>
    <x v="211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722"/>
    <x v="212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732"/>
    <x v="213"/>
    <s v="nsfw"/>
    <d v="1899-12-30T16:09:00"/>
    <s v="In-Stream Video"/>
    <s v="TJX"/>
    <s v="mobile"/>
    <s v="GEO,Frequency,Keyword,OS,BrowserLanguage"/>
    <n v="1010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5"/>
  </r>
  <r>
    <s v="PAUSED"/>
    <n v="1012702742"/>
    <x v="214"/>
    <s v="nsfw"/>
    <d v="1899-12-30T16:09:00"/>
    <s v="In-Stream Video"/>
    <s v="TJX"/>
    <s v="desktop"/>
    <s v="GEO,Frequency,Keyword,BrowserLanguage"/>
    <n v="35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752"/>
    <x v="215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762"/>
    <x v="216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772"/>
    <x v="217"/>
    <s v="nsfw"/>
    <d v="1899-12-30T16:09:00"/>
    <s v="In-Stream Video"/>
    <s v="TJX"/>
    <s v="desktop"/>
    <s v="GEO,Frequency,Keyword,BrowserLanguage"/>
    <n v="35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792"/>
    <x v="218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802"/>
    <x v="219"/>
    <s v="nsfw"/>
    <d v="1899-12-30T16:09:00"/>
    <s v="In-Stream Video"/>
    <s v="TJX"/>
    <s v="desktop"/>
    <s v="GEO,Frequency,Keyword,BrowserLanguage"/>
    <n v="35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812"/>
    <x v="220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822"/>
    <x v="221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832"/>
    <x v="222"/>
    <s v="nsfw"/>
    <d v="1899-12-30T16:09:00"/>
    <s v="In-Stream Video"/>
    <s v="TJX"/>
    <s v="desktop"/>
    <s v="GEO,Frequency,Keyword,BrowserLanguage"/>
    <n v="356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842"/>
    <x v="22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2872"/>
    <x v="224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162"/>
    <x v="225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182"/>
    <x v="226"/>
    <s v="nsfw"/>
    <d v="1899-12-30T16:09:00"/>
    <s v="In-Stream Video"/>
    <s v="TJX"/>
    <s v="desktop"/>
    <s v="GEO,Frequency,BrowserLanguage"/>
    <n v="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202"/>
    <x v="227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212"/>
    <x v="228"/>
    <s v="nsfw"/>
    <d v="1899-12-30T16:09:00"/>
    <s v="In-Stream Video"/>
    <s v="TJX"/>
    <s v="mobile"/>
    <s v="GEO,Frequency,OS,BrowserLanguage"/>
    <n v="4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222"/>
    <x v="229"/>
    <s v="nsfw"/>
    <d v="1899-12-30T16:09:00"/>
    <s v="In-Stream Video"/>
    <s v="TJX"/>
    <s v="desktop"/>
    <s v="GEO,Frequency,BrowserLanguage"/>
    <n v="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242"/>
    <x v="230"/>
    <s v="nsfw"/>
    <d v="1899-12-30T16:09:00"/>
    <s v="In-Stream Video"/>
    <s v="TJX"/>
    <s v="desktop"/>
    <s v="GEO,Frequency,BrowserLanguage"/>
    <n v="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252"/>
    <x v="231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262"/>
    <x v="232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292"/>
    <x v="233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302"/>
    <x v="234"/>
    <s v="nsfw"/>
    <d v="1899-12-30T16:09:00"/>
    <s v="In-Stream Video"/>
    <s v="TJX"/>
    <s v="mobile"/>
    <s v="GEO,Frequency,OS,BrowserLanguage"/>
    <n v="4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312"/>
    <x v="235"/>
    <s v="nsfw"/>
    <d v="1899-12-30T16:09:00"/>
    <s v="In-Stream Video"/>
    <s v="TJX"/>
    <s v="desktop"/>
    <s v="GEO,Frequency,BrowserLanguage"/>
    <n v="16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5"/>
  </r>
  <r>
    <s v="PAUSED"/>
    <n v="1012703332"/>
    <x v="236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342"/>
    <x v="237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352"/>
    <x v="238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362"/>
    <x v="239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372"/>
    <x v="240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382"/>
    <x v="241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392"/>
    <x v="242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402"/>
    <x v="243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412"/>
    <x v="244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422"/>
    <x v="245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432"/>
    <x v="246"/>
    <s v="nsfw"/>
    <d v="1899-12-30T16:09:00"/>
    <s v="In-Stream Video"/>
    <s v="TJX"/>
    <s v="desktop"/>
    <s v="GEO,Frequency,Keyword,BrowserLanguage"/>
    <n v="404"/>
    <n v="0"/>
    <s v="Yes"/>
    <s v="Unlimited"/>
    <n v="0"/>
    <n v="0"/>
    <n v="0"/>
    <n v="0"/>
    <n v="0"/>
    <n v="0"/>
    <n v="0"/>
    <n v="0"/>
    <n v="1"/>
    <n v="0"/>
    <s v="Yes"/>
    <n v="0"/>
    <n v="0"/>
    <n v="0"/>
    <s v="Tests"/>
    <x v="0"/>
    <x v="9"/>
  </r>
  <r>
    <s v="PAUSED"/>
    <n v="1012703442"/>
    <x v="247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452"/>
    <x v="248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462"/>
    <x v="249"/>
    <s v="nsfw"/>
    <d v="1899-12-30T16:09:00"/>
    <s v="In-Stream Video"/>
    <s v="TJX"/>
    <s v="desktop"/>
    <s v="GEO,Frequency,Keyword,BrowserLanguage"/>
    <n v="212"/>
    <n v="0"/>
    <s v="Yes"/>
    <s v="Unlimited"/>
    <n v="1"/>
    <n v="0"/>
    <n v="0"/>
    <n v="0"/>
    <n v="0"/>
    <n v="1.238"/>
    <n v="0"/>
    <n v="0"/>
    <n v="1"/>
    <n v="0"/>
    <s v="Yes"/>
    <n v="1"/>
    <n v="1"/>
    <n v="1"/>
    <s v="Archive"/>
    <x v="0"/>
    <x v="5"/>
  </r>
  <r>
    <s v="PAUSED"/>
    <n v="1012703472"/>
    <x v="250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482"/>
    <x v="251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492"/>
    <x v="252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502"/>
    <x v="253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512"/>
    <x v="254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522"/>
    <x v="255"/>
    <s v="nsfw"/>
    <d v="1899-12-30T16:09:00"/>
    <s v="In-Stream Video"/>
    <s v="TJX"/>
    <s v="desktop"/>
    <s v="GEO,Frequency,Keyword,BrowserLanguage"/>
    <n v="404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532"/>
    <x v="256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542"/>
    <x v="257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552"/>
    <x v="258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562"/>
    <x v="259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572"/>
    <x v="260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582"/>
    <x v="261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592"/>
    <x v="262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602"/>
    <x v="263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612"/>
    <x v="264"/>
    <s v="nsfw"/>
    <d v="1899-12-30T16:09:00"/>
    <s v="In-Stream Video"/>
    <s v="TJX"/>
    <s v="desktop"/>
    <s v="GEO,Frequency,Keyword,BrowserLanguage"/>
    <n v="212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622"/>
    <x v="265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632"/>
    <x v="266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642"/>
    <x v="267"/>
    <s v="nsfw"/>
    <d v="1899-12-30T16:09:00"/>
    <s v="In-Stream Video"/>
    <s v="TJX"/>
    <s v="desktop"/>
    <s v="GEO,Frequency,Keyword,BrowserLanguage"/>
    <n v="404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652"/>
    <x v="268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662"/>
    <x v="269"/>
    <s v="nsfw"/>
    <d v="1899-12-30T16:09:00"/>
    <s v="In-Stream Video"/>
    <s v="TJX"/>
    <s v="mobile"/>
    <s v="GEO,Frequency,Keyword,OS,BrowserLanguage"/>
    <n v="101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3672"/>
    <x v="270"/>
    <s v="nsfw"/>
    <d v="1899-12-30T16:09:00"/>
    <s v="In-Stream Video"/>
    <s v="TJX"/>
    <s v="desktop"/>
    <s v="GEO,Frequency,Keyword,BrowserLanguage"/>
    <n v="112"/>
    <n v="0"/>
    <s v="Yes"/>
    <s v="Unlimited"/>
    <n v="1"/>
    <n v="0"/>
    <n v="0"/>
    <n v="0"/>
    <n v="0"/>
    <n v="3.1059999999999999"/>
    <n v="0"/>
    <n v="0"/>
    <n v="1"/>
    <n v="0"/>
    <s v="Yes"/>
    <n v="1"/>
    <n v="1"/>
    <n v="0"/>
    <s v="Bin"/>
    <x v="0"/>
    <x v="1"/>
  </r>
  <r>
    <s v="PAUSED"/>
    <n v="1012703682"/>
    <x v="271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7882"/>
    <x v="199"/>
    <s v="nsfw"/>
    <d v="1899-12-30T16:09:00"/>
    <s v="In-Stream Video"/>
    <s v="TJX"/>
    <s v="mobile"/>
    <s v="GEO,Frequency,Keyword,BrowserLanguage"/>
    <n v="298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7892"/>
    <x v="272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7912"/>
    <x v="273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7922"/>
    <x v="274"/>
    <s v="nsfw"/>
    <d v="1899-12-30T16:09:00"/>
    <s v="In-Stream Video"/>
    <s v="TJX"/>
    <s v="mobile"/>
    <s v="GEO,Frequency,Keyword,BrowserLanguage"/>
    <n v="598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07932"/>
    <x v="275"/>
    <s v="nsfw"/>
    <d v="1899-12-30T16:09:00"/>
    <s v="In-Stream Video"/>
    <s v="TJX"/>
    <s v="mobile"/>
    <s v="GEO,Frequency,Keyword,BrowserLanguage"/>
    <n v="598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692"/>
    <x v="276"/>
    <s v="nsfw"/>
    <d v="1899-12-30T16:09:00"/>
    <s v="In-Stream Video"/>
    <s v="TJX"/>
    <s v="mobile"/>
    <s v="GEO,Frequency,Keyword,OS,Browser,BrowserLanguage"/>
    <n v="105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702"/>
    <x v="27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722"/>
    <x v="278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n v="0"/>
    <n v="0"/>
    <n v="0"/>
    <n v="0"/>
    <n v="0"/>
    <n v="1"/>
    <n v="0"/>
    <s v="Yes"/>
    <n v="0"/>
    <n v="0"/>
    <n v="0"/>
    <s v="Bin"/>
    <x v="0"/>
    <x v="1"/>
  </r>
  <r>
    <s v="PAUSED"/>
    <n v="1012710732"/>
    <x v="279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742"/>
    <x v="280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752"/>
    <x v="281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762"/>
    <x v="282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772"/>
    <x v="283"/>
    <s v="nsfw"/>
    <d v="1899-12-30T16:09:00"/>
    <s v="In-Stream Video"/>
    <s v="TJX"/>
    <s v="mobile"/>
    <s v="GEO,Frequency,Keyword,OS,BrowserLanguage"/>
    <n v="57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782"/>
    <x v="284"/>
    <s v="nsfw"/>
    <d v="1899-12-30T16:09:00"/>
    <s v="In-Stream Video"/>
    <s v="TJX"/>
    <s v="desktop"/>
    <s v="GEO,Frequency,Keyword,BrowserLanguage"/>
    <n v="22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792"/>
    <x v="285"/>
    <s v="nsfw"/>
    <d v="1899-12-30T16:09:00"/>
    <s v="In-Stream Video"/>
    <s v="TJX"/>
    <s v="mobile"/>
    <s v="GEO,Frequency,Keyword,OS,BrowserLanguage"/>
    <n v="57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802"/>
    <x v="286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5"/>
  </r>
  <r>
    <s v="PAUSED"/>
    <n v="1012710812"/>
    <x v="287"/>
    <s v="nsfw"/>
    <d v="1899-12-30T16:09:00"/>
    <s v="In-Stream Video"/>
    <s v="TJX"/>
    <s v="desktop"/>
    <s v="GEO,Frequency,Keyword,BrowserLanguage"/>
    <n v="372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822"/>
    <x v="28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832"/>
    <x v="289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710842"/>
    <x v="290"/>
    <s v="nsfw"/>
    <d v="1899-12-30T16:09:00"/>
    <s v="In-Stream Video"/>
    <s v="TJX"/>
    <s v="desktop"/>
    <s v="GEO,Frequency,Keyword,BrowserLanguage"/>
    <n v="36"/>
    <n v="0"/>
    <s v="Yes"/>
    <s v="Unlimited"/>
    <n v="260055"/>
    <n v="10177"/>
    <n v="3.9134000000000002"/>
    <n v="6"/>
    <n v="315.27"/>
    <n v="1.212"/>
    <n v="3.1E-2"/>
    <n v="52.545000000000002"/>
    <n v="1"/>
    <n v="0"/>
    <s v="Yes"/>
    <n v="260055"/>
    <n v="188645"/>
    <n v="35076"/>
    <s v="Missionary"/>
    <x v="0"/>
    <x v="3"/>
  </r>
  <r>
    <s v="PAUSED"/>
    <n v="1012710862"/>
    <x v="291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872"/>
    <x v="292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882"/>
    <x v="293"/>
    <s v="nsfw"/>
    <d v="1899-12-30T16:09:00"/>
    <s v="In-Stream Video"/>
    <s v="TJX"/>
    <s v="desktop"/>
    <s v="GEO,Frequency,Keyword,BrowserLanguage"/>
    <n v="22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</r>
  <r>
    <s v="PAUSED"/>
    <n v="1012710892"/>
    <x v="294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902"/>
    <x v="295"/>
    <s v="nsfw"/>
    <d v="1899-12-30T16:09:00"/>
    <s v="In-Stream Video"/>
    <s v="TJX"/>
    <s v="mobile"/>
    <s v="GEO,Frequency,Keyword,OS,BrowserLanguage"/>
    <n v="57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912"/>
    <x v="296"/>
    <s v="nsfw"/>
    <d v="1899-12-30T16:09:00"/>
    <s v="In-Stream Video"/>
    <s v="TJX"/>
    <s v="desktop"/>
    <s v="GEO,Frequency,Keyword,BrowserLanguage"/>
    <n v="22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</r>
  <r>
    <s v="PAUSED"/>
    <n v="1012710922"/>
    <x v="297"/>
    <s v="nsfw"/>
    <d v="1899-12-30T16:09:00"/>
    <s v="In-Stream Video"/>
    <s v="TJX"/>
    <s v="mobile"/>
    <s v="GEO,Frequency,Keyword,OS,BrowserLanguage"/>
    <n v="57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932"/>
    <x v="298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Missionary"/>
    <x v="0"/>
    <x v="10"/>
  </r>
  <r>
    <s v="PAUSED"/>
    <n v="1012710942"/>
    <x v="299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962"/>
    <x v="300"/>
    <s v="nsfw"/>
    <d v="1899-12-30T16:09:00"/>
    <s v="In-Stream Video"/>
    <s v="TJX"/>
    <s v="desktop"/>
    <s v="GEO,Frequency,Keyword,BrowserLanguage"/>
    <n v="372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972"/>
    <x v="301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0982"/>
    <x v="302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Ocean"/>
    <x v="0"/>
    <x v="8"/>
  </r>
  <r>
    <s v="PAUSED"/>
    <n v="1012710992"/>
    <x v="303"/>
    <s v="nsfw"/>
    <d v="1899-12-30T16:09:00"/>
    <s v="In-Stream Video"/>
    <s v="TJX"/>
    <s v="desktop"/>
    <s v="GEO,Frequency,Keyword,BrowserLanguage"/>
    <n v="37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1002"/>
    <x v="304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711012"/>
    <x v="305"/>
    <s v="nsfw"/>
    <d v="1899-12-30T16:09:00"/>
    <s v="In-Stream Video"/>
    <s v="TJX"/>
    <s v="mobile"/>
    <s v="GEO,Frequency,Keyword,OS,BrowserLanguage"/>
    <n v="810"/>
    <n v="0"/>
    <s v="Yes"/>
    <s v="Unlimited"/>
    <n v="19906"/>
    <n v="1190"/>
    <n v="5.9781000000000004"/>
    <n v="0"/>
    <n v="27.47"/>
    <n v="1.38"/>
    <n v="2.3E-2"/>
    <n v="0"/>
    <n v="1"/>
    <n v="0"/>
    <s v="Yes"/>
    <n v="19906"/>
    <n v="17793"/>
    <n v="1554"/>
    <s v="Ocean"/>
    <x v="0"/>
    <x v="8"/>
  </r>
  <r>
    <s v="PAUSED"/>
    <n v="1012711022"/>
    <x v="306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711032"/>
    <x v="307"/>
    <s v="nsfw"/>
    <d v="1899-12-30T16:09:00"/>
    <s v="In-Stream Video"/>
    <s v="TJX"/>
    <s v="desktop"/>
    <s v="GEO,Frequency,Keyword,BrowserLanguage"/>
    <n v="372"/>
    <n v="0"/>
    <s v="Yes"/>
    <s v="Unlimited"/>
    <n v="31992"/>
    <n v="1209"/>
    <n v="3.7790699999999999"/>
    <n v="0"/>
    <n v="97.98"/>
    <n v="3.0630000000000002"/>
    <n v="8.1000000000000003E-2"/>
    <n v="0"/>
    <n v="1"/>
    <n v="0"/>
    <s v="Yes"/>
    <n v="31992"/>
    <n v="25996"/>
    <n v="3268"/>
    <s v="Ocean"/>
    <x v="0"/>
    <x v="3"/>
  </r>
  <r>
    <s v="PAUSED"/>
    <n v="1012711042"/>
    <x v="308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1052"/>
    <x v="309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1062"/>
    <x v="310"/>
    <s v="nsfw"/>
    <d v="1899-12-30T16:09:00"/>
    <s v="In-Stream Video"/>
    <s v="TJX"/>
    <s v="desktop"/>
    <s v="GEO,Frequency,Keyword,BrowserLanguage"/>
    <n v="37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1072"/>
    <x v="311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1082"/>
    <x v="312"/>
    <s v="nsfw"/>
    <d v="1899-12-30T16:09:00"/>
    <s v="In-Stream Video"/>
    <s v="TJX"/>
    <s v="mobile"/>
    <s v="GEO,Frequency,Keyword,BrowserLanguage"/>
    <n v="558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8322"/>
    <x v="313"/>
    <s v="nsfw"/>
    <d v="1899-12-30T16:09:00"/>
    <s v="In-Stream Video"/>
    <s v="TJX"/>
    <s v="mobile"/>
    <s v="GEO,Frequency,Keyword,BrowserLanguage"/>
    <n v="614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8332"/>
    <x v="314"/>
    <s v="nsfw"/>
    <d v="1899-12-30T16:09:00"/>
    <s v="In-Stream Video"/>
    <s v="TJX"/>
    <s v="mobile"/>
    <s v="GEO,Frequency,Keyword,BrowserLanguage"/>
    <n v="614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8342"/>
    <x v="315"/>
    <s v="nsfw"/>
    <d v="1899-12-30T16:09:00"/>
    <s v="In-Stream Video"/>
    <s v="TJX"/>
    <s v="mobile"/>
    <s v="GEO,Frequency,Keyword,BrowserLanguage"/>
    <n v="254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8362"/>
    <x v="316"/>
    <s v="nsfw"/>
    <d v="1899-12-30T16:09:00"/>
    <s v="In-Stream Video"/>
    <s v="TJX"/>
    <s v="mobile"/>
    <s v="GEO,Frequency,Keyword,BrowserLanguage"/>
    <n v="254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8372"/>
    <x v="317"/>
    <s v="nsfw"/>
    <d v="1899-12-30T16:09:00"/>
    <s v="In-Stream Video"/>
    <s v="TJX"/>
    <s v="mobile"/>
    <s v="GEO,Frequency,Keyword,BrowserLanguage"/>
    <n v="1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8382"/>
    <x v="318"/>
    <s v="nsfw"/>
    <d v="1899-12-30T16:09:00"/>
    <s v="In-Stream Video"/>
    <s v="TJX"/>
    <s v="mobile"/>
    <s v="GEO,Frequency,Keyword,BrowserLanguage"/>
    <n v="254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8502"/>
    <x v="319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8512"/>
    <x v="320"/>
    <s v="nsfw"/>
    <d v="1899-12-30T16:09:00"/>
    <s v="In-Stream Video"/>
    <s v="TJX"/>
    <s v="mobile"/>
    <s v="GEO,Frequency,Keyword,BrowserLanguage"/>
    <n v="254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9952"/>
    <x v="321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9972"/>
    <x v="322"/>
    <s v="nsfw"/>
    <d v="1899-12-30T16:09:00"/>
    <s v="In-Stream Video"/>
    <s v="TJX"/>
    <s v="mobile"/>
    <s v="GEO,Frequency,Keyword,BrowserLanguage"/>
    <n v="644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19982"/>
    <x v="323"/>
    <s v="nsfw"/>
    <d v="1899-12-30T16:09:00"/>
    <s v="In-Stream Video"/>
    <s v="TJX"/>
    <s v="mobile"/>
    <s v="GEO,Frequency,Keyword,BrowserLanguage"/>
    <n v="644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522"/>
    <x v="32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532"/>
    <x v="325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582"/>
    <x v="326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592"/>
    <x v="32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1"/>
    <x v="1"/>
  </r>
  <r>
    <s v="PAUSED"/>
    <n v="1012726602"/>
    <x v="32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612"/>
    <x v="32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622"/>
    <x v="330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642"/>
    <x v="33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652"/>
    <x v="332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662"/>
    <x v="333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672"/>
    <x v="33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682"/>
    <x v="335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692"/>
    <x v="336"/>
    <s v="nsfw"/>
    <d v="1899-12-30T16:09:00"/>
    <s v="In-Stream Video"/>
    <s v="TJX"/>
    <s v="desktop"/>
    <s v="GEO,Frequency,Keyword,BrowserLanguage"/>
    <n v="112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702"/>
    <x v="33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712"/>
    <x v="33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722"/>
    <x v="339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</r>
  <r>
    <s v="PAUSED"/>
    <n v="1012726732"/>
    <x v="340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742"/>
    <x v="34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726752"/>
    <x v="342"/>
    <s v="nsfw"/>
    <d v="1899-12-30T16:09:00"/>
    <s v="In-Stream Video"/>
    <s v="TJX"/>
    <s v="desktop"/>
    <s v="GEO,Frequency,Keyword,BrowserLanguage"/>
    <n v="112"/>
    <n v="0"/>
    <s v="Yes"/>
    <s v="Unlimited"/>
    <n v="250312"/>
    <n v="9702"/>
    <n v="3.8759600000000001"/>
    <n v="3"/>
    <n v="353.83"/>
    <n v="1.4139999999999999"/>
    <n v="3.5999999999999997E-2"/>
    <n v="117.943"/>
    <n v="1"/>
    <n v="0"/>
    <s v="Yes"/>
    <n v="250312"/>
    <n v="193125"/>
    <n v="27960"/>
    <s v="Threesome"/>
    <x v="0"/>
    <x v="3"/>
  </r>
  <r>
    <s v="PAUSED"/>
    <n v="1012726762"/>
    <x v="34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802"/>
    <x v="34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812"/>
    <x v="345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</r>
  <r>
    <s v="PAUSED"/>
    <n v="1012726822"/>
    <x v="346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842"/>
    <x v="34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852"/>
    <x v="348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</r>
  <r>
    <s v="PAUSED"/>
    <n v="1012726862"/>
    <x v="34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882"/>
    <x v="350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892"/>
    <x v="351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902"/>
    <x v="352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912"/>
    <x v="35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922"/>
    <x v="354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932"/>
    <x v="355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942"/>
    <x v="356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952"/>
    <x v="357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962"/>
    <x v="35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972"/>
    <x v="359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982"/>
    <x v="360"/>
    <s v="nsfw"/>
    <d v="1899-12-30T16:09:00"/>
    <s v="In-Stream Video"/>
    <s v="TJX"/>
    <s v="desktop"/>
    <s v="GEO,Frequency,Keyword,BrowserLanguage"/>
    <n v="112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6992"/>
    <x v="36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7002"/>
    <x v="362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727012"/>
    <x v="363"/>
    <s v="nsfw"/>
    <d v="1899-12-30T16:09:00"/>
    <s v="In-Stream Video"/>
    <s v="TJX"/>
    <s v="desktop"/>
    <s v="GEO,Frequency,Keyword,BrowserLanguage"/>
    <n v="112"/>
    <n v="0"/>
    <s v="No"/>
    <n v="150"/>
    <n v="28558"/>
    <n v="1395"/>
    <n v="4.8848000000000003"/>
    <n v="1"/>
    <n v="56.01"/>
    <n v="1.9610000000000001"/>
    <n v="0.04"/>
    <n v="56.008000000000003"/>
    <n v="1"/>
    <n v="0"/>
    <s v="Yes"/>
    <n v="28558"/>
    <n v="23330"/>
    <n v="3007"/>
    <s v="TransV2"/>
    <x v="0"/>
    <x v="6"/>
  </r>
  <r>
    <s v="PAUSED"/>
    <n v="1012727022"/>
    <x v="36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7032"/>
    <x v="365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727042"/>
    <x v="366"/>
    <s v="nsfw"/>
    <d v="1899-12-30T16:09:00"/>
    <s v="In-Stream Video"/>
    <s v="TJX"/>
    <s v="desktop"/>
    <s v="GEO,Frequency,Keyword,BrowserLanguage"/>
    <n v="160"/>
    <n v="0"/>
    <s v="Yes"/>
    <s v="Unlimited"/>
    <n v="108097"/>
    <n v="4252"/>
    <n v="3.9335"/>
    <n v="0"/>
    <n v="322.89999999999998"/>
    <n v="2.9870000000000001"/>
    <n v="7.5999999999999998E-2"/>
    <n v="0"/>
    <n v="1"/>
    <n v="0"/>
    <s v="Yes"/>
    <n v="108098"/>
    <n v="87150"/>
    <n v="10886"/>
    <s v="TransV2"/>
    <x v="0"/>
    <x v="6"/>
  </r>
  <r>
    <s v="PAUSED"/>
    <n v="1012727052"/>
    <x v="36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7062"/>
    <x v="36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7072"/>
    <x v="369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7082"/>
    <x v="370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27092"/>
    <x v="37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6"/>
  </r>
  <r>
    <s v="RUNNING"/>
    <n v="1012727102"/>
    <x v="372"/>
    <s v="nsfw"/>
    <d v="1899-12-30T16:09:00"/>
    <s v="In-Stream Video"/>
    <s v="TJX"/>
    <s v="desktop"/>
    <s v="GEO,Frequency,Keyword,BrowserLanguage"/>
    <n v="112"/>
    <n v="0"/>
    <s v="Yes"/>
    <s v="Unlimited"/>
    <n v="197082"/>
    <n v="7582"/>
    <n v="3.8471299999999999"/>
    <n v="2"/>
    <n v="424.85"/>
    <n v="2.1560000000000001"/>
    <n v="5.6000000000000001E-2"/>
    <n v="212.423"/>
    <n v="1"/>
    <n v="0"/>
    <s v="Yes"/>
    <n v="197082"/>
    <n v="150733"/>
    <n v="21855"/>
    <s v="TransV2"/>
    <x v="0"/>
    <x v="6"/>
  </r>
  <r>
    <s v="PAUSED"/>
    <n v="1012727112"/>
    <x v="37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752"/>
    <x v="374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782"/>
    <x v="375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732792"/>
    <x v="376"/>
    <s v="nsfw"/>
    <d v="1899-12-30T16:09:00"/>
    <s v="In-Stream Video"/>
    <s v="TJX"/>
    <s v="mobile"/>
    <s v="GEO,Frequency,Keyword,BrowserLanguage"/>
    <n v="280"/>
    <n v="0"/>
    <s v="Yes"/>
    <s v="Unlimited"/>
    <n v="3591"/>
    <n v="155"/>
    <n v="4.3163499999999999"/>
    <n v="0"/>
    <n v="6.15"/>
    <n v="1.7110000000000001"/>
    <n v="0.04"/>
    <n v="0"/>
    <n v="1"/>
    <n v="0"/>
    <s v="Yes"/>
    <n v="3591"/>
    <n v="3200"/>
    <n v="291"/>
    <s v="Tests"/>
    <x v="0"/>
    <x v="3"/>
  </r>
  <r>
    <s v="PAUSED"/>
    <n v="1012732802"/>
    <x v="377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812"/>
    <x v="378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822"/>
    <x v="37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832"/>
    <x v="38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842"/>
    <x v="38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852"/>
    <x v="38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862"/>
    <x v="383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872"/>
    <x v="38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882"/>
    <x v="385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892"/>
    <x v="386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902"/>
    <x v="387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912"/>
    <x v="388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922"/>
    <x v="38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932"/>
    <x v="39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942"/>
    <x v="39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962"/>
    <x v="39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972"/>
    <x v="393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982"/>
    <x v="39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2992"/>
    <x v="395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002"/>
    <x v="396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012"/>
    <x v="397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022"/>
    <x v="17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032"/>
    <x v="398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042"/>
    <x v="39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052"/>
    <x v="40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062"/>
    <x v="401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072"/>
    <x v="40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082"/>
    <x v="403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Tests"/>
    <x v="0"/>
    <x v="9"/>
  </r>
  <r>
    <s v="PAUSED"/>
    <n v="1012733092"/>
    <x v="40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112"/>
    <x v="405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Tests"/>
    <x v="0"/>
    <x v="9"/>
  </r>
  <r>
    <s v="PAUSED"/>
    <n v="1012733122"/>
    <x v="406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132"/>
    <x v="407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142"/>
    <x v="408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152"/>
    <x v="40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172"/>
    <x v="41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182"/>
    <x v="41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192"/>
    <x v="41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212"/>
    <x v="413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Tests"/>
    <x v="0"/>
    <x v="9"/>
  </r>
  <r>
    <s v="PAUSED"/>
    <n v="1012733222"/>
    <x v="41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232"/>
    <x v="18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242"/>
    <x v="415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252"/>
    <x v="416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262"/>
    <x v="417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272"/>
    <x v="418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282"/>
    <x v="41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292"/>
    <x v="420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302"/>
    <x v="42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312"/>
    <x v="42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322"/>
    <x v="42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Marvel"/>
    <x v="0"/>
    <x v="11"/>
  </r>
  <r>
    <s v="PAUSED"/>
    <n v="1012733332"/>
    <x v="42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342"/>
    <x v="425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352"/>
    <x v="426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522"/>
    <x v="427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532"/>
    <x v="428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542"/>
    <x v="42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33562"/>
    <x v="43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733572"/>
    <x v="431"/>
    <s v="nsfw"/>
    <d v="1899-12-30T16:09:00"/>
    <s v="In-Stream Video"/>
    <s v="TJX"/>
    <s v="mobile"/>
    <s v="GEO,Frequency,Keyword,BrowserLanguage"/>
    <n v="280"/>
    <n v="0"/>
    <s v="Yes"/>
    <s v="Unlimited"/>
    <n v="4317"/>
    <n v="241"/>
    <n v="5.5825800000000001"/>
    <n v="2"/>
    <n v="7.25"/>
    <n v="1.679"/>
    <n v="0.03"/>
    <n v="3.6230000000000002"/>
    <n v="1"/>
    <n v="0"/>
    <s v="Yes"/>
    <n v="4317"/>
    <n v="3847"/>
    <n v="295"/>
    <s v="Tests"/>
    <x v="0"/>
    <x v="3"/>
  </r>
  <r>
    <s v="PAUSED"/>
    <n v="1012741762"/>
    <x v="60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41772"/>
    <x v="432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41792"/>
    <x v="433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232"/>
    <x v="434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242"/>
    <x v="435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252"/>
    <x v="43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262"/>
    <x v="437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272"/>
    <x v="43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282"/>
    <x v="439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292"/>
    <x v="440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302"/>
    <x v="441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312"/>
    <x v="442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322"/>
    <x v="44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332"/>
    <x v="444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342"/>
    <x v="445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352"/>
    <x v="42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11"/>
  </r>
  <r>
    <s v="PAUSED"/>
    <n v="1012750362"/>
    <x v="446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Marvel"/>
    <x v="0"/>
    <x v="11"/>
  </r>
  <r>
    <s v="RUNNING"/>
    <n v="1012750372"/>
    <x v="447"/>
    <s v="nsfw"/>
    <d v="1899-12-30T16:09:00"/>
    <s v="In-Stream Video"/>
    <s v="TJX"/>
    <s v="desktop"/>
    <s v="GEO,Frequency,Keyword,BrowserLanguage"/>
    <n v="112"/>
    <n v="0"/>
    <s v="Yes"/>
    <s v="Unlimited"/>
    <n v="167371"/>
    <n v="9814"/>
    <n v="5.8636200000000001"/>
    <n v="14"/>
    <n v="493.52"/>
    <n v="2.9489999999999998"/>
    <n v="0.05"/>
    <n v="35.250999999999998"/>
    <n v="1"/>
    <n v="0"/>
    <s v="Yes"/>
    <n v="167370"/>
    <n v="132272"/>
    <n v="15217"/>
    <s v="Marvel"/>
    <x v="0"/>
    <x v="3"/>
  </r>
  <r>
    <s v="PAUSED"/>
    <n v="1012750382"/>
    <x v="448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Marvel"/>
    <x v="0"/>
    <x v="11"/>
  </r>
  <r>
    <s v="RUNNING"/>
    <n v="1012750392"/>
    <x v="449"/>
    <s v="nsfw"/>
    <d v="1899-12-30T16:09:00"/>
    <s v="In-Stream Video"/>
    <s v="TJX"/>
    <s v="mobile"/>
    <s v="GEO,Frequency,Keyword,OS,BrowserLanguage"/>
    <n v="280"/>
    <n v="0"/>
    <s v="Yes"/>
    <s v="Unlimited"/>
    <n v="5819"/>
    <n v="270"/>
    <n v="4.6399699999999999"/>
    <n v="0"/>
    <n v="11.03"/>
    <n v="1.8959999999999999"/>
    <n v="4.1000000000000002E-2"/>
    <n v="0"/>
    <n v="1"/>
    <n v="0"/>
    <s v="Yes"/>
    <n v="5819"/>
    <n v="5293"/>
    <n v="358"/>
    <s v="Marvel"/>
    <x v="0"/>
    <x v="3"/>
  </r>
  <r>
    <s v="RUNNING"/>
    <n v="1012750402"/>
    <x v="450"/>
    <s v="nsfw"/>
    <d v="1899-12-30T16:09:00"/>
    <s v="In-Stream Video"/>
    <s v="TJX"/>
    <s v="mobile"/>
    <s v="GEO,Frequency,Keyword,OS,BrowserLanguage"/>
    <n v="280"/>
    <n v="0"/>
    <s v="Yes"/>
    <s v="Unlimited"/>
    <n v="45827"/>
    <n v="3898"/>
    <n v="8.5059000000000005"/>
    <n v="1"/>
    <n v="53.46"/>
    <n v="1.167"/>
    <n v="1.4E-2"/>
    <n v="53.457999999999998"/>
    <n v="1"/>
    <n v="0"/>
    <s v="Yes"/>
    <n v="45828"/>
    <n v="41190"/>
    <n v="3270"/>
    <s v="Marvel"/>
    <x v="0"/>
    <x v="3"/>
  </r>
  <r>
    <s v="PAUSED"/>
    <n v="1012750412"/>
    <x v="45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422"/>
    <x v="452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Marvel"/>
    <x v="0"/>
    <x v="11"/>
  </r>
  <r>
    <s v="RUNNING"/>
    <n v="1012750432"/>
    <x v="453"/>
    <s v="nsfw"/>
    <d v="1899-12-30T16:09:00"/>
    <s v="In-Stream Video"/>
    <s v="TJX"/>
    <s v="desktop"/>
    <s v="GEO,Frequency,Keyword,BrowserLanguage"/>
    <n v="112"/>
    <n v="0"/>
    <s v="Yes"/>
    <s v="Unlimited"/>
    <n v="59933"/>
    <n v="3098"/>
    <n v="5.1691099999999999"/>
    <n v="1"/>
    <n v="175.13"/>
    <n v="2.9220000000000002"/>
    <n v="5.7000000000000002E-2"/>
    <n v="175.13200000000001"/>
    <n v="1"/>
    <n v="0"/>
    <s v="Yes"/>
    <n v="59929"/>
    <n v="45568"/>
    <n v="5930"/>
    <s v="Marvel"/>
    <x v="0"/>
    <x v="3"/>
  </r>
  <r>
    <s v="RUNNING"/>
    <n v="1012750442"/>
    <x v="454"/>
    <s v="nsfw"/>
    <d v="1899-12-30T16:09:00"/>
    <s v="In-Stream Video"/>
    <s v="TJX"/>
    <s v="desktop"/>
    <s v="GEO,Frequency,Keyword,BrowserLanguage"/>
    <n v="112"/>
    <n v="0"/>
    <s v="Yes"/>
    <s v="Unlimited"/>
    <n v="6185"/>
    <n v="214"/>
    <n v="3.4599799999999998"/>
    <n v="0"/>
    <n v="17.91"/>
    <n v="2.8969999999999998"/>
    <n v="8.4000000000000005E-2"/>
    <n v="0"/>
    <n v="1"/>
    <n v="0"/>
    <s v="Yes"/>
    <n v="6185"/>
    <n v="4576"/>
    <n v="700"/>
    <s v="Marvel"/>
    <x v="0"/>
    <x v="3"/>
  </r>
  <r>
    <s v="RUNNING"/>
    <n v="1012750452"/>
    <x v="455"/>
    <s v="nsfw"/>
    <d v="1899-12-30T16:09:00"/>
    <s v="In-Stream Video"/>
    <s v="TJX"/>
    <s v="mobile"/>
    <s v="GEO,Frequency,Keyword,OS,BrowserLanguage"/>
    <n v="280"/>
    <n v="0"/>
    <s v="Yes"/>
    <s v="Unlimited"/>
    <n v="846"/>
    <n v="41"/>
    <n v="4.84633"/>
    <n v="0"/>
    <n v="1.62"/>
    <n v="1.9119999999999999"/>
    <n v="3.9E-2"/>
    <n v="0"/>
    <n v="1"/>
    <n v="0"/>
    <s v="Yes"/>
    <n v="846"/>
    <n v="794"/>
    <n v="34"/>
    <s v="Marvel"/>
    <x v="0"/>
    <x v="3"/>
  </r>
  <r>
    <s v="PAUSED"/>
    <n v="1012750462"/>
    <x v="45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472"/>
    <x v="45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482"/>
    <x v="45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Marvel"/>
    <x v="0"/>
    <x v="11"/>
  </r>
  <r>
    <s v="PAUSED"/>
    <n v="1012750492"/>
    <x v="459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Marvel"/>
    <x v="0"/>
    <x v="11"/>
  </r>
  <r>
    <s v="PAUSED"/>
    <n v="1012750502"/>
    <x v="460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512"/>
    <x v="461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750522"/>
    <x v="462"/>
    <s v="nsfw"/>
    <d v="1899-12-30T16:09:00"/>
    <s v="In-Stream Video"/>
    <s v="TJX"/>
    <s v="mobile"/>
    <s v="GEO,Frequency,Keyword,OS,BrowserLanguage"/>
    <n v="280"/>
    <n v="0"/>
    <s v="Yes"/>
    <s v="Unlimited"/>
    <n v="17622"/>
    <n v="840"/>
    <n v="4.7667700000000002"/>
    <n v="0"/>
    <n v="32.200000000000003"/>
    <n v="1.8280000000000001"/>
    <n v="3.7999999999999999E-2"/>
    <n v="0"/>
    <n v="1"/>
    <n v="0"/>
    <s v="Yes"/>
    <n v="17622"/>
    <n v="15925"/>
    <n v="1218"/>
    <s v="Ocean"/>
    <x v="0"/>
    <x v="3"/>
  </r>
  <r>
    <s v="PAUSED"/>
    <n v="1012750532"/>
    <x v="46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Ocean"/>
    <x v="0"/>
    <x v="8"/>
  </r>
  <r>
    <s v="PAUSED"/>
    <n v="1012750542"/>
    <x v="46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Ocean"/>
    <x v="0"/>
    <x v="8"/>
  </r>
  <r>
    <s v="PAUSED"/>
    <n v="1012750552"/>
    <x v="465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562"/>
    <x v="466"/>
    <s v="nsfw"/>
    <d v="1899-12-30T16:09:00"/>
    <s v="In-Stream Video"/>
    <s v="TJX"/>
    <s v="desktop"/>
    <s v="GEO,Frequency,Keyword,BrowserLanguage"/>
    <n v="112"/>
    <n v="0"/>
    <s v="Yes"/>
    <s v="Unlimited"/>
    <n v="1"/>
    <n v="0"/>
    <n v="0"/>
    <n v="0"/>
    <n v="0"/>
    <n v="2.133"/>
    <n v="0"/>
    <n v="0"/>
    <n v="1"/>
    <n v="0"/>
    <s v="Yes"/>
    <n v="1"/>
    <n v="0"/>
    <n v="0"/>
    <s v="Ocean"/>
    <x v="0"/>
    <x v="8"/>
  </r>
  <r>
    <s v="RUNNING"/>
    <n v="1012750572"/>
    <x v="467"/>
    <s v="nsfw"/>
    <d v="1899-12-30T16:09:00"/>
    <s v="In-Stream Video"/>
    <s v="TJX"/>
    <s v="mobile"/>
    <s v="GEO,Frequency,Keyword,OS,BrowserLanguage"/>
    <n v="280"/>
    <n v="0"/>
    <s v="Yes"/>
    <s v="Unlimited"/>
    <n v="6018"/>
    <n v="291"/>
    <n v="4.8354900000000001"/>
    <n v="0"/>
    <n v="11.39"/>
    <n v="1.893"/>
    <n v="3.9E-2"/>
    <n v="0"/>
    <n v="1"/>
    <n v="0"/>
    <s v="Yes"/>
    <n v="6018"/>
    <n v="5593"/>
    <n v="280"/>
    <s v="Ocean"/>
    <x v="0"/>
    <x v="3"/>
  </r>
  <r>
    <s v="PAUSED"/>
    <n v="1012750582"/>
    <x v="46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592"/>
    <x v="469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602"/>
    <x v="470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612"/>
    <x v="471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622"/>
    <x v="472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632"/>
    <x v="47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642"/>
    <x v="47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652"/>
    <x v="475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662"/>
    <x v="47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672"/>
    <x v="477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682"/>
    <x v="478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692"/>
    <x v="47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702"/>
    <x v="480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750712"/>
    <x v="481"/>
    <s v="nsfw"/>
    <d v="1899-12-30T16:09:00"/>
    <s v="In-Stream Video"/>
    <s v="TJX"/>
    <s v="mobile"/>
    <s v="GEO,Frequency,Keyword,OS,BrowserLanguage"/>
    <n v="280"/>
    <n v="0"/>
    <s v="No"/>
    <n v="250"/>
    <n v="10521"/>
    <n v="651"/>
    <n v="6.1876199999999999"/>
    <n v="0"/>
    <n v="15.84"/>
    <n v="1.5049999999999999"/>
    <n v="2.4E-2"/>
    <n v="0"/>
    <n v="1"/>
    <n v="0"/>
    <s v="Yes"/>
    <n v="10521"/>
    <n v="9376"/>
    <n v="853"/>
    <s v="Ocean"/>
    <x v="0"/>
    <x v="8"/>
  </r>
  <r>
    <s v="PAUSED"/>
    <n v="1012750722"/>
    <x v="482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732"/>
    <x v="483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Ocean"/>
    <x v="0"/>
    <x v="8"/>
  </r>
  <r>
    <s v="PAUSED"/>
    <n v="1012750742"/>
    <x v="484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752"/>
    <x v="485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762"/>
    <x v="48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782"/>
    <x v="487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792"/>
    <x v="48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750802"/>
    <x v="489"/>
    <s v="nsfw"/>
    <d v="1899-12-30T16:09:00"/>
    <s v="In-Stream Video"/>
    <s v="TJX"/>
    <s v="desktop"/>
    <s v="GEO,Frequency,Keyword,BrowserLanguage"/>
    <n v="112"/>
    <n v="0"/>
    <s v="No"/>
    <n v="250"/>
    <n v="3919"/>
    <n v="140"/>
    <n v="3.5723400000000001"/>
    <n v="0"/>
    <n v="11.19"/>
    <n v="2.8559999999999999"/>
    <n v="0.08"/>
    <n v="0"/>
    <n v="1"/>
    <n v="0"/>
    <s v="Yes"/>
    <n v="3919"/>
    <n v="3078"/>
    <n v="486"/>
    <s v="Ocean"/>
    <x v="0"/>
    <x v="3"/>
  </r>
  <r>
    <s v="PAUSED"/>
    <n v="1012750812"/>
    <x v="490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822"/>
    <x v="491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832"/>
    <x v="492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842"/>
    <x v="49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852"/>
    <x v="49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862"/>
    <x v="495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882"/>
    <x v="496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892"/>
    <x v="497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902"/>
    <x v="49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912"/>
    <x v="499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922"/>
    <x v="500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932"/>
    <x v="501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942"/>
    <x v="502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952"/>
    <x v="50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0962"/>
    <x v="504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750972"/>
    <x v="505"/>
    <s v="nsfw"/>
    <d v="1899-12-30T16:09:00"/>
    <s v="In-Stream Video"/>
    <s v="TJX"/>
    <s v="desktop"/>
    <s v="GEO,Frequency,Keyword,BrowserLanguage"/>
    <n v="112"/>
    <n v="0"/>
    <s v="Yes"/>
    <s v="Unlimited"/>
    <n v="17333"/>
    <n v="675"/>
    <n v="3.8943099999999999"/>
    <n v="0"/>
    <n v="49.38"/>
    <n v="2.8490000000000002"/>
    <n v="7.2999999999999995E-2"/>
    <n v="0"/>
    <n v="1"/>
    <n v="0"/>
    <s v="Yes"/>
    <n v="17334"/>
    <n v="13974"/>
    <n v="2038"/>
    <s v="Ocean"/>
    <x v="0"/>
    <x v="3"/>
  </r>
  <r>
    <s v="RUNNING"/>
    <n v="1012750982"/>
    <x v="506"/>
    <s v="nsfw"/>
    <d v="1899-12-30T16:09:00"/>
    <s v="In-Stream Video"/>
    <s v="TJX"/>
    <s v="mobile"/>
    <s v="GEO,Frequency,Keyword,OS,BrowserLanguage"/>
    <n v="280"/>
    <n v="0"/>
    <s v="No"/>
    <n v="250"/>
    <n v="6999"/>
    <n v="434"/>
    <n v="6.2008900000000002"/>
    <n v="0"/>
    <n v="10.199999999999999"/>
    <n v="1.458"/>
    <n v="2.4E-2"/>
    <n v="0"/>
    <n v="1"/>
    <n v="0"/>
    <s v="Yes"/>
    <n v="6999"/>
    <n v="6240"/>
    <n v="566"/>
    <s v="Ocean"/>
    <x v="0"/>
    <x v="3"/>
  </r>
  <r>
    <s v="PAUSED"/>
    <n v="1012750992"/>
    <x v="50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1002"/>
    <x v="50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1012"/>
    <x v="509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751022"/>
    <x v="510"/>
    <s v="nsfw"/>
    <d v="1899-12-30T16:09:00"/>
    <s v="In-Stream Video"/>
    <s v="TJX"/>
    <s v="desktop"/>
    <s v="GEO,Frequency,Keyword,BrowserLanguage"/>
    <n v="112"/>
    <n v="0"/>
    <s v="Yes"/>
    <s v="Unlimited"/>
    <n v="77949"/>
    <n v="3236"/>
    <n v="4.1514300000000004"/>
    <n v="4"/>
    <n v="229.11"/>
    <n v="2.9390000000000001"/>
    <n v="7.0999999999999994E-2"/>
    <n v="57.277999999999999"/>
    <n v="1"/>
    <n v="0"/>
    <s v="Yes"/>
    <n v="77948"/>
    <n v="63921"/>
    <n v="7242"/>
    <s v="Ocean"/>
    <x v="0"/>
    <x v="3"/>
  </r>
  <r>
    <s v="PAUSED"/>
    <n v="1012751032"/>
    <x v="511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751042"/>
    <x v="512"/>
    <s v="nsfw"/>
    <d v="1899-12-30T16:09:00"/>
    <s v="In-Stream Video"/>
    <s v="TJX"/>
    <s v="mobile"/>
    <s v="GEO,Frequency,Keyword,OS,BrowserLanguage"/>
    <n v="280"/>
    <n v="0"/>
    <s v="Yes"/>
    <s v="Unlimited"/>
    <n v="64335"/>
    <n v="2887"/>
    <n v="4.4874499999999999"/>
    <n v="2"/>
    <n v="111.68"/>
    <n v="1.736"/>
    <n v="3.9E-2"/>
    <n v="55.841999999999999"/>
    <n v="1"/>
    <n v="0"/>
    <s v="Yes"/>
    <n v="64334"/>
    <n v="57699"/>
    <n v="4843"/>
    <s v="Ocean"/>
    <x v="0"/>
    <x v="3"/>
  </r>
  <r>
    <s v="PAUSED"/>
    <n v="1012751052"/>
    <x v="513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1062"/>
    <x v="514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1072"/>
    <x v="515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1082"/>
    <x v="516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1092"/>
    <x v="517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1102"/>
    <x v="51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1112"/>
    <x v="51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1332"/>
    <x v="520"/>
    <s v="nsfw"/>
    <d v="1899-12-30T09:16:00"/>
    <s v="In-Stream Video"/>
    <s v="TJX"/>
    <s v="mobile"/>
    <s v="GEO,Frequency,OS,BrowserLanguage"/>
    <n v="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51342"/>
    <x v="521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5"/>
  </r>
  <r>
    <s v="PAUSED"/>
    <n v="1012751352"/>
    <x v="522"/>
    <s v="nsfw"/>
    <d v="1899-12-30T09:16:00"/>
    <s v="In-Stream Video"/>
    <s v="TJX"/>
    <s v="mobile"/>
    <s v="GEO,Frequency,OS,BrowserLanguage"/>
    <n v="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69582"/>
    <x v="523"/>
    <s v="nsfw"/>
    <s v="640 x 360"/>
    <s v="Display"/>
    <s v="TJX"/>
    <s v="mobile"/>
    <s v="GEO,Frequency,Keyword,BrowserLanguage"/>
    <n v="416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69592"/>
    <x v="192"/>
    <s v="nsfw"/>
    <s v="640 x 360"/>
    <s v="Display"/>
    <s v="TJX"/>
    <s v="mobile"/>
    <s v="GEO,Frequency,Keyword,BrowserLanguage"/>
    <n v="4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69602"/>
    <x v="524"/>
    <s v="nsfw"/>
    <s v="640 x 360"/>
    <s v="Display"/>
    <s v="TJX"/>
    <s v="mobile"/>
    <s v="GEO,Frequency,Keyword,BrowserLanguage"/>
    <n v="416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69612"/>
    <x v="525"/>
    <s v="nsfw"/>
    <s v="640 x 360"/>
    <s v="Display"/>
    <s v="TJX"/>
    <s v="mobile"/>
    <s v="GEO,Frequency,Keyword,BrowserLanguage"/>
    <n v="4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69622"/>
    <x v="526"/>
    <s v="nsfw"/>
    <s v="640 x 360"/>
    <s v="Display"/>
    <s v="TJX"/>
    <s v="mobile"/>
    <s v="GEO,Frequency,Keyword,BrowserLanguage"/>
    <n v="416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69632"/>
    <x v="527"/>
    <s v="nsfw"/>
    <s v="640 x 360"/>
    <s v="Display"/>
    <s v="TJX"/>
    <s v="mobile"/>
    <s v="GEO,Frequency,Keyword,BrowserLanguage"/>
    <n v="4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722"/>
    <x v="528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732"/>
    <x v="529"/>
    <s v="nsfw"/>
    <d v="1899-12-30T16:09:00"/>
    <s v="In-Stream Video"/>
    <s v="TJX"/>
    <s v="desktop"/>
    <s v="GEO,Frequency,Keyword,BrowserLanguage"/>
    <n v="208"/>
    <n v="0"/>
    <s v="Yes"/>
    <s v="Unlimited"/>
    <n v="0"/>
    <n v="0"/>
    <n v="0"/>
    <m/>
    <n v="0"/>
    <n v="0"/>
    <n v="0"/>
    <n v="0"/>
    <n v="1"/>
    <n v="0"/>
    <s v="Yes"/>
    <m/>
    <m/>
    <m/>
    <s v="TransV2"/>
    <x v="0"/>
    <x v="6"/>
  </r>
  <r>
    <s v="PAUSED"/>
    <n v="1012772742"/>
    <x v="530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752"/>
    <x v="531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762"/>
    <x v="53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772"/>
    <x v="533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782"/>
    <x v="534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3"/>
  </r>
  <r>
    <s v="PAUSED"/>
    <n v="1012772792"/>
    <x v="535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802"/>
    <x v="53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812"/>
    <x v="537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</r>
  <r>
    <s v="PAUSED"/>
    <n v="1012772872"/>
    <x v="538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882"/>
    <x v="539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892"/>
    <x v="54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902"/>
    <x v="54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912"/>
    <x v="542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922"/>
    <x v="543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932"/>
    <x v="544"/>
    <s v="nsfw"/>
    <d v="1899-12-30T16:09:00"/>
    <s v="In-Stream Video"/>
    <s v="TJX"/>
    <s v="desktop"/>
    <s v="GEO,Frequency,Keyword,BrowserLanguage"/>
    <n v="112"/>
    <n v="0"/>
    <s v="Yes"/>
    <s v="Unlimited"/>
    <n v="6"/>
    <n v="0"/>
    <n v="0"/>
    <n v="0"/>
    <n v="0.01"/>
    <n v="1.675"/>
    <n v="0"/>
    <n v="0"/>
    <n v="1"/>
    <n v="0"/>
    <s v="Yes"/>
    <n v="6"/>
    <n v="2"/>
    <n v="1"/>
    <s v="Blowjob"/>
    <x v="0"/>
    <x v="3"/>
  </r>
  <r>
    <s v="PAUSED"/>
    <n v="1012772942"/>
    <x v="545"/>
    <s v="nsfw"/>
    <d v="1899-12-30T16:09:00"/>
    <s v="In-Stream Video"/>
    <s v="TJX"/>
    <s v="desktop"/>
    <s v="GEO,Frequency,Keyword,BrowserLanguage"/>
    <n v="112"/>
    <n v="0"/>
    <s v="Yes"/>
    <s v="Unlimited"/>
    <n v="2"/>
    <n v="0"/>
    <n v="0"/>
    <n v="0"/>
    <n v="0"/>
    <n v="1.4610000000000001"/>
    <n v="0"/>
    <n v="0"/>
    <n v="1"/>
    <n v="0"/>
    <s v="Yes"/>
    <n v="2"/>
    <n v="1"/>
    <n v="0"/>
    <s v="Archive"/>
    <x v="0"/>
    <x v="5"/>
  </r>
  <r>
    <s v="PAUSED"/>
    <n v="1012772952"/>
    <x v="54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962"/>
    <x v="547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972"/>
    <x v="54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982"/>
    <x v="54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2992"/>
    <x v="550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3002"/>
    <x v="55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3012"/>
    <x v="552"/>
    <s v="nsfw"/>
    <d v="1899-12-30T16:09:00"/>
    <s v="In-Stream Video"/>
    <s v="TJX"/>
    <s v="mobile"/>
    <s v="GEO,Frequency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3022"/>
    <x v="553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3032"/>
    <x v="554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3042"/>
    <x v="555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</r>
  <r>
    <s v="PAUSED"/>
    <n v="1012773052"/>
    <x v="556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773062"/>
    <x v="557"/>
    <s v="nsfw"/>
    <d v="1899-12-30T16:09:00"/>
    <s v="In-Stream Video"/>
    <s v="TJX"/>
    <s v="mobile"/>
    <s v="GEO,Frequency,Keyword,OS,BrowserLanguage"/>
    <n v="280"/>
    <n v="0"/>
    <s v="Yes"/>
    <s v="Unlimited"/>
    <n v="18963"/>
    <n v="862"/>
    <n v="4.5456799999999999"/>
    <n v="2"/>
    <n v="30.39"/>
    <n v="1.603"/>
    <n v="3.5000000000000003E-2"/>
    <n v="15.194000000000001"/>
    <n v="1"/>
    <n v="0"/>
    <s v="Yes"/>
    <n v="18963"/>
    <n v="16826"/>
    <n v="1169"/>
    <s v="Hentai"/>
    <x v="0"/>
    <x v="12"/>
  </r>
  <r>
    <s v="PAUSED"/>
    <n v="1012773072"/>
    <x v="55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3082"/>
    <x v="55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73092"/>
    <x v="560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773102"/>
    <x v="561"/>
    <s v="nsfw"/>
    <d v="1899-12-30T16:09:00"/>
    <s v="In-Stream Video"/>
    <s v="TJX"/>
    <s v="mobile"/>
    <s v="GEO,Frequency,Keyword,OS,BrowserLanguage"/>
    <n v="130"/>
    <n v="0"/>
    <s v="Yes"/>
    <s v="Unlimited"/>
    <n v="203640"/>
    <n v="17604"/>
    <n v="8.6446699999999996"/>
    <n v="5"/>
    <n v="443.17"/>
    <n v="2.1760000000000002"/>
    <n v="2.5000000000000001E-2"/>
    <n v="88.634"/>
    <n v="1"/>
    <n v="0"/>
    <s v="No"/>
    <n v="203637"/>
    <n v="183291"/>
    <n v="13347"/>
    <s v="Furry"/>
    <x v="0"/>
    <x v="3"/>
  </r>
  <r>
    <s v="RUNNING"/>
    <n v="1012773112"/>
    <x v="562"/>
    <s v="nsfw"/>
    <d v="1899-12-30T16:09:00"/>
    <s v="In-Stream Video"/>
    <s v="TJX"/>
    <s v="mobile"/>
    <s v="GEO,Frequency,OS,BrowserLanguage,Segment"/>
    <n v="370"/>
    <n v="0"/>
    <s v="Yes"/>
    <s v="Unlimited"/>
    <n v="109149"/>
    <n v="5164"/>
    <n v="4.7311500000000004"/>
    <n v="5"/>
    <n v="277.82"/>
    <n v="2.5449999999999999"/>
    <n v="5.3999999999999999E-2"/>
    <n v="55.564"/>
    <n v="1"/>
    <n v="0"/>
    <s v="Yes"/>
    <n v="109145"/>
    <n v="97338"/>
    <n v="8701"/>
    <s v="AI"/>
    <x v="0"/>
    <x v="0"/>
  </r>
  <r>
    <s v="RUNNING"/>
    <n v="1012773122"/>
    <x v="563"/>
    <s v="nsfw"/>
    <d v="1899-12-30T16:09:00"/>
    <s v="In-Stream Video"/>
    <s v="TJX"/>
    <s v="mobile"/>
    <s v="GEO,Frequency,OS,BrowserLanguage,Segment"/>
    <n v="370"/>
    <n v="0"/>
    <s v="Yes"/>
    <s v="Unlimited"/>
    <n v="119807"/>
    <n v="7382"/>
    <n v="6.1615799999999998"/>
    <n v="3"/>
    <n v="293.60000000000002"/>
    <n v="2.4510000000000001"/>
    <n v="0.04"/>
    <n v="97.867999999999995"/>
    <n v="1"/>
    <n v="0"/>
    <s v="Yes"/>
    <n v="119807"/>
    <n v="106339"/>
    <n v="9839"/>
    <s v="AI"/>
    <x v="0"/>
    <x v="0"/>
  </r>
  <r>
    <s v="PAUSED"/>
    <n v="1012797382"/>
    <x v="564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97402"/>
    <x v="536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97422"/>
    <x v="248"/>
    <s v="nsfw"/>
    <d v="1899-12-30T16:09:00"/>
    <s v="In-Stream Video"/>
    <s v="TJX"/>
    <s v="mobile"/>
    <s v="GEO,Frequency,Keyword,OS,Browser,BrowserLanguage"/>
    <n v="30"/>
    <n v="0"/>
    <s v="No"/>
    <n v="10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97432"/>
    <x v="565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97442"/>
    <x v="269"/>
    <s v="nsfw"/>
    <d v="1899-12-30T16:09:00"/>
    <s v="In-Stream Video"/>
    <s v="TJX"/>
    <s v="mobile"/>
    <s v="GEO,Frequency,Keyword,OS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97452"/>
    <x v="352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797462"/>
    <x v="566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5"/>
  </r>
  <r>
    <s v="PAUSED"/>
    <n v="1012797472"/>
    <x v="343"/>
    <s v="nsfw"/>
    <d v="1899-12-30T16:09:00"/>
    <s v="In-Stream Video"/>
    <s v="TJX"/>
    <s v="mobile"/>
    <s v="GEO,Frequency,Keyword,OS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00202"/>
    <x v="567"/>
    <s v="nsfw"/>
    <d v="1899-12-30T16:09:00"/>
    <s v="In-Stream Video"/>
    <s v="TJX"/>
    <s v="mobile"/>
    <s v="GEO,Frequency,Keyword,OS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00212"/>
    <x v="568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Ocean"/>
    <x v="0"/>
    <x v="8"/>
  </r>
  <r>
    <s v="PAUSED"/>
    <n v="1012800222"/>
    <x v="569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00232"/>
    <x v="570"/>
    <s v="nsfw"/>
    <d v="1899-12-30T16:09:00"/>
    <s v="In-Stream Video"/>
    <s v="TJX"/>
    <s v="mobile"/>
    <s v="GEO,Frequency,Keyword,OS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00242"/>
    <x v="571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00252"/>
    <x v="572"/>
    <s v="nsfw"/>
    <d v="1899-12-30T16:09:00"/>
    <s v="In-Stream Video"/>
    <s v="TJX"/>
    <s v="mobile"/>
    <s v="GEO,Frequency,Keyword,OS,Browser,BrowserLanguage"/>
    <n v="3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00262"/>
    <x v="573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00272"/>
    <x v="574"/>
    <s v="nsfw"/>
    <d v="1899-12-30T16:09:00"/>
    <s v="In-Stream Video"/>
    <s v="TJX"/>
    <s v="mobile"/>
    <s v="GEO,Frequency,Keyword,OS,Browser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06532"/>
    <x v="36"/>
    <s v="nsfw"/>
    <d v="1899-12-30T16:09:00"/>
    <s v="In-Stream Video"/>
    <s v="TJX"/>
    <s v="mobile"/>
    <s v="GEO,Frequency,Keyword,OS,BrowserLanguage"/>
    <n v="70"/>
    <n v="0"/>
    <s v="No"/>
    <n v="250"/>
    <n v="0"/>
    <n v="0"/>
    <n v="0"/>
    <m/>
    <n v="0"/>
    <n v="0"/>
    <n v="0"/>
    <n v="0"/>
    <n v="1"/>
    <n v="0"/>
    <s v="Yes"/>
    <m/>
    <m/>
    <m/>
    <s v="Ocean"/>
    <x v="0"/>
    <x v="1"/>
  </r>
  <r>
    <s v="PAUSED"/>
    <n v="1012806542"/>
    <x v="575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11242"/>
    <x v="576"/>
    <s v="nsfw"/>
    <d v="1899-12-30T16:09:00"/>
    <s v="In-Stream Video"/>
    <s v="TJX"/>
    <s v="mobile"/>
    <s v="GEO,Frequency,OS,BrowserLanguage"/>
    <n v="12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11252"/>
    <x v="371"/>
    <s v="nsfw"/>
    <d v="1899-12-30T16:09:00"/>
    <s v="In-Stream Video"/>
    <s v="TJX"/>
    <s v="mobile"/>
    <s v="GEO,Frequency,Keyword,OS,BrowserLanguage"/>
    <n v="12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6"/>
  </r>
  <r>
    <s v="PAUSED"/>
    <n v="1012811262"/>
    <x v="73"/>
    <s v="nsfw"/>
    <d v="1899-12-30T16:09:00"/>
    <s v="In-Stream Video"/>
    <s v="TJX"/>
    <s v="mobile"/>
    <s v="GEO,Frequency,OS,BrowserLanguage"/>
    <n v="12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11272"/>
    <x v="577"/>
    <s v="nsfw"/>
    <d v="1899-12-30T16:09:00"/>
    <s v="In-Stream Video"/>
    <s v="TJX"/>
    <s v="mobile"/>
    <s v="GEO,Frequency,Keyword,OS,BrowserLanguage"/>
    <n v="11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811552"/>
    <x v="578"/>
    <s v="nsfw"/>
    <d v="1899-12-30T16:09:00"/>
    <s v="In-Stream Video"/>
    <s v="TJX"/>
    <s v="mobile"/>
    <s v="GEO,Frequency,Keyword,OS,BrowserLanguage"/>
    <n v="110"/>
    <n v="0"/>
    <s v="Yes"/>
    <s v="Unlimited"/>
    <n v="37767"/>
    <n v="2460"/>
    <n v="6.5136200000000004"/>
    <n v="4"/>
    <n v="77.319999999999993"/>
    <n v="2.0470000000000002"/>
    <n v="3.1E-2"/>
    <n v="19.329999999999998"/>
    <n v="1"/>
    <n v="0"/>
    <s v="Yes"/>
    <n v="37767"/>
    <n v="33023"/>
    <n v="2571"/>
    <s v="Hentai"/>
    <x v="0"/>
    <x v="12"/>
  </r>
  <r>
    <s v="PAUSED"/>
    <n v="1012811562"/>
    <x v="557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2"/>
  </r>
  <r>
    <s v="RUNNING"/>
    <n v="1012811572"/>
    <x v="579"/>
    <s v="nsfw"/>
    <d v="1899-12-30T16:09:00"/>
    <s v="In-Stream Video"/>
    <s v="TJX"/>
    <s v="desktop"/>
    <s v="GEO,Frequency,Keyword,BrowserLanguage"/>
    <n v="56"/>
    <n v="0"/>
    <s v="Yes"/>
    <s v="Unlimited"/>
    <n v="98882"/>
    <n v="6291"/>
    <n v="6.3621299999999996"/>
    <n v="6"/>
    <n v="288.16000000000003"/>
    <n v="2.9140000000000001"/>
    <n v="4.5999999999999999E-2"/>
    <n v="48.027000000000001"/>
    <n v="1"/>
    <n v="0"/>
    <s v="Yes"/>
    <n v="98881"/>
    <n v="75660"/>
    <n v="10585"/>
    <s v="Hentai"/>
    <x v="0"/>
    <x v="12"/>
  </r>
  <r>
    <s v="RUNNING"/>
    <n v="1012811582"/>
    <x v="580"/>
    <s v="nsfw"/>
    <d v="1899-12-30T16:09:00"/>
    <s v="In-Stream Video"/>
    <s v="TJX"/>
    <s v="mobile"/>
    <s v="GEO,Frequency,Keyword,OS,BrowserLanguage"/>
    <n v="130"/>
    <n v="0"/>
    <s v="Yes"/>
    <s v="Unlimited"/>
    <n v="310415"/>
    <n v="17548"/>
    <n v="5.6530800000000001"/>
    <n v="7"/>
    <n v="625.13"/>
    <n v="2.0139999999999998"/>
    <n v="3.5999999999999997E-2"/>
    <n v="89.304000000000002"/>
    <n v="1"/>
    <n v="0"/>
    <s v="Yes"/>
    <n v="310419"/>
    <n v="275388"/>
    <n v="24987"/>
    <s v="Hentai"/>
    <x v="0"/>
    <x v="12"/>
  </r>
  <r>
    <s v="PAUSED"/>
    <n v="1012811592"/>
    <x v="581"/>
    <s v="nsfw"/>
    <d v="1899-12-30T16:09:00"/>
    <s v="In-Stream Video"/>
    <s v="TJX"/>
    <s v="desktop"/>
    <s v="GEO,Frequency,Keyword,BrowserLanguage"/>
    <n v="36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</r>
  <r>
    <s v="PAUSED"/>
    <n v="1012811602"/>
    <x v="582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</r>
  <r>
    <s v="PAUSED"/>
    <n v="1012811612"/>
    <x v="555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2"/>
  </r>
  <r>
    <s v="RUNNING"/>
    <n v="1012811622"/>
    <x v="583"/>
    <s v="nsfw"/>
    <d v="1899-12-30T16:09:00"/>
    <s v="In-Stream Video"/>
    <s v="TJX"/>
    <s v="desktop"/>
    <s v="GEO,Frequency,Keyword,BrowserLanguage"/>
    <n v="64"/>
    <n v="0"/>
    <s v="Yes"/>
    <s v="Unlimited"/>
    <n v="220307"/>
    <n v="13575"/>
    <n v="6.1618599999999999"/>
    <n v="10"/>
    <n v="835.61"/>
    <n v="3.7930000000000001"/>
    <n v="6.2E-2"/>
    <n v="83.561000000000007"/>
    <n v="1"/>
    <n v="0"/>
    <s v="Yes"/>
    <n v="220299"/>
    <n v="176432"/>
    <n v="23505"/>
    <s v="Hentai"/>
    <x v="0"/>
    <x v="12"/>
  </r>
  <r>
    <s v="RUNNING"/>
    <n v="1012811632"/>
    <x v="584"/>
    <s v="nsfw"/>
    <d v="1899-12-30T16:09:00"/>
    <s v="In-Stream Video"/>
    <s v="TJX"/>
    <s v="mobile"/>
    <s v="GEO,Frequency,Keyword,OS,BrowserLanguage"/>
    <n v="120"/>
    <n v="0"/>
    <s v="Yes"/>
    <s v="Unlimited"/>
    <n v="390035"/>
    <n v="23210"/>
    <n v="5.9507500000000002"/>
    <n v="8"/>
    <n v="778.91"/>
    <n v="1.9970000000000001"/>
    <n v="3.4000000000000002E-2"/>
    <n v="97.363"/>
    <n v="1"/>
    <n v="0"/>
    <s v="Yes"/>
    <n v="390022"/>
    <n v="347395"/>
    <n v="27986"/>
    <s v="Hentai"/>
    <x v="0"/>
    <x v="12"/>
  </r>
  <r>
    <s v="PAUSED"/>
    <n v="1012811642"/>
    <x v="585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</r>
  <r>
    <s v="PAUSED"/>
    <n v="1012811652"/>
    <x v="586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</r>
  <r>
    <s v="PAUSED"/>
    <n v="1012811662"/>
    <x v="587"/>
    <s v="nsfw"/>
    <d v="1899-12-30T16:09:00"/>
    <s v="In-Stream Video"/>
    <s v="TJX"/>
    <s v="desktop"/>
    <s v="GEO,Frequency,Keyword,BrowserLanguage"/>
    <n v="36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</r>
  <r>
    <s v="RUNNING"/>
    <n v="1012811672"/>
    <x v="588"/>
    <s v="nsfw"/>
    <d v="1899-12-30T16:09:00"/>
    <s v="In-Stream Video"/>
    <s v="TJX"/>
    <s v="desktop"/>
    <s v="GEO,Frequency,Keyword,BrowserLanguage"/>
    <n v="52"/>
    <n v="0"/>
    <s v="Yes"/>
    <s v="Unlimited"/>
    <n v="43553"/>
    <n v="2173"/>
    <n v="4.9893200000000002"/>
    <n v="2"/>
    <n v="165.41"/>
    <n v="3.798"/>
    <n v="7.5999999999999998E-2"/>
    <n v="82.703000000000003"/>
    <n v="1"/>
    <n v="0"/>
    <s v="Yes"/>
    <n v="43553"/>
    <n v="34347"/>
    <n v="5098"/>
    <s v="Hentai"/>
    <x v="0"/>
    <x v="12"/>
  </r>
  <r>
    <s v="RUNNING"/>
    <n v="1012811682"/>
    <x v="589"/>
    <s v="nsfw"/>
    <d v="1899-12-30T16:09:00"/>
    <s v="In-Stream Video"/>
    <s v="TJX"/>
    <s v="mobile"/>
    <s v="GEO,Frequency,Keyword,OS,BrowserLanguage"/>
    <n v="70"/>
    <n v="0"/>
    <s v="Yes"/>
    <s v="Unlimited"/>
    <n v="9010"/>
    <n v="555"/>
    <n v="6.1598199999999999"/>
    <n v="0"/>
    <n v="12.5"/>
    <n v="1.387"/>
    <n v="2.3E-2"/>
    <n v="0"/>
    <n v="1"/>
    <n v="0"/>
    <s v="Yes"/>
    <n v="9010"/>
    <n v="8105"/>
    <n v="691"/>
    <s v="Hentai"/>
    <x v="0"/>
    <x v="12"/>
  </r>
  <r>
    <s v="RUNNING"/>
    <n v="1012811692"/>
    <x v="590"/>
    <s v="nsfw"/>
    <d v="1899-12-30T16:09:00"/>
    <s v="In-Stream Video"/>
    <s v="TJX"/>
    <s v="mobile"/>
    <s v="GEO,Frequency,Keyword,OS,BrowserLanguage"/>
    <n v="70"/>
    <n v="0"/>
    <s v="Yes"/>
    <s v="Unlimited"/>
    <n v="3157"/>
    <n v="174"/>
    <n v="5.5115600000000002"/>
    <n v="0"/>
    <n v="6.71"/>
    <n v="2.1259999999999999"/>
    <n v="3.9E-2"/>
    <n v="0"/>
    <n v="1"/>
    <n v="0"/>
    <s v="Yes"/>
    <n v="3157"/>
    <n v="2985"/>
    <n v="99"/>
    <s v="Hentai"/>
    <x v="0"/>
    <x v="12"/>
  </r>
  <r>
    <s v="RUNNING"/>
    <n v="1012811702"/>
    <x v="591"/>
    <s v="nsfw"/>
    <s v="640 x 360"/>
    <s v="Display"/>
    <s v="TJX"/>
    <s v="mobile"/>
    <s v="GEO,Frequency,Keyword,OS,BrowserLanguage"/>
    <n v="416"/>
    <n v="0"/>
    <s v="Yes"/>
    <s v="Unlimited"/>
    <n v="5434613"/>
    <n v="7010"/>
    <n v="0.12898999999999999"/>
    <n v="15"/>
    <n v="909.68"/>
    <n v="0.16700000000000001"/>
    <n v="0.13"/>
    <n v="60.645000000000003"/>
    <n v="2"/>
    <n v="0"/>
    <s v="Yes"/>
    <n v="0"/>
    <n v="0"/>
    <n v="0"/>
    <s v="Hentai"/>
    <x v="2"/>
    <x v="12"/>
  </r>
  <r>
    <s v="RUNNING"/>
    <n v="1012811712"/>
    <x v="592"/>
    <s v="nsfw"/>
    <s v="640 x 360"/>
    <s v="Display"/>
    <s v="TJX"/>
    <s v="mobile"/>
    <s v="GEO,Frequency,Keyword,OS,BrowserLanguage"/>
    <n v="416"/>
    <n v="0"/>
    <s v="Yes"/>
    <s v="Unlimited"/>
    <n v="2823682"/>
    <n v="6368"/>
    <n v="0.22552"/>
    <n v="8"/>
    <n v="483.06"/>
    <n v="0.17100000000000001"/>
    <n v="7.5999999999999998E-2"/>
    <n v="60.383000000000003"/>
    <n v="2"/>
    <n v="0"/>
    <s v="Yes"/>
    <n v="0"/>
    <n v="0"/>
    <n v="0"/>
    <s v="Hentai"/>
    <x v="2"/>
    <x v="12"/>
  </r>
  <r>
    <s v="PAUSED"/>
    <n v="1012811722"/>
    <x v="593"/>
    <s v="nsfw"/>
    <s v="640 x 360"/>
    <s v="Display"/>
    <s v="TJX"/>
    <s v="desktop"/>
    <s v="GEO,Frequency,Keyword,BrowserLanguage"/>
    <n v="396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</r>
  <r>
    <s v="RUNNING"/>
    <n v="1012811772"/>
    <x v="594"/>
    <s v="nsfw"/>
    <s v="640 x 360"/>
    <s v="Display"/>
    <s v="TJX"/>
    <s v="desktop"/>
    <s v="GEO,Frequency,Keyword,BrowserLanguage"/>
    <n v="396"/>
    <n v="0"/>
    <s v="Yes"/>
    <s v="Unlimited"/>
    <n v="347542"/>
    <n v="507"/>
    <n v="0.14588000000000001"/>
    <n v="0"/>
    <n v="49.67"/>
    <n v="0.14299999999999999"/>
    <n v="9.8000000000000004E-2"/>
    <n v="0"/>
    <n v="2"/>
    <n v="0"/>
    <s v="Yes"/>
    <n v="0"/>
    <n v="0"/>
    <n v="0"/>
    <s v="Hentai"/>
    <x v="2"/>
    <x v="12"/>
  </r>
  <r>
    <s v="RUNNING"/>
    <n v="1012811782"/>
    <x v="595"/>
    <s v="nsfw"/>
    <s v="640 x 360"/>
    <s v="Display"/>
    <s v="TJX"/>
    <s v="mobile"/>
    <s v="GEO,Frequency,Keyword,OS,BrowserLanguage"/>
    <n v="416"/>
    <n v="0"/>
    <s v="Yes"/>
    <s v="Unlimited"/>
    <n v="763739"/>
    <n v="1655"/>
    <n v="0.2167"/>
    <n v="3"/>
    <n v="106.32"/>
    <n v="0.13900000000000001"/>
    <n v="6.4000000000000001E-2"/>
    <n v="35.44"/>
    <n v="2"/>
    <n v="0"/>
    <s v="Yes"/>
    <n v="0"/>
    <n v="0"/>
    <n v="0"/>
    <s v="Hentai"/>
    <x v="2"/>
    <x v="12"/>
  </r>
  <r>
    <s v="RUNNING"/>
    <n v="1012811792"/>
    <x v="596"/>
    <s v="nsfw"/>
    <s v="640 x 360"/>
    <s v="Display"/>
    <s v="TJX"/>
    <s v="mobile"/>
    <s v="GEO,Frequency,Keyword,OS,BrowserLanguage"/>
    <n v="416"/>
    <n v="0"/>
    <s v="Yes"/>
    <s v="Unlimited"/>
    <n v="827166"/>
    <n v="1132"/>
    <n v="0.13685"/>
    <n v="2"/>
    <n v="113.27"/>
    <n v="0.13700000000000001"/>
    <n v="0.1"/>
    <n v="56.636000000000003"/>
    <n v="2"/>
    <n v="0"/>
    <s v="Yes"/>
    <n v="0"/>
    <n v="0"/>
    <n v="0"/>
    <s v="Hentai"/>
    <x v="2"/>
    <x v="12"/>
  </r>
  <r>
    <s v="RUNNING"/>
    <n v="1012811802"/>
    <x v="597"/>
    <s v="nsfw"/>
    <s v="640 x 360"/>
    <s v="Display"/>
    <s v="TJX"/>
    <s v="mobile"/>
    <s v="GEO,Frequency,Keyword,OS,BrowserLanguage"/>
    <n v="416"/>
    <n v="0"/>
    <s v="Yes"/>
    <s v="Unlimited"/>
    <n v="1750923"/>
    <n v="2581"/>
    <n v="0.14741000000000001"/>
    <n v="1"/>
    <n v="339.59"/>
    <n v="0.19400000000000001"/>
    <n v="0.13200000000000001"/>
    <n v="339.58699999999999"/>
    <n v="1"/>
    <n v="0"/>
    <s v="Yes"/>
    <n v="0"/>
    <n v="0"/>
    <n v="0"/>
    <s v="Hentai"/>
    <x v="0"/>
    <x v="12"/>
  </r>
  <r>
    <s v="RUNNING"/>
    <n v="1012811812"/>
    <x v="598"/>
    <s v="nsfw"/>
    <s v="640 x 360"/>
    <s v="Display"/>
    <s v="TJX"/>
    <s v="mobile"/>
    <s v="GEO,Frequency,Keyword,OS,BrowserLanguage"/>
    <n v="416"/>
    <n v="0"/>
    <s v="Yes"/>
    <s v="Unlimited"/>
    <n v="1250970"/>
    <n v="2983"/>
    <n v="0.23845"/>
    <n v="5"/>
    <n v="456.61"/>
    <n v="0.36499999999999999"/>
    <n v="0.153"/>
    <n v="91.320999999999998"/>
    <n v="2"/>
    <n v="0"/>
    <s v="Yes"/>
    <n v="0"/>
    <n v="0"/>
    <n v="0"/>
    <s v="Hentai"/>
    <x v="2"/>
    <x v="12"/>
  </r>
  <r>
    <s v="RUNNING"/>
    <n v="1012811822"/>
    <x v="599"/>
    <s v="nsfw"/>
    <s v="640 x 360"/>
    <s v="Display"/>
    <s v="TJX"/>
    <s v="desktop"/>
    <s v="GEO,Frequency,Keyword,BrowserLanguage"/>
    <n v="396"/>
    <n v="0"/>
    <s v="Yes"/>
    <s v="Unlimited"/>
    <n v="580203"/>
    <n v="939"/>
    <n v="0.16184000000000001"/>
    <n v="0"/>
    <n v="83.24"/>
    <n v="0.14399999999999999"/>
    <n v="8.8999999999999996E-2"/>
    <n v="0"/>
    <n v="2"/>
    <n v="0"/>
    <s v="Yes"/>
    <n v="0"/>
    <n v="0"/>
    <n v="0"/>
    <s v="Hentai"/>
    <x v="2"/>
    <x v="12"/>
  </r>
  <r>
    <s v="RUNNING"/>
    <n v="1012811832"/>
    <x v="600"/>
    <s v="nsfw"/>
    <s v="640 x 360"/>
    <s v="Display"/>
    <s v="TJX"/>
    <s v="desktop"/>
    <s v="GEO,Frequency,Keyword,BrowserLanguage"/>
    <n v="396"/>
    <n v="0"/>
    <s v="Yes"/>
    <s v="Unlimited"/>
    <n v="98736"/>
    <n v="133"/>
    <n v="0.13469"/>
    <n v="0"/>
    <n v="14.06"/>
    <n v="0.14199999999999999"/>
    <n v="0.106"/>
    <n v="0"/>
    <n v="2"/>
    <n v="0"/>
    <s v="Yes"/>
    <n v="0"/>
    <n v="0"/>
    <n v="0"/>
    <s v="Hentai"/>
    <x v="2"/>
    <x v="12"/>
  </r>
  <r>
    <s v="RUNNING"/>
    <n v="1012811842"/>
    <x v="601"/>
    <s v="nsfw"/>
    <s v="640 x 360"/>
    <s v="Display"/>
    <s v="TJX"/>
    <s v="mobile"/>
    <s v="GEO,Frequency,Keyword,OS,BrowserLanguage"/>
    <n v="416"/>
    <n v="0"/>
    <s v="Yes"/>
    <s v="Unlimited"/>
    <n v="226058"/>
    <n v="699"/>
    <n v="0.30920999999999998"/>
    <n v="0"/>
    <n v="31.77"/>
    <n v="0.14099999999999999"/>
    <n v="4.4999999999999998E-2"/>
    <n v="0"/>
    <n v="2"/>
    <n v="0"/>
    <s v="Yes"/>
    <n v="0"/>
    <n v="0"/>
    <n v="0"/>
    <s v="Hentai"/>
    <x v="2"/>
    <x v="12"/>
  </r>
  <r>
    <s v="RUNNING"/>
    <n v="1012811852"/>
    <x v="602"/>
    <s v="nsfw"/>
    <s v="640 x 360"/>
    <s v="Display"/>
    <s v="TJX"/>
    <s v="mobile"/>
    <s v="GEO,Frequency,Keyword,OS,BrowserLanguage"/>
    <n v="416"/>
    <n v="0"/>
    <s v="Yes"/>
    <s v="Unlimited"/>
    <n v="158362"/>
    <n v="193"/>
    <n v="0.12187000000000001"/>
    <n v="1"/>
    <n v="21.97"/>
    <n v="0.13900000000000001"/>
    <n v="0.114"/>
    <n v="21.966999999999999"/>
    <n v="2"/>
    <n v="0"/>
    <s v="Yes"/>
    <n v="0"/>
    <n v="0"/>
    <n v="0"/>
    <s v="Hentai"/>
    <x v="2"/>
    <x v="12"/>
  </r>
  <r>
    <s v="RUNNING"/>
    <n v="1012811862"/>
    <x v="603"/>
    <s v="nsfw"/>
    <s v="640 x 360"/>
    <s v="Display"/>
    <s v="TJX"/>
    <s v="mobile"/>
    <s v="GEO,Frequency,Keyword,OS,BrowserLanguage"/>
    <n v="416"/>
    <n v="0"/>
    <s v="Yes"/>
    <s v="Unlimited"/>
    <n v="336907"/>
    <n v="597"/>
    <n v="0.1772"/>
    <n v="1"/>
    <n v="42.06"/>
    <n v="0.125"/>
    <n v="7.0000000000000007E-2"/>
    <n v="42.058"/>
    <n v="2"/>
    <n v="0"/>
    <s v="Yes"/>
    <n v="0"/>
    <n v="0"/>
    <n v="0"/>
    <s v="Hentai"/>
    <x v="2"/>
    <x v="12"/>
  </r>
  <r>
    <s v="RUNNING"/>
    <n v="1012811872"/>
    <x v="604"/>
    <s v="nsfw"/>
    <s v="640 x 360"/>
    <s v="Display"/>
    <s v="TJX"/>
    <s v="mobile"/>
    <s v="GEO,Frequency,Keyword,OS,BrowserLanguage"/>
    <n v="416"/>
    <n v="0"/>
    <s v="Yes"/>
    <s v="Unlimited"/>
    <n v="293149"/>
    <n v="938"/>
    <n v="0.31996000000000002"/>
    <n v="2"/>
    <n v="37.96"/>
    <n v="0.13"/>
    <n v="0.04"/>
    <n v="18.978999999999999"/>
    <n v="1"/>
    <n v="0"/>
    <s v="Yes"/>
    <n v="0"/>
    <n v="0"/>
    <n v="0"/>
    <s v="Hentai"/>
    <x v="0"/>
    <x v="12"/>
  </r>
  <r>
    <s v="RUNNING"/>
    <n v="1012811882"/>
    <x v="605"/>
    <s v="nsfw"/>
    <s v="640 x 360"/>
    <s v="Display"/>
    <s v="TJX"/>
    <s v="desktop"/>
    <s v="GEO,Frequency,Keyword,BrowserLanguage"/>
    <n v="396"/>
    <n v="0"/>
    <s v="Yes"/>
    <s v="Unlimited"/>
    <n v="111492"/>
    <n v="225"/>
    <n v="0.20180999999999999"/>
    <n v="0"/>
    <n v="16.36"/>
    <n v="0.14699999999999999"/>
    <n v="7.2999999999999995E-2"/>
    <n v="0"/>
    <n v="2"/>
    <n v="0"/>
    <s v="Yes"/>
    <n v="0"/>
    <n v="0"/>
    <n v="0"/>
    <s v="Hentai"/>
    <x v="2"/>
    <x v="12"/>
  </r>
  <r>
    <s v="PAUSED"/>
    <n v="1012811912"/>
    <x v="606"/>
    <s v="nsfw"/>
    <s v="300 x 250"/>
    <s v="Display"/>
    <s v="TJX"/>
    <s v="mobile"/>
    <s v="GEO,Frequency,Keyword,OS,BrowserLanguage"/>
    <n v="81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</r>
  <r>
    <s v="PAUSED"/>
    <n v="1012811942"/>
    <x v="607"/>
    <s v="nsfw"/>
    <s v="300 x 250"/>
    <s v="Display"/>
    <s v="TJX"/>
    <s v="desktop"/>
    <s v="GEO,Frequency,Keyword,BrowserLanguage"/>
    <n v="48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</r>
  <r>
    <s v="RUNNING"/>
    <n v="1012811972"/>
    <x v="608"/>
    <s v="nsfw"/>
    <s v="300 x 250"/>
    <s v="Display"/>
    <s v="TJX"/>
    <s v="mobile"/>
    <s v="GEO,Frequency,Keyword,OS,BrowserLanguage"/>
    <n v="81"/>
    <n v="0"/>
    <s v="Yes"/>
    <s v="Unlimited"/>
    <n v="6702609"/>
    <n v="2775"/>
    <n v="4.1399999999999999E-2"/>
    <n v="6"/>
    <n v="440.88"/>
    <n v="6.6000000000000003E-2"/>
    <n v="0.159"/>
    <n v="73.478999999999999"/>
    <n v="2"/>
    <n v="0"/>
    <s v="Yes"/>
    <n v="0"/>
    <n v="0"/>
    <n v="0"/>
    <s v="Hentai"/>
    <x v="2"/>
    <x v="12"/>
  </r>
  <r>
    <s v="RUNNING"/>
    <n v="1012811992"/>
    <x v="609"/>
    <s v="nsfw"/>
    <s v="300 x 250"/>
    <s v="Display"/>
    <s v="TJX"/>
    <s v="mobile"/>
    <s v="GEO,Frequency,Keyword,OS,BrowserLanguage"/>
    <n v="81"/>
    <n v="0"/>
    <s v="Yes"/>
    <s v="Unlimited"/>
    <n v="937715"/>
    <n v="377"/>
    <n v="4.02E-2"/>
    <n v="3"/>
    <n v="60.42"/>
    <n v="6.4000000000000001E-2"/>
    <n v="0.16"/>
    <n v="20.138999999999999"/>
    <n v="2"/>
    <n v="0"/>
    <s v="Yes"/>
    <n v="0"/>
    <n v="0"/>
    <n v="0"/>
    <s v="Hentai"/>
    <x v="2"/>
    <x v="12"/>
  </r>
  <r>
    <s v="PAUSED"/>
    <n v="1012812002"/>
    <x v="610"/>
    <s v="nsfw"/>
    <s v="300 x 250"/>
    <s v="Display"/>
    <s v="TJX"/>
    <s v="desktop"/>
    <s v="GEO,Frequency,Keyword,BrowserLanguage"/>
    <n v="48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</r>
  <r>
    <s v="RUNNING"/>
    <n v="1012812012"/>
    <x v="611"/>
    <s v="nsfw"/>
    <s v="300 x 250"/>
    <s v="Display"/>
    <s v="TJX"/>
    <s v="mobile"/>
    <s v="GEO,Frequency,Keyword,OS,BrowserLanguage"/>
    <n v="81"/>
    <n v="0"/>
    <s v="Yes"/>
    <s v="Unlimited"/>
    <n v="931735"/>
    <n v="253"/>
    <n v="2.7150000000000001E-2"/>
    <n v="0"/>
    <n v="62.39"/>
    <n v="6.7000000000000004E-2"/>
    <n v="0.247"/>
    <n v="0"/>
    <n v="2"/>
    <n v="0"/>
    <s v="Yes"/>
    <n v="0"/>
    <n v="0"/>
    <n v="0"/>
    <s v="Hentai"/>
    <x v="2"/>
    <x v="12"/>
  </r>
  <r>
    <s v="RUNNING"/>
    <n v="1012812022"/>
    <x v="612"/>
    <s v="nsfw"/>
    <s v="300 x 250"/>
    <s v="Display"/>
    <s v="TJX"/>
    <s v="mobile"/>
    <s v="GEO,Frequency,Keyword,OS,BrowserLanguage"/>
    <n v="81"/>
    <n v="0"/>
    <s v="Yes"/>
    <s v="Unlimited"/>
    <n v="387178"/>
    <n v="112"/>
    <n v="2.8930000000000001E-2"/>
    <n v="0"/>
    <n v="25.96"/>
    <n v="6.7000000000000004E-2"/>
    <n v="0.23200000000000001"/>
    <n v="0"/>
    <n v="2"/>
    <n v="0"/>
    <s v="Yes"/>
    <n v="0"/>
    <n v="0"/>
    <n v="0"/>
    <s v="Hentai"/>
    <x v="2"/>
    <x v="12"/>
  </r>
  <r>
    <s v="RUNNING"/>
    <n v="1012812032"/>
    <x v="613"/>
    <s v="nsfw"/>
    <s v="300 x 250"/>
    <s v="Display"/>
    <s v="TJX"/>
    <s v="desktop"/>
    <s v="GEO,Frequency,Keyword,BrowserLanguage"/>
    <n v="48"/>
    <n v="0"/>
    <s v="Yes"/>
    <s v="Unlimited"/>
    <n v="151333"/>
    <n v="222"/>
    <n v="0.1467"/>
    <n v="0"/>
    <n v="31.6"/>
    <n v="0.20899999999999999"/>
    <n v="0.14199999999999999"/>
    <n v="0"/>
    <n v="1"/>
    <n v="0"/>
    <s v="Yes"/>
    <n v="0"/>
    <n v="0"/>
    <n v="0"/>
    <s v="Hentai"/>
    <x v="0"/>
    <x v="12"/>
  </r>
  <r>
    <s v="RUNNING"/>
    <n v="1012812042"/>
    <x v="614"/>
    <s v="nsfw"/>
    <s v="300 x 250"/>
    <s v="Display"/>
    <s v="TJX"/>
    <s v="mobile"/>
    <s v="GEO,Frequency,Keyword,OS,BrowserLanguage"/>
    <n v="81"/>
    <n v="0"/>
    <s v="Yes"/>
    <s v="Unlimited"/>
    <n v="404967"/>
    <n v="149"/>
    <n v="3.6790000000000003E-2"/>
    <n v="0"/>
    <n v="26.59"/>
    <n v="6.6000000000000003E-2"/>
    <n v="0.17799999999999999"/>
    <n v="0"/>
    <n v="2"/>
    <n v="0"/>
    <s v="Yes"/>
    <n v="0"/>
    <n v="0"/>
    <n v="0"/>
    <s v="Hentai"/>
    <x v="2"/>
    <x v="12"/>
  </r>
  <r>
    <s v="PAUSED"/>
    <n v="1012812062"/>
    <x v="615"/>
    <s v="nsfw"/>
    <s v="300 x 250"/>
    <s v="Display"/>
    <s v="TJX"/>
    <s v="desktop"/>
    <s v="GEO,Frequency,Keyword,BrowserLanguage"/>
    <n v="48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</r>
  <r>
    <s v="PAUSED"/>
    <n v="1012812072"/>
    <x v="616"/>
    <s v="nsfw"/>
    <s v="300 x 250"/>
    <s v="Display"/>
    <s v="TJX"/>
    <s v="mobile"/>
    <s v="GEO,Frequency,Keyword,OS,BrowserLanguage"/>
    <n v="81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</r>
  <r>
    <s v="PAUSED"/>
    <n v="1012812082"/>
    <x v="617"/>
    <s v="nsfw"/>
    <s v="300 x 250"/>
    <s v="Display"/>
    <s v="TJX"/>
    <s v="mobile"/>
    <s v="GEO,Frequency,Keyword,OS,BrowserLanguage"/>
    <n v="81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</r>
  <r>
    <s v="RUNNING"/>
    <n v="1012812092"/>
    <x v="618"/>
    <s v="nsfw"/>
    <s v="300 x 250"/>
    <s v="Display"/>
    <s v="TJX"/>
    <s v="mobile"/>
    <s v="GEO,Frequency,Keyword,OS,BrowserLanguage"/>
    <n v="81"/>
    <n v="0"/>
    <s v="Yes"/>
    <s v="Unlimited"/>
    <n v="257768"/>
    <n v="131"/>
    <n v="5.0819999999999997E-2"/>
    <n v="0"/>
    <n v="18.32"/>
    <n v="7.0999999999999994E-2"/>
    <n v="0.14000000000000001"/>
    <n v="0"/>
    <n v="2"/>
    <n v="0"/>
    <s v="Yes"/>
    <n v="0"/>
    <n v="0"/>
    <n v="0"/>
    <s v="Hentai"/>
    <x v="2"/>
    <x v="12"/>
  </r>
  <r>
    <s v="RUNNING"/>
    <n v="1012812102"/>
    <x v="619"/>
    <s v="nsfw"/>
    <s v="300 x 250"/>
    <s v="Display"/>
    <s v="TJX"/>
    <s v="mobile"/>
    <s v="GEO,Frequency,Keyword,OS,BrowserLanguage"/>
    <n v="81"/>
    <n v="0"/>
    <s v="Yes"/>
    <s v="Unlimited"/>
    <n v="176344"/>
    <n v="79"/>
    <n v="4.48E-2"/>
    <n v="0"/>
    <n v="12.96"/>
    <n v="7.3999999999999996E-2"/>
    <n v="0.16400000000000001"/>
    <n v="0"/>
    <n v="2"/>
    <n v="0"/>
    <s v="Yes"/>
    <n v="0"/>
    <n v="0"/>
    <n v="0"/>
    <s v="Hentai"/>
    <x v="2"/>
    <x v="12"/>
  </r>
  <r>
    <s v="RUNNING"/>
    <n v="1012812112"/>
    <x v="620"/>
    <s v="nsfw"/>
    <s v="300 x 250"/>
    <s v="Display"/>
    <s v="TJX"/>
    <s v="desktop"/>
    <s v="GEO,Frequency,Keyword,BrowserLanguage"/>
    <n v="48"/>
    <n v="0"/>
    <s v="Yes"/>
    <s v="Unlimited"/>
    <n v="124610"/>
    <n v="305"/>
    <n v="0.24476000000000001"/>
    <n v="0"/>
    <n v="23.27"/>
    <n v="0.187"/>
    <n v="7.5999999999999998E-2"/>
    <n v="0"/>
    <n v="2"/>
    <n v="0"/>
    <s v="Yes"/>
    <n v="0"/>
    <n v="0"/>
    <n v="0"/>
    <s v="Hentai"/>
    <x v="2"/>
    <x v="12"/>
  </r>
  <r>
    <s v="PAUSED"/>
    <n v="1012820322"/>
    <x v="621"/>
    <s v="nsfw"/>
    <d v="1899-12-30T16:09:00"/>
    <s v="In-Stream Video"/>
    <s v="TJX"/>
    <s v="mobile"/>
    <s v="GEO,Frequency,OS,BrowserLanguage"/>
    <n v="5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3"/>
  </r>
  <r>
    <s v="PAUSED"/>
    <n v="1012820332"/>
    <x v="622"/>
    <s v="nsfw"/>
    <d v="1899-12-30T16:09:00"/>
    <s v="In-Stream Video"/>
    <s v="TJX"/>
    <s v="mobile"/>
    <s v="GEO,Frequency,OS,BrowserLanguage"/>
    <n v="5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3"/>
  </r>
  <r>
    <s v="PAUSED"/>
    <n v="1012850562"/>
    <x v="623"/>
    <s v="nsfw"/>
    <d v="1899-12-30T16:09:00"/>
    <s v="In-Stream Video"/>
    <s v="TJX"/>
    <s v="desktop"/>
    <s v="GEO,Frequency,BrowserLanguage,Segment"/>
    <n v="45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NOT RUNNING"/>
    <n v="1012853592"/>
    <x v="10"/>
    <s v="nsfw"/>
    <d v="1899-12-30T16:09:00"/>
    <s v="In-Stream Video"/>
    <s v="TJX"/>
    <s v="mobile"/>
    <s v="GEO,Frequency,OS,Segment"/>
    <n v="460"/>
    <n v="0"/>
    <s v="Yes"/>
    <s v="Unlimited"/>
    <n v="0"/>
    <n v="0"/>
    <n v="0"/>
    <m/>
    <n v="0"/>
    <n v="0"/>
    <n v="0"/>
    <n v="0"/>
    <n v="1"/>
    <n v="0"/>
    <s v="Yes"/>
    <m/>
    <m/>
    <m/>
    <s v="AI"/>
    <x v="0"/>
    <x v="1"/>
  </r>
  <r>
    <s v="PAUSED"/>
    <n v="1012853732"/>
    <x v="624"/>
    <s v="nsfw"/>
    <d v="1899-12-30T09:16:00"/>
    <s v="In-Stream Video"/>
    <s v="TJX"/>
    <s v="mobile"/>
    <s v="GEO,Frequency,OS,Segment"/>
    <n v="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53752"/>
    <x v="625"/>
    <s v="nsfw"/>
    <d v="1899-12-30T09:16:00"/>
    <s v="In-Stream Video"/>
    <s v="TJX"/>
    <s v="mobile"/>
    <s v="GEO,Frequency,OS,Segment"/>
    <n v="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54242"/>
    <x v="626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54252"/>
    <x v="627"/>
    <s v="nsfw"/>
    <d v="1899-12-30T09:16:00"/>
    <s v="In-Stream Video"/>
    <s v="TJX"/>
    <s v="mobile"/>
    <s v="GEO,Frequency,OS,Segment"/>
    <n v="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54262"/>
    <x v="628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54272"/>
    <x v="629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54282"/>
    <x v="630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54302"/>
    <x v="631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NOT RUNNING"/>
    <n v="1012854322"/>
    <x v="632"/>
    <s v="nsfw"/>
    <d v="1899-12-30T16:09:00"/>
    <s v="In-Stream Video"/>
    <s v="TJX"/>
    <s v="mobile"/>
    <s v="GEO,Frequency,OS,Segment"/>
    <n v="920"/>
    <n v="0"/>
    <s v="Yes"/>
    <s v="Unlimited"/>
    <n v="263"/>
    <n v="11"/>
    <n v="4.1825099999999997"/>
    <n v="0"/>
    <n v="0.15"/>
    <n v="0.58499999999999996"/>
    <n v="1.4E-2"/>
    <n v="0"/>
    <n v="1"/>
    <n v="0"/>
    <s v="Yes"/>
    <n v="263"/>
    <n v="235"/>
    <n v="22"/>
    <s v="AI"/>
    <x v="0"/>
    <x v="0"/>
  </r>
  <r>
    <s v="PAUSED"/>
    <n v="1012854332"/>
    <x v="633"/>
    <s v="nsfw"/>
    <d v="1899-12-30T16:09:00"/>
    <s v="In-Stream Video"/>
    <s v="TJX"/>
    <s v="mobile"/>
    <s v="GEO,Frequency,OS,Segment"/>
    <n v="9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NOT RUNNING"/>
    <n v="1012854342"/>
    <x v="634"/>
    <s v="nsfw"/>
    <d v="1899-12-30T16:09:00"/>
    <s v="In-Stream Video"/>
    <s v="TJX"/>
    <s v="mobile"/>
    <s v="GEO,Frequency,OS,Segment"/>
    <n v="460"/>
    <n v="0"/>
    <s v="Yes"/>
    <s v="Unlimited"/>
    <n v="151"/>
    <n v="8"/>
    <n v="5.2980099999999997"/>
    <n v="0"/>
    <n v="0.09"/>
    <n v="0.58099999999999996"/>
    <n v="1.0999999999999999E-2"/>
    <n v="0"/>
    <n v="1"/>
    <n v="0"/>
    <s v="Yes"/>
    <n v="151"/>
    <n v="133"/>
    <n v="13"/>
    <s v="AI"/>
    <x v="0"/>
    <x v="0"/>
  </r>
  <r>
    <s v="PAUSED"/>
    <n v="1012854352"/>
    <x v="635"/>
    <s v="nsfw"/>
    <d v="1899-12-30T16:09:00"/>
    <s v="In-Stream Video"/>
    <s v="TJX"/>
    <s v="mobile"/>
    <s v="GEO,Frequency,OS,Segment"/>
    <n v="9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NOT RUNNING"/>
    <n v="1012854472"/>
    <x v="636"/>
    <s v="nsfw"/>
    <d v="1899-12-30T16:09:00"/>
    <s v="In-Stream Video"/>
    <s v="TJX"/>
    <s v="desktop"/>
    <s v="GEO,Frequency,BrowserLanguage,Segment"/>
    <n v="252"/>
    <n v="0"/>
    <s v="Yes"/>
    <s v="Unlimited"/>
    <n v="179"/>
    <n v="2"/>
    <n v="1.1173200000000001"/>
    <n v="0"/>
    <n v="0.11"/>
    <n v="0.58799999999999997"/>
    <n v="5.2999999999999999E-2"/>
    <n v="0"/>
    <n v="1"/>
    <n v="0"/>
    <s v="Yes"/>
    <n v="179"/>
    <n v="129"/>
    <n v="25"/>
    <s v="AI"/>
    <x v="0"/>
    <x v="0"/>
  </r>
  <r>
    <s v="PAUSED"/>
    <n v="1012854502"/>
    <x v="637"/>
    <s v="nsfw"/>
    <d v="1899-12-30T16:09:00"/>
    <s v="In-Stream Video"/>
    <s v="TJX"/>
    <s v="desktop"/>
    <s v="GEO,Frequency,BrowserLanguage,Segment"/>
    <n v="56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54662"/>
    <x v="638"/>
    <s v="nsfw"/>
    <s v="950 x 250"/>
    <s v="Display"/>
    <s v="TJX"/>
    <s v="desktop"/>
    <s v="GEO,Frequency,BrowserLanguage,Segment"/>
    <n v="6"/>
    <n v="0"/>
    <s v="Yes"/>
    <s v="Unlimited"/>
    <n v="0"/>
    <n v="0"/>
    <n v="0"/>
    <m/>
    <n v="0"/>
    <n v="0"/>
    <n v="0"/>
    <n v="0"/>
    <n v="1"/>
    <n v="0"/>
    <s v="No"/>
    <m/>
    <m/>
    <m/>
    <s v="Bin"/>
    <x v="0"/>
    <x v="1"/>
  </r>
  <r>
    <s v="PAUSED"/>
    <n v="1012854692"/>
    <x v="639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Bin"/>
    <x v="0"/>
    <x v="1"/>
  </r>
  <r>
    <s v="PAUSED"/>
    <n v="1012854712"/>
    <x v="640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Bin"/>
    <x v="0"/>
    <x v="1"/>
  </r>
  <r>
    <s v="PAUSED"/>
    <n v="1012854722"/>
    <x v="641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Bin"/>
    <x v="0"/>
    <x v="1"/>
  </r>
  <r>
    <s v="PAUSED"/>
    <n v="1012854732"/>
    <x v="642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Bin"/>
    <x v="0"/>
    <x v="1"/>
  </r>
  <r>
    <s v="PAUSED"/>
    <n v="1012854742"/>
    <x v="643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Bin"/>
    <x v="0"/>
    <x v="1"/>
  </r>
  <r>
    <s v="PAUSED"/>
    <n v="1012854792"/>
    <x v="644"/>
    <s v="nsfw"/>
    <s v="950 x 250"/>
    <s v="Display"/>
    <s v="TJX"/>
    <s v="mobile"/>
    <s v="GEO,Frequency,OS,Segment"/>
    <n v="4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54842"/>
    <x v="645"/>
    <s v="nsfw"/>
    <s v="950 x 250"/>
    <s v="Display"/>
    <s v="TJX"/>
    <s v="mobile"/>
    <s v="GEO,Frequency,OS,Segment"/>
    <n v="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58692"/>
    <x v="646"/>
    <s v="nsfw"/>
    <d v="1899-12-30T16:09:00"/>
    <s v="In-Stream Video"/>
    <s v="TJX"/>
    <s v="desktop"/>
    <s v="GEO,Frequency,Keyword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60402"/>
    <x v="647"/>
    <s v="nsfw"/>
    <d v="1899-12-30T16:09:00"/>
    <s v="In-Stream Video"/>
    <s v="TJX"/>
    <s v="desktop"/>
    <s v="GEO,Frequency,Keyword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PAUSED"/>
    <n v="1012863632"/>
    <x v="648"/>
    <s v="nsfw"/>
    <d v="1899-12-30T16:09:00"/>
    <s v="In-Stream Video"/>
    <s v="TJX"/>
    <s v="desktop"/>
    <s v="GEO,Frequency,Keyword,Segment"/>
    <n v="25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</r>
  <r>
    <s v="RUNNING"/>
    <n v="1012865892"/>
    <x v="649"/>
    <s v="nsfw"/>
    <d v="1899-12-30T16:09:00"/>
    <s v="In-Stream Video"/>
    <s v="TJX"/>
    <s v="mobile"/>
    <s v="GEO,Frequency,Keyword,OS,BrowserLanguage"/>
    <n v="560"/>
    <n v="0"/>
    <s v="Yes"/>
    <s v="Unlimited"/>
    <n v="1746"/>
    <n v="91"/>
    <n v="5.2119"/>
    <n v="0"/>
    <n v="1.34"/>
    <n v="0.76600000000000001"/>
    <n v="1.4999999999999999E-2"/>
    <n v="0"/>
    <n v="1"/>
    <n v="0"/>
    <s v="Yes"/>
    <n v="1746"/>
    <n v="1581"/>
    <n v="131"/>
    <s v="Marvel"/>
    <x v="0"/>
    <x v="3"/>
  </r>
  <r>
    <s v="RUNNING"/>
    <n v="1012865902"/>
    <x v="650"/>
    <s v="nsfw"/>
    <d v="1899-12-30T16:09:00"/>
    <s v="In-Stream Video"/>
    <s v="TJX"/>
    <s v="mobile"/>
    <s v="GEO,Frequency,Keyword,OS,BrowserLanguage"/>
    <n v="560"/>
    <n v="0"/>
    <s v="Yes"/>
    <s v="Unlimited"/>
    <n v="57237"/>
    <n v="3439"/>
    <n v="6.0083500000000001"/>
    <n v="0"/>
    <n v="76.62"/>
    <n v="1.339"/>
    <n v="2.1999999999999999E-2"/>
    <n v="0"/>
    <n v="1"/>
    <n v="0"/>
    <s v="Yes"/>
    <n v="57233"/>
    <n v="50836"/>
    <n v="4224"/>
    <s v="Marvel"/>
    <x v="0"/>
    <x v="3"/>
  </r>
  <r>
    <s v="PAUSED"/>
    <n v="1012865912"/>
    <x v="450"/>
    <s v="nsfw"/>
    <d v="1899-12-30T16:09:00"/>
    <s v="In-Stream Video"/>
    <s v="TJX"/>
    <s v="mobile"/>
    <s v="GEO,Frequency,Keyword,OS,BrowserLanguage"/>
    <n v="560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3"/>
  </r>
  <r>
    <s v="RUNNING"/>
    <n v="1012865922"/>
    <x v="651"/>
    <s v="nsfw"/>
    <d v="1899-12-30T16:09:00"/>
    <s v="In-Stream Video"/>
    <s v="TJX"/>
    <s v="mobile"/>
    <s v="GEO,Frequency,Keyword,OS,BrowserLanguage"/>
    <n v="560"/>
    <n v="0"/>
    <s v="Yes"/>
    <s v="Unlimited"/>
    <n v="3171"/>
    <n v="173"/>
    <n v="5.4556899999999997"/>
    <n v="0"/>
    <n v="2.72"/>
    <n v="0.85699999999999998"/>
    <n v="1.6E-2"/>
    <n v="0"/>
    <n v="1"/>
    <n v="0"/>
    <s v="Yes"/>
    <n v="3171"/>
    <n v="2799"/>
    <n v="249"/>
    <s v="Marvel"/>
    <x v="0"/>
    <x v="3"/>
  </r>
  <r>
    <s v="RUNNING"/>
    <n v="1012866372"/>
    <x v="296"/>
    <s v="nsfw"/>
    <d v="1899-12-30T16:09:00"/>
    <s v="In-Stream Video"/>
    <s v="TJX"/>
    <s v="desktop"/>
    <s v="GEO,Frequency,Keyword,BrowserLanguage"/>
    <n v="72"/>
    <n v="0"/>
    <s v="Yes"/>
    <s v="Unlimited"/>
    <n v="244178"/>
    <n v="10964"/>
    <n v="4.49017"/>
    <n v="9"/>
    <n v="688.9"/>
    <n v="2.8210000000000002"/>
    <n v="6.3E-2"/>
    <n v="76.543999999999997"/>
    <n v="1"/>
    <n v="0"/>
    <s v="Yes"/>
    <n v="244182"/>
    <n v="190698"/>
    <n v="29873"/>
    <s v="Missionary"/>
    <x v="0"/>
    <x v="3"/>
  </r>
  <r>
    <s v="RUNNING"/>
    <n v="1012866382"/>
    <x v="293"/>
    <s v="nsfw"/>
    <d v="1899-12-30T16:09:00"/>
    <s v="In-Stream Video"/>
    <s v="TJX"/>
    <s v="desktop"/>
    <s v="GEO,Frequency,Keyword,Browser,BrowserLanguage"/>
    <n v="72"/>
    <n v="0"/>
    <s v="No"/>
    <n v="250"/>
    <n v="347609"/>
    <n v="15355"/>
    <n v="4.4173200000000001"/>
    <n v="4"/>
    <n v="530.15"/>
    <n v="1.5249999999999999"/>
    <n v="3.5000000000000003E-2"/>
    <n v="132.53700000000001"/>
    <n v="1"/>
    <n v="0"/>
    <s v="Yes"/>
    <n v="347617"/>
    <n v="268009"/>
    <n v="46124"/>
    <s v="Missionary"/>
    <x v="0"/>
    <x v="3"/>
  </r>
  <r>
    <s v="RUNNING"/>
    <n v="1012866392"/>
    <x v="652"/>
    <s v="nsfw"/>
    <d v="1899-12-30T16:09:00"/>
    <s v="In-Stream Video"/>
    <s v="TJX"/>
    <s v="desktop"/>
    <s v="GEO,Frequency,Keyword,BrowserLanguage"/>
    <n v="72"/>
    <n v="0"/>
    <s v="No"/>
    <n v="250"/>
    <n v="10334"/>
    <n v="445"/>
    <n v="4.3061699999999998"/>
    <n v="0"/>
    <n v="10.81"/>
    <n v="1.046"/>
    <n v="2.4E-2"/>
    <n v="0"/>
    <n v="1"/>
    <n v="0"/>
    <s v="Yes"/>
    <n v="10334"/>
    <n v="7555"/>
    <n v="1451"/>
    <s v="Missionary"/>
    <x v="0"/>
    <x v="3"/>
  </r>
  <r>
    <s v="RUNNING"/>
    <n v="1012866402"/>
    <x v="534"/>
    <s v="nsfw"/>
    <d v="1899-12-30T16:09:00"/>
    <s v="In-Stream Video"/>
    <s v="TJX"/>
    <s v="desktop"/>
    <s v="GEO,Frequency,Keyword,BrowserLanguage"/>
    <n v="72"/>
    <n v="0"/>
    <s v="Yes"/>
    <s v="Unlimited"/>
    <n v="629871"/>
    <n v="29196"/>
    <n v="4.63523"/>
    <n v="14"/>
    <n v="810.1"/>
    <n v="1.286"/>
    <n v="2.8000000000000001E-2"/>
    <n v="57.863999999999997"/>
    <n v="1"/>
    <n v="0"/>
    <s v="Yes"/>
    <n v="629863"/>
    <n v="486665"/>
    <n v="79143"/>
    <s v="Missionary"/>
    <x v="0"/>
    <x v="3"/>
  </r>
  <r>
    <s v="PAUSED"/>
    <n v="1012866412"/>
    <x v="653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0"/>
  </r>
  <r>
    <s v="PAUSED"/>
    <n v="1012866422"/>
    <x v="573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"/>
  </r>
  <r>
    <s v="PAUSED"/>
    <n v="1012866432"/>
    <x v="654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0"/>
  </r>
  <r>
    <s v="PAUSED"/>
    <n v="1012866442"/>
    <x v="655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0"/>
  </r>
  <r>
    <s v="PAUSED"/>
    <n v="1012866452"/>
    <x v="656"/>
    <s v="nsfw"/>
    <d v="1899-12-30T16:09:00"/>
    <s v="In-Stream Video"/>
    <s v="TJX"/>
    <s v="mobile"/>
    <s v="GEO,Frequency,Keyword,OS,BrowserLanguage"/>
    <n v="81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0"/>
  </r>
  <r>
    <s v="PAUSED"/>
    <n v="1012866462"/>
    <x v="291"/>
    <s v="nsfw"/>
    <d v="1899-12-30T16:09:00"/>
    <s v="In-Stream Video"/>
    <s v="TJX"/>
    <s v="mobile"/>
    <s v="GEO,Frequency,Keyword,OS,BrowserLanguage"/>
    <n v="81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"/>
  </r>
  <r>
    <s v="PAUSED"/>
    <n v="1012866472"/>
    <x v="536"/>
    <s v="nsfw"/>
    <d v="1899-12-30T16:09:00"/>
    <s v="In-Stream Video"/>
    <s v="TJX"/>
    <s v="mobile"/>
    <s v="GEO,Frequency,Keyword,OS,BrowserLanguage"/>
    <n v="81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"/>
  </r>
  <r>
    <s v="PAUSED"/>
    <n v="1012866482"/>
    <x v="294"/>
    <s v="nsfw"/>
    <d v="1899-12-30T16:09:00"/>
    <s v="In-Stream Video"/>
    <s v="TJX"/>
    <s v="mobile"/>
    <s v="GEO,Frequency,Keyword,OS,BrowserLanguage"/>
    <n v="81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"/>
  </r>
  <r>
    <s v="PAUSED"/>
    <n v="1012866492"/>
    <x v="297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"/>
  </r>
  <r>
    <s v="PAUSED"/>
    <n v="1012866502"/>
    <x v="577"/>
    <s v="nsfw"/>
    <d v="1899-12-30T16:09:00"/>
    <s v="In-Stream Video"/>
    <s v="TJX"/>
    <s v="mobile"/>
    <s v="GEO,Frequency,Keyword,OS,BrowserLanguage"/>
    <n v="120"/>
    <n v="0"/>
    <s v="Yes"/>
    <s v="Unlimited"/>
    <n v="0"/>
    <n v="0"/>
    <n v="0"/>
    <m/>
    <n v="0"/>
    <n v="0"/>
    <n v="0"/>
    <n v="0"/>
    <n v="1"/>
    <n v="0"/>
    <s v="Yes"/>
    <m/>
    <m/>
    <m/>
    <s v="TransV2"/>
    <x v="0"/>
    <x v="1"/>
  </r>
  <r>
    <s v="PAUSED"/>
    <n v="1012866512"/>
    <x v="371"/>
    <s v="nsfw"/>
    <d v="1899-12-30T16:09:00"/>
    <s v="In-Stream Video"/>
    <s v="TJX"/>
    <s v="mobile"/>
    <s v="GEO,Frequency,Keyword,OS,BrowserLanguage"/>
    <n v="62"/>
    <n v="89"/>
    <s v="Yes"/>
    <s v="Unlimited"/>
    <n v="231978"/>
    <n v="12298"/>
    <n v="5.3013599999999999"/>
    <n v="3"/>
    <n v="498.37"/>
    <n v="2.1480000000000001"/>
    <n v="4.1000000000000002E-2"/>
    <n v="166.125"/>
    <n v="1"/>
    <n v="0"/>
    <s v="Yes"/>
    <n v="231978"/>
    <n v="210038"/>
    <n v="13771"/>
    <s v="TransV2"/>
    <x v="0"/>
    <x v="6"/>
  </r>
  <r>
    <s v="PAUSED"/>
    <n v="1012866522"/>
    <x v="370"/>
    <s v="nsfw"/>
    <d v="1899-12-30T16:09:00"/>
    <s v="In-Stream Video"/>
    <s v="TJX"/>
    <s v="mobile"/>
    <s v="GEO,Frequency,Keyword,OS,BrowserLanguage"/>
    <n v="240"/>
    <n v="0"/>
    <s v="Yes"/>
    <s v="Unlimited"/>
    <n v="0"/>
    <n v="0"/>
    <n v="0"/>
    <m/>
    <n v="0"/>
    <n v="0"/>
    <n v="0"/>
    <n v="0"/>
    <n v="1"/>
    <n v="0"/>
    <s v="Yes"/>
    <m/>
    <m/>
    <m/>
    <s v="TransV2"/>
    <x v="0"/>
    <x v="1"/>
  </r>
  <r>
    <s v="RUNNING"/>
    <n v="1012866532"/>
    <x v="657"/>
    <s v="nsfw"/>
    <d v="1899-12-30T16:09:00"/>
    <s v="In-Stream Video"/>
    <s v="TJX"/>
    <s v="mobile"/>
    <s v="GEO,Frequency,Keyword,OS,BrowserLanguage"/>
    <n v="240"/>
    <n v="0"/>
    <s v="Yes"/>
    <s v="Unlimited"/>
    <n v="6599"/>
    <n v="286"/>
    <n v="4.33399"/>
    <n v="0"/>
    <n v="4.5"/>
    <n v="0.68200000000000005"/>
    <n v="1.6E-2"/>
    <n v="0"/>
    <n v="1"/>
    <n v="0"/>
    <s v="Yes"/>
    <n v="6599"/>
    <n v="5930"/>
    <n v="444"/>
    <s v="TransV2"/>
    <x v="0"/>
    <x v="6"/>
  </r>
  <r>
    <s v="NOT RUNNING"/>
    <n v="1012866542"/>
    <x v="365"/>
    <s v="nsfw"/>
    <d v="1899-12-30T16:09:00"/>
    <s v="In-Stream Video"/>
    <s v="TJX"/>
    <s v="mobile"/>
    <s v="GEO,Frequency,Keyword,OS,BrowserLanguage"/>
    <n v="240"/>
    <n v="0"/>
    <s v="Yes"/>
    <s v="Unlimited"/>
    <n v="0"/>
    <n v="0"/>
    <n v="0"/>
    <m/>
    <n v="0"/>
    <n v="0"/>
    <n v="0"/>
    <n v="0"/>
    <n v="1"/>
    <n v="0"/>
    <s v="Yes"/>
    <m/>
    <m/>
    <m/>
    <s v="TransV2"/>
    <x v="0"/>
    <x v="1"/>
  </r>
  <r>
    <s v="RUNNING"/>
    <n v="1012866552"/>
    <x v="658"/>
    <s v="nsfw"/>
    <d v="1899-12-30T16:09:00"/>
    <s v="In-Stream Video"/>
    <s v="TJX"/>
    <s v="mobile"/>
    <s v="GEO,Frequency,Keyword,OS,BrowserLanguage"/>
    <n v="240"/>
    <n v="0"/>
    <s v="Yes"/>
    <s v="Unlimited"/>
    <n v="2846"/>
    <n v="126"/>
    <n v="4.42727"/>
    <n v="0"/>
    <n v="1.76"/>
    <n v="0.62"/>
    <n v="1.4E-2"/>
    <n v="0"/>
    <n v="1"/>
    <n v="0"/>
    <s v="Yes"/>
    <n v="2846"/>
    <n v="2630"/>
    <n v="151"/>
    <s v="TransV2"/>
    <x v="0"/>
    <x v="6"/>
  </r>
  <r>
    <s v="PAUSED"/>
    <n v="1012866562"/>
    <x v="364"/>
    <s v="nsfw"/>
    <d v="1899-12-30T16:09:00"/>
    <s v="In-Stream Video"/>
    <s v="TJX"/>
    <s v="mobile"/>
    <s v="GEO,Frequency,Keyword,OS,BrowserLanguage"/>
    <n v="240"/>
    <n v="0"/>
    <s v="Yes"/>
    <s v="Unlimited"/>
    <n v="0"/>
    <n v="0"/>
    <n v="0"/>
    <m/>
    <n v="0"/>
    <n v="0"/>
    <n v="0"/>
    <n v="0"/>
    <n v="1"/>
    <n v="0"/>
    <s v="Yes"/>
    <m/>
    <m/>
    <m/>
    <s v="TransV2"/>
    <x v="0"/>
    <x v="1"/>
  </r>
  <r>
    <s v="PAUSED"/>
    <n v="1012866572"/>
    <x v="659"/>
    <s v="nsfw"/>
    <d v="1899-12-30T16:09:00"/>
    <s v="In-Stream Video"/>
    <s v="TJX"/>
    <s v="mobile"/>
    <s v="GEO,Frequency,Keyword,OS,BrowserLanguage"/>
    <n v="240"/>
    <n v="0"/>
    <s v="Yes"/>
    <s v="Unlimited"/>
    <n v="0"/>
    <n v="0"/>
    <n v="0"/>
    <m/>
    <n v="0"/>
    <n v="0"/>
    <n v="0"/>
    <n v="0"/>
    <n v="1"/>
    <n v="0"/>
    <s v="Yes"/>
    <m/>
    <m/>
    <m/>
    <s v="TransV2"/>
    <x v="0"/>
    <x v="6"/>
  </r>
  <r>
    <s v="RUNNING"/>
    <n v="1012866582"/>
    <x v="660"/>
    <s v="nsfw"/>
    <d v="1899-12-30T16:09:00"/>
    <s v="In-Stream Video"/>
    <s v="TJX"/>
    <s v="mobile"/>
    <s v="GEO,Frequency,Keyword,OS,BrowserLanguage"/>
    <n v="240"/>
    <n v="0"/>
    <s v="Yes"/>
    <s v="Unlimited"/>
    <n v="6850"/>
    <n v="391"/>
    <n v="5.7080299999999999"/>
    <n v="0"/>
    <n v="3.61"/>
    <n v="0.52600000000000002"/>
    <n v="8.9999999999999993E-3"/>
    <n v="0"/>
    <n v="1"/>
    <n v="0"/>
    <s v="Yes"/>
    <n v="6850"/>
    <n v="5971"/>
    <n v="619"/>
    <s v="TransV2"/>
    <x v="0"/>
    <x v="6"/>
  </r>
  <r>
    <s v="RUNNING"/>
    <n v="1012866592"/>
    <x v="661"/>
    <s v="nsfw"/>
    <d v="1899-12-30T16:09:00"/>
    <s v="In-Stream Video"/>
    <s v="TJX"/>
    <s v="mobile"/>
    <s v="GEO,Frequency,Keyword,OS,BrowserLanguage"/>
    <n v="240"/>
    <n v="0"/>
    <s v="Yes"/>
    <s v="Unlimited"/>
    <n v="10497"/>
    <n v="507"/>
    <n v="4.8299500000000002"/>
    <n v="0"/>
    <n v="6.02"/>
    <n v="0.57399999999999995"/>
    <n v="1.2E-2"/>
    <n v="0"/>
    <n v="1"/>
    <n v="0"/>
    <s v="Yes"/>
    <n v="10497"/>
    <n v="9256"/>
    <n v="867"/>
    <s v="TransV2"/>
    <x v="0"/>
    <x v="6"/>
  </r>
  <r>
    <s v="RUNNING"/>
    <n v="1012866602"/>
    <x v="662"/>
    <s v="nsfw"/>
    <d v="1899-12-30T16:09:00"/>
    <s v="In-Stream Video"/>
    <s v="TJX"/>
    <s v="desktop"/>
    <s v="GEO,Frequency,Keyword,BrowserLanguage"/>
    <n v="416"/>
    <n v="0"/>
    <s v="Yes"/>
    <s v="Unlimited"/>
    <n v="9542"/>
    <n v="425"/>
    <n v="4.4539900000000001"/>
    <n v="0"/>
    <n v="9.17"/>
    <n v="0.96099999999999997"/>
    <n v="2.1999999999999999E-2"/>
    <n v="0"/>
    <n v="1"/>
    <n v="0"/>
    <s v="Yes"/>
    <n v="9542"/>
    <n v="7139"/>
    <n v="1153"/>
    <s v="TransV2"/>
    <x v="0"/>
    <x v="6"/>
  </r>
  <r>
    <s v="PAUSED"/>
    <n v="1012866612"/>
    <x v="663"/>
    <s v="nsfw"/>
    <d v="1899-12-30T16:09:00"/>
    <s v="In-Stream Video"/>
    <s v="TJX"/>
    <s v="all"/>
    <s v="GEO,Frequency,Keyword,BrowserLanguage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x v="0"/>
    <x v="9"/>
  </r>
  <r>
    <s v="RUNNING"/>
    <n v="1012866632"/>
    <x v="664"/>
    <s v="nsfw"/>
    <d v="1899-12-30T16:09:00"/>
    <s v="In-Stream Video"/>
    <s v="TJX"/>
    <s v="all"/>
    <s v="GEO,Frequency,Keyword,BrowserLanguage"/>
    <n v="168"/>
    <n v="0"/>
    <s v="No"/>
    <n v="250"/>
    <n v="21851"/>
    <n v="1152"/>
    <n v="5.2720700000000003"/>
    <n v="0"/>
    <n v="49.35"/>
    <n v="2.2589999999999999"/>
    <n v="4.2999999999999997E-2"/>
    <n v="0"/>
    <n v="1"/>
    <n v="0"/>
    <s v="No"/>
    <n v="21851"/>
    <n v="18962"/>
    <n v="1953"/>
    <s v="Tests"/>
    <x v="0"/>
    <x v="3"/>
  </r>
  <r>
    <s v="RUNNING"/>
    <n v="1012866642"/>
    <x v="665"/>
    <s v="nsfw"/>
    <d v="1899-12-30T16:09:00"/>
    <s v="In-Stream Video"/>
    <s v="TJX"/>
    <s v="all"/>
    <s v="GEO,Frequency,Keyword,BrowserLanguage"/>
    <n v="168"/>
    <n v="0"/>
    <s v="Yes"/>
    <s v="Unlimited"/>
    <n v="1880841"/>
    <n v="102792"/>
    <n v="5.4652099999999999"/>
    <n v="48"/>
    <n v="4254.79"/>
    <n v="2.262"/>
    <n v="4.1000000000000002E-2"/>
    <n v="88.641000000000005"/>
    <n v="1"/>
    <n v="0"/>
    <s v="No"/>
    <n v="1880804"/>
    <n v="1668928"/>
    <n v="140933"/>
    <s v="Tests"/>
    <x v="0"/>
    <x v="3"/>
  </r>
  <r>
    <s v="PAUSED"/>
    <n v="1012866652"/>
    <x v="666"/>
    <s v="nsfw"/>
    <d v="1899-12-30T16:09:00"/>
    <s v="In-Stream Video"/>
    <s v="TJX"/>
    <s v="all"/>
    <s v="GEO,Frequency,Keyword,BrowserLanguage"/>
    <n v="168"/>
    <n v="0"/>
    <s v="Yes"/>
    <s v="Unlimited"/>
    <n v="0"/>
    <n v="0"/>
    <n v="0"/>
    <m/>
    <n v="0"/>
    <n v="0"/>
    <n v="0"/>
    <n v="0"/>
    <n v="1"/>
    <n v="0"/>
    <s v="No"/>
    <m/>
    <m/>
    <m/>
    <s v="Tests"/>
    <x v="0"/>
    <x v="9"/>
  </r>
  <r>
    <s v="PAUSED"/>
    <n v="1012866662"/>
    <x v="667"/>
    <s v="nsfw"/>
    <d v="1899-12-30T16:09:00"/>
    <s v="In-Stream Video"/>
    <s v="TJX"/>
    <s v="all"/>
    <s v="GEO,Frequency,Keyword,BrowserLanguage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x v="0"/>
    <x v="9"/>
  </r>
  <r>
    <s v="RUNNING"/>
    <n v="1012866672"/>
    <x v="668"/>
    <s v="nsfw"/>
    <d v="1899-12-30T16:09:00"/>
    <s v="In-Stream Video"/>
    <s v="TJX"/>
    <s v="all"/>
    <s v="GEO,Frequency,Keyword,BrowserLanguage"/>
    <n v="168"/>
    <n v="0"/>
    <s v="No"/>
    <n v="250"/>
    <n v="14017"/>
    <n v="863"/>
    <n v="6.1568100000000001"/>
    <n v="0"/>
    <n v="31.58"/>
    <n v="2.2530000000000001"/>
    <n v="3.6999999999999998E-2"/>
    <n v="0"/>
    <n v="1"/>
    <n v="0"/>
    <s v="No"/>
    <n v="14017"/>
    <n v="12468"/>
    <n v="1015"/>
    <s v="Tests"/>
    <x v="0"/>
    <x v="3"/>
  </r>
  <r>
    <s v="PAUSED"/>
    <n v="1012867202"/>
    <x v="669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x v="0"/>
    <x v="9"/>
  </r>
  <r>
    <s v="PAUSED"/>
    <n v="1012867212"/>
    <x v="670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Bin"/>
    <x v="0"/>
    <x v="1"/>
  </r>
  <r>
    <s v="PAUSED"/>
    <n v="1012867222"/>
    <x v="671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x v="0"/>
    <x v="9"/>
  </r>
  <r>
    <s v="PAUSED"/>
    <n v="1012867232"/>
    <x v="672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Bin"/>
    <x v="0"/>
    <x v="1"/>
  </r>
  <r>
    <s v="PAUSED"/>
    <n v="1012867242"/>
    <x v="673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x v="0"/>
    <x v="9"/>
  </r>
  <r>
    <s v="PAUSED"/>
    <n v="1012867252"/>
    <x v="674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Bin"/>
    <x v="0"/>
    <x v="1"/>
  </r>
  <r>
    <s v="PAUSED"/>
    <n v="1012867262"/>
    <x v="675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x v="0"/>
    <x v="9"/>
  </r>
  <r>
    <s v="PAUSED"/>
    <n v="1012867272"/>
    <x v="676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x v="0"/>
    <x v="9"/>
  </r>
  <r>
    <s v="RUNNING"/>
    <n v="1012869782"/>
    <x v="677"/>
    <s v="nsfw"/>
    <d v="1899-12-30T16:09:00"/>
    <s v="In-Stream Video"/>
    <s v="TJX"/>
    <s v="desktop"/>
    <s v="GEO,Frequency,Keyword,BrowserLanguage"/>
    <n v="104"/>
    <n v="0"/>
    <s v="Yes"/>
    <s v="Unlimited"/>
    <n v="44443"/>
    <n v="2421"/>
    <n v="5.4474299999999998"/>
    <n v="1"/>
    <n v="110.39"/>
    <n v="2.484"/>
    <n v="4.5999999999999999E-2"/>
    <n v="110.386"/>
    <n v="1"/>
    <n v="0"/>
    <s v="Yes"/>
    <n v="44445"/>
    <n v="34991"/>
    <n v="4739"/>
    <s v="Furry"/>
    <x v="0"/>
    <x v="3"/>
  </r>
  <r>
    <s v="RUNNING"/>
    <n v="1012869792"/>
    <x v="49"/>
    <s v="nsfw"/>
    <d v="1899-12-30T16:09:00"/>
    <s v="In-Stream Video"/>
    <s v="TJX"/>
    <s v="desktop"/>
    <s v="GEO,Frequency,Keyword,BrowserLanguage"/>
    <n v="104"/>
    <n v="0"/>
    <s v="Yes"/>
    <s v="Unlimited"/>
    <n v="20532"/>
    <n v="961"/>
    <n v="4.6805000000000003"/>
    <n v="2"/>
    <n v="52.78"/>
    <n v="2.5710000000000002"/>
    <n v="5.5E-2"/>
    <n v="26.391999999999999"/>
    <n v="1"/>
    <n v="0"/>
    <s v="Yes"/>
    <n v="20531"/>
    <n v="14644"/>
    <n v="2158"/>
    <s v="Furry"/>
    <x v="0"/>
    <x v="3"/>
  </r>
  <r>
    <s v="RUNNING"/>
    <n v="1012869802"/>
    <x v="55"/>
    <s v="nsfw"/>
    <d v="1899-12-30T16:09:00"/>
    <s v="In-Stream Video"/>
    <s v="TJX"/>
    <s v="desktop"/>
    <s v="GEO,Frequency,Keyword,BrowserLanguage"/>
    <n v="104"/>
    <n v="0"/>
    <s v="Yes"/>
    <s v="Unlimited"/>
    <n v="1698"/>
    <n v="55"/>
    <n v="3.2391000000000001"/>
    <n v="0"/>
    <n v="4.71"/>
    <n v="2.7749999999999999"/>
    <n v="8.5999999999999993E-2"/>
    <n v="0"/>
    <n v="1"/>
    <n v="0"/>
    <s v="Yes"/>
    <n v="1698"/>
    <n v="1206"/>
    <n v="210"/>
    <s v="Furry"/>
    <x v="0"/>
    <x v="3"/>
  </r>
  <r>
    <s v="RUNNING"/>
    <n v="1012869812"/>
    <x v="678"/>
    <s v="nsfw"/>
    <d v="1899-12-30T16:09:00"/>
    <s v="In-Stream Video"/>
    <s v="TJX"/>
    <s v="desktop"/>
    <s v="GEO,Frequency,Keyword,BrowserLanguage"/>
    <n v="104"/>
    <n v="0"/>
    <s v="Yes"/>
    <s v="Unlimited"/>
    <n v="1342"/>
    <n v="65"/>
    <n v="4.8435199999999998"/>
    <n v="0"/>
    <n v="0.78"/>
    <n v="0.58399999999999996"/>
    <n v="1.2E-2"/>
    <n v="0"/>
    <n v="1"/>
    <n v="0"/>
    <s v="Yes"/>
    <n v="1342"/>
    <n v="967"/>
    <n v="173"/>
    <s v="Furry"/>
    <x v="0"/>
    <x v="3"/>
  </r>
  <r>
    <s v="NOT RUNNING"/>
    <n v="1012869822"/>
    <x v="679"/>
    <s v="nsfw"/>
    <d v="1899-12-30T16:09:00"/>
    <s v="In-Stream Video"/>
    <s v="TJX"/>
    <s v="mobile"/>
    <s v="GEO,Frequency,Keyword,OS,BrowserLanguage"/>
    <n v="260"/>
    <n v="0"/>
    <s v="Yes"/>
    <s v="Unlimited"/>
    <n v="108"/>
    <n v="4"/>
    <n v="3.7037"/>
    <n v="0"/>
    <n v="7.0000000000000007E-2"/>
    <n v="0.68500000000000005"/>
    <n v="1.7999999999999999E-2"/>
    <n v="0"/>
    <n v="1"/>
    <n v="0"/>
    <s v="Yes"/>
    <n v="108"/>
    <n v="94"/>
    <n v="8"/>
    <s v="Furry"/>
    <x v="0"/>
    <x v="3"/>
  </r>
  <r>
    <s v="NOT RUNNING"/>
    <n v="1012869832"/>
    <x v="680"/>
    <s v="nsfw"/>
    <d v="1899-12-30T16:09:00"/>
    <s v="In-Stream Video"/>
    <s v="TJX"/>
    <s v="mobile"/>
    <s v="GEO,Frequency,Keyword,OS,BrowserLanguage"/>
    <n v="260"/>
    <n v="0"/>
    <s v="Yes"/>
    <s v="Unlimited"/>
    <n v="36"/>
    <n v="2"/>
    <n v="5.5555599999999998"/>
    <n v="0"/>
    <n v="0.02"/>
    <n v="0.60899999999999999"/>
    <n v="1.0999999999999999E-2"/>
    <n v="0"/>
    <n v="1"/>
    <n v="0"/>
    <s v="Yes"/>
    <n v="36"/>
    <n v="33"/>
    <n v="3"/>
    <s v="Furry"/>
    <x v="0"/>
    <x v="3"/>
  </r>
  <r>
    <s v="PAUSED"/>
    <n v="1012869842"/>
    <x v="681"/>
    <s v="nsfw"/>
    <d v="1899-12-30T16:09:00"/>
    <s v="In-Stream Video"/>
    <s v="TJX"/>
    <s v="mobile"/>
    <s v="GEO,Frequency,Keyword,OS,BrowserLanguage"/>
    <n v="260"/>
    <n v="0"/>
    <s v="Yes"/>
    <s v="Unlimited"/>
    <n v="0"/>
    <n v="0"/>
    <n v="0"/>
    <m/>
    <n v="0"/>
    <n v="0"/>
    <n v="0"/>
    <n v="0"/>
    <n v="1"/>
    <n v="0"/>
    <s v="Yes"/>
    <m/>
    <m/>
    <m/>
    <s v="Furry"/>
    <x v="0"/>
    <x v="4"/>
  </r>
  <r>
    <s v="NOT RUNNING"/>
    <n v="1012869852"/>
    <x v="682"/>
    <s v="nsfw"/>
    <d v="1899-12-30T16:09:00"/>
    <s v="In-Stream Video"/>
    <s v="TJX"/>
    <s v="mobile"/>
    <s v="GEO,Frequency,Keyword,OS,BrowserLanguage"/>
    <n v="260"/>
    <n v="0"/>
    <s v="Yes"/>
    <s v="Unlimited"/>
    <n v="510"/>
    <n v="35"/>
    <n v="6.8627500000000001"/>
    <n v="0"/>
    <n v="0.28000000000000003"/>
    <n v="0.55800000000000005"/>
    <n v="8.0000000000000002E-3"/>
    <n v="0"/>
    <n v="1"/>
    <n v="0"/>
    <s v="Yes"/>
    <n v="510"/>
    <n v="445"/>
    <n v="37"/>
    <s v="Furry"/>
    <x v="0"/>
    <x v="3"/>
  </r>
  <r>
    <s v="RUNNING"/>
    <n v="1012869862"/>
    <x v="47"/>
    <s v="nsfw"/>
    <d v="1899-12-30T16:09:00"/>
    <s v="In-Stream Video"/>
    <s v="TJX"/>
    <s v="mobile"/>
    <s v="GEO,Frequency,Keyword,OS,BrowserLanguage"/>
    <n v="130"/>
    <n v="0"/>
    <s v="Yes"/>
    <s v="Unlimited"/>
    <n v="33289"/>
    <n v="1768"/>
    <n v="5.3110600000000003"/>
    <n v="1"/>
    <n v="111.01"/>
    <n v="3.335"/>
    <n v="6.3E-2"/>
    <n v="111.006"/>
    <n v="1"/>
    <n v="0"/>
    <s v="Yes"/>
    <n v="33286"/>
    <n v="30106"/>
    <n v="1722"/>
    <s v="Furry"/>
    <x v="0"/>
    <x v="3"/>
  </r>
  <r>
    <s v="RUNNING"/>
    <n v="1012869872"/>
    <x v="53"/>
    <s v="nsfw"/>
    <d v="1899-12-30T16:09:00"/>
    <s v="In-Stream Video"/>
    <s v="TJX"/>
    <s v="mobile"/>
    <s v="GEO,Frequency,Keyword,OS,BrowserLanguage"/>
    <n v="260"/>
    <n v="0"/>
    <s v="Yes"/>
    <s v="Unlimited"/>
    <n v="294"/>
    <n v="12"/>
    <n v="4.08162"/>
    <n v="0"/>
    <n v="0.21"/>
    <n v="0.71"/>
    <n v="1.7000000000000001E-2"/>
    <n v="0"/>
    <n v="1"/>
    <n v="0"/>
    <s v="Yes"/>
    <n v="294"/>
    <n v="257"/>
    <n v="20"/>
    <s v="Furry"/>
    <x v="0"/>
    <x v="3"/>
  </r>
  <r>
    <s v="NOT RUNNING"/>
    <n v="1012869882"/>
    <x v="56"/>
    <s v="nsfw"/>
    <d v="1899-12-30T16:09:00"/>
    <s v="In-Stream Video"/>
    <s v="TJX"/>
    <s v="mobile"/>
    <s v="GEO,Frequency,Keyword,OS,BrowserLanguage"/>
    <n v="260"/>
    <n v="0"/>
    <s v="Yes"/>
    <s v="Unlimited"/>
    <n v="0"/>
    <n v="0"/>
    <n v="0"/>
    <m/>
    <n v="0"/>
    <n v="0"/>
    <n v="0"/>
    <n v="0"/>
    <n v="1"/>
    <n v="0"/>
    <s v="Yes"/>
    <m/>
    <m/>
    <m/>
    <s v="Furry"/>
    <x v="0"/>
    <x v="1"/>
  </r>
  <r>
    <s v="PAUSED"/>
    <n v="1012869902"/>
    <x v="558"/>
    <s v="nsfw"/>
    <d v="1899-12-30T16:09:00"/>
    <s v="In-Stream Video"/>
    <s v="TJX"/>
    <s v="mobile"/>
    <s v="GEO,Frequency,Keyword,OS,BrowserLanguage"/>
    <n v="260"/>
    <n v="0"/>
    <s v="Yes"/>
    <s v="Unlimited"/>
    <n v="0"/>
    <n v="0"/>
    <n v="0"/>
    <m/>
    <n v="0"/>
    <n v="0"/>
    <n v="0"/>
    <n v="0"/>
    <n v="1"/>
    <n v="0"/>
    <s v="Yes"/>
    <m/>
    <m/>
    <m/>
    <s v="Furry"/>
    <x v="0"/>
    <x v="1"/>
  </r>
  <r>
    <s v="RUNNING"/>
    <n v="1012869912"/>
    <x v="683"/>
    <s v="nsfw"/>
    <d v="1899-12-30T16:09:00"/>
    <s v="In-Stream Video"/>
    <s v="TJX"/>
    <s v="mobile"/>
    <s v="GEO,Frequency,Keyword,OS,BrowserLanguage"/>
    <n v="260"/>
    <n v="0"/>
    <s v="Yes"/>
    <s v="Unlimited"/>
    <n v="2170"/>
    <n v="101"/>
    <n v="4.6543799999999997"/>
    <n v="0"/>
    <n v="1.26"/>
    <n v="0.58099999999999996"/>
    <n v="1.2E-2"/>
    <n v="0"/>
    <n v="1"/>
    <n v="0"/>
    <s v="Yes"/>
    <n v="2170"/>
    <n v="1914"/>
    <n v="168"/>
    <s v="Furry"/>
    <x v="0"/>
    <x v="3"/>
  </r>
  <r>
    <s v="RUNNING"/>
    <n v="1012905942"/>
    <x v="684"/>
    <s v="nsfw"/>
    <d v="1899-12-30T16:09:00"/>
    <s v="In-Stream Video"/>
    <s v="TJX"/>
    <s v="mobile"/>
    <s v="GEO,Frequency"/>
    <n v="129"/>
    <n v="0"/>
    <s v="Yes"/>
    <s v="Unlimited"/>
    <n v="319734"/>
    <n v="15868"/>
    <n v="4.9628800000000002"/>
    <n v="11"/>
    <n v="709.35"/>
    <n v="2.2189999999999999"/>
    <n v="4.4999999999999998E-2"/>
    <n v="64.486000000000004"/>
    <n v="1"/>
    <n v="0"/>
    <s v="No"/>
    <n v="319689"/>
    <n v="279309"/>
    <n v="29485"/>
    <s v="Remarketing"/>
    <x v="0"/>
    <x v="14"/>
  </r>
  <r>
    <s v="RUNNING"/>
    <n v="1012905952"/>
    <x v="685"/>
    <s v="nsfw"/>
    <d v="1899-12-30T16:09:00"/>
    <s v="In-Stream Video"/>
    <s v="TJX"/>
    <s v="mobile"/>
    <s v="GEO,Frequency"/>
    <n v="129"/>
    <n v="0"/>
    <s v="No"/>
    <n v="250"/>
    <n v="18440"/>
    <n v="838"/>
    <n v="4.5444599999999999"/>
    <n v="1"/>
    <n v="36.1"/>
    <n v="1.958"/>
    <n v="4.2999999999999997E-2"/>
    <n v="36.104999999999997"/>
    <n v="1"/>
    <n v="0"/>
    <s v="No"/>
    <n v="18440"/>
    <n v="16055"/>
    <n v="1846"/>
    <s v="Remarketing"/>
    <x v="0"/>
    <x v="14"/>
  </r>
  <r>
    <s v="RUNNING"/>
    <n v="1012905962"/>
    <x v="686"/>
    <s v="nsfw"/>
    <d v="1899-12-30T16:09:00"/>
    <s v="In-Stream Video"/>
    <s v="TJX"/>
    <s v="mobile"/>
    <s v="GEO,Frequency"/>
    <n v="129"/>
    <n v="0"/>
    <s v="Yes"/>
    <s v="Unlimited"/>
    <n v="52593"/>
    <n v="2742"/>
    <n v="5.2136100000000001"/>
    <n v="5"/>
    <n v="66.44"/>
    <n v="1.2629999999999999"/>
    <n v="2.4E-2"/>
    <n v="13.287000000000001"/>
    <n v="1"/>
    <n v="0"/>
    <s v="No"/>
    <n v="52592"/>
    <n v="46022"/>
    <n v="4740"/>
    <s v="Remarketing"/>
    <x v="0"/>
    <x v="14"/>
  </r>
  <r>
    <s v="RUNNING"/>
    <n v="1012905982"/>
    <x v="687"/>
    <s v="nsfw"/>
    <d v="1899-12-30T16:09:00"/>
    <s v="In-Stream Video"/>
    <s v="TJX"/>
    <s v="mobile"/>
    <s v="GEO,Frequency"/>
    <n v="129"/>
    <n v="0"/>
    <s v="No"/>
    <n v="250"/>
    <n v="762"/>
    <n v="33"/>
    <n v="4.3307099999999998"/>
    <n v="0"/>
    <n v="0.51"/>
    <n v="0.66600000000000004"/>
    <n v="1.4999999999999999E-2"/>
    <n v="0"/>
    <n v="1"/>
    <n v="0"/>
    <s v="No"/>
    <n v="762"/>
    <n v="671"/>
    <n v="60"/>
    <s v="Remarketing"/>
    <x v="0"/>
    <x v="14"/>
  </r>
  <r>
    <s v="RUNNING"/>
    <n v="1012905992"/>
    <x v="688"/>
    <s v="nsfw"/>
    <d v="1899-12-30T16:09:00"/>
    <s v="In-Stream Video"/>
    <s v="TJX"/>
    <s v="mobile"/>
    <s v="GEO,Frequency"/>
    <n v="129"/>
    <n v="0"/>
    <s v="No"/>
    <n v="250"/>
    <n v="2974"/>
    <n v="171"/>
    <n v="5.7498300000000002"/>
    <n v="0"/>
    <n v="3.3"/>
    <n v="1.109"/>
    <n v="1.9E-2"/>
    <n v="0"/>
    <n v="1"/>
    <n v="0"/>
    <s v="No"/>
    <n v="2974"/>
    <n v="2506"/>
    <n v="323"/>
    <s v="Remarketing"/>
    <x v="0"/>
    <x v="14"/>
  </r>
  <r>
    <s v="RUNNING"/>
    <n v="1012906002"/>
    <x v="689"/>
    <s v="nsfw"/>
    <d v="1899-12-30T16:09:00"/>
    <s v="In-Stream Video"/>
    <s v="TJX"/>
    <s v="mobile"/>
    <s v="GEO,Frequency"/>
    <n v="129"/>
    <n v="0"/>
    <s v="No"/>
    <n v="250"/>
    <n v="7149"/>
    <n v="391"/>
    <n v="5.4692999999999996"/>
    <n v="0"/>
    <n v="12.07"/>
    <n v="1.6890000000000001"/>
    <n v="3.1E-2"/>
    <n v="0"/>
    <n v="1"/>
    <n v="0"/>
    <s v="No"/>
    <n v="7149"/>
    <n v="6253"/>
    <n v="574"/>
    <s v="Remarketing"/>
    <x v="0"/>
    <x v="14"/>
  </r>
  <r>
    <s v="RUNNING"/>
    <n v="1012906012"/>
    <x v="690"/>
    <s v="nsfw"/>
    <d v="1899-12-30T16:09:00"/>
    <s v="In-Stream Video"/>
    <s v="TJX"/>
    <s v="mobile"/>
    <s v="GEO,Frequency"/>
    <n v="129"/>
    <n v="0"/>
    <s v="No"/>
    <n v="250"/>
    <n v="17222"/>
    <n v="935"/>
    <n v="5.4291"/>
    <n v="0"/>
    <n v="42.73"/>
    <n v="2.4809999999999999"/>
    <n v="4.5999999999999999E-2"/>
    <n v="0"/>
    <n v="1"/>
    <n v="0"/>
    <s v="No"/>
    <n v="17224"/>
    <n v="15265"/>
    <n v="1399"/>
    <s v="Remarketing"/>
    <x v="0"/>
    <x v="14"/>
  </r>
  <r>
    <s v="PAUSED"/>
    <n v="1012914792"/>
    <x v="249"/>
    <s v="nsfw"/>
    <d v="1899-12-30T16:09:00"/>
    <s v="In-Stream Video"/>
    <s v="TJX"/>
    <s v="desktop"/>
    <s v="GEO,Frequency,Keyword,BrowserLanguage"/>
    <n v="10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5"/>
  </r>
  <r>
    <s v="PAUSED"/>
    <n v="1012914802"/>
    <x v="545"/>
    <s v="nsfw"/>
    <d v="1899-12-30T16:09:00"/>
    <s v="In-Stream Video"/>
    <s v="TJX"/>
    <s v="desktop"/>
    <s v="GEO,Frequency,Keyword,BrowserLanguage"/>
    <n v="100"/>
    <n v="0"/>
    <s v="No"/>
    <n v="250"/>
    <n v="1"/>
    <n v="0"/>
    <n v="0"/>
    <n v="0"/>
    <n v="0"/>
    <n v="1.8160000000000001"/>
    <n v="0"/>
    <n v="0"/>
    <n v="1"/>
    <n v="0"/>
    <s v="Yes"/>
    <n v="1"/>
    <n v="0"/>
    <n v="0"/>
    <s v="Blowjob"/>
    <x v="0"/>
    <x v="5"/>
  </r>
  <r>
    <s v="PAUSED"/>
    <n v="1012914812"/>
    <x v="255"/>
    <s v="nsfw"/>
    <d v="1899-12-30T16:09:00"/>
    <s v="In-Stream Video"/>
    <s v="TJX"/>
    <s v="desktop"/>
    <s v="GEO,Frequency,Keyword,BrowserLanguage"/>
    <n v="100"/>
    <n v="0"/>
    <s v="No"/>
    <n v="250"/>
    <n v="1"/>
    <n v="0"/>
    <n v="0"/>
    <n v="0"/>
    <n v="0"/>
    <n v="2.9569999999999999"/>
    <n v="0"/>
    <n v="0"/>
    <n v="1"/>
    <n v="0"/>
    <s v="Yes"/>
    <n v="1"/>
    <n v="1"/>
    <n v="0"/>
    <s v="Blowjob"/>
    <x v="0"/>
    <x v="1"/>
  </r>
  <r>
    <s v="RUNNING"/>
    <n v="1012914822"/>
    <x v="691"/>
    <s v="nsfw"/>
    <d v="1899-12-30T16:09:00"/>
    <s v="In-Stream Video"/>
    <s v="TJX"/>
    <s v="desktop"/>
    <s v="GEO,Frequency,Keyword,BrowserLanguage"/>
    <n v="100"/>
    <n v="0"/>
    <s v="No"/>
    <n v="250"/>
    <n v="20383"/>
    <n v="858"/>
    <n v="4.20939"/>
    <n v="0"/>
    <n v="19.25"/>
    <n v="0.94499999999999995"/>
    <n v="2.1999999999999999E-2"/>
    <n v="0"/>
    <n v="1"/>
    <n v="0"/>
    <s v="Yes"/>
    <n v="20383"/>
    <n v="15047"/>
    <n v="2676"/>
    <s v="Blowjob"/>
    <x v="0"/>
    <x v="3"/>
  </r>
  <r>
    <s v="PAUSED"/>
    <n v="1012914832"/>
    <x v="248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"/>
  </r>
  <r>
    <s v="PAUSED"/>
    <n v="1012914842"/>
    <x v="254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"/>
  </r>
  <r>
    <s v="PAUSED"/>
    <n v="1012914852"/>
    <x v="251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"/>
  </r>
  <r>
    <s v="PAUSED"/>
    <n v="1012914862"/>
    <x v="259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"/>
  </r>
  <r>
    <s v="RUNNING"/>
    <n v="1012914872"/>
    <x v="692"/>
    <s v="nsfw"/>
    <d v="1899-12-30T16:09:00"/>
    <s v="In-Stream Video"/>
    <s v="TJX"/>
    <s v="mobile"/>
    <s v="GEO,Frequency,Keyword,OS,BrowserLanguage"/>
    <n v="90"/>
    <n v="0"/>
    <s v="No"/>
    <n v="250"/>
    <n v="73175"/>
    <n v="4246"/>
    <n v="5.80253"/>
    <n v="0"/>
    <n v="73.23"/>
    <n v="1.0009999999999999"/>
    <n v="1.7000000000000001E-2"/>
    <n v="0"/>
    <n v="1"/>
    <n v="0"/>
    <s v="Yes"/>
    <n v="73175"/>
    <n v="63851"/>
    <n v="6835"/>
    <s v="Blowjob"/>
    <x v="0"/>
    <x v="3"/>
  </r>
  <r>
    <s v="PAUSED"/>
    <n v="1012914882"/>
    <x v="693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5"/>
  </r>
  <r>
    <s v="PAUSED"/>
    <n v="1012914892"/>
    <x v="694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5"/>
  </r>
  <r>
    <s v="PAUSED"/>
    <n v="1012914902"/>
    <x v="695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5"/>
  </r>
  <r>
    <s v="PAUSED"/>
    <n v="1012914912"/>
    <x v="696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5"/>
  </r>
  <r>
    <s v="PAUSED"/>
    <n v="1012914922"/>
    <x v="572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"/>
  </r>
  <r>
    <s v="PAUSED"/>
    <n v="1012914992"/>
    <x v="697"/>
    <s v="nsfw"/>
    <d v="1899-12-30T09:16:00"/>
    <s v="In-Stream Video"/>
    <s v="TJX"/>
    <s v="mobile"/>
    <s v="GEO,Frequency,OS,BrowserLanguage"/>
    <n v="3"/>
    <n v="0"/>
    <s v="Yes"/>
    <s v="Unlimited"/>
    <n v="0"/>
    <n v="0"/>
    <n v="0"/>
    <m/>
    <n v="0"/>
    <n v="0"/>
    <n v="0"/>
    <n v="0"/>
    <n v="1"/>
    <n v="0"/>
    <s v="Yes"/>
    <m/>
    <m/>
    <m/>
    <s v="Shorties"/>
    <x v="0"/>
    <x v="2"/>
  </r>
  <r>
    <s v="RUNNING"/>
    <n v="1012915002"/>
    <x v="698"/>
    <s v="nsfw"/>
    <d v="1899-12-30T09:16:00"/>
    <s v="In-Stream Video"/>
    <s v="TJX"/>
    <s v="mobile"/>
    <s v="GEO,Frequency,OS,BrowserLanguage"/>
    <n v="3"/>
    <n v="0"/>
    <s v="Yes"/>
    <s v="Unlimited"/>
    <n v="502258"/>
    <n v="6584"/>
    <n v="1.31088"/>
    <n v="15"/>
    <n v="1818.17"/>
    <n v="3.62"/>
    <n v="0.27600000000000002"/>
    <n v="121.212"/>
    <n v="1"/>
    <n v="0"/>
    <s v="Yes"/>
    <n v="502241"/>
    <n v="0"/>
    <n v="7298"/>
    <s v="Shorties"/>
    <x v="0"/>
    <x v="2"/>
  </r>
  <r>
    <s v="RUNNING"/>
    <n v="1012915022"/>
    <x v="699"/>
    <s v="nsfw"/>
    <d v="1899-12-30T09:16:00"/>
    <s v="In-Stream Video"/>
    <s v="TJX"/>
    <s v="mobile"/>
    <s v="GEO,Frequency,OS,BrowserLanguage"/>
    <n v="3"/>
    <n v="0"/>
    <s v="Yes"/>
    <s v="Unlimited"/>
    <n v="100926"/>
    <n v="1146"/>
    <n v="1.1354900000000001"/>
    <n v="4"/>
    <n v="183.99"/>
    <n v="1.823"/>
    <n v="0.161"/>
    <n v="45.997"/>
    <n v="1"/>
    <n v="0"/>
    <s v="Yes"/>
    <n v="100926"/>
    <n v="0"/>
    <n v="1300"/>
    <s v="Shorties"/>
    <x v="0"/>
    <x v="2"/>
  </r>
  <r>
    <s v="RUNNING"/>
    <n v="1012915032"/>
    <x v="700"/>
    <s v="nsfw"/>
    <d v="1899-12-30T09:16:00"/>
    <s v="In-Stream Video"/>
    <s v="TJX"/>
    <s v="mobile"/>
    <s v="GEO,Frequency,OS,BrowserLanguage"/>
    <n v="3"/>
    <n v="0"/>
    <s v="Yes"/>
    <s v="Unlimited"/>
    <n v="29812"/>
    <n v="342"/>
    <n v="1.1471899999999999"/>
    <n v="1"/>
    <n v="40.78"/>
    <n v="1.3680000000000001"/>
    <n v="0.11899999999999999"/>
    <n v="40.783000000000001"/>
    <n v="1"/>
    <n v="0"/>
    <s v="Yes"/>
    <n v="29812"/>
    <n v="0"/>
    <n v="428"/>
    <s v="Shorties"/>
    <x v="0"/>
    <x v="2"/>
  </r>
  <r>
    <s v="PAUSED"/>
    <n v="1012915042"/>
    <x v="701"/>
    <s v="nsfw"/>
    <d v="1899-12-30T09:16:00"/>
    <s v="In-Stream Video"/>
    <s v="TJX"/>
    <s v="mobile"/>
    <s v="GEO,Frequency,OS,BrowserLanguage"/>
    <n v="3"/>
    <n v="0"/>
    <s v="Yes"/>
    <s v="Unlimited"/>
    <n v="0"/>
    <n v="0"/>
    <n v="0"/>
    <m/>
    <n v="0"/>
    <n v="0"/>
    <n v="0"/>
    <n v="0"/>
    <n v="1"/>
    <n v="0"/>
    <s v="Yes"/>
    <m/>
    <m/>
    <m/>
    <s v="Shorties"/>
    <x v="0"/>
    <x v="2"/>
  </r>
  <r>
    <s v="RUNNING"/>
    <n v="1012915052"/>
    <x v="702"/>
    <s v="nsfw"/>
    <d v="1899-12-30T09:16:00"/>
    <s v="In-Stream Video"/>
    <s v="TJX"/>
    <s v="mobile"/>
    <s v="GEO,Frequency,OS,BrowserLanguage"/>
    <n v="3"/>
    <n v="0"/>
    <s v="Yes"/>
    <s v="Unlimited"/>
    <n v="10672"/>
    <n v="114"/>
    <n v="1.0682199999999999"/>
    <n v="0"/>
    <n v="3.9"/>
    <n v="0.36499999999999999"/>
    <n v="3.4000000000000002E-2"/>
    <n v="0"/>
    <n v="1"/>
    <n v="0"/>
    <s v="Yes"/>
    <n v="10672"/>
    <n v="0"/>
    <n v="79"/>
    <s v="Shorties"/>
    <x v="0"/>
    <x v="2"/>
  </r>
  <r>
    <s v="PAUSED"/>
    <n v="1012915072"/>
    <x v="703"/>
    <s v="nsfw"/>
    <d v="1899-12-30T09:16:00"/>
    <s v="In-Stream Video"/>
    <s v="TJX"/>
    <s v="mobile"/>
    <s v="GEO,Frequency,OS,BrowserLanguage"/>
    <n v="3"/>
    <n v="0"/>
    <s v="Yes"/>
    <s v="Unlimited"/>
    <n v="81346"/>
    <n v="766"/>
    <n v="0.94166000000000005"/>
    <n v="1"/>
    <n v="222.4"/>
    <n v="2.734"/>
    <n v="0.28999999999999998"/>
    <n v="222.4"/>
    <n v="1"/>
    <n v="0"/>
    <s v="Yes"/>
    <n v="81346"/>
    <n v="0"/>
    <n v="814"/>
    <s v="Shorties"/>
    <x v="0"/>
    <x v="2"/>
  </r>
  <r>
    <s v="PAUSED"/>
    <n v="1012915082"/>
    <x v="704"/>
    <s v="nsfw"/>
    <d v="1899-12-30T09:16:00"/>
    <s v="In-Stream Video"/>
    <s v="TJX"/>
    <s v="mobile"/>
    <s v="GEO,Frequency,OS,BrowserLanguage"/>
    <n v="3"/>
    <n v="0"/>
    <s v="Yes"/>
    <s v="Unlimited"/>
    <n v="0"/>
    <n v="0"/>
    <n v="0"/>
    <m/>
    <n v="0"/>
    <n v="0"/>
    <n v="0"/>
    <n v="0"/>
    <n v="1"/>
    <n v="0"/>
    <s v="Yes"/>
    <m/>
    <m/>
    <m/>
    <s v="Shorties"/>
    <x v="0"/>
    <x v="2"/>
  </r>
  <r>
    <s v="RUNNING"/>
    <n v="1012915092"/>
    <x v="705"/>
    <s v="nsfw"/>
    <d v="1899-12-30T09:16:00"/>
    <s v="In-Stream Video"/>
    <s v="TJX"/>
    <s v="mobile"/>
    <s v="GEO,Frequency,OS,BrowserLanguage"/>
    <n v="3"/>
    <n v="0"/>
    <s v="Yes"/>
    <s v="Unlimited"/>
    <n v="162012"/>
    <n v="1410"/>
    <n v="0.87031000000000003"/>
    <n v="1"/>
    <n v="295.35000000000002"/>
    <n v="1.823"/>
    <n v="0.20899999999999999"/>
    <n v="295.34800000000001"/>
    <n v="1"/>
    <n v="0"/>
    <s v="Yes"/>
    <n v="162014"/>
    <n v="0"/>
    <n v="1682"/>
    <s v="Shorties"/>
    <x v="0"/>
    <x v="2"/>
  </r>
  <r>
    <s v="RUNNING"/>
    <n v="1012915102"/>
    <x v="706"/>
    <s v="nsfw"/>
    <d v="1899-12-30T09:16:00"/>
    <s v="In-Stream Video"/>
    <s v="TJX"/>
    <s v="mobile"/>
    <s v="GEO,Frequency,OS,BrowserLanguage"/>
    <n v="3"/>
    <n v="0"/>
    <s v="Yes"/>
    <s v="Unlimited"/>
    <n v="8414"/>
    <n v="54"/>
    <n v="0.64178999999999997"/>
    <n v="0"/>
    <n v="3.07"/>
    <n v="0.36499999999999999"/>
    <n v="5.7000000000000002E-2"/>
    <n v="0"/>
    <n v="1"/>
    <n v="0"/>
    <s v="Yes"/>
    <n v="8413"/>
    <n v="0"/>
    <n v="33"/>
    <s v="Shorties"/>
    <x v="0"/>
    <x v="2"/>
  </r>
  <r>
    <s v="PAUSED"/>
    <n v="1012915132"/>
    <x v="538"/>
    <s v="nsfw"/>
    <d v="1899-12-30T16:09:00"/>
    <s v="In-Stream Video"/>
    <s v="TJX"/>
    <s v="desktop"/>
    <s v="GEO,Frequency,Keyword,BrowserLanguage"/>
    <n v="36"/>
    <n v="0"/>
    <s v="No"/>
    <n v="250"/>
    <n v="1"/>
    <n v="0"/>
    <n v="0"/>
    <n v="0"/>
    <n v="0"/>
    <n v="1.0820000000000001"/>
    <n v="0"/>
    <n v="0"/>
    <n v="1"/>
    <n v="0"/>
    <s v="Yes"/>
    <n v="1"/>
    <n v="0"/>
    <n v="0"/>
    <s v="Cowgirl"/>
    <x v="0"/>
    <x v="1"/>
  </r>
  <r>
    <s v="PAUSED"/>
    <n v="1012915142"/>
    <x v="564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"/>
  </r>
  <r>
    <s v="PAUSED"/>
    <n v="1012915172"/>
    <x v="282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"/>
  </r>
  <r>
    <s v="PAUSED"/>
    <n v="1012915182"/>
    <x v="279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"/>
  </r>
  <r>
    <s v="PAUSED"/>
    <n v="1012915192"/>
    <x v="285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"/>
  </r>
  <r>
    <s v="PAUSED"/>
    <n v="1012915202"/>
    <x v="707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6"/>
  </r>
  <r>
    <s v="PAUSED"/>
    <n v="1012915212"/>
    <x v="574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"/>
  </r>
  <r>
    <s v="PAUSED"/>
    <n v="1012915222"/>
    <x v="708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6"/>
  </r>
  <r>
    <s v="PAUSED"/>
    <n v="1012915232"/>
    <x v="709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6"/>
  </r>
  <r>
    <s v="PAUSED"/>
    <n v="1012915242"/>
    <x v="286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5"/>
  </r>
  <r>
    <s v="PAUSED"/>
    <n v="1012915252"/>
    <x v="710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6"/>
  </r>
  <r>
    <s v="RUNNING"/>
    <n v="1012915262"/>
    <x v="711"/>
    <s v="nsfw"/>
    <d v="1899-12-30T16:09:00"/>
    <s v="In-Stream Video"/>
    <s v="TJX"/>
    <s v="desktop"/>
    <s v="GEO,Frequency,Keyword,BrowserLanguage"/>
    <n v="36"/>
    <n v="0"/>
    <s v="No"/>
    <n v="250"/>
    <n v="11471"/>
    <n v="474"/>
    <n v="4.1321599999999998"/>
    <n v="0"/>
    <n v="11.1"/>
    <n v="0.96799999999999997"/>
    <n v="2.3E-2"/>
    <n v="0"/>
    <n v="1"/>
    <n v="0"/>
    <s v="Yes"/>
    <n v="11471"/>
    <n v="8097"/>
    <n v="1775"/>
    <s v="Cowgirl"/>
    <x v="0"/>
    <x v="3"/>
  </r>
  <r>
    <s v="PAUSED"/>
    <n v="1012915272"/>
    <x v="287"/>
    <s v="nsfw"/>
    <d v="1899-12-30T16:09:00"/>
    <s v="In-Stream Video"/>
    <s v="TJX"/>
    <s v="desktop"/>
    <s v="GEO,Frequency,Keyword,BrowserLanguage"/>
    <n v="36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"/>
  </r>
  <r>
    <s v="PAUSED"/>
    <n v="1012915282"/>
    <x v="284"/>
    <s v="nsfw"/>
    <d v="1899-12-30T16:09:00"/>
    <s v="In-Stream Video"/>
    <s v="TJX"/>
    <s v="desktop"/>
    <s v="GEO,Frequency,Keyword,BrowserLanguage"/>
    <n v="36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"/>
  </r>
  <r>
    <s v="PAUSED"/>
    <n v="1012915292"/>
    <x v="537"/>
    <s v="nsfw"/>
    <d v="1899-12-30T16:09:00"/>
    <s v="In-Stream Video"/>
    <s v="TJX"/>
    <s v="desktop"/>
    <s v="GEO,Frequency,Keyword,BrowserLanguage"/>
    <n v="36"/>
    <n v="0"/>
    <s v="No"/>
    <n v="250"/>
    <n v="3"/>
    <n v="0"/>
    <n v="0"/>
    <n v="0"/>
    <n v="0.01"/>
    <n v="1.7430000000000001"/>
    <n v="0"/>
    <n v="0"/>
    <n v="1"/>
    <n v="0"/>
    <s v="Yes"/>
    <n v="3"/>
    <n v="1"/>
    <n v="0"/>
    <s v="Cowgirl"/>
    <x v="0"/>
    <x v="3"/>
  </r>
  <r>
    <s v="PAUSED"/>
    <n v="1012915392"/>
    <x v="73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Trans"/>
    <x v="0"/>
    <x v="1"/>
  </r>
  <r>
    <s v="RUNNING"/>
    <n v="1012915402"/>
    <x v="74"/>
    <s v="nsfw"/>
    <d v="1899-12-30T16:09:00"/>
    <s v="In-Stream Video"/>
    <s v="TJX"/>
    <s v="desktop"/>
    <s v="GEO,Frequency,BrowserLanguage"/>
    <n v="16"/>
    <n v="0"/>
    <s v="Yes"/>
    <s v="Unlimited"/>
    <n v="236407"/>
    <n v="10487"/>
    <n v="4.4359900000000003"/>
    <n v="7"/>
    <n v="654.46"/>
    <n v="2.7679999999999998"/>
    <n v="6.2E-2"/>
    <n v="93.494"/>
    <n v="1"/>
    <n v="0"/>
    <s v="Yes"/>
    <n v="236399"/>
    <n v="186727"/>
    <n v="25700"/>
    <s v="Trans"/>
    <x v="0"/>
    <x v="6"/>
  </r>
  <r>
    <s v="PAUSED"/>
    <n v="1012915422"/>
    <x v="576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Trans"/>
    <x v="0"/>
    <x v="1"/>
  </r>
  <r>
    <s v="PAUSED"/>
    <n v="1012915432"/>
    <x v="712"/>
    <s v="nsfw"/>
    <d v="1899-12-30T16:09:00"/>
    <s v="In-Stream Video"/>
    <s v="TJX"/>
    <s v="desktop"/>
    <s v="GEO,Frequency,BrowserLanguage,Segment"/>
    <n v="36"/>
    <n v="0"/>
    <s v="No"/>
    <n v="250"/>
    <n v="1"/>
    <n v="0"/>
    <n v="0"/>
    <n v="0"/>
    <n v="0"/>
    <n v="3.8109999999999999"/>
    <n v="0"/>
    <n v="0"/>
    <n v="1"/>
    <n v="0"/>
    <s v="Yes"/>
    <n v="1"/>
    <n v="1"/>
    <n v="0"/>
    <s v="Erotica Interest"/>
    <x v="0"/>
    <x v="17"/>
  </r>
  <r>
    <s v="PAUSED"/>
    <n v="1012915442"/>
    <x v="713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Erotica Interest"/>
    <x v="0"/>
    <x v="17"/>
  </r>
  <r>
    <s v="RUNNING"/>
    <n v="1012915452"/>
    <x v="714"/>
    <s v="nsfw"/>
    <d v="1899-12-30T16:09:00"/>
    <s v="In-Stream Video"/>
    <s v="TJX"/>
    <s v="mobile"/>
    <s v="GEO,Frequency,OS,BrowserLanguage,Segment"/>
    <n v="90"/>
    <n v="0"/>
    <s v="No"/>
    <n v="250"/>
    <n v="17000"/>
    <n v="940"/>
    <n v="5.5294100000000004"/>
    <n v="1"/>
    <n v="53.88"/>
    <n v="3.169"/>
    <n v="5.7000000000000002E-2"/>
    <n v="53.875999999999998"/>
    <n v="1"/>
    <n v="0"/>
    <s v="Yes"/>
    <n v="16992"/>
    <n v="15064"/>
    <n v="1366"/>
    <s v="Erotica Interest"/>
    <x v="0"/>
    <x v="3"/>
  </r>
  <r>
    <s v="RUNNING"/>
    <n v="1012915462"/>
    <x v="715"/>
    <s v="nsfw"/>
    <d v="1899-12-30T16:09:00"/>
    <s v="In-Stream Video"/>
    <s v="TJX"/>
    <s v="desktop"/>
    <s v="GEO,Frequency,BrowserLanguage,Segment"/>
    <n v="36"/>
    <n v="0"/>
    <s v="Yes"/>
    <s v="Unlimited"/>
    <n v="4845"/>
    <n v="262"/>
    <n v="5.4076399999999998"/>
    <n v="1"/>
    <n v="12.09"/>
    <n v="2.4940000000000002"/>
    <n v="4.5999999999999999E-2"/>
    <n v="12.085000000000001"/>
    <n v="1"/>
    <n v="0"/>
    <s v="Yes"/>
    <n v="4845"/>
    <n v="3639"/>
    <n v="661"/>
    <s v="Erotica Interest"/>
    <x v="0"/>
    <x v="3"/>
  </r>
  <r>
    <s v="RUNNING"/>
    <n v="1012915472"/>
    <x v="716"/>
    <s v="nsfw"/>
    <d v="1899-12-30T16:09:00"/>
    <s v="In-Stream Video"/>
    <s v="TJX"/>
    <s v="desktop"/>
    <s v="GEO,Frequency,BrowserLanguage,Segment"/>
    <n v="36"/>
    <n v="0"/>
    <s v="No"/>
    <n v="250"/>
    <n v="1282"/>
    <n v="49"/>
    <n v="3.8221500000000002"/>
    <n v="0"/>
    <n v="3.58"/>
    <n v="2.7949999999999999"/>
    <n v="7.2999999999999995E-2"/>
    <n v="0"/>
    <n v="1"/>
    <n v="0"/>
    <s v="Yes"/>
    <n v="1282"/>
    <n v="1009"/>
    <n v="163"/>
    <s v="Erotica Interest"/>
    <x v="0"/>
    <x v="3"/>
  </r>
  <r>
    <s v="RUNNING"/>
    <n v="1012915482"/>
    <x v="717"/>
    <s v="nsfw"/>
    <d v="1899-12-30T16:09:00"/>
    <s v="In-Stream Video"/>
    <s v="TJX"/>
    <s v="desktop"/>
    <s v="GEO,Frequency,BrowserLanguage,Segment"/>
    <n v="36"/>
    <n v="0"/>
    <s v="No"/>
    <n v="250"/>
    <n v="8068"/>
    <n v="381"/>
    <n v="4.7223600000000001"/>
    <n v="0"/>
    <n v="20.66"/>
    <n v="2.5609999999999999"/>
    <n v="5.3999999999999999E-2"/>
    <n v="0"/>
    <n v="1"/>
    <n v="0"/>
    <s v="Yes"/>
    <n v="8068"/>
    <n v="6208"/>
    <n v="1001"/>
    <s v="Erotica Interest"/>
    <x v="0"/>
    <x v="3"/>
  </r>
  <r>
    <s v="NOT RUNNING"/>
    <n v="1012915492"/>
    <x v="718"/>
    <s v="nsfw"/>
    <d v="1899-12-30T16:09:00"/>
    <s v="In-Stream Video"/>
    <s v="TJX"/>
    <s v="desktop"/>
    <s v="GEO,Frequency,BrowserLanguage,Segment"/>
    <n v="36"/>
    <n v="0"/>
    <s v="No"/>
    <n v="250"/>
    <n v="208"/>
    <n v="4"/>
    <n v="1.9230799999999999"/>
    <n v="0"/>
    <n v="0.12"/>
    <n v="0.59"/>
    <n v="3.1E-2"/>
    <n v="0"/>
    <n v="1"/>
    <n v="0"/>
    <s v="Yes"/>
    <n v="208"/>
    <n v="144"/>
    <n v="37"/>
    <s v="Erotica Interest"/>
    <x v="0"/>
    <x v="3"/>
  </r>
  <r>
    <s v="NOT RUNNING"/>
    <n v="1012915502"/>
    <x v="719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Erotica Interest"/>
    <x v="0"/>
    <x v="17"/>
  </r>
  <r>
    <s v="RUNNING"/>
    <n v="1012915512"/>
    <x v="720"/>
    <s v="nsfw"/>
    <d v="1899-12-30T16:09:00"/>
    <s v="In-Stream Video"/>
    <s v="TJX"/>
    <s v="mobile"/>
    <s v="GEO,Frequency,OS,BrowserLanguage,Segment"/>
    <n v="90"/>
    <n v="0"/>
    <s v="Yes"/>
    <s v="Unlimited"/>
    <n v="23974"/>
    <n v="1030"/>
    <n v="4.2963100000000001"/>
    <n v="1"/>
    <n v="51.16"/>
    <n v="2.1339999999999999"/>
    <n v="0.05"/>
    <n v="51.164000000000001"/>
    <n v="1"/>
    <n v="0"/>
    <s v="Yes"/>
    <n v="23974"/>
    <n v="21430"/>
    <n v="1841"/>
    <s v="Erotica Interest"/>
    <x v="0"/>
    <x v="3"/>
  </r>
  <r>
    <s v="NOT RUNNING"/>
    <n v="1012915522"/>
    <x v="721"/>
    <s v="nsfw"/>
    <d v="1899-12-30T16:09:00"/>
    <s v="In-Stream Video"/>
    <s v="TJX"/>
    <s v="mobile"/>
    <s v="GEO,Frequency,OS,BrowserLanguage,Segment"/>
    <n v="90"/>
    <n v="0"/>
    <s v="No"/>
    <n v="250"/>
    <n v="124"/>
    <n v="9"/>
    <n v="7.2580600000000004"/>
    <n v="0"/>
    <n v="0.09"/>
    <n v="0.72799999999999998"/>
    <n v="0.01"/>
    <n v="0"/>
    <n v="1"/>
    <n v="0"/>
    <s v="Yes"/>
    <n v="124"/>
    <n v="109"/>
    <n v="10"/>
    <s v="Erotica Interest"/>
    <x v="0"/>
    <x v="3"/>
  </r>
  <r>
    <s v="NOT RUNNING"/>
    <n v="1012915532"/>
    <x v="722"/>
    <s v="nsfw"/>
    <d v="1899-12-30T16:09:00"/>
    <s v="In-Stream Video"/>
    <s v="TJX"/>
    <s v="mobile"/>
    <s v="GEO,Frequency,OS,BrowserLanguage,Segment"/>
    <n v="90"/>
    <n v="0"/>
    <s v="No"/>
    <n v="250"/>
    <n v="242"/>
    <n v="10"/>
    <n v="4.1322299999999998"/>
    <n v="0"/>
    <n v="0.14000000000000001"/>
    <n v="0.58099999999999996"/>
    <n v="1.4E-2"/>
    <n v="0"/>
    <n v="1"/>
    <n v="0"/>
    <s v="Yes"/>
    <n v="242"/>
    <n v="208"/>
    <n v="25"/>
    <s v="Erotica Interest"/>
    <x v="0"/>
    <x v="3"/>
  </r>
  <r>
    <s v="NOT RUNNING"/>
    <n v="1012915552"/>
    <x v="723"/>
    <s v="nsfw"/>
    <d v="1899-12-30T16:09:00"/>
    <s v="In-Stream Video"/>
    <s v="TJX"/>
    <s v="mobile"/>
    <s v="GEO,Frequency,OS,BrowserLanguage,Segment"/>
    <n v="90"/>
    <n v="0"/>
    <s v="No"/>
    <n v="250"/>
    <n v="10"/>
    <n v="0"/>
    <n v="0"/>
    <n v="0"/>
    <n v="0.01"/>
    <n v="0.629"/>
    <n v="0"/>
    <n v="0"/>
    <n v="1"/>
    <n v="0"/>
    <s v="Yes"/>
    <n v="10"/>
    <n v="8"/>
    <n v="2"/>
    <s v="Erotica Interest"/>
    <x v="0"/>
    <x v="3"/>
  </r>
  <r>
    <s v="RUNNING"/>
    <n v="1012915562"/>
    <x v="724"/>
    <s v="nsfw"/>
    <d v="1899-12-30T16:09:00"/>
    <s v="In-Stream Video"/>
    <s v="TJX"/>
    <s v="mobile"/>
    <s v="GEO,Frequency,OS,BrowserLanguage,Segment"/>
    <n v="90"/>
    <n v="0"/>
    <s v="No"/>
    <n v="250"/>
    <n v="18634"/>
    <n v="973"/>
    <n v="5.2216399999999998"/>
    <n v="0"/>
    <n v="35.78"/>
    <n v="1.92"/>
    <n v="3.6999999999999998E-2"/>
    <n v="0"/>
    <n v="1"/>
    <n v="0"/>
    <s v="Yes"/>
    <n v="18634"/>
    <n v="16585"/>
    <n v="1480"/>
    <s v="Erotica Interest"/>
    <x v="0"/>
    <x v="3"/>
  </r>
  <r>
    <s v="NOT RUNNING"/>
    <n v="1012915572"/>
    <x v="725"/>
    <s v="nsfw"/>
    <d v="1899-12-30T16:09:00"/>
    <s v="In-Stream Video"/>
    <s v="TJX"/>
    <s v="mobile"/>
    <s v="GEO,Frequency,OS,BrowserLanguage,Segment"/>
    <n v="90"/>
    <n v="0"/>
    <s v="No"/>
    <n v="250"/>
    <n v="51"/>
    <n v="10"/>
    <n v="19.607839999999999"/>
    <n v="0"/>
    <n v="0.04"/>
    <n v="0.72799999999999998"/>
    <n v="4.0000000000000001E-3"/>
    <n v="0"/>
    <n v="1"/>
    <n v="0"/>
    <s v="Yes"/>
    <n v="51"/>
    <n v="41"/>
    <n v="5"/>
    <s v="Erotica Interest"/>
    <x v="0"/>
    <x v="3"/>
  </r>
  <r>
    <s v="NOT RUNNING"/>
    <n v="1012915582"/>
    <x v="726"/>
    <s v="nsfw"/>
    <d v="1899-12-30T16:09:00"/>
    <s v="In-Stream Video"/>
    <s v="TJX"/>
    <s v="mobile"/>
    <s v="GEO,Frequency,OS,BrowserLanguage,Segment"/>
    <n v="90"/>
    <n v="0"/>
    <s v="No"/>
    <n v="250"/>
    <n v="130"/>
    <n v="7"/>
    <n v="5.38462"/>
    <n v="0"/>
    <n v="0.08"/>
    <n v="0.57999999999999996"/>
    <n v="1.0999999999999999E-2"/>
    <n v="0"/>
    <n v="1"/>
    <n v="0"/>
    <s v="Yes"/>
    <n v="130"/>
    <n v="113"/>
    <n v="15"/>
    <s v="Erotica Interest"/>
    <x v="0"/>
    <x v="3"/>
  </r>
  <r>
    <s v="RUNNING"/>
    <n v="1012915592"/>
    <x v="727"/>
    <s v="nsfw"/>
    <d v="1899-12-30T16:09:00"/>
    <s v="In-Stream Video"/>
    <s v="TJX"/>
    <s v="desktop"/>
    <s v="GEO,Frequency,BrowserLanguage,Segment"/>
    <n v="36"/>
    <n v="0"/>
    <s v="No"/>
    <n v="250"/>
    <n v="7487"/>
    <n v="412"/>
    <n v="5.5028699999999997"/>
    <n v="0"/>
    <n v="28.37"/>
    <n v="3.7890000000000001"/>
    <n v="6.9000000000000006E-2"/>
    <n v="0"/>
    <n v="1"/>
    <n v="0"/>
    <s v="Yes"/>
    <n v="7487"/>
    <n v="5648"/>
    <n v="1010"/>
    <s v="VR Intent"/>
    <x v="0"/>
    <x v="3"/>
  </r>
  <r>
    <s v="PAUSED"/>
    <n v="1012915602"/>
    <x v="728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R Intent"/>
    <x v="0"/>
    <x v="18"/>
  </r>
  <r>
    <s v="RUNNING"/>
    <n v="1012915612"/>
    <x v="729"/>
    <s v="nsfw"/>
    <d v="1899-12-30T16:09:00"/>
    <s v="In-Stream Video"/>
    <s v="TJX"/>
    <s v="mobile"/>
    <s v="GEO,Frequency,OS,BrowserLanguage,Segment"/>
    <n v="90"/>
    <n v="0"/>
    <s v="Yes"/>
    <s v="Unlimited"/>
    <n v="55728"/>
    <n v="4239"/>
    <n v="7.6065899999999997"/>
    <n v="3"/>
    <n v="181.13"/>
    <n v="3.25"/>
    <n v="4.2999999999999997E-2"/>
    <n v="60.377000000000002"/>
    <n v="1"/>
    <n v="0"/>
    <s v="Yes"/>
    <n v="55728"/>
    <n v="47855"/>
    <n v="5419"/>
    <s v="VR Intent"/>
    <x v="0"/>
    <x v="3"/>
  </r>
  <r>
    <s v="RUNNING"/>
    <n v="1012915622"/>
    <x v="730"/>
    <s v="nsfw"/>
    <d v="1899-12-30T16:09:00"/>
    <s v="In-Stream Video"/>
    <s v="TJX"/>
    <s v="desktop"/>
    <s v="GEO,Frequency,BrowserLanguage,Segment"/>
    <n v="36"/>
    <n v="0"/>
    <s v="No"/>
    <n v="250"/>
    <n v="629"/>
    <n v="28"/>
    <n v="4.4515099999999999"/>
    <n v="0"/>
    <n v="1.55"/>
    <n v="2.4700000000000002"/>
    <n v="5.5E-2"/>
    <n v="0"/>
    <n v="1"/>
    <n v="0"/>
    <s v="Yes"/>
    <n v="629"/>
    <n v="424"/>
    <n v="134"/>
    <s v="VR Intent"/>
    <x v="0"/>
    <x v="3"/>
  </r>
  <r>
    <s v="RUNNING"/>
    <n v="1012915652"/>
    <x v="731"/>
    <s v="nsfw"/>
    <d v="1899-12-30T16:09:00"/>
    <s v="In-Stream Video"/>
    <s v="TJX"/>
    <s v="desktop"/>
    <s v="GEO,Frequency,BrowserLanguage,Segment"/>
    <n v="36"/>
    <n v="0"/>
    <s v="No"/>
    <n v="250"/>
    <n v="388"/>
    <n v="31"/>
    <n v="7.9896900000000004"/>
    <n v="0"/>
    <n v="1.08"/>
    <n v="2.7949999999999999"/>
    <n v="3.5000000000000003E-2"/>
    <n v="0"/>
    <n v="1"/>
    <n v="0"/>
    <s v="Yes"/>
    <n v="388"/>
    <n v="292"/>
    <n v="51"/>
    <s v="VR Intent"/>
    <x v="0"/>
    <x v="3"/>
  </r>
  <r>
    <s v="NOT RUNNING"/>
    <n v="1012915672"/>
    <x v="732"/>
    <s v="nsfw"/>
    <d v="1899-12-30T16:09:00"/>
    <s v="In-Stream Video"/>
    <s v="TJX"/>
    <s v="desktop"/>
    <s v="GEO,Frequency,BrowserLanguage,Segment"/>
    <n v="36"/>
    <n v="0"/>
    <s v="No"/>
    <n v="250"/>
    <n v="11"/>
    <n v="2"/>
    <n v="18.181809999999999"/>
    <n v="0"/>
    <n v="0.01"/>
    <n v="0.57799999999999996"/>
    <n v="3.0000000000000001E-3"/>
    <n v="0"/>
    <n v="1"/>
    <n v="0"/>
    <s v="Yes"/>
    <n v="11"/>
    <n v="8"/>
    <n v="2"/>
    <s v="VR Intent"/>
    <x v="0"/>
    <x v="3"/>
  </r>
  <r>
    <s v="RUNNING"/>
    <n v="1012915682"/>
    <x v="733"/>
    <s v="nsfw"/>
    <d v="1899-12-30T16:09:00"/>
    <s v="In-Stream Video"/>
    <s v="TJX"/>
    <s v="desktop"/>
    <s v="GEO,Frequency,BrowserLanguage,Segment"/>
    <n v="36"/>
    <n v="0"/>
    <s v="No"/>
    <n v="250"/>
    <n v="1405"/>
    <n v="92"/>
    <n v="6.5480400000000003"/>
    <n v="0"/>
    <n v="3.56"/>
    <n v="2.532"/>
    <n v="3.9E-2"/>
    <n v="0"/>
    <n v="1"/>
    <n v="0"/>
    <s v="Yes"/>
    <n v="1405"/>
    <n v="1045"/>
    <n v="191"/>
    <s v="VR Intent"/>
    <x v="0"/>
    <x v="3"/>
  </r>
  <r>
    <s v="NOT RUNNING"/>
    <n v="1012915692"/>
    <x v="734"/>
    <s v="nsfw"/>
    <d v="1899-12-30T16:09:00"/>
    <s v="In-Stream Video"/>
    <s v="TJX"/>
    <s v="mobile"/>
    <s v="GEO,Frequency,OS,BrowserLanguage,Segment"/>
    <n v="90"/>
    <n v="0"/>
    <s v="No"/>
    <n v="250"/>
    <n v="29"/>
    <n v="2"/>
    <n v="6.8965500000000004"/>
    <n v="0"/>
    <n v="0.02"/>
    <n v="0.73199999999999998"/>
    <n v="1.0999999999999999E-2"/>
    <n v="0"/>
    <n v="1"/>
    <n v="0"/>
    <s v="Yes"/>
    <n v="29"/>
    <n v="25"/>
    <n v="3"/>
    <s v="VR Intent"/>
    <x v="0"/>
    <x v="3"/>
  </r>
  <r>
    <s v="NOT RUNNING"/>
    <n v="1012915702"/>
    <x v="735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R Intent"/>
    <x v="0"/>
    <x v="18"/>
  </r>
  <r>
    <s v="RUNNING"/>
    <n v="1012915712"/>
    <x v="736"/>
    <s v="nsfw"/>
    <d v="1899-12-30T16:09:00"/>
    <s v="In-Stream Video"/>
    <s v="TJX"/>
    <s v="mobile"/>
    <s v="GEO,Frequency,OS,BrowserLanguage,Segment"/>
    <n v="90"/>
    <n v="0"/>
    <s v="No"/>
    <n v="250"/>
    <n v="22115"/>
    <n v="836"/>
    <n v="3.78024"/>
    <n v="0"/>
    <n v="46.97"/>
    <n v="2.1240000000000001"/>
    <n v="5.6000000000000001E-2"/>
    <n v="0"/>
    <n v="1"/>
    <n v="0"/>
    <s v="Yes"/>
    <n v="22115"/>
    <n v="19936"/>
    <n v="1670"/>
    <s v="VR Intent"/>
    <x v="0"/>
    <x v="3"/>
  </r>
  <r>
    <s v="NOT RUNNING"/>
    <n v="1012915722"/>
    <x v="737"/>
    <s v="nsfw"/>
    <d v="1899-12-30T16:09:00"/>
    <s v="In-Stream Video"/>
    <s v="TJX"/>
    <s v="mobile"/>
    <s v="GEO,Frequency,OS,BrowserLanguage,Segment"/>
    <n v="90"/>
    <n v="0"/>
    <s v="No"/>
    <n v="250"/>
    <n v="30"/>
    <n v="1"/>
    <n v="3.3333300000000001"/>
    <n v="0"/>
    <n v="0.02"/>
    <n v="0.58599999999999997"/>
    <n v="1.7999999999999999E-2"/>
    <n v="0"/>
    <n v="1"/>
    <n v="0"/>
    <s v="Yes"/>
    <n v="30"/>
    <n v="22"/>
    <n v="7"/>
    <s v="VR Intent"/>
    <x v="0"/>
    <x v="3"/>
  </r>
  <r>
    <s v="NOT RUNNING"/>
    <n v="1012915732"/>
    <x v="738"/>
    <s v="nsfw"/>
    <d v="1899-12-30T16:09:00"/>
    <s v="In-Stream Video"/>
    <s v="TJX"/>
    <s v="mobile"/>
    <s v="GEO,Frequency,OS,BrowserLanguage,Segment"/>
    <n v="90"/>
    <n v="0"/>
    <s v="No"/>
    <n v="250"/>
    <n v="14"/>
    <n v="4"/>
    <n v="28.571429999999999"/>
    <n v="0"/>
    <n v="0.01"/>
    <n v="0.53300000000000003"/>
    <n v="2E-3"/>
    <n v="0"/>
    <n v="1"/>
    <n v="0"/>
    <s v="Yes"/>
    <n v="14"/>
    <n v="11"/>
    <n v="2"/>
    <s v="VR Intent"/>
    <x v="0"/>
    <x v="3"/>
  </r>
  <r>
    <s v="RUNNING"/>
    <n v="1012915742"/>
    <x v="739"/>
    <s v="nsfw"/>
    <d v="1899-12-30T16:09:00"/>
    <s v="In-Stream Video"/>
    <s v="TJX"/>
    <s v="mobile"/>
    <s v="GEO,Frequency,OS,BrowserLanguage,Segment"/>
    <n v="90"/>
    <n v="0"/>
    <s v="No"/>
    <n v="250"/>
    <n v="12568"/>
    <n v="1002"/>
    <n v="7.9726299999999997"/>
    <n v="0"/>
    <n v="25.86"/>
    <n v="2.0569999999999999"/>
    <n v="2.5999999999999999E-2"/>
    <n v="0"/>
    <n v="1"/>
    <n v="0"/>
    <s v="Yes"/>
    <n v="12567"/>
    <n v="10608"/>
    <n v="1258"/>
    <s v="VR Intent"/>
    <x v="0"/>
    <x v="3"/>
  </r>
  <r>
    <s v="NOT RUNNING"/>
    <n v="1012915752"/>
    <x v="740"/>
    <s v="nsfw"/>
    <d v="1899-12-30T16:09:00"/>
    <s v="In-Stream Video"/>
    <s v="TJX"/>
    <s v="mobile"/>
    <s v="GEO,Frequency,OS,BrowserLanguage,Segment"/>
    <n v="90"/>
    <n v="0"/>
    <s v="No"/>
    <n v="250"/>
    <n v="44"/>
    <n v="4"/>
    <n v="9.0908999999999995"/>
    <n v="0"/>
    <n v="0.03"/>
    <n v="0.57699999999999996"/>
    <n v="6.0000000000000001E-3"/>
    <n v="0"/>
    <n v="1"/>
    <n v="0"/>
    <s v="Yes"/>
    <n v="44"/>
    <n v="35"/>
    <n v="8"/>
    <s v="VR Intent"/>
    <x v="0"/>
    <x v="3"/>
  </r>
  <r>
    <s v="NOT RUNNING"/>
    <n v="1012915762"/>
    <x v="741"/>
    <s v="nsfw"/>
    <d v="1899-12-30T16:09:00"/>
    <s v="In-Stream Video"/>
    <s v="TJX"/>
    <s v="mobile"/>
    <s v="GEO,Frequency,OS,BrowserLanguage,Segment"/>
    <n v="90"/>
    <n v="0"/>
    <s v="No"/>
    <n v="250"/>
    <n v="46"/>
    <n v="0"/>
    <n v="0"/>
    <n v="0"/>
    <n v="0.03"/>
    <n v="0.72899999999999998"/>
    <n v="0"/>
    <n v="0"/>
    <n v="1"/>
    <n v="0"/>
    <s v="Yes"/>
    <n v="46"/>
    <n v="36"/>
    <n v="5"/>
    <s v="VR Intent"/>
    <x v="0"/>
    <x v="3"/>
  </r>
  <r>
    <s v="PAUSED"/>
    <n v="1012915772"/>
    <x v="742"/>
    <s v="nsfw"/>
    <d v="1899-12-30T16:09:00"/>
    <s v="In-Stream Video"/>
    <s v="TJX"/>
    <s v="desktop"/>
    <s v="GEO,Frequency,BrowserLanguage,Segment"/>
    <n v="36"/>
    <n v="0"/>
    <s v="No"/>
    <n v="250"/>
    <n v="5"/>
    <n v="0"/>
    <n v="0"/>
    <n v="0"/>
    <n v="0.02"/>
    <n v="3.8109999999999999"/>
    <n v="0"/>
    <n v="0"/>
    <n v="1"/>
    <n v="0"/>
    <s v="Yes"/>
    <n v="5"/>
    <n v="3"/>
    <n v="0"/>
    <s v="VOD Hentai Intent"/>
    <x v="0"/>
    <x v="3"/>
  </r>
  <r>
    <s v="PAUSED"/>
    <n v="1012915792"/>
    <x v="743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OD Hentai Intent"/>
    <x v="0"/>
    <x v="19"/>
  </r>
  <r>
    <s v="PAUSED"/>
    <n v="1012915802"/>
    <x v="744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OD Hentai Intent"/>
    <x v="0"/>
    <x v="19"/>
  </r>
  <r>
    <s v="RUNNING"/>
    <n v="1012915832"/>
    <x v="745"/>
    <s v="nsfw"/>
    <d v="1899-12-30T16:09:00"/>
    <s v="In-Stream Video"/>
    <s v="TJX"/>
    <s v="desktop"/>
    <s v="GEO,Frequency,BrowserLanguage,Segment"/>
    <n v="36"/>
    <n v="0"/>
    <s v="No"/>
    <n v="250"/>
    <n v="267"/>
    <n v="18"/>
    <n v="6.7415700000000003"/>
    <n v="0"/>
    <n v="0.16"/>
    <n v="0.59"/>
    <n v="8.9999999999999993E-3"/>
    <n v="0"/>
    <n v="1"/>
    <n v="0"/>
    <s v="Yes"/>
    <n v="267"/>
    <n v="186"/>
    <n v="23"/>
    <s v="VOD Hentai Intent"/>
    <x v="0"/>
    <x v="3"/>
  </r>
  <r>
    <s v="RUNNING"/>
    <n v="1012915842"/>
    <x v="746"/>
    <s v="nsfw"/>
    <d v="1899-12-30T16:09:00"/>
    <s v="In-Stream Video"/>
    <s v="TJX"/>
    <s v="desktop"/>
    <s v="GEO,Frequency,BrowserLanguage,Segment"/>
    <n v="36"/>
    <n v="0"/>
    <s v="No"/>
    <n v="250"/>
    <n v="5089"/>
    <n v="291"/>
    <n v="5.7182199999999996"/>
    <n v="1"/>
    <n v="12.77"/>
    <n v="2.5089999999999999"/>
    <n v="4.3999999999999997E-2"/>
    <n v="12.769"/>
    <n v="1"/>
    <n v="0"/>
    <s v="Yes"/>
    <n v="5089"/>
    <n v="4027"/>
    <n v="480"/>
    <s v="VOD Hentai Intent"/>
    <x v="0"/>
    <x v="3"/>
  </r>
  <r>
    <s v="RUNNING"/>
    <n v="1012915852"/>
    <x v="747"/>
    <s v="nsfw"/>
    <d v="1899-12-30T16:09:00"/>
    <s v="In-Stream Video"/>
    <s v="TJX"/>
    <s v="desktop"/>
    <s v="GEO,Frequency,BrowserLanguage,Segment"/>
    <n v="36"/>
    <n v="0"/>
    <s v="No"/>
    <n v="250"/>
    <n v="7200"/>
    <n v="406"/>
    <n v="5.63889"/>
    <n v="0"/>
    <n v="18.59"/>
    <n v="2.581"/>
    <n v="4.5999999999999999E-2"/>
    <n v="0"/>
    <n v="1"/>
    <n v="0"/>
    <s v="Yes"/>
    <n v="7200"/>
    <n v="5637"/>
    <n v="670"/>
    <s v="VOD Hentai Intent"/>
    <x v="0"/>
    <x v="3"/>
  </r>
  <r>
    <s v="RUNNING"/>
    <n v="1012915862"/>
    <x v="748"/>
    <s v="nsfw"/>
    <d v="1899-12-30T16:09:00"/>
    <s v="In-Stream Video"/>
    <s v="TJX"/>
    <s v="desktop"/>
    <s v="GEO,Frequency,BrowserLanguage,Segment"/>
    <n v="36"/>
    <n v="0"/>
    <s v="No"/>
    <n v="250"/>
    <n v="516"/>
    <n v="28"/>
    <n v="5.4263599999999999"/>
    <n v="0"/>
    <n v="1.44"/>
    <n v="2.7879999999999998"/>
    <n v="5.0999999999999997E-2"/>
    <n v="0"/>
    <n v="1"/>
    <n v="0"/>
    <s v="Yes"/>
    <n v="516"/>
    <n v="391"/>
    <n v="50"/>
    <s v="VOD Hentai Intent"/>
    <x v="0"/>
    <x v="3"/>
  </r>
  <r>
    <s v="NOT RUNNING"/>
    <n v="1012915872"/>
    <x v="749"/>
    <s v="nsfw"/>
    <d v="1899-12-30T16:09:00"/>
    <s v="In-Stream Video"/>
    <s v="TJX"/>
    <s v="mobile"/>
    <s v="GEO,Frequency,OS,BrowserLanguage,Segment"/>
    <n v="90"/>
    <n v="0"/>
    <s v="No"/>
    <n v="250"/>
    <n v="32"/>
    <n v="5"/>
    <n v="15.625"/>
    <n v="0"/>
    <n v="0.02"/>
    <n v="0.69899999999999995"/>
    <n v="4.0000000000000001E-3"/>
    <n v="0"/>
    <n v="1"/>
    <n v="0"/>
    <s v="Yes"/>
    <n v="32"/>
    <n v="30"/>
    <n v="2"/>
    <s v="VOD Hentai Intent"/>
    <x v="0"/>
    <x v="3"/>
  </r>
  <r>
    <s v="RUNNING"/>
    <n v="1012915882"/>
    <x v="750"/>
    <s v="nsfw"/>
    <d v="1899-12-30T16:09:00"/>
    <s v="In-Stream Video"/>
    <s v="TJX"/>
    <s v="mobile"/>
    <s v="GEO,Frequency,OS,BrowserLanguage,Segment"/>
    <n v="90"/>
    <n v="0"/>
    <s v="No"/>
    <n v="250"/>
    <n v="21519"/>
    <n v="1051"/>
    <n v="4.8840599999999998"/>
    <n v="0"/>
    <n v="46.4"/>
    <n v="2.1560000000000001"/>
    <n v="4.3999999999999997E-2"/>
    <n v="0"/>
    <n v="1"/>
    <n v="0"/>
    <s v="Yes"/>
    <n v="21519"/>
    <n v="19310"/>
    <n v="1463"/>
    <s v="VOD Hentai Intent"/>
    <x v="0"/>
    <x v="3"/>
  </r>
  <r>
    <s v="NOT RUNNING"/>
    <n v="1012915892"/>
    <x v="751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OD Hentai Intent"/>
    <x v="0"/>
    <x v="19"/>
  </r>
  <r>
    <s v="NOT RUNNING"/>
    <n v="1012915902"/>
    <x v="752"/>
    <s v="nsfw"/>
    <d v="1899-12-30T16:09:00"/>
    <s v="In-Stream Video"/>
    <s v="TJX"/>
    <s v="mobile"/>
    <s v="GEO,Frequency,OS,BrowserLanguage,Segment"/>
    <n v="90"/>
    <n v="0"/>
    <s v="No"/>
    <n v="250"/>
    <n v="271"/>
    <n v="14"/>
    <n v="5.1660500000000003"/>
    <n v="0"/>
    <n v="0.16"/>
    <n v="0.58499999999999996"/>
    <n v="1.0999999999999999E-2"/>
    <n v="0"/>
    <n v="1"/>
    <n v="0"/>
    <s v="Yes"/>
    <n v="271"/>
    <n v="238"/>
    <n v="25"/>
    <s v="VOD Hentai Intent"/>
    <x v="0"/>
    <x v="3"/>
  </r>
  <r>
    <s v="NOT RUNNING"/>
    <n v="1012915922"/>
    <x v="753"/>
    <s v="nsfw"/>
    <d v="1899-12-30T16:09:00"/>
    <s v="In-Stream Video"/>
    <s v="TJX"/>
    <s v="mobile"/>
    <s v="GEO,Frequency,OS,BrowserLanguage,Segment"/>
    <n v="90"/>
    <n v="0"/>
    <s v="No"/>
    <n v="250"/>
    <n v="6"/>
    <n v="1"/>
    <n v="16.66667"/>
    <n v="0"/>
    <n v="0"/>
    <n v="0.65200000000000002"/>
    <n v="4.0000000000000001E-3"/>
    <n v="0"/>
    <n v="1"/>
    <n v="0"/>
    <s v="Yes"/>
    <n v="6"/>
    <n v="6"/>
    <n v="0"/>
    <s v="VOD Hentai Intent"/>
    <x v="0"/>
    <x v="19"/>
  </r>
  <r>
    <s v="NOT RUNNING"/>
    <n v="1012915932"/>
    <x v="754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OD Hentai Intent"/>
    <x v="0"/>
    <x v="19"/>
  </r>
  <r>
    <s v="NOT RUNNING"/>
    <n v="1012915942"/>
    <x v="755"/>
    <s v="nsfw"/>
    <d v="1899-12-30T16:09:00"/>
    <s v="In-Stream Video"/>
    <s v="TJX"/>
    <s v="mobile"/>
    <s v="GEO,Frequency,OS,BrowserLanguage,Segment"/>
    <n v="90"/>
    <n v="0"/>
    <s v="No"/>
    <n v="250"/>
    <n v="288"/>
    <n v="20"/>
    <n v="6.9444400000000002"/>
    <n v="0"/>
    <n v="0.17"/>
    <n v="0.58299999999999996"/>
    <n v="8.0000000000000002E-3"/>
    <n v="0"/>
    <n v="1"/>
    <n v="0"/>
    <s v="Yes"/>
    <n v="288"/>
    <n v="251"/>
    <n v="26"/>
    <s v="VOD Hentai Intent"/>
    <x v="0"/>
    <x v="3"/>
  </r>
  <r>
    <s v="RUNNING"/>
    <n v="1012915952"/>
    <x v="756"/>
    <s v="nsfw"/>
    <d v="1899-12-30T16:09:00"/>
    <s v="In-Stream Video"/>
    <s v="TJX"/>
    <s v="mobile"/>
    <s v="GEO,Frequency,OS,BrowserLanguage,Segment"/>
    <n v="90"/>
    <n v="0"/>
    <s v="No"/>
    <n v="250"/>
    <n v="25501"/>
    <n v="1503"/>
    <n v="5.8938899999999999"/>
    <n v="0"/>
    <n v="50.62"/>
    <n v="1.9850000000000001"/>
    <n v="3.4000000000000002E-2"/>
    <n v="0"/>
    <n v="1"/>
    <n v="0"/>
    <s v="Yes"/>
    <n v="25498"/>
    <n v="22473"/>
    <n v="1984"/>
    <s v="VOD Hentai Intent"/>
    <x v="0"/>
    <x v="3"/>
  </r>
  <r>
    <s v="RUNNING"/>
    <n v="1012915962"/>
    <x v="76"/>
    <s v="nsfw"/>
    <d v="1899-12-30T16:09:00"/>
    <s v="In-Stream Video"/>
    <s v="TJX"/>
    <s v="mobile"/>
    <s v="GEO,Frequency,OS,BrowserLanguage"/>
    <n v="20"/>
    <n v="0"/>
    <s v="No"/>
    <n v="250"/>
    <n v="6198"/>
    <n v="400"/>
    <n v="6.4536899999999999"/>
    <n v="0"/>
    <n v="4.49"/>
    <n v="0.72499999999999998"/>
    <n v="1.0999999999999999E-2"/>
    <n v="0"/>
    <n v="1"/>
    <n v="0"/>
    <s v="Yes"/>
    <n v="6198"/>
    <n v="5649"/>
    <n v="372"/>
    <s v="Trans"/>
    <x v="0"/>
    <x v="6"/>
  </r>
  <r>
    <s v="NOT RUNNING"/>
    <n v="1012915972"/>
    <x v="82"/>
    <s v="nsfw"/>
    <d v="1899-12-30T16:09:00"/>
    <s v="In-Stream Video"/>
    <s v="TJX"/>
    <s v="mobile"/>
    <s v="GEO,Frequency,OS,BrowserLanguage"/>
    <n v="20"/>
    <n v="0"/>
    <s v="No"/>
    <n v="250"/>
    <n v="122"/>
    <n v="8"/>
    <n v="6.5573800000000002"/>
    <n v="0"/>
    <n v="0.1"/>
    <n v="0.78"/>
    <n v="1.2E-2"/>
    <n v="0"/>
    <n v="1"/>
    <n v="0"/>
    <s v="Yes"/>
    <n v="122"/>
    <n v="115"/>
    <n v="4"/>
    <s v="Trans"/>
    <x v="0"/>
    <x v="6"/>
  </r>
  <r>
    <s v="PAUSED"/>
    <n v="1012915982"/>
    <x v="78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Trans"/>
    <x v="0"/>
    <x v="1"/>
  </r>
  <r>
    <s v="NOT RUNNING"/>
    <n v="1012915992"/>
    <x v="757"/>
    <s v="nsfw"/>
    <d v="1899-12-30T16:09:00"/>
    <s v="In-Stream Video"/>
    <s v="TJX"/>
    <s v="mobile"/>
    <s v="GEO,Frequency,OS,BrowserLanguage"/>
    <n v="20"/>
    <n v="0"/>
    <s v="No"/>
    <n v="250"/>
    <n v="4"/>
    <n v="0"/>
    <n v="0"/>
    <n v="0"/>
    <n v="0"/>
    <n v="0.33100000000000002"/>
    <n v="0"/>
    <n v="0"/>
    <n v="1"/>
    <n v="0"/>
    <s v="Yes"/>
    <n v="4"/>
    <n v="4"/>
    <n v="0"/>
    <s v="Trans"/>
    <x v="0"/>
    <x v="6"/>
  </r>
  <r>
    <s v="RUNNING"/>
    <n v="1012916002"/>
    <x v="79"/>
    <s v="nsfw"/>
    <d v="1899-12-30T16:09:00"/>
    <s v="In-Stream Video"/>
    <s v="TJX"/>
    <s v="desktop"/>
    <s v="GEO,Frequency,BrowserLanguage"/>
    <n v="8"/>
    <n v="0"/>
    <s v="No"/>
    <n v="250"/>
    <n v="10585"/>
    <n v="488"/>
    <n v="4.61029"/>
    <n v="0"/>
    <n v="25.95"/>
    <n v="2.452"/>
    <n v="5.2999999999999999E-2"/>
    <n v="0"/>
    <n v="1"/>
    <n v="0"/>
    <s v="Yes"/>
    <n v="10585"/>
    <n v="8188"/>
    <n v="1363"/>
    <s v="Trans"/>
    <x v="0"/>
    <x v="6"/>
  </r>
  <r>
    <s v="RUNNING"/>
    <n v="1012916012"/>
    <x v="80"/>
    <s v="nsfw"/>
    <d v="1899-12-30T16:09:00"/>
    <s v="In-Stream Video"/>
    <s v="TJX"/>
    <s v="desktop"/>
    <s v="GEO,Frequency,BrowserLanguage"/>
    <n v="8"/>
    <n v="0"/>
    <s v="No"/>
    <n v="250"/>
    <n v="18361"/>
    <n v="622"/>
    <n v="3.3876200000000001"/>
    <n v="0"/>
    <n v="49.48"/>
    <n v="2.6949999999999998"/>
    <n v="0.08"/>
    <n v="0"/>
    <n v="1"/>
    <n v="0"/>
    <s v="Yes"/>
    <n v="18361"/>
    <n v="14154"/>
    <n v="2054"/>
    <s v="Trans"/>
    <x v="0"/>
    <x v="6"/>
  </r>
  <r>
    <s v="PAUSED"/>
    <n v="1012916022"/>
    <x v="81"/>
    <s v="nsfw"/>
    <d v="1899-12-30T16:09:00"/>
    <s v="In-Stream Video"/>
    <s v="TJX"/>
    <s v="desktop"/>
    <s v="GEO,Frequency,BrowserLanguage"/>
    <n v="8"/>
    <n v="0"/>
    <s v="No"/>
    <n v="250"/>
    <n v="1"/>
    <n v="0"/>
    <n v="0"/>
    <n v="0"/>
    <n v="0"/>
    <n v="2.5880000000000001"/>
    <n v="0"/>
    <n v="0"/>
    <n v="1"/>
    <n v="0"/>
    <s v="Yes"/>
    <n v="1"/>
    <n v="1"/>
    <n v="0"/>
    <s v="Trans"/>
    <x v="0"/>
    <x v="1"/>
  </r>
  <r>
    <s v="RUNNING"/>
    <n v="1012916032"/>
    <x v="758"/>
    <s v="nsfw"/>
    <d v="1899-12-30T16:09:00"/>
    <s v="In-Stream Video"/>
    <s v="TJX"/>
    <s v="desktop"/>
    <s v="GEO,Frequency,BrowserLanguage"/>
    <n v="8"/>
    <n v="0"/>
    <s v="No"/>
    <n v="250"/>
    <n v="1393"/>
    <n v="46"/>
    <n v="3.3022300000000002"/>
    <n v="0"/>
    <n v="0.77"/>
    <n v="0.55400000000000005"/>
    <n v="1.7000000000000001E-2"/>
    <n v="0"/>
    <n v="1"/>
    <n v="0"/>
    <s v="Yes"/>
    <n v="1393"/>
    <n v="998"/>
    <n v="185"/>
    <s v="Trans"/>
    <x v="0"/>
    <x v="6"/>
  </r>
  <r>
    <s v="RUNNING"/>
    <n v="1012916052"/>
    <x v="759"/>
    <s v="nsfw"/>
    <d v="1899-12-30T16:09:00"/>
    <s v="In-Stream Video"/>
    <s v="TJX"/>
    <s v="mobile"/>
    <s v="GEO,Frequency,OS,BrowserLanguage"/>
    <n v="20"/>
    <n v="0"/>
    <s v="No"/>
    <n v="250"/>
    <n v="2760"/>
    <n v="141"/>
    <n v="5.1086999999999998"/>
    <n v="0"/>
    <n v="1.96"/>
    <n v="0.71"/>
    <n v="1.4E-2"/>
    <n v="0"/>
    <n v="1"/>
    <n v="0"/>
    <s v="Yes"/>
    <n v="2760"/>
    <n v="2491"/>
    <n v="171"/>
    <s v="Trans"/>
    <x v="0"/>
    <x v="6"/>
  </r>
  <r>
    <s v="PAUSED"/>
    <n v="1012916062"/>
    <x v="760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Trans"/>
    <x v="0"/>
    <x v="6"/>
  </r>
  <r>
    <s v="RUNNING"/>
    <n v="1012916072"/>
    <x v="761"/>
    <s v="nsfw"/>
    <d v="1899-12-30T16:09:00"/>
    <s v="In-Stream Video"/>
    <s v="TJX"/>
    <s v="mobile"/>
    <s v="GEO,Frequency,OS,BrowserLanguage"/>
    <n v="20"/>
    <n v="0"/>
    <s v="No"/>
    <n v="250"/>
    <n v="1432"/>
    <n v="102"/>
    <n v="7.1229100000000001"/>
    <n v="0"/>
    <n v="0.97"/>
    <n v="0.68"/>
    <n v="0.01"/>
    <n v="0"/>
    <n v="1"/>
    <n v="0"/>
    <s v="Yes"/>
    <n v="1432"/>
    <n v="1315"/>
    <n v="80"/>
    <s v="Trans"/>
    <x v="0"/>
    <x v="6"/>
  </r>
  <r>
    <s v="NOT RUNNING"/>
    <n v="1012916082"/>
    <x v="762"/>
    <s v="nsfw"/>
    <d v="1899-12-30T16:09:00"/>
    <s v="In-Stream Video"/>
    <s v="TJX"/>
    <s v="mobile"/>
    <s v="GEO,Frequency,OS,BrowserLanguage"/>
    <n v="20"/>
    <n v="0"/>
    <s v="No"/>
    <n v="250"/>
    <n v="6"/>
    <n v="1"/>
    <n v="16.66667"/>
    <n v="0"/>
    <n v="0"/>
    <n v="0.23699999999999999"/>
    <n v="1E-3"/>
    <n v="0"/>
    <n v="1"/>
    <n v="0"/>
    <s v="Yes"/>
    <n v="6"/>
    <n v="5"/>
    <n v="0"/>
    <s v="Trans"/>
    <x v="0"/>
    <x v="6"/>
  </r>
  <r>
    <s v="PAUSED"/>
    <n v="1012921252"/>
    <x v="763"/>
    <s v="nsfw"/>
    <d v="1899-12-30T16:09:00"/>
    <s v="In-Stream Video"/>
    <s v="TJX"/>
    <s v="mobile"/>
    <s v="GEO,Frequency,Keyword,OS,Browser,BrowserLanguage"/>
    <n v="6"/>
    <n v="0"/>
    <s v="No"/>
    <n v="500"/>
    <n v="0"/>
    <n v="0"/>
    <n v="0"/>
    <m/>
    <n v="0"/>
    <n v="0"/>
    <n v="0"/>
    <n v="0"/>
    <n v="1"/>
    <n v="0"/>
    <s v="Yes"/>
    <m/>
    <m/>
    <m/>
    <s v="Blowjob"/>
    <x v="0"/>
    <x v="15"/>
  </r>
  <r>
    <s v="RUNNING"/>
    <n v="1012921942"/>
    <x v="764"/>
    <s v="nsfw"/>
    <d v="1899-12-30T16:09:00"/>
    <s v="In-Stream Video"/>
    <s v="TJX"/>
    <s v="mobile"/>
    <s v="GEO,Frequency,Keyword,OS,BrowserLanguage"/>
    <n v="1100"/>
    <n v="0"/>
    <s v="Yes"/>
    <s v="Unlimited"/>
    <n v="80402"/>
    <n v="6263"/>
    <n v="7.7896099999999997"/>
    <n v="1"/>
    <n v="99.37"/>
    <n v="1.236"/>
    <n v="1.6E-2"/>
    <n v="99.373000000000005"/>
    <n v="1"/>
    <n v="0"/>
    <s v="Yes"/>
    <n v="80402"/>
    <n v="70377"/>
    <n v="6258"/>
    <s v="Hentai"/>
    <x v="0"/>
    <x v="12"/>
  </r>
  <r>
    <s v="RUNNING"/>
    <n v="1012921952"/>
    <x v="765"/>
    <s v="nsfw"/>
    <d v="1899-12-30T16:09:00"/>
    <s v="In-Stream Video"/>
    <s v="TJX"/>
    <s v="mobile"/>
    <s v="GEO,Frequency,Keyword,OS,BrowserLanguage"/>
    <n v="1100"/>
    <n v="0"/>
    <s v="No"/>
    <n v="250"/>
    <n v="56923"/>
    <n v="3585"/>
    <n v="6.2979799999999999"/>
    <n v="0"/>
    <n v="90.44"/>
    <n v="1.589"/>
    <n v="2.5000000000000001E-2"/>
    <n v="0"/>
    <n v="1"/>
    <n v="0"/>
    <s v="Yes"/>
    <n v="56924"/>
    <n v="50069"/>
    <n v="4286"/>
    <s v="Hentai"/>
    <x v="0"/>
    <x v="12"/>
  </r>
  <r>
    <s v="RUNNING"/>
    <n v="1012921962"/>
    <x v="766"/>
    <s v="nsfw"/>
    <d v="1899-12-30T16:09:00"/>
    <s v="In-Stream Video"/>
    <s v="TJX"/>
    <s v="desktop"/>
    <s v="GEO,Frequency,Keyword,BrowserLanguage"/>
    <n v="520"/>
    <n v="0"/>
    <s v="Yes"/>
    <s v="Unlimited"/>
    <n v="38936"/>
    <n v="2631"/>
    <n v="6.7572400000000004"/>
    <n v="2"/>
    <n v="70.95"/>
    <n v="1.8220000000000001"/>
    <n v="2.7E-2"/>
    <n v="35.472999999999999"/>
    <n v="1"/>
    <n v="0"/>
    <s v="Yes"/>
    <n v="38936"/>
    <n v="30453"/>
    <n v="4059"/>
    <s v="Hentai"/>
    <x v="0"/>
    <x v="12"/>
  </r>
  <r>
    <s v="RUNNING"/>
    <n v="1012924742"/>
    <x v="767"/>
    <s v="nsfw"/>
    <d v="1899-12-30T16:09:00"/>
    <s v="In-Stream Video"/>
    <s v="TJX"/>
    <s v="desktop"/>
    <s v="GEO,Frequency,Keyword,BrowserLanguage"/>
    <n v="360"/>
    <n v="0"/>
    <s v="Yes"/>
    <s v="Unlimited"/>
    <n v="839975"/>
    <n v="42435"/>
    <n v="5.0519400000000001"/>
    <n v="19"/>
    <n v="1559.05"/>
    <n v="1.8560000000000001"/>
    <n v="3.6999999999999998E-2"/>
    <n v="82.055000000000007"/>
    <n v="1"/>
    <n v="0"/>
    <s v="Yes"/>
    <n v="839982"/>
    <n v="645394"/>
    <n v="112265"/>
    <s v="Global"/>
    <x v="0"/>
    <x v="20"/>
  </r>
  <r>
    <s v="PAUSED"/>
    <n v="1012924752"/>
    <x v="768"/>
    <s v="nsfw"/>
    <d v="1899-12-30T16:09:00"/>
    <s v="In-Stream Video"/>
    <s v="TJX"/>
    <s v="mobile"/>
    <s v="GEO,Frequency,Keyword,OS,BrowserLanguage"/>
    <n v="700"/>
    <n v="0"/>
    <s v="Yes"/>
    <s v="Unlimited"/>
    <n v="0"/>
    <n v="0"/>
    <n v="0"/>
    <m/>
    <n v="0"/>
    <n v="0"/>
    <n v="0"/>
    <n v="0"/>
    <n v="1"/>
    <n v="0"/>
    <s v="Yes"/>
    <m/>
    <m/>
    <m/>
    <s v="Global"/>
    <x v="0"/>
    <x v="20"/>
  </r>
  <r>
    <s v="PAUSED"/>
    <n v="1012924762"/>
    <x v="769"/>
    <s v="nsfw"/>
    <d v="1899-12-30T16:09:00"/>
    <s v="In-Stream Video"/>
    <s v="TJX"/>
    <s v="mobile"/>
    <s v="GEO,Frequency,Keyword,OS,BrowserLanguage"/>
    <n v="700"/>
    <n v="0"/>
    <s v="Yes"/>
    <s v="Unlimited"/>
    <n v="2"/>
    <n v="0"/>
    <n v="0"/>
    <n v="1"/>
    <n v="0"/>
    <n v="1.482"/>
    <n v="0"/>
    <n v="3.0000000000000001E-3"/>
    <n v="1"/>
    <n v="0"/>
    <s v="Yes"/>
    <n v="2"/>
    <n v="1"/>
    <n v="0"/>
    <s v="Global"/>
    <x v="0"/>
    <x v="20"/>
  </r>
  <r>
    <s v="RUNNING"/>
    <n v="1012924802"/>
    <x v="116"/>
    <s v="nsfw"/>
    <d v="1899-12-30T16:09:00"/>
    <s v="In-Stream Video"/>
    <s v="TJX"/>
    <s v="desktop"/>
    <s v="GEO,Frequency,Keyword,BrowserLanguage"/>
    <n v="36"/>
    <n v="0"/>
    <s v="Yes"/>
    <s v="Unlimited"/>
    <n v="11512"/>
    <n v="433"/>
    <n v="3.7612899999999998"/>
    <n v="0"/>
    <n v="31.54"/>
    <n v="2.74"/>
    <n v="7.2999999999999995E-2"/>
    <n v="0"/>
    <n v="1"/>
    <n v="0"/>
    <s v="Yes"/>
    <n v="11512"/>
    <n v="8789"/>
    <n v="1326"/>
    <s v="FinDom"/>
    <x v="0"/>
    <x v="3"/>
  </r>
  <r>
    <s v="RUNNING"/>
    <n v="1012924812"/>
    <x v="770"/>
    <s v="nsfw"/>
    <d v="1899-12-30T16:09:00"/>
    <s v="In-Stream Video"/>
    <s v="TJX"/>
    <s v="desktop"/>
    <s v="GEO,Frequency,Keyword,BrowserLanguage"/>
    <n v="36"/>
    <n v="0"/>
    <s v="Yes"/>
    <s v="Unlimited"/>
    <n v="1192"/>
    <n v="48"/>
    <n v="4.02684"/>
    <n v="0"/>
    <n v="0.68"/>
    <n v="0.57299999999999995"/>
    <n v="1.4E-2"/>
    <n v="0"/>
    <n v="1"/>
    <n v="0"/>
    <s v="Yes"/>
    <n v="1192"/>
    <n v="856"/>
    <n v="169"/>
    <s v="FinDom"/>
    <x v="0"/>
    <x v="3"/>
  </r>
  <r>
    <s v="PAUSED"/>
    <n v="1012924822"/>
    <x v="771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FinDom"/>
    <x v="0"/>
    <x v="7"/>
  </r>
  <r>
    <s v="PAUSED"/>
    <n v="1012924832"/>
    <x v="772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FinDom"/>
    <x v="0"/>
    <x v="7"/>
  </r>
  <r>
    <s v="RUNNING"/>
    <n v="1012924842"/>
    <x v="773"/>
    <s v="nsfw"/>
    <d v="1899-12-30T16:09:00"/>
    <s v="In-Stream Video"/>
    <s v="TJX"/>
    <s v="mobile"/>
    <s v="GEO,Frequency,Keyword,OS,BrowserLanguage"/>
    <n v="90"/>
    <n v="0"/>
    <s v="Yes"/>
    <s v="Unlimited"/>
    <n v="316"/>
    <n v="20"/>
    <n v="6.32911"/>
    <n v="0"/>
    <n v="0.19"/>
    <n v="0.6"/>
    <n v="8.9999999999999993E-3"/>
    <n v="0"/>
    <n v="1"/>
    <n v="0"/>
    <s v="Yes"/>
    <n v="316"/>
    <n v="291"/>
    <n v="17"/>
    <s v="FinDom"/>
    <x v="0"/>
    <x v="3"/>
  </r>
  <r>
    <s v="NOT RUNNING"/>
    <n v="1012924852"/>
    <x v="774"/>
    <s v="nsfw"/>
    <d v="1899-12-30T16:09:00"/>
    <s v="In-Stream Video"/>
    <s v="TJX"/>
    <s v="mobile"/>
    <s v="GEO,Frequency,Keyword,OS,BrowserLanguage"/>
    <n v="90"/>
    <n v="0"/>
    <s v="Yes"/>
    <s v="Unlimited"/>
    <n v="812"/>
    <n v="45"/>
    <n v="5.5418700000000003"/>
    <n v="0"/>
    <n v="0.42"/>
    <n v="0.51900000000000002"/>
    <n v="8.9999999999999993E-3"/>
    <n v="0"/>
    <n v="1"/>
    <n v="0"/>
    <s v="Yes"/>
    <n v="812"/>
    <n v="703"/>
    <n v="87"/>
    <s v="FinDom"/>
    <x v="0"/>
    <x v="3"/>
  </r>
  <r>
    <s v="PAUSED"/>
    <n v="1012924862"/>
    <x v="70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FinDom"/>
    <x v="0"/>
    <x v="5"/>
  </r>
  <r>
    <s v="RUNNING"/>
    <n v="1012924872"/>
    <x v="108"/>
    <s v="nsfw"/>
    <d v="1899-12-30T16:09:00"/>
    <s v="In-Stream Video"/>
    <s v="TJX"/>
    <s v="mobile"/>
    <s v="GEO,Frequency,Keyword,OS,BrowserLanguage"/>
    <n v="90"/>
    <n v="0"/>
    <s v="Yes"/>
    <s v="Unlimited"/>
    <n v="1100"/>
    <n v="51"/>
    <n v="4.6363599999999998"/>
    <n v="0"/>
    <n v="0.76"/>
    <n v="0.69"/>
    <n v="1.4999999999999999E-2"/>
    <n v="0"/>
    <n v="1"/>
    <n v="0"/>
    <s v="Yes"/>
    <n v="1100"/>
    <n v="998"/>
    <n v="72"/>
    <s v="FinDom"/>
    <x v="0"/>
    <x v="3"/>
  </r>
  <r>
    <s v="PAUSED"/>
    <n v="1012924882"/>
    <x v="113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FinDom"/>
    <x v="0"/>
    <x v="1"/>
  </r>
  <r>
    <s v="NOT RUNNING"/>
    <n v="1012924892"/>
    <x v="775"/>
    <s v="nsfw"/>
    <d v="1899-12-30T16:09:00"/>
    <s v="In-Stream Video"/>
    <s v="TJX"/>
    <s v="mobile"/>
    <s v="GEO,Frequency,Keyword,OS,BrowserLanguage"/>
    <n v="90"/>
    <n v="0"/>
    <s v="Yes"/>
    <s v="Unlimited"/>
    <n v="1267"/>
    <n v="71"/>
    <n v="5.60379"/>
    <n v="0"/>
    <n v="0.73"/>
    <n v="0.57599999999999996"/>
    <n v="0.01"/>
    <n v="0"/>
    <n v="1"/>
    <n v="0"/>
    <s v="Yes"/>
    <n v="1267"/>
    <n v="1094"/>
    <n v="121"/>
    <s v="FinDom"/>
    <x v="0"/>
    <x v="3"/>
  </r>
  <r>
    <s v="NOT RUNNING"/>
    <n v="1012924902"/>
    <x v="776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FinDom"/>
    <x v="0"/>
    <x v="7"/>
  </r>
  <r>
    <s v="RUNNING"/>
    <n v="1012924912"/>
    <x v="339"/>
    <s v="nsfw"/>
    <d v="1899-12-30T16:09:00"/>
    <s v="In-Stream Video"/>
    <s v="TJX"/>
    <s v="desktop"/>
    <s v="GEO,Frequency,Keyword,BrowserLanguage"/>
    <n v="100"/>
    <n v="0"/>
    <s v="Yes"/>
    <s v="Unlimited"/>
    <n v="126924"/>
    <n v="5137"/>
    <n v="4.0472999999999999"/>
    <n v="1"/>
    <n v="365.88"/>
    <n v="2.883"/>
    <n v="7.0999999999999994E-2"/>
    <n v="365.88"/>
    <n v="1"/>
    <n v="0"/>
    <s v="Yes"/>
    <n v="126925"/>
    <n v="103086"/>
    <n v="12846"/>
    <s v="Threesome"/>
    <x v="0"/>
    <x v="3"/>
  </r>
  <r>
    <s v="RUNNING"/>
    <n v="1012924922"/>
    <x v="348"/>
    <s v="nsfw"/>
    <d v="1899-12-30T16:09:00"/>
    <s v="In-Stream Video"/>
    <s v="TJX"/>
    <s v="desktop"/>
    <s v="GEO,Frequency,Keyword,BrowserLanguage"/>
    <n v="100"/>
    <n v="0"/>
    <s v="Yes"/>
    <s v="Unlimited"/>
    <n v="410792"/>
    <n v="16816"/>
    <n v="4.0935600000000001"/>
    <n v="5"/>
    <n v="600.91999999999996"/>
    <n v="1.4630000000000001"/>
    <n v="3.5999999999999997E-2"/>
    <n v="120.185"/>
    <n v="1"/>
    <n v="0"/>
    <s v="Yes"/>
    <n v="410784"/>
    <n v="331271"/>
    <n v="44825"/>
    <s v="Threesome"/>
    <x v="0"/>
    <x v="3"/>
  </r>
  <r>
    <s v="RUNNING"/>
    <n v="1012924932"/>
    <x v="777"/>
    <s v="nsfw"/>
    <d v="1899-12-30T16:09:00"/>
    <s v="In-Stream Video"/>
    <s v="TJX"/>
    <s v="desktop"/>
    <s v="GEO,Frequency,Keyword,BrowserLanguage"/>
    <n v="100"/>
    <n v="0"/>
    <s v="Yes"/>
    <s v="Unlimited"/>
    <n v="9255"/>
    <n v="401"/>
    <n v="4.3327900000000001"/>
    <n v="0"/>
    <n v="9.41"/>
    <n v="1.0169999999999999"/>
    <n v="2.3E-2"/>
    <n v="0"/>
    <n v="1"/>
    <n v="0"/>
    <s v="Yes"/>
    <n v="9255"/>
    <n v="7104"/>
    <n v="1163"/>
    <s v="Threesome"/>
    <x v="0"/>
    <x v="3"/>
  </r>
  <r>
    <s v="RUNNING"/>
    <n v="1012924942"/>
    <x v="345"/>
    <s v="nsfw"/>
    <d v="1899-12-30T16:09:00"/>
    <s v="In-Stream Video"/>
    <s v="TJX"/>
    <s v="desktop"/>
    <s v="GEO,Frequency,Keyword,BrowserLanguage"/>
    <n v="100"/>
    <n v="0"/>
    <s v="Yes"/>
    <s v="Unlimited"/>
    <n v="186701"/>
    <n v="7907"/>
    <n v="4.2351000000000001"/>
    <n v="0"/>
    <n v="278.20999999999998"/>
    <n v="1.49"/>
    <n v="3.5000000000000003E-2"/>
    <n v="0"/>
    <n v="1"/>
    <n v="0"/>
    <s v="Yes"/>
    <n v="186703"/>
    <n v="145745"/>
    <n v="23437"/>
    <s v="Threesome"/>
    <x v="0"/>
    <x v="3"/>
  </r>
  <r>
    <s v="PAUSED"/>
    <n v="1012924952"/>
    <x v="567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x v="0"/>
    <x v="1"/>
  </r>
  <r>
    <s v="RUNNING"/>
    <n v="1012924962"/>
    <x v="778"/>
    <s v="nsfw"/>
    <d v="1899-12-30T16:09:00"/>
    <s v="In-Stream Video"/>
    <s v="TJX"/>
    <s v="mobile"/>
    <s v="GEO,Frequency,Keyword,OS,BrowserLanguage"/>
    <n v="90"/>
    <n v="0"/>
    <s v="Yes"/>
    <s v="Unlimited"/>
    <n v="7358"/>
    <n v="421"/>
    <n v="5.72166"/>
    <n v="0"/>
    <n v="4.45"/>
    <n v="0.60499999999999998"/>
    <n v="1.0999999999999999E-2"/>
    <n v="0"/>
    <n v="1"/>
    <n v="0"/>
    <s v="Yes"/>
    <n v="7358"/>
    <n v="6844"/>
    <n v="352"/>
    <s v="Threesome"/>
    <x v="0"/>
    <x v="3"/>
  </r>
  <r>
    <s v="PAUSED"/>
    <n v="1012924972"/>
    <x v="779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x v="0"/>
    <x v="21"/>
  </r>
  <r>
    <s v="RUNNING"/>
    <n v="1012924982"/>
    <x v="780"/>
    <s v="nsfw"/>
    <d v="1899-12-30T16:09:00"/>
    <s v="In-Stream Video"/>
    <s v="TJX"/>
    <s v="mobile"/>
    <s v="GEO,Frequency,Keyword,OS,BrowserLanguage"/>
    <n v="90"/>
    <n v="0"/>
    <s v="Yes"/>
    <s v="Unlimited"/>
    <n v="11361"/>
    <n v="707"/>
    <n v="6.2230400000000001"/>
    <n v="0"/>
    <n v="5.93"/>
    <n v="0.52200000000000002"/>
    <n v="8.0000000000000002E-3"/>
    <n v="0"/>
    <n v="1"/>
    <n v="0"/>
    <s v="Yes"/>
    <n v="11361"/>
    <n v="9968"/>
    <n v="1035"/>
    <s v="Threesome"/>
    <x v="0"/>
    <x v="3"/>
  </r>
  <r>
    <s v="PAUSED"/>
    <n v="1012924992"/>
    <x v="781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x v="0"/>
    <x v="21"/>
  </r>
  <r>
    <s v="PAUSED"/>
    <n v="1012925002"/>
    <x v="343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x v="0"/>
    <x v="1"/>
  </r>
  <r>
    <s v="NOT RUNNING"/>
    <n v="1012925022"/>
    <x v="338"/>
    <s v="nsfw"/>
    <d v="1899-12-30T16:09:00"/>
    <s v="In-Stream Video"/>
    <s v="TJX"/>
    <s v="mobile"/>
    <s v="GEO,Frequency,Keyword,OS,BrowserLanguage"/>
    <n v="90"/>
    <n v="0"/>
    <s v="Yes"/>
    <s v="Unlimited"/>
    <n v="1"/>
    <n v="0"/>
    <n v="0"/>
    <n v="0"/>
    <n v="0"/>
    <n v="0.53400000000000003"/>
    <n v="0"/>
    <n v="0"/>
    <n v="1"/>
    <n v="0"/>
    <s v="Yes"/>
    <n v="1"/>
    <n v="1"/>
    <n v="0"/>
    <s v="Threesome"/>
    <x v="0"/>
    <x v="1"/>
  </r>
  <r>
    <s v="PAUSED"/>
    <n v="1012925032"/>
    <x v="347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x v="0"/>
    <x v="1"/>
  </r>
  <r>
    <s v="NOT RUNNING"/>
    <n v="1012925042"/>
    <x v="782"/>
    <s v="nsfw"/>
    <d v="1899-12-30T16:09:00"/>
    <s v="In-Stream Video"/>
    <s v="TJX"/>
    <s v="mobile"/>
    <s v="GEO,Frequency,Keyword,OS,BrowserLanguage"/>
    <n v="90"/>
    <n v="0"/>
    <s v="Yes"/>
    <s v="Unlimited"/>
    <n v="12505"/>
    <n v="716"/>
    <n v="5.7257100000000003"/>
    <n v="0"/>
    <n v="7.11"/>
    <n v="0.56899999999999995"/>
    <n v="0.01"/>
    <n v="0"/>
    <n v="1"/>
    <n v="0"/>
    <s v="Yes"/>
    <n v="12505"/>
    <n v="10930"/>
    <n v="1141"/>
    <s v="Threesome"/>
    <x v="0"/>
    <x v="3"/>
  </r>
  <r>
    <s v="PAUSED"/>
    <n v="1012925052"/>
    <x v="346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x v="0"/>
    <x v="1"/>
  </r>
  <r>
    <s v="PAUSED"/>
    <n v="1012927522"/>
    <x v="783"/>
    <s v="nsfw"/>
    <d v="1899-12-30T16:09:00"/>
    <s v="In-Stream Video"/>
    <s v="TJX"/>
    <s v="mobile"/>
    <s v="GEO,Frequency,Keyword,OS,BrowserLanguage"/>
    <n v="490"/>
    <n v="0"/>
    <s v="No"/>
    <n v="250"/>
    <n v="0"/>
    <n v="0"/>
    <n v="0"/>
    <m/>
    <n v="0"/>
    <n v="0"/>
    <n v="0"/>
    <n v="0"/>
    <n v="1"/>
    <n v="0"/>
    <s v="Yes"/>
    <m/>
    <m/>
    <m/>
    <s v="Global"/>
    <x v="0"/>
    <x v="20"/>
  </r>
  <r>
    <s v="RUNNING"/>
    <n v="1012927532"/>
    <x v="784"/>
    <s v="nsfw"/>
    <d v="1899-12-30T16:09:00"/>
    <s v="In-Stream Video"/>
    <s v="TJX"/>
    <s v="mobile"/>
    <s v="GEO,Frequency,Keyword,OS"/>
    <n v="539"/>
    <n v="0"/>
    <s v="No"/>
    <n v="250"/>
    <n v="3272319"/>
    <n v="223505"/>
    <n v="6.8301699999999999"/>
    <n v="15"/>
    <n v="1493.51"/>
    <n v="0.45600000000000002"/>
    <n v="7.0000000000000001E-3"/>
    <n v="99.566999999999993"/>
    <n v="1"/>
    <n v="0"/>
    <s v="No"/>
    <n v="3272068"/>
    <n v="2796268"/>
    <n v="311857"/>
    <s v="Global"/>
    <x v="0"/>
    <x v="20"/>
  </r>
  <r>
    <s v="RUNNING"/>
    <n v="1012927542"/>
    <x v="785"/>
    <s v="nsfw"/>
    <d v="1899-12-30T16:09:00"/>
    <s v="In-Stream Video"/>
    <s v="TJX"/>
    <s v="desktop"/>
    <s v="GEO,Frequency,Keyword,BrowserLanguage"/>
    <n v="252"/>
    <n v="0"/>
    <s v="Yes"/>
    <s v="Unlimited"/>
    <n v="615430"/>
    <n v="36981"/>
    <n v="6.0089699999999997"/>
    <n v="12"/>
    <n v="433.98"/>
    <n v="0.70499999999999996"/>
    <n v="1.2E-2"/>
    <n v="36.164999999999999"/>
    <n v="1"/>
    <n v="0"/>
    <s v="Yes"/>
    <n v="615428"/>
    <n v="467616"/>
    <n v="84827"/>
    <s v="Global"/>
    <x v="0"/>
    <x v="20"/>
  </r>
  <r>
    <s v="RUNNING"/>
    <n v="1012927552"/>
    <x v="786"/>
    <s v="nsfw"/>
    <d v="1899-12-30T16:09:00"/>
    <s v="In-Stream Video"/>
    <s v="TJX"/>
    <s v="desktop"/>
    <s v="GEO,Frequency,Keyword"/>
    <n v="360"/>
    <n v="0"/>
    <s v="Yes"/>
    <s v="Unlimited"/>
    <n v="2247602"/>
    <n v="119121"/>
    <n v="5.2999200000000002"/>
    <n v="35"/>
    <n v="2684.56"/>
    <n v="1.194"/>
    <n v="2.3E-2"/>
    <n v="76.701999999999998"/>
    <n v="1"/>
    <n v="0"/>
    <s v="Yes"/>
    <n v="2247608"/>
    <n v="1721960"/>
    <n v="297173"/>
    <s v="Global"/>
    <x v="0"/>
    <x v="20"/>
  </r>
  <r>
    <s v="PAUSED"/>
    <n v="1012927562"/>
    <x v="787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x v="0"/>
    <x v="20"/>
  </r>
  <r>
    <s v="PAUSED"/>
    <n v="1012927582"/>
    <x v="788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x v="0"/>
    <x v="20"/>
  </r>
  <r>
    <s v="PAUSED"/>
    <n v="1012927592"/>
    <x v="789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x v="0"/>
    <x v="20"/>
  </r>
  <r>
    <s v="RUNNING"/>
    <n v="1012927602"/>
    <x v="790"/>
    <s v="nsfw"/>
    <d v="1899-12-30T16:09:00"/>
    <s v="In-Stream Video"/>
    <s v="TJX"/>
    <s v="desktop"/>
    <s v="GEO,Frequency,Keyword,BrowserLanguage"/>
    <n v="360"/>
    <n v="0"/>
    <s v="Yes"/>
    <s v="Unlimited"/>
    <n v="709764"/>
    <n v="39495"/>
    <n v="5.5645300000000004"/>
    <n v="13"/>
    <n v="820.24"/>
    <n v="1.1559999999999999"/>
    <n v="2.1000000000000001E-2"/>
    <n v="63.095999999999997"/>
    <n v="1"/>
    <n v="0"/>
    <s v="Yes"/>
    <n v="709764"/>
    <n v="547370"/>
    <n v="91910"/>
    <s v="Global"/>
    <x v="0"/>
    <x v="20"/>
  </r>
  <r>
    <s v="PAUSED"/>
    <n v="1012927612"/>
    <x v="791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x v="0"/>
    <x v="20"/>
  </r>
  <r>
    <s v="PAUSED"/>
    <n v="1012927622"/>
    <x v="792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x v="0"/>
    <x v="20"/>
  </r>
  <r>
    <s v="RUNNING"/>
    <n v="1012927642"/>
    <x v="793"/>
    <s v="nsfw"/>
    <d v="1899-12-30T16:09:00"/>
    <s v="In-Stream Video"/>
    <s v="TJX"/>
    <s v="desktop"/>
    <s v="GEO,Frequency,Keyword,BrowserLanguage"/>
    <n v="360"/>
    <n v="0"/>
    <s v="No"/>
    <n v="250"/>
    <n v="713523"/>
    <n v="39972"/>
    <n v="5.6020599999999998"/>
    <n v="4"/>
    <n v="946.55"/>
    <n v="1.327"/>
    <n v="2.4E-2"/>
    <n v="236.63900000000001"/>
    <n v="1"/>
    <n v="0"/>
    <s v="Yes"/>
    <n v="713515"/>
    <n v="540401"/>
    <n v="102226"/>
    <s v="Global"/>
    <x v="0"/>
    <x v="20"/>
  </r>
  <r>
    <s v="RUNNING"/>
    <n v="1012927662"/>
    <x v="794"/>
    <s v="nsfw"/>
    <d v="1899-12-30T16:09:00"/>
    <s v="In-Stream Video"/>
    <s v="TJX"/>
    <s v="mobile"/>
    <s v="GEO,Frequency,Keyword,OS"/>
    <n v="700"/>
    <n v="0"/>
    <s v="No"/>
    <n v="250"/>
    <n v="25893792"/>
    <n v="2074685"/>
    <n v="8.0122900000000001"/>
    <n v="38"/>
    <n v="6028.95"/>
    <n v="0.23300000000000001"/>
    <n v="3.0000000000000001E-3"/>
    <n v="158.65700000000001"/>
    <n v="2"/>
    <n v="0"/>
    <s v="No"/>
    <n v="25893622"/>
    <n v="22193755"/>
    <n v="2595500"/>
    <s v="Global"/>
    <x v="0"/>
    <x v="20"/>
  </r>
  <r>
    <s v="RUNNING"/>
    <n v="1012927672"/>
    <x v="795"/>
    <s v="nsfw"/>
    <d v="1899-12-30T16:09:00"/>
    <s v="In-Stream Video"/>
    <s v="TJX"/>
    <s v="desktop"/>
    <s v="GEO,Frequency,Keyword,BrowserLanguage"/>
    <n v="360"/>
    <n v="0"/>
    <s v="No"/>
    <n v="250"/>
    <n v="312515"/>
    <n v="17141"/>
    <n v="5.4848600000000003"/>
    <n v="2"/>
    <n v="262.24"/>
    <n v="0.83899999999999997"/>
    <n v="1.4999999999999999E-2"/>
    <n v="131.11799999999999"/>
    <n v="1"/>
    <n v="0"/>
    <s v="Yes"/>
    <n v="312513"/>
    <n v="239681"/>
    <n v="42699"/>
    <s v="Global"/>
    <x v="0"/>
    <x v="20"/>
  </r>
  <r>
    <s v="PAUSED"/>
    <n v="1012927682"/>
    <x v="796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x v="0"/>
    <x v="20"/>
  </r>
  <r>
    <s v="RUNNING"/>
    <n v="1012927692"/>
    <x v="797"/>
    <s v="nsfw"/>
    <d v="1899-12-30T16:09:00"/>
    <s v="In-Stream Video"/>
    <s v="TJX"/>
    <s v="mobile"/>
    <s v="GEO,Frequency,Keyword,OS,BrowserLanguage"/>
    <n v="700"/>
    <n v="0"/>
    <s v="No"/>
    <n v="250"/>
    <n v="740492"/>
    <n v="54204"/>
    <n v="7.32"/>
    <n v="3"/>
    <n v="342.88"/>
    <n v="0.46300000000000002"/>
    <n v="6.0000000000000001E-3"/>
    <n v="114.29300000000001"/>
    <n v="1"/>
    <n v="0"/>
    <s v="Yes"/>
    <n v="740488"/>
    <n v="635163"/>
    <n v="66466"/>
    <s v="Global"/>
    <x v="0"/>
    <x v="20"/>
  </r>
  <r>
    <s v="RUNNING"/>
    <n v="1012929922"/>
    <x v="798"/>
    <s v="nsfw"/>
    <s v="640 x 360"/>
    <s v="Display"/>
    <s v="TJX"/>
    <s v="mobile"/>
    <s v="GEO,Frequency,OS,BrowserLanguage"/>
    <n v="37"/>
    <n v="0"/>
    <s v="Yes"/>
    <s v="Unlimited"/>
    <n v="9444837"/>
    <n v="18509"/>
    <n v="0.19597000000000001"/>
    <n v="40"/>
    <n v="3003.46"/>
    <n v="0.318"/>
    <n v="0.16200000000000001"/>
    <n v="75.085999999999999"/>
    <n v="2"/>
    <n v="0"/>
    <s v="Yes"/>
    <n v="0"/>
    <n v="0"/>
    <n v="0"/>
    <s v="General"/>
    <x v="2"/>
    <x v="22"/>
  </r>
  <r>
    <s v="RUNNING"/>
    <n v="1012929942"/>
    <x v="799"/>
    <s v="nsfw"/>
    <s v="640 x 360"/>
    <s v="Display"/>
    <s v="TJX"/>
    <s v="mobile"/>
    <s v="GEO,Frequency,BrowserLanguage"/>
    <n v="37"/>
    <n v="0"/>
    <s v="No"/>
    <n v="2000"/>
    <n v="8641597"/>
    <n v="13028"/>
    <n v="0.15076000000000001"/>
    <n v="21"/>
    <n v="1985.27"/>
    <n v="0.23"/>
    <n v="0.152"/>
    <n v="94.537000000000006"/>
    <n v="2"/>
    <n v="0"/>
    <s v="Yes"/>
    <n v="0"/>
    <n v="0"/>
    <n v="0"/>
    <s v="General"/>
    <x v="2"/>
    <x v="22"/>
  </r>
  <r>
    <s v="RUNNING"/>
    <n v="1012946891"/>
    <x v="800"/>
    <s v="nsfw"/>
    <s v="640 x 360"/>
    <s v="Display"/>
    <s v="TJX"/>
    <s v="desktop"/>
    <s v="GEO,Frequency,Keyword,BrowserLanguage"/>
    <n v="264"/>
    <n v="0"/>
    <s v="Yes"/>
    <s v="Unlimited"/>
    <n v="1386728"/>
    <n v="3099"/>
    <n v="0.22348000000000001"/>
    <n v="4"/>
    <n v="123.52"/>
    <n v="8.8999999999999996E-2"/>
    <n v="0.04"/>
    <n v="30.88"/>
    <n v="2"/>
    <n v="0"/>
    <s v="Yes"/>
    <n v="0"/>
    <n v="0"/>
    <n v="0"/>
    <s v="Indian"/>
    <x v="2"/>
    <x v="23"/>
  </r>
  <r>
    <s v="PAUSED"/>
    <n v="1012946931"/>
    <x v="801"/>
    <s v="nsfw"/>
    <s v="640 x 360"/>
    <s v="Display"/>
    <s v="TJX"/>
    <s v="mobile"/>
    <s v="GEO,Frequency,Keyword,OS,BrowserLanguage"/>
    <n v="286"/>
    <n v="0"/>
    <s v="No"/>
    <n v="250"/>
    <n v="0"/>
    <n v="0"/>
    <n v="0"/>
    <m/>
    <n v="0"/>
    <n v="0"/>
    <n v="0"/>
    <n v="0"/>
    <n v="1"/>
    <n v="0"/>
    <s v="Yes"/>
    <m/>
    <m/>
    <m/>
    <s v="Indian"/>
    <x v="0"/>
    <x v="23"/>
  </r>
  <r>
    <s v="PAUSED"/>
    <n v="1012946971"/>
    <x v="802"/>
    <s v="nsfw"/>
    <s v="640 x 360"/>
    <s v="Display"/>
    <s v="TJX"/>
    <s v="mobile"/>
    <s v="GEO,Frequency,Keyword,OS,BrowserLanguage"/>
    <n v="286"/>
    <n v="0"/>
    <s v="No"/>
    <n v="250"/>
    <n v="0"/>
    <n v="0"/>
    <n v="0"/>
    <m/>
    <n v="0"/>
    <n v="0"/>
    <n v="0"/>
    <n v="0"/>
    <n v="1"/>
    <n v="0"/>
    <s v="Yes"/>
    <m/>
    <m/>
    <m/>
    <s v="Indian"/>
    <x v="0"/>
    <x v="23"/>
  </r>
  <r>
    <s v="RUNNING"/>
    <n v="1012947151"/>
    <x v="803"/>
    <s v="nsfw"/>
    <s v="640 x 360"/>
    <s v="Display"/>
    <s v="TJX"/>
    <s v="desktop"/>
    <s v="GEO,Frequency,Keyword,BrowserLanguage"/>
    <n v="144"/>
    <n v="0"/>
    <s v="Yes"/>
    <s v="Unlimited"/>
    <n v="239891"/>
    <n v="268"/>
    <n v="0.11172"/>
    <n v="2"/>
    <n v="21.61"/>
    <n v="0.09"/>
    <n v="8.1000000000000003E-2"/>
    <n v="10.805999999999999"/>
    <n v="2"/>
    <n v="0"/>
    <s v="Yes"/>
    <n v="0"/>
    <n v="0"/>
    <n v="0"/>
    <s v="Big Tits"/>
    <x v="0"/>
    <x v="3"/>
  </r>
  <r>
    <s v="RUNNING"/>
    <n v="1012947181"/>
    <x v="804"/>
    <s v="nsfw"/>
    <s v="640 x 360"/>
    <s v="Display"/>
    <s v="TJX"/>
    <s v="mobile"/>
    <s v="GEO,Frequency,Keyword,OS,BrowserLanguage"/>
    <n v="156"/>
    <n v="0"/>
    <s v="Yes"/>
    <s v="Unlimited"/>
    <n v="400098"/>
    <n v="1086"/>
    <n v="0.27143"/>
    <n v="4"/>
    <n v="41.43"/>
    <n v="0.104"/>
    <n v="3.7999999999999999E-2"/>
    <n v="10.358000000000001"/>
    <n v="2"/>
    <n v="0"/>
    <s v="Yes"/>
    <n v="0"/>
    <n v="0"/>
    <n v="0"/>
    <s v="Big Tits"/>
    <x v="0"/>
    <x v="3"/>
  </r>
  <r>
    <s v="PAUSED"/>
    <n v="1012947191"/>
    <x v="805"/>
    <s v="nsfw"/>
    <s v="640 x 360"/>
    <s v="Display"/>
    <s v="TJX"/>
    <s v="mobile"/>
    <s v="GEO,Frequency,Keyword,OS,BrowserLanguage"/>
    <n v="156"/>
    <n v="0"/>
    <s v="No"/>
    <n v="250"/>
    <n v="0"/>
    <n v="0"/>
    <n v="0"/>
    <m/>
    <n v="0"/>
    <n v="0"/>
    <n v="0"/>
    <n v="0"/>
    <n v="1"/>
    <n v="0"/>
    <s v="Yes"/>
    <m/>
    <m/>
    <m/>
    <s v="Big Tits"/>
    <x v="0"/>
    <x v="24"/>
  </r>
  <r>
    <s v="PAUSED"/>
    <n v="1012950521"/>
    <x v="806"/>
    <s v="nsfw"/>
    <s v="300 x 100"/>
    <s v="Display"/>
    <s v="TJX"/>
    <s v="mobile"/>
    <s v="GEO,Frequency,BrowserLanguage"/>
    <n v="8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3"/>
  </r>
  <r>
    <s v="RUNNING"/>
    <n v="1012999511"/>
    <x v="807"/>
    <s v="nsfw"/>
    <s v="640 x 360"/>
    <s v="Display"/>
    <s v="TJX"/>
    <s v="desktop"/>
    <s v="GEO,Frequency,Keyword,BrowserLanguage"/>
    <n v="264"/>
    <n v="0"/>
    <s v="Yes"/>
    <s v="Unlimited"/>
    <n v="1383920"/>
    <n v="3377"/>
    <n v="0.24401999999999999"/>
    <n v="2"/>
    <n v="123.26"/>
    <n v="8.8999999999999996E-2"/>
    <n v="3.6999999999999998E-2"/>
    <n v="61.631"/>
    <n v="2"/>
    <n v="0"/>
    <s v="Yes"/>
    <n v="0"/>
    <n v="0"/>
    <n v="0"/>
    <s v="Indian"/>
    <x v="0"/>
    <x v="23"/>
  </r>
  <r>
    <s v="PAUSED"/>
    <n v="1013003481"/>
    <x v="808"/>
    <s v="nsfw"/>
    <d v="1899-12-30T09:16:00"/>
    <s v="In-Stream Video"/>
    <s v="TJX"/>
    <s v="mobile"/>
    <s v="GEO,Frequency"/>
    <n v="5"/>
    <n v="0"/>
    <s v="No"/>
    <n v="500"/>
    <n v="0"/>
    <n v="0"/>
    <n v="0"/>
    <m/>
    <n v="0"/>
    <n v="0"/>
    <n v="0"/>
    <n v="0"/>
    <n v="2"/>
    <n v="0"/>
    <s v="Yes"/>
    <m/>
    <m/>
    <m/>
    <s v="Shorties"/>
    <x v="0"/>
    <x v="2"/>
  </r>
  <r>
    <s v="RUNNING"/>
    <n v="1013012751"/>
    <x v="809"/>
    <s v="nsfw"/>
    <s v="640 x 360"/>
    <s v="Display"/>
    <s v="TJX"/>
    <s v="mobile"/>
    <s v="GEO,Frequency,OS,Segment"/>
    <n v="57"/>
    <n v="0"/>
    <s v="Yes"/>
    <s v="Unlimited"/>
    <n v="10872185"/>
    <n v="18881"/>
    <n v="0.17366000000000001"/>
    <n v="31"/>
    <n v="2475.5500000000002"/>
    <n v="0.22800000000000001"/>
    <n v="0.13100000000000001"/>
    <n v="79.855999999999995"/>
    <n v="2"/>
    <n v="0"/>
    <s v="No"/>
    <n v="0"/>
    <n v="0"/>
    <n v="0"/>
    <s v="Hentai"/>
    <x v="3"/>
    <x v="12"/>
  </r>
  <r>
    <s v="RUNNING"/>
    <n v="1013012981"/>
    <x v="810"/>
    <s v="nsfw"/>
    <s v="640 x 360"/>
    <s v="Display"/>
    <s v="TJX"/>
    <s v="mobile"/>
    <s v="GEO,Frequency,OS,BrowserLanguage"/>
    <n v="1"/>
    <n v="17"/>
    <s v="Yes"/>
    <s v="Unlimited"/>
    <n v="20747282"/>
    <n v="19873"/>
    <n v="9.579E-2"/>
    <n v="52"/>
    <n v="6626.33"/>
    <n v="0.31900000000000001"/>
    <n v="0.33300000000000002"/>
    <n v="127.429"/>
    <n v="2"/>
    <n v="0"/>
    <s v="Yes"/>
    <n v="0"/>
    <n v="0"/>
    <n v="0"/>
    <s v="General"/>
    <x v="3"/>
    <x v="22"/>
  </r>
  <r>
    <s v="RUNNING"/>
    <n v="1013012991"/>
    <x v="811"/>
    <s v="nsfw"/>
    <s v="640 x 360"/>
    <s v="Display"/>
    <s v="TJX"/>
    <s v="mobile"/>
    <s v="GEO,Frequency,OS,BrowserLanguage"/>
    <n v="18"/>
    <n v="0"/>
    <s v="Yes"/>
    <s v="Unlimited"/>
    <n v="7693171"/>
    <n v="8621"/>
    <n v="0.11206000000000001"/>
    <n v="23"/>
    <n v="1838.67"/>
    <n v="0.23899999999999999"/>
    <n v="0.21299999999999999"/>
    <n v="79.941999999999993"/>
    <n v="2"/>
    <n v="0"/>
    <s v="No"/>
    <n v="0"/>
    <n v="0"/>
    <n v="0"/>
    <s v="General"/>
    <x v="4"/>
    <x v="22"/>
  </r>
  <r>
    <s v="RUNNING"/>
    <n v="1013013261"/>
    <x v="812"/>
    <s v="nsfw"/>
    <d v="1899-12-30T16:09:00"/>
    <s v="In-Stream Video"/>
    <s v="TJX"/>
    <s v="mobile"/>
    <s v="GEO,Frequency,Keyword,OS,BrowserLanguage"/>
    <n v="30"/>
    <n v="50"/>
    <s v="No"/>
    <n v="250"/>
    <n v="382711"/>
    <n v="23668"/>
    <n v="6.1843000000000004"/>
    <n v="2"/>
    <n v="764.22"/>
    <n v="1.9970000000000001"/>
    <n v="3.2000000000000001E-2"/>
    <n v="382.11200000000002"/>
    <n v="2"/>
    <n v="0"/>
    <s v="Yes"/>
    <n v="382708"/>
    <n v="337654"/>
    <n v="29339"/>
    <s v="Indian"/>
    <x v="3"/>
    <x v="3"/>
  </r>
  <r>
    <s v="RUNNING"/>
    <n v="1013013541"/>
    <x v="813"/>
    <s v="nsfw"/>
    <d v="1899-12-30T16:09:00"/>
    <s v="In-Stream Video"/>
    <s v="TJX"/>
    <s v="mobile"/>
    <s v="GEO,Frequency,Keyword,OS,BrowserLanguage"/>
    <n v="133"/>
    <n v="0"/>
    <s v="No"/>
    <n v="250"/>
    <n v="820293"/>
    <n v="61148"/>
    <n v="7.4544100000000002"/>
    <n v="6"/>
    <n v="1629.76"/>
    <n v="1.9870000000000001"/>
    <n v="2.7E-2"/>
    <n v="271.62700000000001"/>
    <n v="2"/>
    <n v="0"/>
    <s v="Yes"/>
    <n v="820284"/>
    <n v="731531"/>
    <n v="56849"/>
    <s v="Blonde"/>
    <x v="3"/>
    <x v="3"/>
  </r>
  <r>
    <s v="RUNNING"/>
    <n v="1013013551"/>
    <x v="814"/>
    <s v="nsfw"/>
    <d v="1899-12-30T16:09:00"/>
    <s v="In-Stream Video"/>
    <s v="TJX"/>
    <s v="mobile"/>
    <s v="GEO,Frequency,Keyword,OS,BrowserLanguage"/>
    <n v="133"/>
    <n v="0"/>
    <s v="No"/>
    <n v="250"/>
    <n v="475661"/>
    <n v="24766"/>
    <n v="5.2066499999999998"/>
    <n v="4"/>
    <n v="896.52"/>
    <n v="1.885"/>
    <n v="3.5999999999999997E-2"/>
    <n v="224.131"/>
    <n v="2"/>
    <n v="0"/>
    <s v="Yes"/>
    <n v="475665"/>
    <n v="436752"/>
    <n v="22378"/>
    <s v="Blonde"/>
    <x v="3"/>
    <x v="3"/>
  </r>
  <r>
    <s v="RUNNING"/>
    <n v="1013013561"/>
    <x v="815"/>
    <s v="nsfw"/>
    <d v="1899-12-30T16:09:00"/>
    <s v="In-Stream Video"/>
    <s v="TJX"/>
    <s v="desktop"/>
    <s v="GEO,Frequency,Keyword,BrowserLanguage"/>
    <n v="56"/>
    <n v="0"/>
    <s v="No"/>
    <n v="500"/>
    <n v="506139"/>
    <n v="20926"/>
    <n v="4.13443"/>
    <n v="7"/>
    <n v="869.13"/>
    <n v="1.7170000000000001"/>
    <n v="4.2000000000000003E-2"/>
    <n v="124.16200000000001"/>
    <n v="2"/>
    <n v="0"/>
    <s v="Yes"/>
    <n v="506137"/>
    <n v="378379"/>
    <n v="61942"/>
    <s v="Blonde"/>
    <x v="3"/>
    <x v="3"/>
  </r>
  <r>
    <s v="RUNNING"/>
    <n v="1013013571"/>
    <x v="816"/>
    <s v="nsfw"/>
    <d v="1899-12-30T16:09:00"/>
    <s v="In-Stream Video"/>
    <s v="TJX"/>
    <s v="mobile"/>
    <s v="GEO,Frequency,Keyword,OS,BrowserLanguage"/>
    <n v="183"/>
    <n v="0"/>
    <s v="No"/>
    <n v="250"/>
    <n v="538580"/>
    <n v="34226"/>
    <n v="6.3548600000000004"/>
    <n v="13"/>
    <n v="1068.28"/>
    <n v="1.984"/>
    <n v="3.1E-2"/>
    <n v="82.176000000000002"/>
    <n v="2"/>
    <n v="0"/>
    <s v="Yes"/>
    <n v="538562"/>
    <n v="480609"/>
    <n v="37595"/>
    <s v="Hentai"/>
    <x v="4"/>
    <x v="12"/>
  </r>
  <r>
    <s v="RUNNING"/>
    <n v="1013013591"/>
    <x v="817"/>
    <s v="nsfw"/>
    <d v="1899-12-30T16:09:00"/>
    <s v="In-Stream Video"/>
    <s v="TJX"/>
    <s v="mobile"/>
    <s v="GEO,Frequency,Keyword,OS,BrowserLanguage"/>
    <n v="173"/>
    <n v="0"/>
    <s v="No"/>
    <n v="250"/>
    <n v="884157"/>
    <n v="44371"/>
    <n v="5.01844"/>
    <n v="14"/>
    <n v="1804.2"/>
    <n v="2.0409999999999999"/>
    <n v="4.1000000000000002E-2"/>
    <n v="128.87200000000001"/>
    <n v="2"/>
    <n v="0"/>
    <s v="Yes"/>
    <n v="884125"/>
    <n v="797809"/>
    <n v="55194"/>
    <s v="Hentai"/>
    <x v="4"/>
    <x v="12"/>
  </r>
  <r>
    <s v="RUNNING"/>
    <n v="1013013601"/>
    <x v="818"/>
    <s v="nsfw"/>
    <d v="1899-12-30T16:09:00"/>
    <s v="In-Stream Video"/>
    <s v="TJX"/>
    <s v="desktop"/>
    <s v="GEO,Frequency,Keyword,BrowserLanguage"/>
    <n v="68"/>
    <n v="0"/>
    <s v="No"/>
    <n v="250"/>
    <n v="83968"/>
    <n v="4505"/>
    <n v="5.3651400000000002"/>
    <n v="0"/>
    <n v="216.05"/>
    <n v="2.573"/>
    <n v="4.8000000000000001E-2"/>
    <n v="0"/>
    <n v="2"/>
    <n v="0"/>
    <s v="Yes"/>
    <n v="83964"/>
    <n v="63083"/>
    <n v="7183"/>
    <s v="Hentai"/>
    <x v="4"/>
    <x v="12"/>
  </r>
  <r>
    <s v="RUNNING"/>
    <n v="1013013621"/>
    <x v="819"/>
    <s v="nsfw"/>
    <d v="1899-12-30T16:09:00"/>
    <s v="In-Stream Video"/>
    <s v="TJX"/>
    <s v="mobile"/>
    <s v="GEO,Frequency,Keyword,OS,BrowserLanguage"/>
    <n v="173"/>
    <n v="0"/>
    <s v="No"/>
    <n v="250"/>
    <n v="751212"/>
    <n v="63192"/>
    <n v="8.4120100000000004"/>
    <n v="7"/>
    <n v="1535.48"/>
    <n v="2.044"/>
    <n v="2.4E-2"/>
    <n v="219.35499999999999"/>
    <n v="2"/>
    <n v="0"/>
    <s v="Yes"/>
    <n v="751191"/>
    <n v="675176"/>
    <n v="48141"/>
    <s v="Hentai"/>
    <x v="3"/>
    <x v="12"/>
  </r>
  <r>
    <s v="RUNNING"/>
    <n v="1013013631"/>
    <x v="820"/>
    <s v="nsfw"/>
    <d v="1899-12-30T16:09:00"/>
    <s v="In-Stream Video"/>
    <s v="TJX"/>
    <s v="mobile"/>
    <s v="GEO,Frequency,Keyword,OS,BrowserLanguage"/>
    <n v="173"/>
    <n v="0"/>
    <s v="No"/>
    <n v="250"/>
    <n v="1066426"/>
    <n v="57053"/>
    <n v="5.3499299999999996"/>
    <n v="20"/>
    <n v="2396.11"/>
    <n v="2.2469999999999999"/>
    <n v="4.2000000000000003E-2"/>
    <n v="119.806"/>
    <n v="2"/>
    <n v="0"/>
    <s v="Yes"/>
    <n v="1066407"/>
    <n v="958015"/>
    <n v="66007"/>
    <s v="Hentai"/>
    <x v="3"/>
    <x v="12"/>
  </r>
  <r>
    <s v="RUNNING"/>
    <n v="1013013641"/>
    <x v="821"/>
    <s v="nsfw"/>
    <d v="1899-12-30T16:09:00"/>
    <s v="In-Stream Video"/>
    <s v="TJX"/>
    <s v="desktop"/>
    <s v="GEO,Frequency,Keyword,BrowserLanguage"/>
    <n v="52"/>
    <n v="0"/>
    <s v="Yes"/>
    <s v="Unlimited"/>
    <n v="3552"/>
    <n v="211"/>
    <n v="5.9403199999999998"/>
    <n v="2"/>
    <n v="10.72"/>
    <n v="3.0179999999999998"/>
    <n v="5.0999999999999997E-2"/>
    <n v="5.36"/>
    <n v="2"/>
    <n v="0"/>
    <s v="Yes"/>
    <n v="3551"/>
    <n v="2583"/>
    <n v="387"/>
    <s v="Hentai"/>
    <x v="3"/>
    <x v="12"/>
  </r>
  <r>
    <s v="RUNNING"/>
    <n v="1013013651"/>
    <x v="822"/>
    <s v="nsfw"/>
    <d v="1899-12-30T16:09:00"/>
    <s v="In-Stream Video"/>
    <s v="TJX"/>
    <s v="mobile"/>
    <s v="GEO,Frequency,Keyword,OS,BrowserLanguage"/>
    <n v="173"/>
    <n v="0"/>
    <s v="No"/>
    <n v="250"/>
    <n v="1498"/>
    <n v="80"/>
    <n v="5.3404499999999997"/>
    <n v="0"/>
    <n v="2.3199999999999998"/>
    <n v="1.552"/>
    <n v="2.9000000000000001E-2"/>
    <n v="0"/>
    <n v="2"/>
    <n v="0"/>
    <s v="Yes"/>
    <n v="1498"/>
    <n v="1358"/>
    <n v="76"/>
    <s v="Hentai"/>
    <x v="5"/>
    <x v="12"/>
  </r>
  <r>
    <s v="RUNNING"/>
    <n v="1013013701"/>
    <x v="823"/>
    <s v="nsfw"/>
    <d v="1899-12-30T16:09:00"/>
    <s v="In-Stream Video"/>
    <s v="TJX"/>
    <s v="mobile"/>
    <s v="GEO,Frequency,Keyword,OS,BrowserLanguage"/>
    <n v="173"/>
    <n v="0"/>
    <s v="No"/>
    <n v="250"/>
    <n v="3295"/>
    <n v="187"/>
    <n v="5.6752700000000003"/>
    <n v="0"/>
    <n v="3.01"/>
    <n v="0.91400000000000003"/>
    <n v="1.6E-2"/>
    <n v="0"/>
    <n v="2"/>
    <n v="0"/>
    <s v="Yes"/>
    <n v="3295"/>
    <n v="2969"/>
    <n v="163"/>
    <s v="Hentai"/>
    <x v="5"/>
    <x v="12"/>
  </r>
  <r>
    <s v="RUNNING"/>
    <n v="1013013731"/>
    <x v="824"/>
    <s v="nsfw"/>
    <d v="1899-12-30T16:09:00"/>
    <s v="In-Stream Video"/>
    <s v="TJX"/>
    <s v="desktop"/>
    <s v="GEO,Frequency,Keyword,BrowserLanguage"/>
    <n v="64"/>
    <n v="0"/>
    <s v="No"/>
    <n v="250"/>
    <n v="140350"/>
    <n v="8690"/>
    <n v="6.1916599999999997"/>
    <n v="2"/>
    <n v="348.76"/>
    <n v="2.4849999999999999"/>
    <n v="0.04"/>
    <n v="174.37899999999999"/>
    <n v="2"/>
    <n v="0"/>
    <s v="Yes"/>
    <n v="140353"/>
    <n v="110458"/>
    <n v="14654"/>
    <s v="Hentai"/>
    <x v="5"/>
    <x v="3"/>
  </r>
  <r>
    <s v="NOT RUNNING"/>
    <n v="1013013741"/>
    <x v="825"/>
    <s v="nsfw"/>
    <d v="1899-12-30T16:09:00"/>
    <s v="In-Stream Video"/>
    <s v="TJX"/>
    <s v="mobile"/>
    <s v="GEO,Frequency,Keyword,OS,BrowserLanguage"/>
    <n v="140"/>
    <n v="0"/>
    <s v="No"/>
    <n v="250"/>
    <n v="175"/>
    <n v="10"/>
    <n v="5.7142900000000001"/>
    <n v="0"/>
    <n v="0.1"/>
    <n v="0.58699999999999997"/>
    <n v="0.01"/>
    <n v="0"/>
    <n v="2"/>
    <n v="0"/>
    <s v="Yes"/>
    <n v="175"/>
    <n v="161"/>
    <n v="9"/>
    <s v="Hentai"/>
    <x v="6"/>
    <x v="12"/>
  </r>
  <r>
    <s v="NOT RUNNING"/>
    <n v="1013013761"/>
    <x v="826"/>
    <s v="nsfw"/>
    <d v="1899-12-30T16:09:00"/>
    <s v="In-Stream Video"/>
    <s v="TJX"/>
    <s v="mobile"/>
    <s v="GEO,Frequency,Keyword,OS,BrowserLanguage"/>
    <n v="130"/>
    <n v="0"/>
    <s v="No"/>
    <n v="250"/>
    <n v="0"/>
    <n v="0"/>
    <n v="0"/>
    <m/>
    <n v="0"/>
    <n v="0"/>
    <n v="0"/>
    <n v="0"/>
    <n v="2"/>
    <n v="0"/>
    <s v="Yes"/>
    <m/>
    <m/>
    <m/>
    <s v="Hentai"/>
    <x v="6"/>
    <x v="12"/>
  </r>
  <r>
    <s v="RUNNING"/>
    <n v="1013013771"/>
    <x v="827"/>
    <s v="nsfw"/>
    <d v="1899-12-30T16:09:00"/>
    <s v="In-Stream Video"/>
    <s v="TJX"/>
    <s v="desktop"/>
    <s v="GEO,Frequency,Keyword,BrowserLanguage"/>
    <n v="68"/>
    <n v="0"/>
    <s v="No"/>
    <n v="250"/>
    <n v="6911"/>
    <n v="245"/>
    <n v="3.5450699999999999"/>
    <n v="0"/>
    <n v="19.239999999999998"/>
    <n v="2.7839999999999998"/>
    <n v="7.9000000000000001E-2"/>
    <n v="0"/>
    <n v="2"/>
    <n v="0"/>
    <s v="Yes"/>
    <n v="6911"/>
    <n v="4859"/>
    <n v="871"/>
    <s v="Hentai"/>
    <x v="6"/>
    <x v="12"/>
  </r>
  <r>
    <s v="RUNNING"/>
    <n v="1013013791"/>
    <x v="828"/>
    <s v="nsfw"/>
    <d v="1899-12-30T16:09:00"/>
    <s v="In-Stream Video"/>
    <s v="TJX"/>
    <s v="mobile"/>
    <s v="GEO,Frequency,Keyword,OS,BrowserLanguage"/>
    <n v="1730"/>
    <n v="0"/>
    <s v="Yes"/>
    <s v="Unlimited"/>
    <n v="106971"/>
    <n v="8409"/>
    <n v="7.8610100000000003"/>
    <n v="5"/>
    <n v="130.09"/>
    <n v="1.216"/>
    <n v="1.4999999999999999E-2"/>
    <n v="26.018000000000001"/>
    <n v="2"/>
    <n v="0"/>
    <s v="Yes"/>
    <n v="106973"/>
    <n v="94260"/>
    <n v="7597"/>
    <s v="Hentai"/>
    <x v="7"/>
    <x v="12"/>
  </r>
  <r>
    <s v="RUNNING"/>
    <n v="1013013811"/>
    <x v="829"/>
    <s v="nsfw"/>
    <d v="1899-12-30T16:09:00"/>
    <s v="In-Stream Video"/>
    <s v="TJX"/>
    <s v="mobile"/>
    <s v="GEO,Frequency,Keyword,OS,BrowserLanguage"/>
    <n v="1730"/>
    <n v="0"/>
    <s v="No"/>
    <n v="250"/>
    <n v="76858"/>
    <n v="5047"/>
    <n v="6.5666599999999997"/>
    <n v="1"/>
    <n v="122.16"/>
    <n v="1.59"/>
    <n v="2.4E-2"/>
    <n v="122.163"/>
    <n v="2"/>
    <n v="0"/>
    <s v="Yes"/>
    <n v="76859"/>
    <n v="67938"/>
    <n v="5282"/>
    <s v="Hentai"/>
    <x v="7"/>
    <x v="12"/>
  </r>
  <r>
    <s v="RUNNING"/>
    <n v="1013013831"/>
    <x v="830"/>
    <s v="nsfw"/>
    <d v="1899-12-30T16:09:00"/>
    <s v="In-Stream Video"/>
    <s v="TJX"/>
    <s v="desktop"/>
    <s v="GEO,Frequency,Keyword,BrowserLanguage"/>
    <n v="680"/>
    <n v="0"/>
    <s v="Yes"/>
    <s v="Unlimited"/>
    <n v="55873"/>
    <n v="3592"/>
    <n v="6.4288699999999999"/>
    <n v="2"/>
    <n v="102.12"/>
    <n v="1.8280000000000001"/>
    <n v="2.8000000000000001E-2"/>
    <n v="51.058"/>
    <n v="2"/>
    <n v="0"/>
    <s v="Yes"/>
    <n v="55873"/>
    <n v="43479"/>
    <n v="5355"/>
    <s v="Hentai"/>
    <x v="7"/>
    <x v="12"/>
  </r>
  <r>
    <s v="PAUSED"/>
    <n v="1013013851"/>
    <x v="831"/>
    <s v="nsfw"/>
    <d v="1899-12-30T16:09:00"/>
    <s v="In-Stream Video"/>
    <s v="TJX"/>
    <s v="mobile"/>
    <s v="GEO,Frequency,OS,BrowserLanguage"/>
    <n v="200"/>
    <n v="0"/>
    <s v="No"/>
    <n v="250"/>
    <n v="244141"/>
    <n v="19216"/>
    <n v="7.8708600000000004"/>
    <n v="1"/>
    <n v="471.67"/>
    <n v="1.9319999999999999"/>
    <n v="2.5000000000000001E-2"/>
    <n v="471.666"/>
    <n v="2"/>
    <n v="0"/>
    <s v="Yes"/>
    <n v="244141"/>
    <n v="216683"/>
    <n v="19773"/>
    <s v="Broad"/>
    <x v="3"/>
    <x v="25"/>
  </r>
  <r>
    <s v="RUNNING"/>
    <n v="1013013861"/>
    <x v="832"/>
    <s v="nsfw"/>
    <d v="1899-12-30T16:09:00"/>
    <s v="In-Stream Video"/>
    <s v="TJX"/>
    <s v="mobile"/>
    <s v="GEO,Frequency,OS,BrowserLanguage"/>
    <n v="243"/>
    <n v="0"/>
    <s v="No"/>
    <n v="250"/>
    <n v="1244313"/>
    <n v="62802"/>
    <n v="5.04711"/>
    <n v="16"/>
    <n v="2433.5700000000002"/>
    <n v="1.956"/>
    <n v="3.9E-2"/>
    <n v="152.09800000000001"/>
    <n v="2"/>
    <n v="0"/>
    <s v="No"/>
    <n v="1244310"/>
    <n v="1132199"/>
    <n v="67561"/>
    <s v="Broad"/>
    <x v="3"/>
    <x v="26"/>
  </r>
  <r>
    <s v="RUNNING"/>
    <n v="1013013881"/>
    <x v="833"/>
    <s v="nsfw"/>
    <d v="1899-12-30T16:09:00"/>
    <s v="In-Stream Video"/>
    <s v="TJX"/>
    <s v="desktop"/>
    <s v="GEO,Frequency,BrowserLanguage"/>
    <n v="100"/>
    <n v="0"/>
    <s v="No"/>
    <n v="250"/>
    <n v="988713"/>
    <n v="48853"/>
    <n v="4.9410699999999999"/>
    <n v="12"/>
    <n v="3227.23"/>
    <n v="3.2639999999999998"/>
    <n v="6.6000000000000003E-2"/>
    <n v="268.93599999999998"/>
    <n v="2"/>
    <n v="0"/>
    <s v="Yes"/>
    <n v="988633"/>
    <n v="782967"/>
    <n v="108357"/>
    <s v="Broad"/>
    <x v="3"/>
    <x v="25"/>
  </r>
  <r>
    <s v="RUNNING"/>
    <n v="1013013911"/>
    <x v="834"/>
    <s v="nsfw"/>
    <d v="1899-12-30T16:09:00"/>
    <s v="In-Stream Video"/>
    <s v="TJX"/>
    <s v="mobile"/>
    <s v="GEO,Frequency,Keyword,OS,BrowserLanguage"/>
    <n v="32"/>
    <n v="0"/>
    <s v="No"/>
    <n v="250"/>
    <n v="73441"/>
    <n v="3052"/>
    <n v="4.15571"/>
    <n v="1"/>
    <n v="86.65"/>
    <n v="1.18"/>
    <n v="2.8000000000000001E-2"/>
    <n v="86.650999999999996"/>
    <n v="2"/>
    <n v="0"/>
    <s v="Yes"/>
    <n v="73441"/>
    <n v="64195"/>
    <n v="6427"/>
    <s v="Blowjob"/>
    <x v="3"/>
    <x v="3"/>
  </r>
  <r>
    <s v="RUNNING"/>
    <n v="1013013931"/>
    <x v="835"/>
    <s v="nsfw"/>
    <d v="1899-12-30T16:09:00"/>
    <s v="In-Stream Video"/>
    <s v="TJX"/>
    <s v="mobile"/>
    <s v="GEO,Frequency,Keyword,OS,BrowserLanguage"/>
    <n v="32"/>
    <n v="0"/>
    <s v="No"/>
    <n v="250"/>
    <n v="154724"/>
    <n v="7818"/>
    <n v="5.0528700000000004"/>
    <n v="0"/>
    <n v="181.27"/>
    <n v="1.1719999999999999"/>
    <n v="2.3E-2"/>
    <n v="0"/>
    <n v="2"/>
    <n v="0"/>
    <s v="Yes"/>
    <n v="154724"/>
    <n v="134120"/>
    <n v="13705"/>
    <s v="Blowjob"/>
    <x v="3"/>
    <x v="3"/>
  </r>
  <r>
    <s v="RUNNING"/>
    <n v="1013013941"/>
    <x v="836"/>
    <s v="nsfw"/>
    <d v="1899-12-30T16:09:00"/>
    <s v="In-Stream Video"/>
    <s v="TJX"/>
    <s v="desktop"/>
    <s v="GEO,Frequency,Keyword,BrowserLanguage"/>
    <n v="64"/>
    <n v="0"/>
    <s v="No"/>
    <n v="250"/>
    <n v="22294"/>
    <n v="869"/>
    <n v="3.89791"/>
    <n v="0"/>
    <n v="19.91"/>
    <n v="0.89300000000000002"/>
    <n v="2.3E-2"/>
    <n v="0"/>
    <n v="2"/>
    <n v="0"/>
    <s v="Yes"/>
    <n v="22294"/>
    <n v="16065"/>
    <n v="3160"/>
    <s v="Blowjob"/>
    <x v="3"/>
    <x v="3"/>
  </r>
  <r>
    <s v="PAUSED"/>
    <n v="1013013951"/>
    <x v="837"/>
    <s v="nsfw"/>
    <d v="1899-12-30T16:09:00"/>
    <s v="In-Stream Video"/>
    <s v="TJX"/>
    <s v="mobile"/>
    <s v="GEO,Frequency,Keyword,OS,BrowserLanguage"/>
    <n v="100"/>
    <n v="0"/>
    <s v="No"/>
    <n v="250"/>
    <n v="324964"/>
    <n v="23834"/>
    <n v="7.3343499999999997"/>
    <n v="2"/>
    <n v="466.44"/>
    <n v="1.4350000000000001"/>
    <n v="0.02"/>
    <n v="233.21899999999999"/>
    <n v="2"/>
    <n v="0"/>
    <s v="Yes"/>
    <n v="324964"/>
    <n v="288687"/>
    <n v="25807"/>
    <s v="Cowgirl"/>
    <x v="3"/>
    <x v="3"/>
  </r>
  <r>
    <s v="RUNNING"/>
    <n v="1013013961"/>
    <x v="838"/>
    <s v="nsfw"/>
    <d v="1899-12-30T16:09:00"/>
    <s v="In-Stream Video"/>
    <s v="TJX"/>
    <s v="mobile"/>
    <s v="GEO,Frequency,Keyword,OS,BrowserLanguage"/>
    <n v="140"/>
    <n v="0"/>
    <s v="No"/>
    <n v="250"/>
    <n v="1097124"/>
    <n v="54261"/>
    <n v="4.9457500000000003"/>
    <n v="9"/>
    <n v="1906.98"/>
    <n v="1.738"/>
    <n v="3.5000000000000003E-2"/>
    <n v="211.887"/>
    <n v="2"/>
    <n v="0"/>
    <s v="Yes"/>
    <n v="1097123"/>
    <n v="988928"/>
    <n v="69159"/>
    <s v="Cowgirl"/>
    <x v="3"/>
    <x v="3"/>
  </r>
  <r>
    <s v="RUNNING"/>
    <n v="1013013971"/>
    <x v="839"/>
    <s v="nsfw"/>
    <d v="1899-12-30T16:09:00"/>
    <s v="In-Stream Video"/>
    <s v="TJX"/>
    <s v="desktop"/>
    <s v="GEO,Frequency,Keyword,Browser,BrowserLanguage"/>
    <n v="52"/>
    <n v="0"/>
    <s v="No"/>
    <n v="250"/>
    <n v="830609"/>
    <n v="36437"/>
    <n v="4.3867799999999999"/>
    <n v="16"/>
    <n v="1591.8"/>
    <n v="1.9159999999999999"/>
    <n v="4.3999999999999997E-2"/>
    <n v="99.488"/>
    <n v="2"/>
    <n v="0"/>
    <s v="Yes"/>
    <n v="830607"/>
    <n v="639216"/>
    <n v="98537"/>
    <s v="Cowgirl"/>
    <x v="3"/>
    <x v="3"/>
  </r>
  <r>
    <s v="RUNNING"/>
    <n v="1013013981"/>
    <x v="840"/>
    <s v="nsfw"/>
    <d v="1899-12-30T16:09:00"/>
    <s v="In-Stream Video"/>
    <s v="TJX"/>
    <s v="desktop"/>
    <s v="GEO,Frequency,Keyword,BrowserLanguage"/>
    <n v="60"/>
    <n v="0"/>
    <s v="No"/>
    <n v="250"/>
    <n v="393787"/>
    <n v="14870"/>
    <n v="3.7761499999999999"/>
    <n v="2"/>
    <n v="478.45"/>
    <n v="1.2150000000000001"/>
    <n v="3.2000000000000001E-2"/>
    <n v="239.22300000000001"/>
    <n v="2"/>
    <n v="0"/>
    <s v="Yes"/>
    <n v="393786"/>
    <n v="292520"/>
    <n v="41527"/>
    <s v="Missionary"/>
    <x v="3"/>
    <x v="3"/>
  </r>
  <r>
    <s v="RUNNING"/>
    <n v="1013014001"/>
    <x v="841"/>
    <s v="nsfw"/>
    <d v="1899-12-30T16:09:00"/>
    <s v="In-Stream Video"/>
    <s v="TJX"/>
    <s v="mobile"/>
    <s v="GEO,Frequency,Keyword,OS,BrowserLanguage"/>
    <n v="65"/>
    <n v="0"/>
    <s v="No"/>
    <n v="250"/>
    <n v="263662"/>
    <n v="12446"/>
    <n v="4.72044"/>
    <n v="2"/>
    <n v="485.6"/>
    <n v="1.8420000000000001"/>
    <n v="3.9E-2"/>
    <n v="242.80099999999999"/>
    <n v="2"/>
    <n v="0"/>
    <s v="Yes"/>
    <n v="263654"/>
    <n v="239101"/>
    <n v="14516"/>
    <s v="Missionary"/>
    <x v="3"/>
    <x v="3"/>
  </r>
  <r>
    <s v="PAUSED"/>
    <n v="1013014101"/>
    <x v="842"/>
    <s v="nsfw"/>
    <d v="1899-12-30T16:09:00"/>
    <s v="In-Stream Video"/>
    <s v="TJX"/>
    <s v="desktop"/>
    <s v="GEO,Frequency,Keyword,BrowserLanguage"/>
    <n v="44"/>
    <n v="0"/>
    <s v="No"/>
    <n v="250"/>
    <n v="41177"/>
    <n v="1849"/>
    <n v="4.4903700000000004"/>
    <n v="0"/>
    <n v="115.9"/>
    <n v="2.8149999999999999"/>
    <n v="6.3E-2"/>
    <n v="0"/>
    <n v="2"/>
    <n v="0"/>
    <s v="Yes"/>
    <n v="41177"/>
    <n v="31564"/>
    <n v="4928"/>
    <s v="Missionary"/>
    <x v="6"/>
    <x v="3"/>
  </r>
  <r>
    <s v="RUNNING"/>
    <n v="1013014111"/>
    <x v="843"/>
    <s v="nsfw"/>
    <d v="1899-12-30T16:09:00"/>
    <s v="In-Stream Video"/>
    <s v="TJX"/>
    <s v="mobile"/>
    <s v="GEO,Frequency,Keyword,OS,BrowserLanguage"/>
    <n v="65"/>
    <n v="0"/>
    <s v="No"/>
    <n v="250"/>
    <n v="3265566"/>
    <n v="199316"/>
    <n v="6.1035700000000004"/>
    <n v="26"/>
    <n v="5794.67"/>
    <n v="1.7749999999999999"/>
    <n v="2.9000000000000001E-2"/>
    <n v="222.87200000000001"/>
    <n v="2"/>
    <n v="0"/>
    <s v="Yes"/>
    <n v="3264919"/>
    <n v="2900107"/>
    <n v="261773"/>
    <s v="Missionary"/>
    <x v="3"/>
    <x v="3"/>
  </r>
  <r>
    <s v="RUNNING"/>
    <n v="1013014221"/>
    <x v="844"/>
    <s v="nsfw"/>
    <d v="1899-12-30T16:09:00"/>
    <s v="In-Stream Video"/>
    <s v="TJX"/>
    <s v="mobile"/>
    <s v="GEO,Frequency,Keyword,OS,BrowserLanguage"/>
    <n v="153"/>
    <n v="0"/>
    <s v="No"/>
    <n v="250"/>
    <n v="1244985"/>
    <n v="95495"/>
    <n v="7.6703700000000001"/>
    <n v="7"/>
    <n v="1983.37"/>
    <n v="1.593"/>
    <n v="2.1000000000000001E-2"/>
    <n v="283.33800000000002"/>
    <n v="2"/>
    <n v="0"/>
    <s v="Yes"/>
    <n v="1244959"/>
    <n v="1112297"/>
    <n v="91474"/>
    <s v="Cumshot"/>
    <x v="3"/>
    <x v="3"/>
  </r>
  <r>
    <s v="RUNNING"/>
    <n v="1013014271"/>
    <x v="845"/>
    <s v="nsfw"/>
    <d v="1899-12-30T16:09:00"/>
    <s v="In-Stream Video"/>
    <s v="TJX"/>
    <s v="mobile"/>
    <s v="GEO,Frequency,Keyword,OS,BrowserLanguage"/>
    <n v="163"/>
    <n v="0"/>
    <s v="No"/>
    <n v="250"/>
    <n v="577204"/>
    <n v="27560"/>
    <n v="4.7747400000000004"/>
    <n v="0"/>
    <n v="1129.73"/>
    <n v="1.9570000000000001"/>
    <n v="4.1000000000000002E-2"/>
    <n v="0"/>
    <n v="2"/>
    <n v="0"/>
    <s v="Yes"/>
    <n v="577183"/>
    <n v="529366"/>
    <n v="27406"/>
    <s v="Cumshot"/>
    <x v="3"/>
    <x v="3"/>
  </r>
  <r>
    <s v="RUNNING"/>
    <n v="1013014281"/>
    <x v="846"/>
    <s v="nsfw"/>
    <d v="1899-12-30T16:09:00"/>
    <s v="In-Stream Video"/>
    <s v="TJX"/>
    <s v="desktop"/>
    <s v="GEO,Frequency,Keyword,BrowserLanguage"/>
    <n v="68"/>
    <n v="0"/>
    <s v="Yes"/>
    <s v="Unlimited"/>
    <n v="562398"/>
    <n v="21596"/>
    <n v="3.8399899999999998"/>
    <n v="9"/>
    <n v="693.57"/>
    <n v="1.2330000000000001"/>
    <n v="3.2000000000000001E-2"/>
    <n v="77.063999999999993"/>
    <n v="2"/>
    <n v="0"/>
    <s v="Yes"/>
    <n v="562396"/>
    <n v="413438"/>
    <n v="71222"/>
    <s v="Cumshot"/>
    <x v="3"/>
    <x v="3"/>
  </r>
  <r>
    <s v="RUNNING"/>
    <n v="1013014311"/>
    <x v="847"/>
    <s v="nsfw"/>
    <d v="1899-12-30T16:09:00"/>
    <s v="In-Stream Video"/>
    <s v="TJX"/>
    <s v="desktop"/>
    <s v="GEO,Frequency,Keyword,BrowserLanguage"/>
    <n v="96"/>
    <n v="0"/>
    <s v="No"/>
    <n v="250"/>
    <n v="89753"/>
    <n v="3892"/>
    <n v="4.3363500000000004"/>
    <n v="0"/>
    <n v="230.7"/>
    <n v="2.57"/>
    <n v="5.8999999999999997E-2"/>
    <n v="0"/>
    <n v="1"/>
    <n v="0"/>
    <s v="Yes"/>
    <n v="89753"/>
    <n v="70791"/>
    <n v="9376"/>
    <s v="Handjob"/>
    <x v="3"/>
    <x v="3"/>
  </r>
  <r>
    <s v="PAUSED"/>
    <n v="1013014461"/>
    <x v="848"/>
    <s v="nsfw"/>
    <d v="1899-12-30T16:09:00"/>
    <s v="In-Stream Video"/>
    <s v="TJX"/>
    <s v="mobile"/>
    <s v="GEO,Frequency,Keyword,OS,BrowserLanguage"/>
    <n v="90"/>
    <n v="0"/>
    <s v="No"/>
    <n v="250"/>
    <n v="107901"/>
    <n v="7972"/>
    <n v="7.3882500000000002"/>
    <n v="1"/>
    <n v="186.98"/>
    <n v="1.7330000000000001"/>
    <n v="2.3E-2"/>
    <n v="186.97900000000001"/>
    <n v="2"/>
    <n v="0"/>
    <s v="Yes"/>
    <n v="107901"/>
    <n v="95073"/>
    <n v="8407"/>
    <s v="Handjob"/>
    <x v="3"/>
    <x v="3"/>
  </r>
  <r>
    <s v="RUNNING"/>
    <n v="1013014511"/>
    <x v="849"/>
    <s v="nsfw"/>
    <d v="1899-12-30T16:09:00"/>
    <s v="In-Stream Video"/>
    <s v="TJX"/>
    <s v="mobile"/>
    <s v="GEO,Frequency,Keyword,OS,BrowserLanguage"/>
    <n v="114"/>
    <n v="0"/>
    <s v="No"/>
    <n v="250"/>
    <n v="207843"/>
    <n v="9489"/>
    <n v="4.5654700000000004"/>
    <n v="1"/>
    <n v="370.85"/>
    <n v="1.784"/>
    <n v="3.9E-2"/>
    <n v="370.84800000000001"/>
    <n v="2"/>
    <n v="0"/>
    <s v="Yes"/>
    <n v="207840"/>
    <n v="184940"/>
    <n v="13338"/>
    <s v="Handjob"/>
    <x v="3"/>
    <x v="3"/>
  </r>
  <r>
    <s v="RUNNING"/>
    <n v="1013016311"/>
    <x v="850"/>
    <s v="nsfw"/>
    <d v="1899-12-30T16:09:00"/>
    <s v="In-Stream Video"/>
    <s v="TJX"/>
    <s v="desktop"/>
    <s v="GEO,Frequency,Keyword,BrowserLanguage"/>
    <n v="80"/>
    <n v="0"/>
    <s v="No"/>
    <n v="250"/>
    <n v="200879"/>
    <n v="10698"/>
    <n v="5.32559"/>
    <n v="2"/>
    <n v="271.92"/>
    <n v="1.3540000000000001"/>
    <n v="2.5000000000000001E-2"/>
    <n v="135.96100000000001"/>
    <n v="2"/>
    <n v="0"/>
    <s v="Yes"/>
    <n v="200879"/>
    <n v="157683"/>
    <n v="21583"/>
    <s v="Handjob"/>
    <x v="8"/>
    <x v="3"/>
  </r>
  <r>
    <s v="RUNNING"/>
    <n v="1013017191"/>
    <x v="851"/>
    <s v="nsfw"/>
    <d v="1899-12-30T09:16:00"/>
    <s v="In-Stream Video"/>
    <s v="TJX"/>
    <s v="mobile"/>
    <s v="GEO"/>
    <n v="3"/>
    <n v="2"/>
    <s v="Yes"/>
    <s v="Unlimited"/>
    <n v="2211253"/>
    <n v="13737"/>
    <n v="0.62121999999999999"/>
    <n v="23"/>
    <n v="1676.54"/>
    <n v="0.75800000000000001"/>
    <n v="0.122"/>
    <n v="72.893000000000001"/>
    <n v="2"/>
    <n v="0"/>
    <s v="No"/>
    <n v="2211220"/>
    <n v="0"/>
    <n v="7670"/>
    <s v="Shorties"/>
    <x v="3"/>
    <x v="2"/>
  </r>
  <r>
    <s v="RUNNING"/>
    <n v="1013017281"/>
    <x v="852"/>
    <s v="nsfw"/>
    <d v="1899-12-30T16:09:00"/>
    <s v="In-Stream Video"/>
    <s v="TJX"/>
    <s v="desktop"/>
    <s v="GEO,Frequency,Keyword,Browser,BrowserLanguage"/>
    <n v="7"/>
    <n v="0"/>
    <s v="Yes"/>
    <s v="Unlimited"/>
    <n v="228626"/>
    <n v="9594"/>
    <n v="4.1963699999999999"/>
    <n v="8"/>
    <n v="690.45"/>
    <n v="3.02"/>
    <n v="7.1999999999999995E-2"/>
    <n v="86.305999999999997"/>
    <n v="2"/>
    <n v="0"/>
    <s v="No"/>
    <n v="228621"/>
    <n v="176242"/>
    <n v="23506"/>
    <s v="AI"/>
    <x v="3"/>
    <x v="0"/>
  </r>
  <r>
    <s v="RUNNING"/>
    <n v="1013017291"/>
    <x v="853"/>
    <s v="nsfw"/>
    <d v="1899-12-30T16:09:00"/>
    <s v="In-Stream Video"/>
    <s v="TJX"/>
    <s v="desktop"/>
    <s v="GEO,Frequency,Keyword,Browser,BrowserLanguage"/>
    <n v="7"/>
    <n v="0"/>
    <s v="No"/>
    <n v="500"/>
    <n v="4219"/>
    <n v="132"/>
    <n v="3.1286999999999998"/>
    <n v="0"/>
    <n v="10.7"/>
    <n v="2.536"/>
    <n v="8.1000000000000003E-2"/>
    <n v="0"/>
    <n v="2"/>
    <n v="0"/>
    <s v="No"/>
    <n v="4219"/>
    <n v="3107"/>
    <n v="501"/>
    <s v="AI"/>
    <x v="6"/>
    <x v="0"/>
  </r>
  <r>
    <s v="RUNNING"/>
    <n v="1013017301"/>
    <x v="854"/>
    <s v="nsfw"/>
    <d v="1899-12-30T16:09:00"/>
    <s v="In-Stream Video"/>
    <s v="TJX"/>
    <s v="mobile"/>
    <s v="GEO,Frequency,OS,BrowserLanguage"/>
    <n v="50"/>
    <n v="0"/>
    <s v="No"/>
    <n v="250"/>
    <n v="833700"/>
    <n v="50817"/>
    <n v="6.0953600000000003"/>
    <n v="14"/>
    <n v="1821.94"/>
    <n v="2.1850000000000001"/>
    <n v="3.5999999999999997E-2"/>
    <n v="130.13900000000001"/>
    <n v="2"/>
    <n v="0"/>
    <s v="Yes"/>
    <n v="833684"/>
    <n v="751670"/>
    <n v="52790"/>
    <s v="Gay"/>
    <x v="3"/>
    <x v="27"/>
  </r>
  <r>
    <s v="RUNNING"/>
    <n v="1013017321"/>
    <x v="855"/>
    <s v="nsfw"/>
    <d v="1899-12-30T16:09:00"/>
    <s v="In-Stream Video"/>
    <s v="TJX"/>
    <s v="mobile"/>
    <s v="GEO,Frequency,Keyword,OS"/>
    <n v="2"/>
    <n v="2"/>
    <s v="No"/>
    <n v="500"/>
    <n v="1137778"/>
    <n v="51425"/>
    <n v="4.5197700000000003"/>
    <n v="23"/>
    <n v="2482.63"/>
    <n v="2.1819999999999999"/>
    <n v="4.8000000000000001E-2"/>
    <n v="107.941"/>
    <n v="2"/>
    <n v="0"/>
    <s v="Yes"/>
    <n v="1137776"/>
    <n v="1011123"/>
    <n v="91231"/>
    <s v="Trans"/>
    <x v="3"/>
    <x v="6"/>
  </r>
  <r>
    <s v="RUNNING"/>
    <n v="1013017331"/>
    <x v="856"/>
    <s v="nsfw"/>
    <d v="1899-12-30T16:09:00"/>
    <s v="In-Stream Video"/>
    <s v="TJX"/>
    <s v="mobile"/>
    <s v="GEO,Frequency,Keyword,OS"/>
    <n v="2"/>
    <n v="0"/>
    <s v="No"/>
    <n v="500"/>
    <n v="305482"/>
    <n v="18584"/>
    <n v="6.0834999999999999"/>
    <n v="2"/>
    <n v="663.51"/>
    <n v="2.1720000000000002"/>
    <n v="3.5999999999999997E-2"/>
    <n v="331.75299999999999"/>
    <n v="2"/>
    <n v="0"/>
    <s v="No"/>
    <n v="305482"/>
    <n v="267319"/>
    <n v="26747"/>
    <s v="Trans"/>
    <x v="3"/>
    <x v="6"/>
  </r>
  <r>
    <s v="PAUSED"/>
    <n v="1013017351"/>
    <x v="857"/>
    <s v="nsfw"/>
    <d v="1899-12-30T16:09:00"/>
    <s v="In-Stream Video"/>
    <s v="TJX"/>
    <s v="mobile"/>
    <s v="GEO,Frequency,OS,BrowserLanguage"/>
    <n v="50"/>
    <n v="0"/>
    <s v="No"/>
    <n v="250"/>
    <n v="127732"/>
    <n v="6935"/>
    <n v="5.4293399999999998"/>
    <n v="1"/>
    <n v="325.19"/>
    <n v="2.5459999999999998"/>
    <n v="4.7E-2"/>
    <n v="325.19200000000001"/>
    <n v="2"/>
    <n v="0"/>
    <s v="Yes"/>
    <n v="127732"/>
    <n v="115651"/>
    <n v="7645"/>
    <s v="Gay"/>
    <x v="3"/>
    <x v="27"/>
  </r>
  <r>
    <s v="RUNNING"/>
    <n v="1013017371"/>
    <x v="858"/>
    <s v="nsfw"/>
    <d v="1899-12-30T16:09:00"/>
    <s v="In-Stream Video"/>
    <s v="TJX"/>
    <s v="desktop"/>
    <s v="GEO,Frequency,BrowserLanguage"/>
    <n v="20"/>
    <n v="0"/>
    <s v="Yes"/>
    <s v="Unlimited"/>
    <n v="669399"/>
    <n v="35776"/>
    <n v="5.3445"/>
    <n v="25"/>
    <n v="3294.01"/>
    <n v="4.9210000000000003"/>
    <n v="9.1999999999999998E-2"/>
    <n v="131.76"/>
    <n v="2"/>
    <n v="0"/>
    <s v="Yes"/>
    <n v="669405"/>
    <n v="543204"/>
    <n v="63969"/>
    <s v="Gay"/>
    <x v="3"/>
    <x v="27"/>
  </r>
  <r>
    <s v="RUNNING"/>
    <n v="1013017401"/>
    <x v="859"/>
    <s v="nsfw"/>
    <d v="1899-12-30T16:09:00"/>
    <s v="In-Stream Video"/>
    <s v="TJX"/>
    <s v="desktop"/>
    <s v="GEO,Frequency,BrowserLanguage"/>
    <n v="20"/>
    <n v="0"/>
    <s v="Yes"/>
    <s v="Unlimited"/>
    <n v="35471"/>
    <n v="1780"/>
    <n v="5.0181800000000001"/>
    <n v="1"/>
    <n v="82.89"/>
    <n v="2.3370000000000002"/>
    <n v="4.7E-2"/>
    <n v="82.89"/>
    <n v="2"/>
    <n v="0"/>
    <s v="Yes"/>
    <n v="35471"/>
    <n v="28362"/>
    <n v="3825"/>
    <s v="Gay"/>
    <x v="5"/>
    <x v="27"/>
  </r>
  <r>
    <s v="RUNNING"/>
    <n v="1013017411"/>
    <x v="860"/>
    <s v="nsfw"/>
    <d v="1899-12-30T16:09:00"/>
    <s v="In-Stream Video"/>
    <s v="TJX"/>
    <s v="desktop"/>
    <s v="GEO,Frequency,BrowserLanguage"/>
    <n v="20"/>
    <n v="0"/>
    <s v="Yes"/>
    <s v="Unlimited"/>
    <n v="167123"/>
    <n v="8149"/>
    <n v="4.8760500000000002"/>
    <n v="3"/>
    <n v="273.26"/>
    <n v="1.635"/>
    <n v="3.4000000000000002E-2"/>
    <n v="91.087000000000003"/>
    <n v="2"/>
    <n v="0"/>
    <s v="Yes"/>
    <n v="167116"/>
    <n v="136126"/>
    <n v="15539"/>
    <s v="Gay"/>
    <x v="4"/>
    <x v="27"/>
  </r>
  <r>
    <s v="PAUSED"/>
    <n v="1013022481"/>
    <x v="861"/>
    <s v="nsfw"/>
    <d v="1899-12-30T16:09:00"/>
    <s v="In-Stream Video"/>
    <s v="TJX"/>
    <s v="desktop"/>
    <s v="GEO,Frequency,Keyword,BrowserLanguage"/>
    <n v="2"/>
    <n v="0"/>
    <s v="No"/>
    <n v="25"/>
    <n v="23"/>
    <n v="3"/>
    <n v="13.043480000000001"/>
    <n v="0"/>
    <n v="0.02"/>
    <n v="0.89300000000000002"/>
    <n v="7.0000000000000001E-3"/>
    <n v="0"/>
    <n v="2"/>
    <n v="0"/>
    <s v="Yes"/>
    <n v="23"/>
    <n v="21"/>
    <n v="1"/>
    <s v="JB-Testing"/>
    <x v="9"/>
    <x v="28"/>
  </r>
  <r>
    <s v="PAUSED"/>
    <n v="1013022491"/>
    <x v="862"/>
    <s v="nsfw"/>
    <d v="1899-12-30T16:09:00"/>
    <s v="In-Stream Video"/>
    <s v="TJX"/>
    <s v="desktop"/>
    <s v="GEO,Frequency,Keyword,BrowserLanguage"/>
    <n v="11"/>
    <n v="0"/>
    <s v="No"/>
    <n v="25"/>
    <n v="1"/>
    <n v="0"/>
    <n v="0"/>
    <n v="0"/>
    <n v="0"/>
    <n v="0.89300000000000002"/>
    <n v="0"/>
    <n v="0"/>
    <n v="2"/>
    <n v="0"/>
    <s v="Yes"/>
    <n v="1"/>
    <n v="1"/>
    <n v="0"/>
    <s v="JB-Testing"/>
    <x v="9"/>
    <x v="28"/>
  </r>
  <r>
    <s v="PAUSED"/>
    <n v="1013022501"/>
    <x v="863"/>
    <s v="nsfw"/>
    <d v="1899-12-30T16:09:00"/>
    <s v="In-Stream Video"/>
    <s v="TJX"/>
    <s v="desktop"/>
    <s v="GEO,Frequency,Keyword,Cookie,BrowserLanguage"/>
    <n v="24"/>
    <n v="0"/>
    <s v="No"/>
    <n v="25"/>
    <n v="20"/>
    <n v="3"/>
    <n v="15"/>
    <n v="0"/>
    <n v="0.02"/>
    <n v="0.89300000000000002"/>
    <n v="6.0000000000000001E-3"/>
    <n v="0"/>
    <n v="2"/>
    <n v="0"/>
    <s v="Yes"/>
    <n v="20"/>
    <n v="13"/>
    <n v="2"/>
    <s v="Remarketing"/>
    <x v="9"/>
    <x v="14"/>
  </r>
  <r>
    <s v="RUNNING"/>
    <n v="1013024831"/>
    <x v="864"/>
    <s v="nsfw"/>
    <d v="1899-12-30T16:09:00"/>
    <s v="In-Stream Video"/>
    <s v="TJX"/>
    <s v="desktop"/>
    <s v="GEO,Frequency,Keyword,Browser,BrowserLanguage"/>
    <n v="7"/>
    <n v="0"/>
    <s v="No"/>
    <n v="500"/>
    <n v="20076"/>
    <n v="716"/>
    <n v="3.5664500000000001"/>
    <n v="0"/>
    <n v="21.08"/>
    <n v="1.05"/>
    <n v="2.9000000000000001E-2"/>
    <n v="0"/>
    <n v="2"/>
    <n v="0"/>
    <s v="No"/>
    <n v="20076"/>
    <n v="15068"/>
    <n v="2168"/>
    <s v="AI"/>
    <x v="4"/>
    <x v="0"/>
  </r>
  <r>
    <s v="RUNNING"/>
    <n v="1013024841"/>
    <x v="865"/>
    <s v="nsfw"/>
    <d v="1899-12-30T16:09:00"/>
    <s v="In-Stream Video"/>
    <s v="TJX"/>
    <s v="desktop"/>
    <s v="GEO,Frequency,Keyword,Browser,BrowserLanguage"/>
    <n v="7"/>
    <n v="0"/>
    <s v="No"/>
    <n v="500"/>
    <n v="12353"/>
    <n v="528"/>
    <n v="4.2742599999999999"/>
    <n v="0"/>
    <n v="17.829999999999998"/>
    <n v="1.4430000000000001"/>
    <n v="3.4000000000000002E-2"/>
    <n v="0"/>
    <n v="2"/>
    <n v="0"/>
    <s v="No"/>
    <n v="12354"/>
    <n v="9313"/>
    <n v="1444"/>
    <s v="AI"/>
    <x v="5"/>
    <x v="0"/>
  </r>
  <r>
    <s v="RUNNING"/>
    <n v="1013024861"/>
    <x v="853"/>
    <s v="nsfw"/>
    <d v="1899-12-30T16:09:00"/>
    <s v="In-Stream Video"/>
    <s v="TJX"/>
    <s v="desktop"/>
    <s v="GEO,Frequency,Keyword,Browser,BrowserLanguage"/>
    <n v="7"/>
    <n v="0"/>
    <s v="No"/>
    <n v="500"/>
    <n v="1478"/>
    <n v="32"/>
    <n v="2.1650900000000002"/>
    <n v="0"/>
    <n v="3.65"/>
    <n v="2.472"/>
    <n v="0.114"/>
    <n v="0"/>
    <n v="2"/>
    <n v="0"/>
    <s v="No"/>
    <n v="1479"/>
    <n v="958"/>
    <n v="169"/>
    <s v="AI"/>
    <x v="6"/>
    <x v="0"/>
  </r>
  <r>
    <s v="RUNNING"/>
    <n v="1013024881"/>
    <x v="866"/>
    <s v="nsfw"/>
    <d v="1899-12-30T16:09:00"/>
    <s v="In-Stream Video"/>
    <s v="TJX"/>
    <s v="desktop"/>
    <s v="GEO,Frequency,Keyword,Browser,BrowserLanguage"/>
    <n v="7"/>
    <n v="0"/>
    <s v="No"/>
    <n v="500"/>
    <n v="1133"/>
    <n v="38"/>
    <n v="3.3539300000000001"/>
    <n v="0"/>
    <n v="1.04"/>
    <n v="0.91500000000000004"/>
    <n v="2.7E-2"/>
    <n v="0"/>
    <n v="2"/>
    <n v="0"/>
    <s v="No"/>
    <n v="1133"/>
    <n v="794"/>
    <n v="165"/>
    <s v="AI"/>
    <x v="8"/>
    <x v="0"/>
  </r>
  <r>
    <s v="RUNNING"/>
    <n v="1013024901"/>
    <x v="867"/>
    <s v="nsfw"/>
    <s v="640 x 360"/>
    <s v="Display"/>
    <s v="TJX"/>
    <s v="mobile"/>
    <s v="GEO,Frequency,OS,BrowserLanguage"/>
    <n v="15"/>
    <n v="3"/>
    <s v="Yes"/>
    <s v="Unlimited"/>
    <n v="17623903"/>
    <n v="21401"/>
    <n v="0.12143"/>
    <n v="47"/>
    <n v="5741.07"/>
    <n v="0.32600000000000001"/>
    <n v="0.26800000000000002"/>
    <n v="122.15"/>
    <n v="2"/>
    <n v="0"/>
    <s v="No"/>
    <n v="0"/>
    <n v="0"/>
    <n v="0"/>
    <s v="General"/>
    <x v="3"/>
    <x v="22"/>
  </r>
  <r>
    <s v="RUNNING"/>
    <n v="1013025091"/>
    <x v="868"/>
    <s v="nsfw"/>
    <s v="640 x 360"/>
    <s v="Display"/>
    <s v="TJX"/>
    <s v="mobile"/>
    <s v="GEO,Frequency,OS,BrowserLanguage"/>
    <n v="18"/>
    <n v="0"/>
    <s v="Yes"/>
    <s v="Unlimited"/>
    <n v="4273872"/>
    <n v="4381"/>
    <n v="0.10251"/>
    <n v="18"/>
    <n v="1376.19"/>
    <n v="0.32200000000000001"/>
    <n v="0.314"/>
    <n v="76.454999999999998"/>
    <n v="2"/>
    <n v="0"/>
    <s v="No"/>
    <n v="0"/>
    <n v="0"/>
    <n v="0"/>
    <s v="General"/>
    <x v="5"/>
    <x v="22"/>
  </r>
  <r>
    <s v="RUNNING"/>
    <n v="1013025101"/>
    <x v="869"/>
    <s v="nsfw"/>
    <s v="640 x 360"/>
    <s v="Display"/>
    <s v="TJX"/>
    <s v="mobile"/>
    <s v="GEO,Frequency,OS,BrowserLanguage"/>
    <n v="18"/>
    <n v="0"/>
    <s v="No"/>
    <n v="500"/>
    <n v="3340200"/>
    <n v="4678"/>
    <n v="0.14005000000000001"/>
    <n v="7"/>
    <n v="1422.93"/>
    <n v="0.42599999999999999"/>
    <n v="0.30399999999999999"/>
    <n v="203.27500000000001"/>
    <n v="2"/>
    <n v="0"/>
    <s v="No"/>
    <n v="0"/>
    <n v="0"/>
    <n v="0"/>
    <s v="General"/>
    <x v="6"/>
    <x v="22"/>
  </r>
  <r>
    <s v="RUNNING"/>
    <n v="1013025111"/>
    <x v="870"/>
    <s v="nsfw"/>
    <s v="640 x 360"/>
    <s v="Display"/>
    <s v="TJX"/>
    <s v="mobile"/>
    <s v="GEO,Frequency,OS,BrowserLanguage"/>
    <n v="4"/>
    <n v="0"/>
    <s v="Yes"/>
    <s v="Unlimited"/>
    <n v="395168"/>
    <n v="484"/>
    <n v="0.12248000000000001"/>
    <n v="3"/>
    <n v="63.64"/>
    <n v="0.161"/>
    <n v="0.13100000000000001"/>
    <n v="21.212"/>
    <n v="2"/>
    <n v="0"/>
    <s v="No"/>
    <n v="0"/>
    <n v="0"/>
    <n v="0"/>
    <s v="General"/>
    <x v="8"/>
    <x v="22"/>
  </r>
  <r>
    <s v="RUNNING"/>
    <n v="1013025121"/>
    <x v="821"/>
    <s v="nsfw"/>
    <d v="1899-12-30T16:09:00"/>
    <s v="In-Stream Video"/>
    <s v="TJX"/>
    <s v="desktop"/>
    <s v="GEO,Frequency,Keyword,BrowserLanguage"/>
    <n v="68"/>
    <n v="0"/>
    <s v="No"/>
    <n v="250"/>
    <n v="439562"/>
    <n v="27377"/>
    <n v="6.2282500000000001"/>
    <n v="11"/>
    <n v="1670.67"/>
    <n v="3.8010000000000002"/>
    <n v="6.0999999999999999E-2"/>
    <n v="151.87899999999999"/>
    <n v="2"/>
    <n v="0"/>
    <s v="Yes"/>
    <n v="439540"/>
    <n v="346695"/>
    <n v="44720"/>
    <s v="Hentai"/>
    <x v="3"/>
    <x v="12"/>
  </r>
  <r>
    <s v="RUNNING"/>
    <n v="1013025171"/>
    <x v="818"/>
    <s v="nsfw"/>
    <d v="1899-12-30T16:09:00"/>
    <s v="In-Stream Video"/>
    <s v="TJX"/>
    <s v="desktop"/>
    <s v="GEO,Frequency,Keyword,BrowserLanguage"/>
    <n v="68"/>
    <n v="0"/>
    <s v="Yes"/>
    <s v="Unlimited"/>
    <n v="442155"/>
    <n v="27837"/>
    <n v="6.2957599999999996"/>
    <n v="20"/>
    <n v="1680.48"/>
    <n v="3.8010000000000002"/>
    <n v="0.06"/>
    <n v="84.024000000000001"/>
    <n v="2"/>
    <n v="0"/>
    <s v="Yes"/>
    <n v="442131"/>
    <n v="348702"/>
    <n v="45047"/>
    <s v="Hentai"/>
    <x v="4"/>
    <x v="12"/>
  </r>
  <r>
    <s v="RUNNING"/>
    <n v="1013025221"/>
    <x v="819"/>
    <s v="nsfw"/>
    <d v="1899-12-30T16:09:00"/>
    <s v="In-Stream Video"/>
    <s v="TJX"/>
    <s v="mobile"/>
    <s v="GEO,Frequency,Keyword,OS,BrowserLanguage"/>
    <n v="173"/>
    <n v="0"/>
    <s v="No"/>
    <n v="250"/>
    <n v="374149"/>
    <n v="31242"/>
    <n v="8.3501399999999997"/>
    <n v="4"/>
    <n v="764.42"/>
    <n v="2.0430000000000001"/>
    <n v="2.4E-2"/>
    <n v="191.10599999999999"/>
    <n v="2"/>
    <n v="0"/>
    <s v="Yes"/>
    <n v="374133"/>
    <n v="335110"/>
    <n v="25634"/>
    <s v="Hentai"/>
    <x v="3"/>
    <x v="12"/>
  </r>
  <r>
    <s v="PAUSED"/>
    <n v="1013025241"/>
    <x v="816"/>
    <s v="nsfw"/>
    <d v="1899-12-30T16:09:00"/>
    <s v="In-Stream Video"/>
    <s v="TJX"/>
    <s v="mobile"/>
    <s v="GEO,Frequency,Keyword,OS,BrowserLanguage"/>
    <n v="140"/>
    <n v="0"/>
    <s v="No"/>
    <n v="250"/>
    <n v="0"/>
    <n v="0"/>
    <n v="0"/>
    <m/>
    <n v="0"/>
    <n v="0"/>
    <n v="0"/>
    <n v="0"/>
    <n v="2"/>
    <n v="0"/>
    <s v="Yes"/>
    <m/>
    <m/>
    <m/>
    <s v="Hentai"/>
    <x v="4"/>
    <x v="12"/>
  </r>
  <r>
    <s v="PAUSED"/>
    <n v="1013025281"/>
    <x v="871"/>
    <s v="nsfw"/>
    <d v="1899-12-30T16:09:00"/>
    <s v="In-Stream Video"/>
    <s v="TJX"/>
    <s v="mobile"/>
    <s v="GEO,Frequency,Keyword,OS,BrowserLanguage"/>
    <n v="26"/>
    <n v="0"/>
    <s v="No"/>
    <n v="250"/>
    <n v="0"/>
    <n v="0"/>
    <n v="0"/>
    <m/>
    <n v="0"/>
    <n v="0"/>
    <n v="0"/>
    <n v="0"/>
    <n v="2"/>
    <n v="0"/>
    <s v="Yes"/>
    <m/>
    <m/>
    <m/>
    <s v="Blowjob"/>
    <x v="4"/>
    <x v="15"/>
  </r>
  <r>
    <s v="RUNNING"/>
    <n v="1013028391"/>
    <x v="872"/>
    <s v="nsfw"/>
    <d v="1899-12-30T16:09:00"/>
    <s v="In-Stream Video"/>
    <s v="TJX"/>
    <s v="all"/>
    <s v="GEO,Frequency"/>
    <n v="5"/>
    <n v="0"/>
    <s v="No"/>
    <n v="250"/>
    <n v="40852755"/>
    <n v="2316269"/>
    <n v="5.6698000000000004"/>
    <n v="4"/>
    <n v="2870.98"/>
    <n v="7.0000000000000007E-2"/>
    <n v="1E-3"/>
    <n v="717.74599999999998"/>
    <n v="2"/>
    <n v="0"/>
    <s v="No"/>
    <n v="40851548"/>
    <n v="36104929"/>
    <n v="2575251"/>
    <s v="General"/>
    <x v="10"/>
    <x v="25"/>
  </r>
  <r>
    <s v="RUNNING"/>
    <n v="1013028421"/>
    <x v="873"/>
    <s v="nsfw"/>
    <d v="1899-12-30T16:09:00"/>
    <s v="In-Stream Video"/>
    <s v="TJX"/>
    <s v="all"/>
    <s v="GEO"/>
    <n v="5"/>
    <n v="0"/>
    <s v="Yes"/>
    <s v="Unlimited"/>
    <n v="7571267"/>
    <n v="530447"/>
    <n v="7.0060500000000001"/>
    <n v="3"/>
    <n v="757.13"/>
    <n v="0.1"/>
    <n v="1E-3"/>
    <n v="252.376"/>
    <n v="2"/>
    <n v="0"/>
    <s v="No"/>
    <n v="7570981"/>
    <n v="6608278"/>
    <n v="610121"/>
    <s v="General"/>
    <x v="11"/>
    <x v="26"/>
  </r>
  <r>
    <s v="RUNNING"/>
    <n v="1013028441"/>
    <x v="874"/>
    <s v="nsfw"/>
    <s v="640 x 360"/>
    <s v="Display"/>
    <s v="TJX"/>
    <s v="mobile"/>
    <s v="GEO"/>
    <n v="18"/>
    <n v="0"/>
    <s v="Yes"/>
    <s v="Unlimited"/>
    <n v="178043534"/>
    <n v="191983"/>
    <n v="0.10783"/>
    <n v="4"/>
    <n v="1780.44"/>
    <n v="0.01"/>
    <n v="8.9999999999999993E-3"/>
    <n v="445.10899999999998"/>
    <n v="2"/>
    <n v="0"/>
    <s v="No"/>
    <n v="0"/>
    <n v="0"/>
    <n v="0"/>
    <s v="General"/>
    <x v="12"/>
    <x v="29"/>
  </r>
  <r>
    <s v="RUNNING"/>
    <n v="1013028451"/>
    <x v="875"/>
    <s v="nsfw"/>
    <s v="640 x 360"/>
    <s v="Display"/>
    <s v="TJX"/>
    <s v="mobile"/>
    <s v="GEO"/>
    <n v="4"/>
    <n v="0"/>
    <s v="Yes"/>
    <s v="Unlimited"/>
    <n v="86906502"/>
    <n v="163495"/>
    <n v="0.18812999999999999"/>
    <n v="2"/>
    <n v="869.07"/>
    <n v="0.01"/>
    <n v="5.0000000000000001E-3"/>
    <n v="434.53300000000002"/>
    <n v="2"/>
    <n v="0"/>
    <s v="No"/>
    <n v="0"/>
    <n v="0"/>
    <n v="0"/>
    <s v="General"/>
    <x v="10"/>
    <x v="29"/>
  </r>
  <r>
    <s v="RUNNING"/>
    <n v="1013028461"/>
    <x v="876"/>
    <s v="nsfw"/>
    <d v="1899-12-30T16:09:00"/>
    <s v="In-Stream Video"/>
    <s v="TJX"/>
    <s v="all"/>
    <s v="GEO"/>
    <n v="5"/>
    <n v="0"/>
    <s v="No"/>
    <n v="250"/>
    <n v="13924321"/>
    <n v="1049131"/>
    <n v="7.5345199999999997"/>
    <n v="2"/>
    <n v="1392.43"/>
    <n v="0.1"/>
    <n v="1E-3"/>
    <n v="696.21600000000001"/>
    <n v="2"/>
    <n v="0"/>
    <s v="No"/>
    <n v="13924731"/>
    <n v="11924775"/>
    <n v="1210849"/>
    <s v="General"/>
    <x v="13"/>
    <x v="26"/>
  </r>
  <r>
    <s v="RUNNING"/>
    <n v="1013028471"/>
    <x v="877"/>
    <s v="nsfw"/>
    <s v="640 x 360"/>
    <s v="Display"/>
    <s v="TJX"/>
    <s v="mobile"/>
    <s v="GEO"/>
    <n v="4"/>
    <n v="0"/>
    <s v="Yes"/>
    <s v="Unlimited"/>
    <n v="86885483"/>
    <n v="163915"/>
    <n v="0.18865999999999999"/>
    <n v="2"/>
    <n v="868.85"/>
    <n v="0.01"/>
    <n v="5.0000000000000001E-3"/>
    <n v="434.42700000000002"/>
    <n v="2"/>
    <n v="0"/>
    <s v="No"/>
    <n v="0"/>
    <n v="0"/>
    <n v="0"/>
    <s v="General"/>
    <x v="14"/>
    <x v="29"/>
  </r>
  <r>
    <s v="RUNNING"/>
    <n v="1013028481"/>
    <x v="878"/>
    <s v="nsfw"/>
    <d v="1899-12-30T16:09:00"/>
    <s v="In-Stream Video"/>
    <s v="TJX"/>
    <s v="all"/>
    <s v="GEO"/>
    <n v="5"/>
    <n v="0"/>
    <s v="No"/>
    <n v="250"/>
    <n v="14281581"/>
    <n v="1146933"/>
    <n v="8.0308399999999995"/>
    <n v="2"/>
    <n v="1428.16"/>
    <n v="0.1"/>
    <n v="1E-3"/>
    <n v="714.07899999999995"/>
    <n v="2"/>
    <n v="0"/>
    <s v="No"/>
    <n v="14282089"/>
    <n v="12391997"/>
    <n v="1157926"/>
    <s v="General"/>
    <x v="15"/>
    <x v="26"/>
  </r>
  <r>
    <s v="RUNNING"/>
    <n v="1013028491"/>
    <x v="879"/>
    <s v="nsfw"/>
    <d v="1899-12-30T16:09:00"/>
    <s v="In-Stream Video"/>
    <s v="TJX"/>
    <s v="all"/>
    <s v="GEO"/>
    <n v="5"/>
    <n v="0"/>
    <s v="No"/>
    <n v="250"/>
    <n v="11572781"/>
    <n v="1017071"/>
    <n v="8.7884799999999998"/>
    <n v="1"/>
    <n v="1157.28"/>
    <n v="0.1"/>
    <n v="1E-3"/>
    <n v="1157.278"/>
    <n v="2"/>
    <n v="0"/>
    <s v="No"/>
    <n v="11571971"/>
    <n v="10188831"/>
    <n v="864342"/>
    <s v="General"/>
    <x v="16"/>
    <x v="26"/>
  </r>
  <r>
    <s v="RUNNING"/>
    <n v="1013028501"/>
    <x v="880"/>
    <s v="nsfw"/>
    <s v="640 x 360"/>
    <s v="Display"/>
    <s v="TJX"/>
    <s v="mobile"/>
    <s v="GEO"/>
    <n v="17"/>
    <n v="1"/>
    <s v="Yes"/>
    <s v="Unlimited"/>
    <n v="99659466"/>
    <n v="98092"/>
    <n v="9.8430000000000004E-2"/>
    <n v="27"/>
    <n v="2989.78"/>
    <n v="0.03"/>
    <n v="0.03"/>
    <n v="110.733"/>
    <n v="2"/>
    <n v="0"/>
    <s v="Yes"/>
    <n v="0"/>
    <n v="0"/>
    <n v="0"/>
    <s v="General"/>
    <x v="17"/>
    <x v="29"/>
  </r>
  <r>
    <s v="RUNNING"/>
    <n v="1013028511"/>
    <x v="881"/>
    <s v="nsfw"/>
    <d v="1899-12-30T16:09:00"/>
    <s v="In-Stream Video"/>
    <s v="TJX"/>
    <s v="all"/>
    <s v="GEO"/>
    <n v="5"/>
    <n v="0"/>
    <s v="Yes"/>
    <s v="Unlimited"/>
    <n v="3550441"/>
    <n v="181811"/>
    <n v="5.1208"/>
    <n v="6"/>
    <n v="355.04"/>
    <n v="0.1"/>
    <n v="2E-3"/>
    <n v="59.173999999999999"/>
    <n v="2"/>
    <n v="0"/>
    <s v="No"/>
    <n v="3550494"/>
    <n v="3044014"/>
    <n v="324278"/>
    <s v="General"/>
    <x v="18"/>
    <x v="26"/>
  </r>
  <r>
    <s v="RUNNING"/>
    <n v="1013028521"/>
    <x v="882"/>
    <s v="nsfw"/>
    <s v="640 x 360"/>
    <s v="Display"/>
    <s v="TJX"/>
    <s v="mobile"/>
    <s v="GEO"/>
    <n v="18"/>
    <n v="0"/>
    <s v="Yes"/>
    <s v="Unlimited"/>
    <n v="133547204"/>
    <n v="223616"/>
    <n v="0.16744000000000001"/>
    <n v="7"/>
    <n v="1335.47"/>
    <n v="0.01"/>
    <n v="6.0000000000000001E-3"/>
    <n v="190.78200000000001"/>
    <n v="2"/>
    <n v="0"/>
    <s v="No"/>
    <n v="0"/>
    <n v="0"/>
    <n v="0"/>
    <s v="General"/>
    <x v="19"/>
    <x v="29"/>
  </r>
  <r>
    <s v="RUNNING"/>
    <n v="1013028531"/>
    <x v="883"/>
    <s v="nsfw"/>
    <d v="1899-12-30T16:09:00"/>
    <s v="In-Stream Video"/>
    <s v="TJX"/>
    <s v="all"/>
    <s v="GEO"/>
    <n v="5"/>
    <n v="0"/>
    <s v="Yes"/>
    <s v="Unlimited"/>
    <n v="7932610"/>
    <n v="622090"/>
    <n v="7.8421900000000004"/>
    <n v="1"/>
    <n v="793.26"/>
    <n v="0.1"/>
    <n v="1E-3"/>
    <n v="793.26099999999997"/>
    <n v="2"/>
    <n v="0"/>
    <s v="No"/>
    <n v="7932152"/>
    <n v="6946053"/>
    <n v="631814"/>
    <s v="General"/>
    <x v="20"/>
    <x v="26"/>
  </r>
  <r>
    <s v="RUNNING"/>
    <n v="1013028541"/>
    <x v="884"/>
    <s v="nsfw"/>
    <d v="1899-12-30T16:09:00"/>
    <s v="In-Stream Video"/>
    <s v="TJX"/>
    <s v="all"/>
    <s v="GEO"/>
    <n v="5"/>
    <n v="0"/>
    <s v="Yes"/>
    <s v="Unlimited"/>
    <n v="1458630"/>
    <n v="83600"/>
    <n v="5.7314100000000003"/>
    <n v="2"/>
    <n v="145.86000000000001"/>
    <n v="0.1"/>
    <n v="2E-3"/>
    <n v="72.930999999999997"/>
    <n v="2"/>
    <n v="0"/>
    <s v="No"/>
    <n v="1458644"/>
    <n v="1295001"/>
    <n v="112980"/>
    <s v="General"/>
    <x v="21"/>
    <x v="13"/>
  </r>
  <r>
    <s v="RUNNING"/>
    <n v="1013028551"/>
    <x v="885"/>
    <s v="nsfw"/>
    <s v="640 x 360"/>
    <s v="Display"/>
    <s v="TJX"/>
    <s v="mobile"/>
    <s v="GEO"/>
    <n v="18"/>
    <n v="0"/>
    <s v="Yes"/>
    <s v="Unlimited"/>
    <n v="109184113"/>
    <n v="240380"/>
    <n v="0.22015999999999999"/>
    <n v="4"/>
    <n v="1091.8399999999999"/>
    <n v="0.01"/>
    <n v="5.0000000000000001E-3"/>
    <n v="272.95999999999998"/>
    <n v="2"/>
    <n v="0"/>
    <s v="No"/>
    <n v="0"/>
    <n v="0"/>
    <n v="0"/>
    <s v="General"/>
    <x v="11"/>
    <x v="29"/>
  </r>
  <r>
    <s v="RUNNING"/>
    <n v="1013028561"/>
    <x v="886"/>
    <s v="nsfw"/>
    <d v="1899-12-30T16:09:00"/>
    <s v="In-Stream Video"/>
    <s v="TJX"/>
    <s v="all"/>
    <s v="GEO"/>
    <n v="5"/>
    <n v="0"/>
    <s v="Yes"/>
    <s v="Unlimited"/>
    <n v="5356044"/>
    <n v="383126"/>
    <n v="7.1531500000000001"/>
    <n v="1"/>
    <n v="535.6"/>
    <n v="0.1"/>
    <n v="1E-3"/>
    <n v="535.60400000000004"/>
    <n v="2"/>
    <n v="0"/>
    <s v="No"/>
    <n v="5356144"/>
    <n v="4531471"/>
    <n v="524631"/>
    <s v="General"/>
    <x v="22"/>
    <x v="26"/>
  </r>
  <r>
    <s v="RUNNING"/>
    <n v="1013028571"/>
    <x v="887"/>
    <s v="nsfw"/>
    <d v="1899-12-30T16:09:00"/>
    <s v="In-Stream Video"/>
    <s v="TJX"/>
    <s v="all"/>
    <s v="GEO"/>
    <n v="5"/>
    <n v="0"/>
    <s v="Yes"/>
    <s v="Unlimited"/>
    <n v="4252011"/>
    <n v="334270"/>
    <n v="7.8614600000000001"/>
    <n v="1"/>
    <n v="425.2"/>
    <n v="0.1"/>
    <n v="1E-3"/>
    <n v="425.20100000000002"/>
    <n v="2"/>
    <n v="0"/>
    <s v="No"/>
    <n v="4251868"/>
    <n v="3671668"/>
    <n v="369843"/>
    <s v="General"/>
    <x v="14"/>
    <x v="26"/>
  </r>
  <r>
    <s v="RUNNING"/>
    <n v="1013028581"/>
    <x v="888"/>
    <s v="nsfw"/>
    <d v="1899-12-30T16:09:00"/>
    <s v="In-Stream Video"/>
    <s v="TJX"/>
    <s v="all"/>
    <s v="GEO"/>
    <n v="5"/>
    <n v="0"/>
    <s v="Yes"/>
    <s v="Unlimited"/>
    <n v="4620059"/>
    <n v="381517"/>
    <n v="8.2578399999999998"/>
    <n v="0"/>
    <n v="462.01"/>
    <n v="0.1"/>
    <n v="1E-3"/>
    <n v="0"/>
    <n v="2"/>
    <n v="0"/>
    <s v="No"/>
    <n v="4619837"/>
    <n v="4042235"/>
    <n v="355882"/>
    <s v="General"/>
    <x v="23"/>
    <x v="26"/>
  </r>
  <r>
    <s v="RUNNING"/>
    <n v="1013028591"/>
    <x v="889"/>
    <s v="nsfw"/>
    <s v="640 x 360"/>
    <s v="Display"/>
    <s v="TJX"/>
    <s v="mobile"/>
    <s v="GEO"/>
    <n v="4"/>
    <n v="0"/>
    <s v="Yes"/>
    <s v="Unlimited"/>
    <n v="72751684"/>
    <n v="70266"/>
    <n v="9.6579999999999999E-2"/>
    <n v="7"/>
    <n v="727.52"/>
    <n v="0.01"/>
    <n v="0.01"/>
    <n v="103.931"/>
    <n v="2"/>
    <n v="0"/>
    <s v="No"/>
    <n v="0"/>
    <n v="0"/>
    <n v="0"/>
    <s v="General"/>
    <x v="18"/>
    <x v="29"/>
  </r>
  <r>
    <s v="RUNNING"/>
    <n v="1013028601"/>
    <x v="890"/>
    <s v="nsfw"/>
    <d v="1899-12-30T16:09:00"/>
    <s v="In-Stream Video"/>
    <s v="TJX"/>
    <s v="all"/>
    <s v="GEO"/>
    <n v="5"/>
    <n v="0"/>
    <s v="Yes"/>
    <s v="Unlimited"/>
    <n v="6182624"/>
    <n v="504783"/>
    <n v="8.1645400000000006"/>
    <n v="4"/>
    <n v="618.26"/>
    <n v="0.1"/>
    <n v="1E-3"/>
    <n v="154.566"/>
    <n v="2"/>
    <n v="0"/>
    <s v="No"/>
    <n v="6182602"/>
    <n v="5079600"/>
    <n v="574300"/>
    <s v="General"/>
    <x v="24"/>
    <x v="26"/>
  </r>
  <r>
    <s v="RUNNING"/>
    <n v="1013028611"/>
    <x v="891"/>
    <s v="nsfw"/>
    <d v="1899-12-30T16:09:00"/>
    <s v="In-Stream Video"/>
    <s v="TJX"/>
    <s v="all"/>
    <s v="GEO"/>
    <n v="5"/>
    <n v="0"/>
    <s v="Yes"/>
    <s v="Unlimited"/>
    <n v="4925314"/>
    <n v="376517"/>
    <n v="7.6445299999999996"/>
    <n v="0"/>
    <n v="492.53"/>
    <n v="0.1"/>
    <n v="1E-3"/>
    <n v="0"/>
    <n v="2"/>
    <n v="0"/>
    <s v="No"/>
    <n v="4925404"/>
    <n v="4257599"/>
    <n v="400152"/>
    <s v="General"/>
    <x v="25"/>
    <x v="26"/>
  </r>
  <r>
    <s v="RUNNING"/>
    <n v="1013028621"/>
    <x v="892"/>
    <s v="nsfw"/>
    <d v="1899-12-30T16:09:00"/>
    <s v="In-Stream Video"/>
    <s v="TJX"/>
    <s v="all"/>
    <s v="GEO"/>
    <n v="5"/>
    <n v="0"/>
    <s v="Yes"/>
    <s v="Unlimited"/>
    <n v="4935809"/>
    <n v="306196"/>
    <n v="6.2035600000000004"/>
    <n v="2"/>
    <n v="493.58"/>
    <n v="0.1"/>
    <n v="2E-3"/>
    <n v="246.79"/>
    <n v="2"/>
    <n v="0"/>
    <s v="No"/>
    <n v="4935843"/>
    <n v="4309746"/>
    <n v="420948"/>
    <s v="General"/>
    <x v="26"/>
    <x v="26"/>
  </r>
  <r>
    <s v="RUNNING"/>
    <n v="1013028631"/>
    <x v="893"/>
    <s v="nsfw"/>
    <d v="1899-12-30T16:09:00"/>
    <s v="In-Stream Video"/>
    <s v="TJX"/>
    <s v="all"/>
    <s v="GEO"/>
    <n v="5"/>
    <n v="0"/>
    <s v="Yes"/>
    <s v="Unlimited"/>
    <n v="3147428"/>
    <n v="259890"/>
    <n v="8.2572200000000002"/>
    <n v="1"/>
    <n v="314.74"/>
    <n v="0.1"/>
    <n v="1E-3"/>
    <n v="314.74299999999999"/>
    <n v="2"/>
    <n v="0"/>
    <s v="No"/>
    <n v="3147232"/>
    <n v="2736456"/>
    <n v="249515"/>
    <s v="General"/>
    <x v="27"/>
    <x v="13"/>
  </r>
  <r>
    <s v="RUNNING"/>
    <n v="1013028641"/>
    <x v="894"/>
    <s v="nsfw"/>
    <d v="1899-12-30T16:09:00"/>
    <s v="In-Stream Video"/>
    <s v="TJX"/>
    <s v="all"/>
    <s v="GEO"/>
    <n v="5"/>
    <n v="0"/>
    <s v="Yes"/>
    <s v="Unlimited"/>
    <n v="1431878"/>
    <n v="109792"/>
    <n v="7.6676900000000003"/>
    <n v="1"/>
    <n v="143.19"/>
    <n v="0.1"/>
    <n v="1E-3"/>
    <n v="143.18799999999999"/>
    <n v="2"/>
    <n v="0"/>
    <s v="No"/>
    <n v="1431825"/>
    <n v="1252969"/>
    <n v="113586"/>
    <s v="General"/>
    <x v="28"/>
    <x v="13"/>
  </r>
  <r>
    <s v="RUNNING"/>
    <n v="1013028651"/>
    <x v="895"/>
    <s v="nsfw"/>
    <d v="1899-12-30T16:09:00"/>
    <s v="In-Stream Video"/>
    <s v="TJX"/>
    <s v="all"/>
    <s v="GEO"/>
    <n v="5"/>
    <n v="0"/>
    <s v="Yes"/>
    <s v="Unlimited"/>
    <n v="3009455"/>
    <n v="231135"/>
    <n v="7.6802900000000003"/>
    <n v="3"/>
    <n v="300.95"/>
    <n v="0.1"/>
    <n v="1E-3"/>
    <n v="100.315"/>
    <n v="2"/>
    <n v="0"/>
    <s v="No"/>
    <n v="3009422"/>
    <n v="2628075"/>
    <n v="244747"/>
    <s v="General"/>
    <x v="29"/>
    <x v="13"/>
  </r>
  <r>
    <s v="RUNNING"/>
    <n v="1013028661"/>
    <x v="896"/>
    <s v="nsfw"/>
    <s v="640 x 360"/>
    <s v="Display"/>
    <s v="TJX"/>
    <s v="mobile"/>
    <s v="GEO"/>
    <n v="4"/>
    <n v="0"/>
    <s v="Yes"/>
    <s v="Unlimited"/>
    <n v="65980440"/>
    <n v="162430"/>
    <n v="0.24618000000000001"/>
    <n v="14"/>
    <n v="659.8"/>
    <n v="0.01"/>
    <n v="4.0000000000000001E-3"/>
    <n v="47.128999999999998"/>
    <n v="2"/>
    <n v="0"/>
    <s v="No"/>
    <n v="0"/>
    <n v="0"/>
    <n v="0"/>
    <s v="General"/>
    <x v="30"/>
    <x v="29"/>
  </r>
  <r>
    <s v="RUNNING"/>
    <n v="1013028681"/>
    <x v="897"/>
    <s v="nsfw"/>
    <s v="640 x 360"/>
    <s v="Display"/>
    <s v="TJX"/>
    <s v="mobile"/>
    <s v="GEO"/>
    <n v="4"/>
    <n v="0"/>
    <s v="Yes"/>
    <s v="Unlimited"/>
    <n v="36160360"/>
    <n v="26732"/>
    <n v="7.3929999999999996E-2"/>
    <n v="1"/>
    <n v="361.6"/>
    <n v="0.01"/>
    <n v="1.4E-2"/>
    <n v="361.60399999999998"/>
    <n v="2"/>
    <n v="0"/>
    <s v="No"/>
    <n v="0"/>
    <n v="0"/>
    <n v="0"/>
    <s v="General"/>
    <x v="15"/>
    <x v="29"/>
  </r>
  <r>
    <s v="RUNNING"/>
    <n v="1013028691"/>
    <x v="898"/>
    <s v="nsfw"/>
    <s v="640 x 360"/>
    <s v="Display"/>
    <s v="TJX"/>
    <s v="mobile"/>
    <s v="GEO"/>
    <n v="4"/>
    <n v="0"/>
    <s v="Yes"/>
    <s v="Unlimited"/>
    <n v="66747863"/>
    <n v="84710"/>
    <n v="0.12691"/>
    <n v="2"/>
    <n v="667.48"/>
    <n v="0.01"/>
    <n v="8.0000000000000002E-3"/>
    <n v="333.73899999999998"/>
    <n v="2"/>
    <n v="0"/>
    <s v="No"/>
    <n v="0"/>
    <n v="0"/>
    <n v="0"/>
    <s v="General"/>
    <x v="13"/>
    <x v="29"/>
  </r>
  <r>
    <s v="RUNNING"/>
    <n v="1013028701"/>
    <x v="899"/>
    <s v="nsfw"/>
    <s v="640 x 360"/>
    <s v="Display"/>
    <s v="TJX"/>
    <s v="mobile"/>
    <s v="GEO"/>
    <n v="4"/>
    <n v="0"/>
    <s v="Yes"/>
    <s v="Unlimited"/>
    <n v="55622195"/>
    <n v="90156"/>
    <n v="0.16209000000000001"/>
    <n v="1"/>
    <n v="556.22"/>
    <n v="0.01"/>
    <n v="6.0000000000000001E-3"/>
    <n v="556.22199999999998"/>
    <n v="2"/>
    <n v="0"/>
    <s v="No"/>
    <n v="0"/>
    <n v="0"/>
    <n v="0"/>
    <s v="General"/>
    <x v="16"/>
    <x v="29"/>
  </r>
  <r>
    <s v="RUNNING"/>
    <n v="1013028711"/>
    <x v="900"/>
    <s v="nsfw"/>
    <s v="640 x 360"/>
    <s v="Display"/>
    <s v="TJX"/>
    <s v="mobile"/>
    <s v="GEO"/>
    <n v="4"/>
    <n v="0"/>
    <s v="Yes"/>
    <s v="Unlimited"/>
    <n v="62720854"/>
    <n v="98779"/>
    <n v="0.15748999999999999"/>
    <n v="21"/>
    <n v="627.21"/>
    <n v="0.01"/>
    <n v="6.0000000000000001E-3"/>
    <n v="29.867000000000001"/>
    <n v="2"/>
    <n v="0"/>
    <s v="No"/>
    <n v="0"/>
    <n v="0"/>
    <n v="0"/>
    <s v="General"/>
    <x v="31"/>
    <x v="29"/>
  </r>
  <r>
    <s v="RUNNING"/>
    <n v="1013028731"/>
    <x v="901"/>
    <s v="nsfw"/>
    <s v="640 x 360"/>
    <s v="Display"/>
    <s v="TJX"/>
    <s v="mobile"/>
    <s v="GEO"/>
    <n v="4"/>
    <n v="0"/>
    <s v="Yes"/>
    <s v="Unlimited"/>
    <n v="31630645"/>
    <n v="24952"/>
    <n v="7.8890000000000002E-2"/>
    <n v="20"/>
    <n v="632.61"/>
    <n v="0.02"/>
    <n v="2.5000000000000001E-2"/>
    <n v="31.631"/>
    <n v="2"/>
    <n v="0"/>
    <s v="No"/>
    <n v="0"/>
    <n v="0"/>
    <n v="0"/>
    <s v="General"/>
    <x v="5"/>
    <x v="29"/>
  </r>
  <r>
    <s v="RUNNING"/>
    <n v="1013028741"/>
    <x v="902"/>
    <s v="nsfw"/>
    <s v="640 x 360"/>
    <s v="Display"/>
    <s v="TJX"/>
    <s v="mobile"/>
    <s v="GEO"/>
    <n v="4"/>
    <n v="0"/>
    <s v="Yes"/>
    <s v="Unlimited"/>
    <n v="85624226"/>
    <n v="156974"/>
    <n v="0.18332999999999999"/>
    <n v="9"/>
    <n v="856.24"/>
    <n v="0.01"/>
    <n v="5.0000000000000001E-3"/>
    <n v="95.138000000000005"/>
    <n v="2"/>
    <n v="0"/>
    <s v="No"/>
    <n v="0"/>
    <n v="0"/>
    <n v="0"/>
    <s v="General"/>
    <x v="21"/>
    <x v="29"/>
  </r>
  <r>
    <s v="RUNNING"/>
    <n v="1013028761"/>
    <x v="903"/>
    <s v="nsfw"/>
    <s v="640 x 360"/>
    <s v="Display"/>
    <s v="TJX"/>
    <s v="mobile"/>
    <s v="GEO"/>
    <n v="4"/>
    <n v="0"/>
    <s v="Yes"/>
    <s v="Unlimited"/>
    <n v="31792391"/>
    <n v="80801"/>
    <n v="0.25414999999999999"/>
    <n v="4"/>
    <n v="317.92"/>
    <n v="0.01"/>
    <n v="4.0000000000000001E-3"/>
    <n v="79.480999999999995"/>
    <n v="2"/>
    <n v="0"/>
    <s v="No"/>
    <n v="0"/>
    <n v="0"/>
    <n v="0"/>
    <s v="General"/>
    <x v="32"/>
    <x v="29"/>
  </r>
  <r>
    <s v="RUNNING"/>
    <n v="1013028771"/>
    <x v="904"/>
    <s v="nsfw"/>
    <s v="640 x 360"/>
    <s v="Display"/>
    <s v="TJX"/>
    <s v="mobile"/>
    <s v="GEO"/>
    <n v="4"/>
    <n v="0"/>
    <s v="Yes"/>
    <s v="Unlimited"/>
    <n v="44358841"/>
    <n v="34684"/>
    <n v="7.8189999999999996E-2"/>
    <n v="1"/>
    <n v="443.59"/>
    <n v="0.01"/>
    <n v="1.2999999999999999E-2"/>
    <n v="443.58800000000002"/>
    <n v="2"/>
    <n v="0"/>
    <s v="No"/>
    <n v="0"/>
    <n v="0"/>
    <n v="0"/>
    <s v="General"/>
    <x v="24"/>
    <x v="29"/>
  </r>
  <r>
    <s v="RUNNING"/>
    <n v="1013028781"/>
    <x v="905"/>
    <s v="nsfw"/>
    <s v="640 x 360"/>
    <s v="Display"/>
    <s v="TJX"/>
    <s v="mobile"/>
    <s v="GEO"/>
    <n v="4"/>
    <n v="0"/>
    <s v="Yes"/>
    <s v="Unlimited"/>
    <n v="34729848"/>
    <n v="46677"/>
    <n v="0.13439999999999999"/>
    <n v="1"/>
    <n v="347.3"/>
    <n v="0.01"/>
    <n v="7.0000000000000001E-3"/>
    <n v="347.298"/>
    <n v="2"/>
    <n v="0"/>
    <s v="No"/>
    <n v="0"/>
    <n v="0"/>
    <n v="0"/>
    <s v="General"/>
    <x v="20"/>
    <x v="29"/>
  </r>
  <r>
    <s v="RUNNING"/>
    <n v="1013028791"/>
    <x v="906"/>
    <s v="nsfw"/>
    <s v="640 x 360"/>
    <s v="Display"/>
    <s v="TJX"/>
    <s v="mobile"/>
    <s v="GEO"/>
    <n v="4"/>
    <n v="0"/>
    <s v="Yes"/>
    <s v="Unlimited"/>
    <n v="24416343"/>
    <n v="43389"/>
    <n v="0.1777"/>
    <n v="3"/>
    <n v="244.16"/>
    <n v="0.01"/>
    <n v="6.0000000000000001E-3"/>
    <n v="81.388000000000005"/>
    <n v="2"/>
    <n v="0"/>
    <s v="No"/>
    <n v="0"/>
    <n v="0"/>
    <n v="0"/>
    <s v="General"/>
    <x v="33"/>
    <x v="29"/>
  </r>
  <r>
    <s v="RUNNING"/>
    <n v="1013028801"/>
    <x v="907"/>
    <s v="nsfw"/>
    <d v="1899-12-30T16:09:00"/>
    <s v="In-Stream Video"/>
    <s v="TJX"/>
    <s v="all"/>
    <s v="GEO"/>
    <n v="8"/>
    <n v="0"/>
    <s v="Yes"/>
    <s v="Unlimited"/>
    <n v="524575"/>
    <n v="18517"/>
    <n v="3.5299100000000001"/>
    <n v="0"/>
    <n v="52.46"/>
    <n v="0.1"/>
    <n v="3.0000000000000001E-3"/>
    <n v="0"/>
    <n v="2"/>
    <n v="0"/>
    <s v="No"/>
    <n v="524590"/>
    <n v="384265"/>
    <n v="73196"/>
    <s v="General"/>
    <x v="21"/>
    <x v="13"/>
  </r>
  <r>
    <s v="RUNNING"/>
    <n v="1013028811"/>
    <x v="908"/>
    <s v="nsfw"/>
    <s v="640 x 360"/>
    <s v="Display"/>
    <s v="TJX"/>
    <s v="mobile"/>
    <s v="GEO"/>
    <n v="4"/>
    <n v="0"/>
    <s v="Yes"/>
    <s v="Unlimited"/>
    <n v="36579916"/>
    <n v="71727"/>
    <n v="0.19608"/>
    <n v="0"/>
    <n v="365.8"/>
    <n v="0.01"/>
    <n v="5.0000000000000001E-3"/>
    <n v="0"/>
    <n v="2"/>
    <n v="0"/>
    <s v="No"/>
    <n v="0"/>
    <n v="0"/>
    <n v="0"/>
    <s v="General"/>
    <x v="22"/>
    <x v="29"/>
  </r>
  <r>
    <s v="RUNNING"/>
    <n v="1013028831"/>
    <x v="909"/>
    <s v="nsfw"/>
    <s v="640 x 360"/>
    <s v="Display"/>
    <s v="TJX"/>
    <s v="mobile"/>
    <s v="GEO"/>
    <n v="4"/>
    <n v="0"/>
    <s v="Yes"/>
    <s v="Unlimited"/>
    <n v="30009915"/>
    <n v="44384"/>
    <n v="0.1479"/>
    <n v="3"/>
    <n v="300.10000000000002"/>
    <n v="0.01"/>
    <n v="7.0000000000000001E-3"/>
    <n v="100.033"/>
    <n v="2"/>
    <n v="0"/>
    <s v="No"/>
    <n v="0"/>
    <n v="0"/>
    <n v="0"/>
    <s v="General"/>
    <x v="34"/>
    <x v="29"/>
  </r>
  <r>
    <s v="RUNNING"/>
    <n v="1013028841"/>
    <x v="910"/>
    <s v="nsfw"/>
    <d v="1899-12-30T16:09:00"/>
    <s v="In-Stream Video"/>
    <s v="TJX"/>
    <s v="all"/>
    <s v="GEO"/>
    <n v="5"/>
    <n v="0"/>
    <s v="Yes"/>
    <s v="Unlimited"/>
    <n v="468386"/>
    <n v="24226"/>
    <n v="5.1722299999999999"/>
    <n v="0"/>
    <n v="46.84"/>
    <n v="0.1"/>
    <n v="2E-3"/>
    <n v="0"/>
    <n v="2"/>
    <n v="0"/>
    <s v="No"/>
    <n v="468393"/>
    <n v="337255"/>
    <n v="57563"/>
    <s v="General"/>
    <x v="17"/>
    <x v="13"/>
  </r>
  <r>
    <s v="RUNNING"/>
    <n v="1013028851"/>
    <x v="911"/>
    <s v="nsfw"/>
    <d v="1899-12-30T16:09:00"/>
    <s v="In-Stream Video"/>
    <s v="TJX"/>
    <s v="all"/>
    <s v="GEO"/>
    <n v="5"/>
    <n v="0"/>
    <s v="Yes"/>
    <s v="Unlimited"/>
    <n v="949974"/>
    <n v="34718"/>
    <n v="3.65463"/>
    <n v="1"/>
    <n v="95"/>
    <n v="0.1"/>
    <n v="3.0000000000000001E-3"/>
    <n v="94.997"/>
    <n v="2"/>
    <n v="0"/>
    <s v="No"/>
    <n v="949885"/>
    <n v="528965"/>
    <n v="322069"/>
    <s v="General"/>
    <x v="11"/>
    <x v="13"/>
  </r>
  <r>
    <s v="RUNNING"/>
    <n v="1013028861"/>
    <x v="912"/>
    <s v="nsfw"/>
    <d v="1899-12-30T16:09:00"/>
    <s v="In-Stream Video"/>
    <s v="TJX"/>
    <s v="all"/>
    <s v="GEO"/>
    <n v="5"/>
    <n v="0"/>
    <s v="Yes"/>
    <s v="Unlimited"/>
    <n v="1701096"/>
    <n v="68017"/>
    <n v="3.9984199999999999"/>
    <n v="10"/>
    <n v="170.11"/>
    <n v="0.1"/>
    <n v="3.0000000000000001E-3"/>
    <n v="17.010999999999999"/>
    <n v="2"/>
    <n v="0"/>
    <s v="No"/>
    <n v="1701114"/>
    <n v="1289074"/>
    <n v="186008"/>
    <s v="General"/>
    <x v="35"/>
    <x v="13"/>
  </r>
  <r>
    <s v="RUNNING"/>
    <n v="1013028881"/>
    <x v="913"/>
    <s v="nsfw"/>
    <s v="640 x 360"/>
    <s v="Display"/>
    <s v="TJX"/>
    <s v="mobile"/>
    <s v="GEO"/>
    <n v="4"/>
    <n v="0"/>
    <s v="Yes"/>
    <s v="Unlimited"/>
    <n v="86904134"/>
    <n v="164885"/>
    <n v="0.18973000000000001"/>
    <n v="1"/>
    <n v="869.04"/>
    <n v="0.01"/>
    <n v="5.0000000000000001E-3"/>
    <n v="869.04100000000005"/>
    <n v="2"/>
    <n v="0"/>
    <s v="No"/>
    <n v="0"/>
    <n v="0"/>
    <n v="0"/>
    <s v="General"/>
    <x v="10"/>
    <x v="30"/>
  </r>
  <r>
    <s v="RUNNING"/>
    <n v="1013028891"/>
    <x v="914"/>
    <s v="nsfw"/>
    <d v="1899-12-30T16:09:00"/>
    <s v="In-Stream Video"/>
    <s v="TJX"/>
    <s v="all"/>
    <s v="GEO"/>
    <n v="10"/>
    <n v="0"/>
    <s v="Yes"/>
    <s v="Unlimited"/>
    <n v="4038053"/>
    <n v="284599"/>
    <n v="7.04793"/>
    <n v="0"/>
    <n v="403.81"/>
    <n v="0.1"/>
    <n v="1E-3"/>
    <n v="0"/>
    <n v="2"/>
    <n v="0"/>
    <s v="No"/>
    <n v="4038104"/>
    <n v="3334116"/>
    <n v="280660"/>
    <s v="General"/>
    <x v="36"/>
    <x v="26"/>
  </r>
  <r>
    <s v="RUNNING"/>
    <n v="1013028901"/>
    <x v="915"/>
    <s v="nsfw"/>
    <s v="640 x 360"/>
    <s v="Display"/>
    <s v="TJX"/>
    <s v="mobile"/>
    <s v="GEO"/>
    <n v="18"/>
    <n v="0"/>
    <s v="Yes"/>
    <s v="Unlimited"/>
    <n v="178063110"/>
    <n v="192654"/>
    <n v="0.10818999999999999"/>
    <n v="7"/>
    <n v="1780.63"/>
    <n v="0.01"/>
    <n v="8.9999999999999993E-3"/>
    <n v="254.376"/>
    <n v="2"/>
    <n v="0"/>
    <s v="No"/>
    <n v="0"/>
    <n v="0"/>
    <n v="0"/>
    <s v="General"/>
    <x v="12"/>
    <x v="30"/>
  </r>
  <r>
    <s v="RUNNING"/>
    <n v="1013028921"/>
    <x v="916"/>
    <s v="nsfw"/>
    <s v="640 x 360"/>
    <s v="Display"/>
    <s v="TJX"/>
    <s v="mobile"/>
    <s v="GEO"/>
    <n v="4"/>
    <n v="0"/>
    <s v="Yes"/>
    <s v="Unlimited"/>
    <n v="36170807"/>
    <n v="26730"/>
    <n v="7.3889999999999997E-2"/>
    <n v="0"/>
    <n v="361.71"/>
    <n v="0.01"/>
    <n v="1.4E-2"/>
    <n v="0"/>
    <n v="2"/>
    <n v="0"/>
    <s v="No"/>
    <n v="0"/>
    <n v="0"/>
    <n v="0"/>
    <s v="General"/>
    <x v="15"/>
    <x v="30"/>
  </r>
  <r>
    <s v="RUNNING"/>
    <n v="1013028931"/>
    <x v="917"/>
    <s v="nsfw"/>
    <s v="640 x 360"/>
    <s v="Display"/>
    <s v="TJX"/>
    <s v="mobile"/>
    <s v="GEO"/>
    <n v="15"/>
    <n v="3"/>
    <s v="Yes"/>
    <s v="Unlimited"/>
    <n v="99673946"/>
    <n v="97940"/>
    <n v="9.826E-2"/>
    <n v="24"/>
    <n v="2990.22"/>
    <n v="0.03"/>
    <n v="3.1E-2"/>
    <n v="124.592"/>
    <n v="2"/>
    <n v="0"/>
    <s v="No"/>
    <n v="0"/>
    <n v="0"/>
    <n v="0"/>
    <s v="General"/>
    <x v="17"/>
    <x v="30"/>
  </r>
  <r>
    <s v="RUNNING"/>
    <n v="1013028951"/>
    <x v="918"/>
    <s v="nsfw"/>
    <d v="1899-12-30T16:09:00"/>
    <s v="In-Stream Video"/>
    <s v="TJX"/>
    <s v="all"/>
    <s v="GEO"/>
    <n v="10"/>
    <n v="0"/>
    <s v="Yes"/>
    <s v="Unlimited"/>
    <n v="1418567"/>
    <n v="137577"/>
    <n v="9.6982999999999997"/>
    <n v="0"/>
    <n v="141.86000000000001"/>
    <n v="0.1"/>
    <n v="1E-3"/>
    <n v="0"/>
    <n v="2"/>
    <n v="0"/>
    <s v="No"/>
    <n v="1418569"/>
    <n v="1264052"/>
    <n v="86021"/>
    <s v="General"/>
    <x v="10"/>
    <x v="13"/>
  </r>
  <r>
    <s v="RUNNING"/>
    <n v="1013028991"/>
    <x v="919"/>
    <s v="nsfw"/>
    <s v="640 x 360"/>
    <s v="Display"/>
    <s v="TJX"/>
    <s v="mobile"/>
    <s v="GEO"/>
    <n v="4"/>
    <n v="0"/>
    <s v="Yes"/>
    <s v="Unlimited"/>
    <n v="86903899"/>
    <n v="162823"/>
    <n v="0.18736"/>
    <n v="3"/>
    <n v="869.04"/>
    <n v="0.01"/>
    <n v="5.0000000000000001E-3"/>
    <n v="289.68"/>
    <n v="2"/>
    <n v="0"/>
    <s v="No"/>
    <n v="0"/>
    <n v="0"/>
    <n v="0"/>
    <s v="General"/>
    <x v="10"/>
    <x v="22"/>
  </r>
  <r>
    <s v="RUNNING"/>
    <n v="1013040421"/>
    <x v="920"/>
    <s v="nsfw"/>
    <d v="1899-12-30T16:09:00"/>
    <s v="In-Stream Video"/>
    <s v="TJX"/>
    <s v="desktop"/>
    <s v="GEO,Frequency,Cookie"/>
    <n v="28"/>
    <n v="0"/>
    <s v="Yes"/>
    <s v="Unlimited"/>
    <n v="73559"/>
    <n v="5383"/>
    <n v="7.3179400000000001"/>
    <n v="0"/>
    <n v="179.9"/>
    <n v="2.4460000000000002"/>
    <n v="3.3000000000000002E-2"/>
    <n v="0"/>
    <n v="2"/>
    <n v="0"/>
    <s v="No"/>
    <n v="73558"/>
    <n v="57954"/>
    <n v="6952"/>
    <s v="Remarketing"/>
    <x v="3"/>
    <x v="14"/>
  </r>
  <r>
    <s v="RUNNING"/>
    <n v="1013040451"/>
    <x v="921"/>
    <s v="nsfw"/>
    <d v="1899-12-30T16:09:00"/>
    <s v="In-Stream Video"/>
    <s v="TJX"/>
    <s v="desktop"/>
    <s v="GEO,Frequency,Cookie"/>
    <n v="28"/>
    <n v="0"/>
    <s v="Yes"/>
    <s v="Unlimited"/>
    <n v="3519"/>
    <n v="390"/>
    <n v="11.082689999999999"/>
    <n v="0"/>
    <n v="1.32"/>
    <n v="0.375"/>
    <n v="3.0000000000000001E-3"/>
    <n v="0"/>
    <n v="2"/>
    <n v="0"/>
    <s v="No"/>
    <n v="3519"/>
    <n v="2574"/>
    <n v="447"/>
    <s v="Remarketing"/>
    <x v="12"/>
    <x v="14"/>
  </r>
  <r>
    <s v="RUNNING"/>
    <n v="1013040531"/>
    <x v="922"/>
    <s v="nsfw"/>
    <d v="1899-12-30T16:09:00"/>
    <s v="In-Stream Video"/>
    <s v="TJX"/>
    <s v="desktop"/>
    <s v="GEO,Frequency,Cookie"/>
    <n v="28"/>
    <n v="0"/>
    <s v="Yes"/>
    <s v="Unlimited"/>
    <n v="20775"/>
    <n v="1596"/>
    <n v="7.6823100000000002"/>
    <n v="1"/>
    <n v="21.84"/>
    <n v="1.0509999999999999"/>
    <n v="1.4E-2"/>
    <n v="21.835999999999999"/>
    <n v="2"/>
    <n v="0"/>
    <s v="No"/>
    <n v="20773"/>
    <n v="16174"/>
    <n v="1991"/>
    <s v="Remarketing"/>
    <x v="4"/>
    <x v="14"/>
  </r>
  <r>
    <s v="RUNNING"/>
    <n v="1013040561"/>
    <x v="923"/>
    <s v="nsfw"/>
    <d v="1899-12-30T16:09:00"/>
    <s v="In-Stream Video"/>
    <s v="TJX"/>
    <s v="desktop"/>
    <s v="GEO,Frequency,Cookie"/>
    <n v="28"/>
    <n v="0"/>
    <s v="Yes"/>
    <s v="Unlimited"/>
    <n v="6811"/>
    <n v="494"/>
    <n v="7.2529700000000004"/>
    <n v="0"/>
    <n v="8.5299999999999994"/>
    <n v="1.252"/>
    <n v="1.7000000000000001E-2"/>
    <n v="0"/>
    <n v="2"/>
    <n v="0"/>
    <s v="No"/>
    <n v="6811"/>
    <n v="5258"/>
    <n v="704"/>
    <s v="Remarketing"/>
    <x v="5"/>
    <x v="14"/>
  </r>
  <r>
    <s v="RUNNING"/>
    <n v="1013040581"/>
    <x v="924"/>
    <s v="nsfw"/>
    <d v="1899-12-30T16:09:00"/>
    <s v="In-Stream Video"/>
    <s v="TJX"/>
    <s v="desktop"/>
    <s v="GEO,Frequency,Cookie"/>
    <n v="28"/>
    <n v="0"/>
    <s v="Yes"/>
    <s v="Unlimited"/>
    <n v="4551"/>
    <n v="326"/>
    <n v="7.1632600000000002"/>
    <n v="1"/>
    <n v="11.49"/>
    <n v="2.524"/>
    <n v="3.5000000000000003E-2"/>
    <n v="11.484999999999999"/>
    <n v="2"/>
    <n v="0"/>
    <s v="No"/>
    <n v="4551"/>
    <n v="3652"/>
    <n v="396"/>
    <s v="Remarketing"/>
    <x v="6"/>
    <x v="14"/>
  </r>
  <r>
    <s v="RUNNING"/>
    <n v="1013040591"/>
    <x v="925"/>
    <s v="nsfw"/>
    <d v="1899-12-30T16:09:00"/>
    <s v="In-Stream Video"/>
    <s v="TJX"/>
    <s v="desktop"/>
    <s v="GEO,Frequency,Cookie"/>
    <n v="28"/>
    <n v="0"/>
    <s v="Yes"/>
    <s v="Unlimited"/>
    <n v="897"/>
    <n v="54"/>
    <n v="6.0200699999999996"/>
    <n v="1"/>
    <n v="0.94"/>
    <n v="1.0469999999999999"/>
    <n v="1.7000000000000001E-2"/>
    <n v="0.93899999999999995"/>
    <n v="2"/>
    <n v="0"/>
    <s v="No"/>
    <n v="897"/>
    <n v="694"/>
    <n v="91"/>
    <s v="Remarketing"/>
    <x v="8"/>
    <x v="14"/>
  </r>
  <r>
    <s v="RUNNING"/>
    <n v="1013046201"/>
    <x v="926"/>
    <s v="nsfw"/>
    <d v="1899-12-30T16:09:00"/>
    <s v="In-Stream Video"/>
    <s v="TJX"/>
    <s v="mobile"/>
    <s v="GEO,Frequency,Cookie"/>
    <n v="28"/>
    <n v="0"/>
    <s v="Yes"/>
    <s v="Unlimited"/>
    <n v="3887990"/>
    <n v="163487"/>
    <n v="4.2049200000000004"/>
    <n v="33"/>
    <n v="8209.7999999999993"/>
    <n v="2.1120000000000001"/>
    <n v="0.05"/>
    <n v="248.78200000000001"/>
    <n v="2"/>
    <n v="0"/>
    <s v="Yes"/>
    <n v="3887931"/>
    <n v="3421837"/>
    <n v="325746"/>
    <s v="Remarketing"/>
    <x v="3"/>
    <x v="14"/>
  </r>
  <r>
    <s v="RUNNING"/>
    <n v="1013046221"/>
    <x v="927"/>
    <s v="nsfw"/>
    <d v="1899-12-30T16:09:00"/>
    <s v="In-Stream Video"/>
    <s v="TJX"/>
    <s v="mobile"/>
    <s v="GEO,Cookie"/>
    <n v="28"/>
    <n v="0"/>
    <s v="Yes"/>
    <s v="Unlimited"/>
    <n v="107574"/>
    <n v="5388"/>
    <n v="5.0086500000000003"/>
    <n v="1"/>
    <n v="120.2"/>
    <n v="1.117"/>
    <n v="2.1999999999999999E-2"/>
    <n v="120.202"/>
    <n v="2"/>
    <n v="0"/>
    <s v="No"/>
    <n v="107568"/>
    <n v="95683"/>
    <n v="7245"/>
    <s v="Remarketing"/>
    <x v="4"/>
    <x v="14"/>
  </r>
  <r>
    <s v="RUNNING"/>
    <n v="1013046231"/>
    <x v="928"/>
    <s v="nsfw"/>
    <d v="1899-12-30T16:09:00"/>
    <s v="In-Stream Video"/>
    <s v="TJX"/>
    <s v="mobile"/>
    <s v="GEO,Cookie"/>
    <n v="28"/>
    <n v="0"/>
    <s v="Yes"/>
    <s v="Unlimited"/>
    <n v="63289"/>
    <n v="3447"/>
    <n v="5.4464399999999999"/>
    <n v="1"/>
    <n v="163.59"/>
    <n v="2.585"/>
    <n v="4.7E-2"/>
    <n v="163.59200000000001"/>
    <n v="2"/>
    <n v="0"/>
    <s v="No"/>
    <n v="63303"/>
    <n v="56298"/>
    <n v="4547"/>
    <s v="Remarketing"/>
    <x v="6"/>
    <x v="14"/>
  </r>
  <r>
    <s v="RUNNING"/>
    <n v="1013046251"/>
    <x v="929"/>
    <s v="nsfw"/>
    <d v="1899-12-30T16:09:00"/>
    <s v="In-Stream Video"/>
    <s v="TJX"/>
    <s v="mobile"/>
    <s v="GEO,Cookie"/>
    <n v="28"/>
    <n v="0"/>
    <s v="Yes"/>
    <s v="Unlimited"/>
    <n v="114045"/>
    <n v="4653"/>
    <n v="4.0799700000000003"/>
    <n v="2"/>
    <n v="210.46"/>
    <n v="1.845"/>
    <n v="4.4999999999999998E-2"/>
    <n v="105.23099999999999"/>
    <n v="2"/>
    <n v="0"/>
    <s v="No"/>
    <n v="114045"/>
    <n v="100302"/>
    <n v="9988"/>
    <s v="Remarketing"/>
    <x v="5"/>
    <x v="14"/>
  </r>
  <r>
    <s v="RUNNING"/>
    <n v="1013046271"/>
    <x v="930"/>
    <s v="nsfw"/>
    <d v="1899-12-30T16:09:00"/>
    <s v="In-Stream Video"/>
    <s v="TJX"/>
    <s v="mobile"/>
    <s v="GEO,Cookie"/>
    <n v="28"/>
    <n v="0"/>
    <s v="Yes"/>
    <s v="Unlimited"/>
    <n v="34411"/>
    <n v="2138"/>
    <n v="6.2131299999999996"/>
    <n v="1"/>
    <n v="40.549999999999997"/>
    <n v="1.1779999999999999"/>
    <n v="1.9E-2"/>
    <n v="40.549999999999997"/>
    <n v="2"/>
    <n v="0"/>
    <s v="No"/>
    <n v="34412"/>
    <n v="28799"/>
    <n v="2776"/>
    <s v="Remarketing"/>
    <x v="8"/>
    <x v="14"/>
  </r>
  <r>
    <s v="RUNNING"/>
    <n v="1013046321"/>
    <x v="931"/>
    <s v="nsfw"/>
    <d v="1899-12-30T16:09:00"/>
    <s v="In-Stream Video"/>
    <s v="TJX"/>
    <s v="mobile"/>
    <s v="GEO,Cookie"/>
    <n v="28"/>
    <n v="0"/>
    <s v="Yes"/>
    <s v="Unlimited"/>
    <n v="485027"/>
    <n v="43288"/>
    <n v="8.9248600000000007"/>
    <n v="0"/>
    <n v="114.52"/>
    <n v="0.23599999999999999"/>
    <n v="3.0000000000000001E-3"/>
    <n v="0"/>
    <n v="2"/>
    <n v="0"/>
    <s v="No"/>
    <n v="484951"/>
    <n v="405657"/>
    <n v="48843"/>
    <s v="Remarketing"/>
    <x v="12"/>
    <x v="14"/>
  </r>
  <r>
    <s v="RUNNING"/>
    <n v="1013046531"/>
    <x v="932"/>
    <s v="nsfw"/>
    <s v="640 x 360"/>
    <s v="Display"/>
    <s v="TJX"/>
    <s v="mobile"/>
    <s v="GEO,Frequency"/>
    <n v="60"/>
    <n v="0"/>
    <s v="Yes"/>
    <s v="Unlimited"/>
    <n v="37214335"/>
    <n v="100527"/>
    <n v="0.27012000000000003"/>
    <n v="2"/>
    <n v="690.21"/>
    <n v="1.9E-2"/>
    <n v="7.0000000000000001E-3"/>
    <n v="345.10300000000001"/>
    <n v="2"/>
    <n v="0"/>
    <s v="No"/>
    <n v="0"/>
    <n v="0"/>
    <n v="0"/>
    <s v="General"/>
    <x v="37"/>
    <x v="26"/>
  </r>
  <r>
    <s v="RUNNING"/>
    <n v="1013046601"/>
    <x v="933"/>
    <s v="nsfw"/>
    <s v="640 x 360"/>
    <s v="Display"/>
    <s v="TJX"/>
    <s v="desktop"/>
    <s v="GEO,Frequency"/>
    <n v="60"/>
    <n v="0"/>
    <s v="Yes"/>
    <s v="Unlimited"/>
    <n v="2058801"/>
    <n v="6536"/>
    <n v="0.31746000000000002"/>
    <n v="0"/>
    <n v="39.9"/>
    <n v="1.9E-2"/>
    <n v="6.0000000000000001E-3"/>
    <n v="0"/>
    <n v="2"/>
    <n v="0"/>
    <s v="No"/>
    <n v="0"/>
    <n v="0"/>
    <n v="0"/>
    <s v="General"/>
    <x v="37"/>
    <x v="13"/>
  </r>
  <r>
    <s v="RUNNING"/>
    <n v="1013046671"/>
    <x v="934"/>
    <s v="nsfw"/>
    <s v="640 x 360"/>
    <s v="Display"/>
    <s v="TJX"/>
    <s v="mobile"/>
    <s v="GEO,Frequency,Cookie,BrowserLanguage"/>
    <n v="35"/>
    <n v="0"/>
    <s v="Yes"/>
    <s v="Unlimited"/>
    <n v="108539"/>
    <n v="229"/>
    <n v="0.21098"/>
    <n v="1"/>
    <n v="24.07"/>
    <n v="0.222"/>
    <n v="0.105"/>
    <n v="24.074999999999999"/>
    <n v="2"/>
    <n v="0"/>
    <s v="No"/>
    <n v="0"/>
    <n v="0"/>
    <n v="0"/>
    <s v="Remarketing"/>
    <x v="5"/>
    <x v="14"/>
  </r>
  <r>
    <s v="RUNNING"/>
    <n v="1013046711"/>
    <x v="935"/>
    <s v="nsfw"/>
    <s v="640 x 360"/>
    <s v="Display"/>
    <s v="TJX"/>
    <s v="mobile"/>
    <s v="GEO,Frequency,Cookie,BrowserLanguage"/>
    <n v="35"/>
    <n v="0"/>
    <s v="Yes"/>
    <s v="Unlimited"/>
    <n v="92454"/>
    <n v="313"/>
    <n v="0.33855000000000002"/>
    <n v="1"/>
    <n v="13.62"/>
    <n v="0.14699999999999999"/>
    <n v="4.3999999999999997E-2"/>
    <n v="13.618"/>
    <n v="2"/>
    <n v="0"/>
    <s v="No"/>
    <n v="0"/>
    <n v="0"/>
    <n v="0"/>
    <s v="Remarketing"/>
    <x v="4"/>
    <x v="14"/>
  </r>
  <r>
    <s v="RUNNING"/>
    <n v="1013046731"/>
    <x v="936"/>
    <s v="nsfw"/>
    <s v="640 x 360"/>
    <s v="Display"/>
    <s v="TJX"/>
    <s v="mobile"/>
    <s v="GEO,Frequency,Cookie,BrowserLanguage"/>
    <n v="35"/>
    <n v="0"/>
    <s v="Yes"/>
    <s v="Unlimited"/>
    <n v="20538"/>
    <n v="96"/>
    <n v="0.46743000000000001"/>
    <n v="0"/>
    <n v="7.95"/>
    <n v="0.38700000000000001"/>
    <n v="8.3000000000000004E-2"/>
    <n v="0"/>
    <n v="2"/>
    <n v="0"/>
    <s v="No"/>
    <n v="0"/>
    <n v="0"/>
    <n v="0"/>
    <s v="Remarketing"/>
    <x v="6"/>
    <x v="14"/>
  </r>
  <r>
    <s v="RUNNING"/>
    <n v="1013046741"/>
    <x v="937"/>
    <s v="nsfw"/>
    <s v="640 x 360"/>
    <s v="Display"/>
    <s v="TJX"/>
    <s v="mobile"/>
    <s v="GEO,Frequency,Cookie,BrowserLanguage"/>
    <n v="35"/>
    <n v="0"/>
    <s v="Yes"/>
    <s v="Unlimited"/>
    <n v="465684"/>
    <n v="1531"/>
    <n v="0.32876"/>
    <n v="9"/>
    <n v="121.07"/>
    <n v="0.26"/>
    <n v="7.9000000000000001E-2"/>
    <n v="13.452999999999999"/>
    <n v="2"/>
    <n v="0"/>
    <s v="No"/>
    <n v="0"/>
    <n v="0"/>
    <n v="0"/>
    <s v="Remarketing"/>
    <x v="3"/>
    <x v="14"/>
  </r>
  <r>
    <s v="RUNNING"/>
    <n v="1013046751"/>
    <x v="938"/>
    <s v="nsfw"/>
    <s v="640 x 360"/>
    <s v="Display"/>
    <s v="TJX"/>
    <s v="mobile"/>
    <s v="GEO,Frequency,Cookie,BrowserLanguage"/>
    <n v="35"/>
    <n v="0"/>
    <s v="Yes"/>
    <s v="Unlimited"/>
    <n v="4962"/>
    <n v="10"/>
    <n v="0.20152999999999999"/>
    <n v="1"/>
    <n v="0.08"/>
    <n v="1.7000000000000001E-2"/>
    <n v="8.0000000000000002E-3"/>
    <n v="8.4000000000000005E-2"/>
    <n v="2"/>
    <n v="0"/>
    <s v="No"/>
    <n v="0"/>
    <n v="0"/>
    <n v="0"/>
    <s v="Remarketing"/>
    <x v="12"/>
    <x v="14"/>
  </r>
  <r>
    <s v="RUNNING"/>
    <n v="1013046761"/>
    <x v="939"/>
    <s v="nsfw"/>
    <s v="640 x 360"/>
    <s v="Display"/>
    <s v="TJX"/>
    <s v="mobile"/>
    <s v="GEO,Frequency,Cookie,BrowserLanguage"/>
    <n v="35"/>
    <n v="0"/>
    <s v="Yes"/>
    <s v="Unlimited"/>
    <n v="4623"/>
    <n v="31"/>
    <n v="0.67056000000000004"/>
    <n v="0"/>
    <n v="0.47"/>
    <n v="0.10299999999999999"/>
    <n v="1.4999999999999999E-2"/>
    <n v="0"/>
    <n v="2"/>
    <n v="0"/>
    <s v="No"/>
    <n v="0"/>
    <n v="0"/>
    <n v="0"/>
    <s v="Remarketing"/>
    <x v="8"/>
    <x v="14"/>
  </r>
  <r>
    <s v="PAUSED"/>
    <n v="1013047181"/>
    <x v="940"/>
    <s v="nsfw"/>
    <s v="640 x 360"/>
    <s v="Display"/>
    <s v="TJX"/>
    <s v="mobile"/>
    <s v="GEO,Frequency,Cookie,BrowserLanguage"/>
    <n v="45"/>
    <n v="0"/>
    <s v="No"/>
    <n v="25"/>
    <n v="85"/>
    <n v="0"/>
    <n v="0"/>
    <n v="0"/>
    <n v="0.01"/>
    <n v="0.105"/>
    <n v="0"/>
    <n v="0"/>
    <n v="2"/>
    <n v="0"/>
    <s v="No"/>
    <n v="0"/>
    <n v="0"/>
    <n v="0"/>
    <s v="Remarketing"/>
    <x v="38"/>
    <x v="14"/>
  </r>
  <r>
    <s v="RUNNING"/>
    <n v="1013050271"/>
    <x v="941"/>
    <s v="nsfw"/>
    <d v="1899-12-30T09:16:00"/>
    <s v="In-Stream Video"/>
    <s v="TJX"/>
    <s v="mobile"/>
    <s v="GEO"/>
    <n v="5"/>
    <n v="0"/>
    <s v="Yes"/>
    <s v="Unlimited"/>
    <n v="160345"/>
    <n v="1900"/>
    <n v="1.1849400000000001"/>
    <n v="2"/>
    <n v="17.64"/>
    <n v="0.11"/>
    <n v="8.9999999999999993E-3"/>
    <n v="8.8190000000000008"/>
    <n v="2"/>
    <n v="0"/>
    <s v="No"/>
    <n v="160347"/>
    <n v="0"/>
    <n v="1260"/>
    <s v="Shorties"/>
    <x v="30"/>
    <x v="2"/>
  </r>
  <r>
    <s v="RUNNING"/>
    <n v="1013050281"/>
    <x v="942"/>
    <s v="nsfw"/>
    <d v="1899-12-30T09:16:00"/>
    <s v="In-Stream Video"/>
    <s v="TJX"/>
    <s v="mobile"/>
    <s v="GEO"/>
    <n v="5"/>
    <n v="0"/>
    <s v="Yes"/>
    <s v="Unlimited"/>
    <n v="179162"/>
    <n v="1573"/>
    <n v="0.87797999999999998"/>
    <n v="1"/>
    <n v="19.71"/>
    <n v="0.11"/>
    <n v="1.2999999999999999E-2"/>
    <n v="19.707999999999998"/>
    <n v="2"/>
    <n v="0"/>
    <s v="No"/>
    <n v="179169"/>
    <n v="0"/>
    <n v="934"/>
    <s v="Shorties"/>
    <x v="39"/>
    <x v="2"/>
  </r>
  <r>
    <s v="RUNNING"/>
    <n v="1013050291"/>
    <x v="943"/>
    <s v="nsfw"/>
    <d v="1899-12-30T09:16:00"/>
    <s v="In-Stream Video"/>
    <s v="TJX"/>
    <s v="mobile"/>
    <s v="GEO"/>
    <n v="5"/>
    <n v="0"/>
    <s v="Yes"/>
    <s v="Unlimited"/>
    <n v="278497"/>
    <n v="2094"/>
    <n v="0.75188999999999995"/>
    <n v="0"/>
    <n v="30.63"/>
    <n v="0.11"/>
    <n v="1.4999999999999999E-2"/>
    <n v="0"/>
    <n v="2"/>
    <n v="0"/>
    <s v="No"/>
    <n v="278447"/>
    <n v="0"/>
    <n v="981"/>
    <s v="Shorties"/>
    <x v="12"/>
    <x v="2"/>
  </r>
  <r>
    <s v="RUNNING"/>
    <n v="1013050301"/>
    <x v="944"/>
    <s v="nsfw"/>
    <d v="1899-12-30T09:16:00"/>
    <s v="In-Stream Video"/>
    <s v="TJX"/>
    <s v="mobile"/>
    <s v="GEO"/>
    <n v="5"/>
    <n v="0"/>
    <s v="Yes"/>
    <s v="Unlimited"/>
    <n v="180920"/>
    <n v="1682"/>
    <n v="0.92969000000000002"/>
    <n v="0"/>
    <n v="19.899999999999999"/>
    <n v="0.11"/>
    <n v="1.2E-2"/>
    <n v="0"/>
    <n v="2"/>
    <n v="0"/>
    <s v="No"/>
    <n v="180895"/>
    <n v="0"/>
    <n v="1345"/>
    <s v="Shorties"/>
    <x v="10"/>
    <x v="2"/>
  </r>
  <r>
    <s v="RUNNING"/>
    <n v="1013050311"/>
    <x v="945"/>
    <s v="nsfw"/>
    <d v="1899-12-30T09:16:00"/>
    <s v="In-Stream Video"/>
    <s v="TJX"/>
    <s v="mobile"/>
    <s v="GEO"/>
    <n v="5"/>
    <n v="0"/>
    <s v="Yes"/>
    <s v="Unlimited"/>
    <n v="129747"/>
    <n v="1150"/>
    <n v="0.88634000000000002"/>
    <n v="1"/>
    <n v="14.27"/>
    <n v="0.11"/>
    <n v="1.2E-2"/>
    <n v="14.272"/>
    <n v="2"/>
    <n v="0"/>
    <s v="No"/>
    <n v="129748"/>
    <n v="0"/>
    <n v="593"/>
    <s v="Shorties"/>
    <x v="19"/>
    <x v="2"/>
  </r>
  <r>
    <s v="RUNNING"/>
    <n v="1013050321"/>
    <x v="946"/>
    <s v="nsfw"/>
    <d v="1899-12-30T09:16:00"/>
    <s v="In-Stream Video"/>
    <s v="TJX"/>
    <s v="mobile"/>
    <s v="GEO"/>
    <n v="5"/>
    <n v="0"/>
    <s v="Yes"/>
    <s v="Unlimited"/>
    <n v="139873"/>
    <n v="1265"/>
    <n v="0.90439000000000003"/>
    <n v="3"/>
    <n v="15.39"/>
    <n v="0.11"/>
    <n v="1.2E-2"/>
    <n v="5.1289999999999996"/>
    <n v="2"/>
    <n v="0"/>
    <s v="No"/>
    <n v="139879"/>
    <n v="0"/>
    <n v="856"/>
    <s v="Shorties"/>
    <x v="17"/>
    <x v="2"/>
  </r>
  <r>
    <s v="RUNNING"/>
    <n v="1013050331"/>
    <x v="947"/>
    <s v="nsfw"/>
    <d v="1899-12-30T09:16:00"/>
    <s v="In-Stream Video"/>
    <s v="TJX"/>
    <s v="mobile"/>
    <s v="GEO"/>
    <n v="5"/>
    <n v="0"/>
    <s v="Yes"/>
    <s v="Unlimited"/>
    <n v="126127"/>
    <n v="1187"/>
    <n v="0.94111"/>
    <n v="0"/>
    <n v="13.87"/>
    <n v="0.11"/>
    <n v="1.2E-2"/>
    <n v="0"/>
    <n v="2"/>
    <n v="0"/>
    <s v="No"/>
    <n v="126097"/>
    <n v="0"/>
    <n v="650"/>
    <s v="Shorties"/>
    <x v="11"/>
    <x v="2"/>
  </r>
  <r>
    <s v="RUNNING"/>
    <n v="1013050341"/>
    <x v="948"/>
    <s v="nsfw"/>
    <d v="1899-12-30T09:16:00"/>
    <s v="In-Stream Video"/>
    <s v="TJX"/>
    <s v="mobile"/>
    <s v="GEO"/>
    <n v="5"/>
    <n v="0"/>
    <s v="Yes"/>
    <s v="Unlimited"/>
    <n v="100652"/>
    <n v="869"/>
    <n v="0.86336999999999997"/>
    <n v="0"/>
    <n v="11.07"/>
    <n v="0.11"/>
    <n v="1.2999999999999999E-2"/>
    <n v="0"/>
    <n v="2"/>
    <n v="0"/>
    <s v="No"/>
    <n v="100625"/>
    <n v="0"/>
    <n v="493"/>
    <s v="Shorties"/>
    <x v="40"/>
    <x v="2"/>
  </r>
  <r>
    <s v="RUNNING"/>
    <n v="1013050371"/>
    <x v="949"/>
    <s v="nsfw"/>
    <d v="1899-12-30T09:16:00"/>
    <s v="In-Stream Video"/>
    <s v="TJX"/>
    <s v="mobile"/>
    <s v="GEO"/>
    <n v="5"/>
    <n v="0"/>
    <s v="Yes"/>
    <s v="Unlimited"/>
    <n v="94670"/>
    <n v="443"/>
    <n v="0.46794000000000002"/>
    <n v="0"/>
    <n v="38.81"/>
    <n v="0.41"/>
    <n v="8.7999999999999995E-2"/>
    <n v="0"/>
    <n v="2"/>
    <n v="0"/>
    <s v="No"/>
    <n v="94678"/>
    <n v="0"/>
    <n v="237"/>
    <s v="Shorties"/>
    <x v="5"/>
    <x v="2"/>
  </r>
  <r>
    <s v="RUNNING"/>
    <n v="1013050381"/>
    <x v="950"/>
    <s v="nsfw"/>
    <d v="1899-12-30T09:16:00"/>
    <s v="In-Stream Video"/>
    <s v="TJX"/>
    <s v="mobile"/>
    <s v="GEO"/>
    <n v="5"/>
    <n v="0"/>
    <s v="Yes"/>
    <s v="Unlimited"/>
    <n v="128646"/>
    <n v="1264"/>
    <n v="0.98253999999999997"/>
    <n v="0"/>
    <n v="16.72"/>
    <n v="0.13"/>
    <n v="1.2999999999999999E-2"/>
    <n v="0"/>
    <n v="2"/>
    <n v="0"/>
    <s v="No"/>
    <n v="128648"/>
    <n v="0"/>
    <n v="722"/>
    <s v="Shorties"/>
    <x v="18"/>
    <x v="2"/>
  </r>
  <r>
    <s v="RUNNING"/>
    <n v="1013054421"/>
    <x v="951"/>
    <s v="nsfw"/>
    <s v="640 x 360"/>
    <s v="Display"/>
    <s v="TJX"/>
    <s v="desktop"/>
    <s v="GEO,Frequency,Cookie,BrowserLanguage"/>
    <n v="42"/>
    <n v="0"/>
    <s v="Yes"/>
    <s v="Unlimited"/>
    <n v="26595"/>
    <n v="95"/>
    <n v="0.35721000000000003"/>
    <n v="0"/>
    <n v="2.76"/>
    <n v="0.104"/>
    <n v="2.9000000000000001E-2"/>
    <n v="0"/>
    <n v="2"/>
    <n v="0"/>
    <s v="No"/>
    <n v="0"/>
    <n v="0"/>
    <n v="0"/>
    <s v="Remarketing"/>
    <x v="3"/>
    <x v="14"/>
  </r>
  <r>
    <s v="RUNNING"/>
    <n v="1013054431"/>
    <x v="952"/>
    <s v="nsfw"/>
    <s v="640 x 360"/>
    <s v="Display"/>
    <s v="TJX"/>
    <s v="desktop"/>
    <s v="GEO,Frequency,Cookie,BrowserLanguage"/>
    <n v="42"/>
    <n v="0"/>
    <s v="Yes"/>
    <s v="Unlimited"/>
    <n v="8873"/>
    <n v="20"/>
    <n v="0.22539999999999999"/>
    <n v="0"/>
    <n v="0.76"/>
    <n v="8.5000000000000006E-2"/>
    <n v="3.7999999999999999E-2"/>
    <n v="0"/>
    <n v="2"/>
    <n v="0"/>
    <s v="No"/>
    <n v="0"/>
    <n v="0"/>
    <n v="0"/>
    <s v="Remarketing"/>
    <x v="4"/>
    <x v="14"/>
  </r>
  <r>
    <s v="RUNNING"/>
    <n v="1013054441"/>
    <x v="953"/>
    <s v="nsfw"/>
    <s v="640 x 360"/>
    <s v="Display"/>
    <s v="TJX"/>
    <s v="desktop"/>
    <s v="GEO,Frequency,Cookie,BrowserLanguage"/>
    <n v="42"/>
    <n v="0"/>
    <s v="Yes"/>
    <s v="Unlimited"/>
    <n v="3215"/>
    <n v="9"/>
    <n v="0.27994000000000002"/>
    <n v="0"/>
    <n v="0.56000000000000005"/>
    <n v="0.17499999999999999"/>
    <n v="6.2E-2"/>
    <n v="0"/>
    <n v="2"/>
    <n v="0"/>
    <s v="No"/>
    <n v="0"/>
    <n v="0"/>
    <n v="0"/>
    <s v="Remarketing"/>
    <x v="6"/>
    <x v="14"/>
  </r>
  <r>
    <s v="RUNNING"/>
    <n v="1013054451"/>
    <x v="954"/>
    <s v="nsfw"/>
    <s v="640 x 360"/>
    <s v="Display"/>
    <s v="TJX"/>
    <s v="desktop"/>
    <s v="GEO,Frequency,Cookie,BrowserLanguage"/>
    <n v="42"/>
    <n v="0"/>
    <s v="Yes"/>
    <s v="Unlimited"/>
    <n v="3722"/>
    <n v="19"/>
    <n v="0.51048000000000004"/>
    <n v="0"/>
    <n v="0.32"/>
    <n v="8.5000000000000006E-2"/>
    <n v="1.7000000000000001E-2"/>
    <n v="0"/>
    <n v="2"/>
    <n v="0"/>
    <s v="No"/>
    <n v="0"/>
    <n v="0"/>
    <n v="0"/>
    <s v="Remarketing"/>
    <x v="5"/>
    <x v="14"/>
  </r>
  <r>
    <s v="RUNNING"/>
    <n v="1013054461"/>
    <x v="955"/>
    <s v="nsfw"/>
    <s v="640 x 360"/>
    <s v="Display"/>
    <s v="TJX"/>
    <s v="desktop"/>
    <s v="GEO,Frequency,Cookie,BrowserLanguage"/>
    <n v="42"/>
    <n v="0"/>
    <s v="Yes"/>
    <s v="Unlimited"/>
    <n v="769"/>
    <n v="2"/>
    <n v="0.26007000000000002"/>
    <n v="0"/>
    <n v="0.01"/>
    <n v="1.6E-2"/>
    <n v="6.0000000000000001E-3"/>
    <n v="0"/>
    <n v="2"/>
    <n v="0"/>
    <s v="No"/>
    <n v="0"/>
    <n v="0"/>
    <n v="0"/>
    <s v="Remarketing"/>
    <x v="12"/>
    <x v="14"/>
  </r>
  <r>
    <s v="RUNNING"/>
    <n v="1013054471"/>
    <x v="956"/>
    <s v="nsfw"/>
    <s v="640 x 360"/>
    <s v="Display"/>
    <s v="TJX"/>
    <s v="desktop"/>
    <s v="GEO,Frequency,Cookie,BrowserLanguage"/>
    <n v="42"/>
    <n v="0"/>
    <s v="Yes"/>
    <s v="Unlimited"/>
    <n v="676"/>
    <n v="2"/>
    <n v="0.29586000000000001"/>
    <n v="0"/>
    <n v="0.04"/>
    <n v="6.5000000000000002E-2"/>
    <n v="2.1999999999999999E-2"/>
    <n v="0"/>
    <n v="2"/>
    <n v="0"/>
    <s v="No"/>
    <n v="0"/>
    <n v="0"/>
    <n v="0"/>
    <s v="Remarketing"/>
    <x v="8"/>
    <x v="14"/>
  </r>
  <r>
    <s v="RUNNING"/>
    <n v="1013054541"/>
    <x v="957"/>
    <s v="nsfw"/>
    <d v="1899-12-30T16:09:00"/>
    <s v="In-Stream Video"/>
    <s v="TJX"/>
    <s v="all"/>
    <s v="GEO,Frequency,Keyword,BrowserLanguage"/>
    <n v="126"/>
    <n v="0"/>
    <s v="Yes"/>
    <s v="Unlimited"/>
    <n v="6500"/>
    <n v="507"/>
    <n v="7.8"/>
    <n v="0"/>
    <n v="14.6"/>
    <n v="2.246"/>
    <n v="2.9000000000000001E-2"/>
    <n v="0"/>
    <n v="2"/>
    <n v="0"/>
    <s v="No"/>
    <n v="6500"/>
    <n v="5791"/>
    <n v="406"/>
    <s v="Remarketing"/>
    <x v="3"/>
    <x v="14"/>
  </r>
  <r>
    <s v="RUNNING"/>
    <n v="1013054571"/>
    <x v="958"/>
    <s v="nsfw"/>
    <s v="640 x 360"/>
    <s v="Display"/>
    <s v="TJX"/>
    <s v="mobile"/>
    <s v="GEO,Frequency,OS,BrowserLanguage"/>
    <n v="23"/>
    <n v="0"/>
    <s v="Yes"/>
    <s v="Unlimited"/>
    <n v="8036"/>
    <n v="77"/>
    <n v="0.95818999999999999"/>
    <n v="0"/>
    <n v="2.56"/>
    <n v="0.318"/>
    <n v="3.3000000000000002E-2"/>
    <n v="0"/>
    <n v="1"/>
    <n v="0"/>
    <s v="Yes"/>
    <n v="0"/>
    <n v="0"/>
    <n v="0"/>
    <s v="Remarketing"/>
    <x v="3"/>
    <x v="14"/>
  </r>
  <r>
    <s v="PAUSED"/>
    <n v="1013059081"/>
    <x v="959"/>
    <s v="nsfw"/>
    <s v="300 x 250"/>
    <s v="Display"/>
    <s v="TJX"/>
    <s v="desktop"/>
    <s v="GEO"/>
    <n v="30"/>
    <n v="0"/>
    <s v="Yes"/>
    <s v="Unlimited"/>
    <n v="0"/>
    <n v="0"/>
    <n v="0"/>
    <m/>
    <n v="0"/>
    <n v="0"/>
    <n v="0"/>
    <n v="0"/>
    <n v="2"/>
    <n v="0"/>
    <s v="No"/>
    <m/>
    <m/>
    <m/>
    <s v="General"/>
    <x v="3"/>
    <x v="13"/>
  </r>
  <r>
    <s v="PAUSED"/>
    <n v="1013059101"/>
    <x v="960"/>
    <s v="nsfw"/>
    <s v="300 x 250"/>
    <s v="Display"/>
    <s v="TJX"/>
    <s v="mobile"/>
    <s v="GEO"/>
    <n v="6"/>
    <n v="0"/>
    <s v="Yes"/>
    <s v="Unlimited"/>
    <n v="0"/>
    <n v="0"/>
    <n v="0"/>
    <m/>
    <n v="0"/>
    <n v="0"/>
    <n v="0"/>
    <n v="0"/>
    <n v="2"/>
    <n v="0"/>
    <s v="No"/>
    <m/>
    <m/>
    <m/>
    <s v="General"/>
    <x v="12"/>
    <x v="13"/>
  </r>
  <r>
    <s v="PAUSED"/>
    <n v="1013059151"/>
    <x v="961"/>
    <s v="nsfw"/>
    <s v="300 x 250"/>
    <s v="Display"/>
    <s v="TJX"/>
    <s v="mobile"/>
    <s v="GEO"/>
    <n v="6"/>
    <n v="0"/>
    <s v="Yes"/>
    <s v="Unlimited"/>
    <n v="0"/>
    <n v="0"/>
    <n v="0"/>
    <m/>
    <n v="0"/>
    <n v="0"/>
    <n v="0"/>
    <n v="0"/>
    <n v="2"/>
    <n v="0"/>
    <s v="No"/>
    <m/>
    <m/>
    <m/>
    <s v="General"/>
    <x v="14"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4">
  <r>
    <s v="RUNNING"/>
    <n v="1011737002"/>
    <s v="CPA - AI - Video-IS - Desktop - USA"/>
    <s v="nsfw"/>
    <d v="1899-12-30T16:09:00"/>
    <s v="In-Stream Video"/>
    <s v="TJX"/>
    <s v="desktop"/>
    <s v="GEO,Frequency,BrowserLanguage,Segment"/>
    <n v="230"/>
    <n v="0"/>
    <s v="Yes"/>
    <s v="Unlimited"/>
    <n v="49512"/>
    <n v="2730"/>
    <n v="5.5138100000000003"/>
    <n v="7"/>
    <n v="213.56"/>
    <n v="4.3129999999999997"/>
    <n v="7.8E-2"/>
    <n v="30.507999999999999"/>
    <n v="1"/>
    <n v="0"/>
    <s v="Yes"/>
    <n v="49511"/>
    <n v="39008"/>
    <n v="5936"/>
    <s v="AI"/>
    <s v="CP"/>
    <x v="0"/>
    <x v="0"/>
  </r>
  <r>
    <s v="PAUSED"/>
    <n v="1011737052"/>
    <s v="CPA - AI - Video-IS - Android - USA - BROKEN"/>
    <s v="nsfw"/>
    <d v="1899-12-30T16:09:00"/>
    <s v="In-Stream Video"/>
    <s v="TJX"/>
    <s v="mobile"/>
    <s v="GEO,Frequency,OS,BrowserLanguage,Segment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737062"/>
    <s v="CPA - AI - Video-IS - iOS - USA - BROKEN"/>
    <s v="nsfw"/>
    <d v="1899-12-30T16:09:00"/>
    <s v="In-Stream Video"/>
    <s v="TJX"/>
    <s v="mobile"/>
    <s v="GEO,Frequency,OS,BrowserLanguage,Segment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1737262"/>
    <s v="CPA - AI - Video-IS - Desktop - Aus"/>
    <s v="nsfw"/>
    <d v="1899-12-30T16:09:00"/>
    <s v="In-Stream Video"/>
    <s v="TJX"/>
    <s v="desktop"/>
    <s v="GEO,Frequency,BrowserLanguage,Segment"/>
    <n v="215"/>
    <n v="0"/>
    <s v="Yes"/>
    <s v="Unlimited"/>
    <n v="5627"/>
    <n v="312"/>
    <n v="5.5446999999999997"/>
    <n v="0"/>
    <n v="15.32"/>
    <n v="2.7229999999999999"/>
    <n v="4.9000000000000002E-2"/>
    <n v="0"/>
    <n v="1"/>
    <n v="0"/>
    <s v="Yes"/>
    <n v="5627"/>
    <n v="4466"/>
    <n v="668"/>
    <s v="AI"/>
    <s v="CP"/>
    <x v="0"/>
    <x v="0"/>
  </r>
  <r>
    <s v="RUNNING"/>
    <n v="1011737272"/>
    <s v="CPA - AI - Video-IS - iOS - Aus"/>
    <s v="nsfw"/>
    <d v="1899-12-30T16:09:00"/>
    <s v="In-Stream Video"/>
    <s v="TJX"/>
    <s v="mobile"/>
    <s v="GEO,Frequency,OS,BrowserLanguage,Segment"/>
    <n v="638"/>
    <n v="0"/>
    <s v="Yes"/>
    <s v="Unlimited"/>
    <n v="11261"/>
    <n v="518"/>
    <n v="4.5999499999999998"/>
    <n v="1"/>
    <n v="39.159999999999997"/>
    <n v="3.4769999999999999"/>
    <n v="7.5999999999999998E-2"/>
    <n v="39.158000000000001"/>
    <n v="1"/>
    <n v="0"/>
    <s v="Yes"/>
    <n v="11261"/>
    <n v="9916"/>
    <n v="1073"/>
    <s v="AI"/>
    <s v="CP"/>
    <x v="0"/>
    <x v="0"/>
  </r>
  <r>
    <s v="RUNNING"/>
    <n v="1011737322"/>
    <s v="CPA - AI - Video-IS - excl. iOS - Aus"/>
    <s v="nsfw"/>
    <d v="1899-12-30T16:09:00"/>
    <s v="In-Stream Video"/>
    <s v="TJX"/>
    <s v="mobile"/>
    <s v="GEO,Frequency,OS,BrowserLanguage,Segment"/>
    <n v="638"/>
    <n v="0"/>
    <s v="Yes"/>
    <s v="Unlimited"/>
    <n v="11408"/>
    <n v="538"/>
    <n v="4.7159800000000001"/>
    <n v="1"/>
    <n v="45.48"/>
    <n v="3.9870000000000001"/>
    <n v="8.5000000000000006E-2"/>
    <n v="45.484999999999999"/>
    <n v="1"/>
    <n v="0"/>
    <s v="Yes"/>
    <n v="11408"/>
    <n v="9960"/>
    <n v="1131"/>
    <s v="AI"/>
    <s v="CP"/>
    <x v="0"/>
    <x v="0"/>
  </r>
  <r>
    <s v="RUNNING"/>
    <n v="1011744802"/>
    <s v="CPA - AI - Video-IS - Desktop - Canada"/>
    <s v="nsfw"/>
    <d v="1899-12-30T16:09:00"/>
    <s v="In-Stream Video"/>
    <s v="TJX"/>
    <s v="desktop"/>
    <s v="GEO,Frequency,BrowserLanguage,Segment"/>
    <n v="285"/>
    <n v="0"/>
    <s v="Yes"/>
    <s v="Unlimited"/>
    <n v="15510"/>
    <n v="889"/>
    <n v="5.7317900000000002"/>
    <n v="1"/>
    <n v="69.8"/>
    <n v="4.5"/>
    <n v="7.9000000000000001E-2"/>
    <n v="69.8"/>
    <n v="1"/>
    <n v="0"/>
    <s v="Yes"/>
    <n v="15510"/>
    <n v="12253"/>
    <n v="1897"/>
    <s v="AI"/>
    <s v="CP"/>
    <x v="0"/>
    <x v="0"/>
  </r>
  <r>
    <s v="PAUSED"/>
    <n v="1011744812"/>
    <s v="CPA - AI - Video-IS - iOS - Canada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744822"/>
    <s v="CPA - AI - Video-IS - excl. iOS - Canada"/>
    <s v="nsfw"/>
    <d v="1899-12-30T16:09:00"/>
    <s v="In-Stream Video"/>
    <s v="TJX"/>
    <s v="mobile"/>
    <s v="GEO,Frequency,OS,BrowserLanguage,Segment"/>
    <n v="638"/>
    <n v="0"/>
    <s v="Yes"/>
    <s v="Unlimited"/>
    <n v="0"/>
    <n v="0"/>
    <n v="0"/>
    <m/>
    <n v="0"/>
    <n v="0"/>
    <n v="0"/>
    <n v="0"/>
    <n v="1"/>
    <n v="0"/>
    <s v="Yes"/>
    <m/>
    <m/>
    <m/>
    <s v="AI"/>
    <s v="CP"/>
    <x v="0"/>
    <x v="0"/>
  </r>
  <r>
    <s v="RUNNING"/>
    <n v="1011744832"/>
    <s v="CPA - AI - Video-IS - Desktop - UK"/>
    <s v="nsfw"/>
    <d v="1899-12-30T16:09:00"/>
    <s v="In-Stream Video"/>
    <s v="TJX"/>
    <s v="desktop"/>
    <s v="GEO,Frequency,BrowserLanguage,Segment"/>
    <n v="215"/>
    <n v="0"/>
    <s v="Yes"/>
    <s v="Unlimited"/>
    <n v="2477"/>
    <n v="113"/>
    <n v="4.56196"/>
    <n v="0"/>
    <n v="11.28"/>
    <n v="4.5549999999999997"/>
    <n v="0.1"/>
    <n v="0"/>
    <n v="1"/>
    <n v="0"/>
    <s v="Yes"/>
    <n v="2477"/>
    <n v="1935"/>
    <n v="342"/>
    <s v="AI"/>
    <s v="CP"/>
    <x v="0"/>
    <x v="0"/>
  </r>
  <r>
    <s v="PAUSED"/>
    <n v="1011744842"/>
    <s v="CPA - AI - Video-IS - iOS - UK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1744852"/>
    <s v="CPA - AI - Video-IS - excl. iOS - UK"/>
    <s v="nsfw"/>
    <d v="1899-12-30T16:09:00"/>
    <s v="In-Stream Video"/>
    <s v="TJX"/>
    <s v="mobile"/>
    <s v="GEO,Frequency,OS,BrowserLanguage,Segment"/>
    <n v="638"/>
    <n v="0"/>
    <s v="Yes"/>
    <s v="Unlimited"/>
    <n v="7148"/>
    <n v="354"/>
    <n v="4.95242"/>
    <n v="1"/>
    <n v="29.31"/>
    <n v="4.101"/>
    <n v="8.3000000000000004E-2"/>
    <n v="29.314"/>
    <n v="1"/>
    <n v="0"/>
    <s v="Yes"/>
    <n v="7148"/>
    <n v="6451"/>
    <n v="512"/>
    <s v="AI"/>
    <s v="CP"/>
    <x v="0"/>
    <x v="0"/>
  </r>
  <r>
    <s v="PAUSED"/>
    <n v="1011744862"/>
    <s v="CPA - AI - Video-IS - excl. iOS - Norway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744872"/>
    <s v="CPA - AI - Video-IS - iOS - Norway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744882"/>
    <s v="CPA - AI - Video-IS - Desktop - Norway"/>
    <s v="nsfw"/>
    <d v="1899-12-30T16:09:00"/>
    <s v="In-Stream Video"/>
    <s v="TJX"/>
    <s v="desktop"/>
    <s v="GEO,Frequency,BrowserLanguage,Segment"/>
    <n v="24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13152"/>
    <s v="CPA - Trans - Video-IS - Android - USA"/>
    <s v="nsfw"/>
    <d v="1899-12-30T16:09:00"/>
    <s v="In-Stream Video"/>
    <s v="TJX"/>
    <s v="mobile"/>
    <s v="GEO,Frequency,OS,BrowserLanguage"/>
    <n v="35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13182"/>
    <s v="CPA - Shorties - Android - USA"/>
    <s v="nsfw"/>
    <d v="1899-12-30T09:16:00"/>
    <s v="In-Stream Video"/>
    <s v="TJX"/>
    <s v="mobile"/>
    <s v="GEO,Frequency,OS,BrowserLanguage"/>
    <n v="11"/>
    <n v="0"/>
    <s v="Yes"/>
    <s v="Unlimited"/>
    <n v="0"/>
    <n v="0"/>
    <n v="0"/>
    <m/>
    <n v="0"/>
    <n v="0"/>
    <n v="0"/>
    <n v="0"/>
    <n v="1"/>
    <n v="0"/>
    <s v="Yes"/>
    <m/>
    <m/>
    <m/>
    <s v="Shorties"/>
    <s v="CP"/>
    <x v="2"/>
    <x v="0"/>
  </r>
  <r>
    <s v="PAUSED"/>
    <n v="1011813292"/>
    <s v="CPA - VR - Video-IS - Android - USA"/>
    <s v="nsfw"/>
    <d v="1899-12-30T16:09:00"/>
    <s v="In-Stream Video"/>
    <s v="TJX"/>
    <s v="mobile"/>
    <s v="GEO,Frequency,Keyword,OS,BrowserLanguage"/>
    <n v="117"/>
    <n v="0"/>
    <s v="No"/>
    <n v="1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13302"/>
    <s v="CPA - Furry - Video-IS - Android - USA - BROKEN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13312"/>
    <s v="CPA - Cosplay - Video-IS - Android - USA"/>
    <s v="nsfw"/>
    <d v="1899-12-30T16:09:00"/>
    <s v="In-Stream Video"/>
    <s v="TJX"/>
    <s v="mobile"/>
    <s v="GEO,Frequency,Keyword,OS,BrowserLanguage"/>
    <n v="65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13322"/>
    <s v="CPA - Massage - Video-IS - Android - USA"/>
    <s v="nsfw"/>
    <d v="1899-12-30T16:09:00"/>
    <s v="In-Stream Video"/>
    <s v="TJX"/>
    <s v="mobile"/>
    <s v="GEO,Frequency,Keyword,OS,BrowserLanguage"/>
    <n v="64"/>
    <n v="0"/>
    <s v="No"/>
    <n v="1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13332"/>
    <s v="CPA - JOI - Video-IS - Android - USA"/>
    <s v="nsfw"/>
    <d v="1899-12-30T16:09:00"/>
    <s v="In-Stream Video"/>
    <s v="TJX"/>
    <s v="mobile"/>
    <s v="GEO,Frequency,Keyword,OS,BrowserLanguage"/>
    <n v="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13342"/>
    <s v="CPA - Japanese - Video-IS - Android - USA"/>
    <s v="nsfw"/>
    <d v="1899-12-30T16:09:00"/>
    <s v="In-Stream Video"/>
    <s v="TJX"/>
    <s v="mobile"/>
    <s v="GEO,Frequency,Keyword,OS,BrowserLanguage"/>
    <n v="117"/>
    <n v="0"/>
    <s v="No"/>
    <n v="1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13352"/>
    <s v="CPA - AI - Video-IS - Desktop - Mexico"/>
    <s v="nsfw"/>
    <d v="1899-12-30T16:09:00"/>
    <s v="In-Stream Video"/>
    <s v="TJX"/>
    <s v="desktop"/>
    <s v="GEO,Frequency,BrowserLanguage,Segment"/>
    <n v="215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13362"/>
    <s v="CPA - AI - Video-IS - iOS - Mexico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13372"/>
    <s v="CPA - AI - Video-IS - excl. iOS - Mexico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1813382"/>
    <s v="CPA - AI - Video-IS - excl. iOS - Italy"/>
    <s v="nsfw"/>
    <d v="1899-12-30T16:09:00"/>
    <s v="In-Stream Video"/>
    <s v="TJX"/>
    <s v="mobile"/>
    <s v="GEO,Frequency,OS,BrowserLanguage,Segment"/>
    <n v="539"/>
    <n v="0"/>
    <s v="Yes"/>
    <s v="Unlimited"/>
    <n v="1045"/>
    <n v="83"/>
    <n v="7.9425800000000004"/>
    <n v="0"/>
    <n v="4.04"/>
    <n v="3.8690000000000002"/>
    <n v="4.9000000000000002E-2"/>
    <n v="0"/>
    <n v="1"/>
    <n v="0"/>
    <s v="Yes"/>
    <n v="1045"/>
    <n v="899"/>
    <n v="107"/>
    <s v="Bin"/>
    <s v="CP"/>
    <x v="0"/>
    <x v="0"/>
  </r>
  <r>
    <s v="RUNNING"/>
    <n v="1011813392"/>
    <s v="CPA - AI - Video-IS - iOS - Italy"/>
    <s v="nsfw"/>
    <d v="1899-12-30T16:09:00"/>
    <s v="In-Stream Video"/>
    <s v="TJX"/>
    <s v="mobile"/>
    <s v="GEO,Frequency,OS,BrowserLanguage,Segment"/>
    <n v="539"/>
    <n v="0"/>
    <s v="Yes"/>
    <s v="Unlimited"/>
    <n v="812"/>
    <n v="38"/>
    <n v="4.6798000000000002"/>
    <n v="0"/>
    <n v="3.24"/>
    <n v="3.9860000000000002"/>
    <n v="8.5000000000000006E-2"/>
    <n v="0"/>
    <n v="1"/>
    <n v="0"/>
    <s v="Yes"/>
    <n v="812"/>
    <n v="708"/>
    <n v="77"/>
    <s v="Bin"/>
    <s v="CP"/>
    <x v="3"/>
    <x v="0"/>
  </r>
  <r>
    <s v="PAUSED"/>
    <n v="1011813402"/>
    <s v="CPA - AI - Video-IS - Desktop - Italy"/>
    <s v="nsfw"/>
    <d v="1899-12-30T16:09:00"/>
    <s v="In-Stream Video"/>
    <s v="TJX"/>
    <s v="desktop"/>
    <s v="GEO,Frequency,BrowserLanguage,Segment"/>
    <n v="24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13412"/>
    <s v="CPA - AI - Video-IS - Desktop - Japan"/>
    <s v="nsfw"/>
    <d v="1899-12-30T16:09:00"/>
    <s v="In-Stream Video"/>
    <s v="TJX"/>
    <s v="desktop"/>
    <s v="GEO,Frequency,BrowserLanguage,Segment"/>
    <n v="215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13422"/>
    <s v="CPA - AI - Video-IS - iOS - Japan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13432"/>
    <s v="CPA - AI - Video-IS - Android - Japan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352"/>
    <s v="CPA - AI - Shorties - Android - USA"/>
    <s v="nsfw"/>
    <d v="1899-12-30T09:16:00"/>
    <s v="In-Stream Video"/>
    <s v="TJX"/>
    <s v="mobile"/>
    <s v="GEO,Frequency,OS,BrowserLanguage,Segment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362"/>
    <s v="CPA - AI - Shorties - iOS - USA"/>
    <s v="nsfw"/>
    <d v="1899-12-30T09:16:00"/>
    <s v="In-Stream Video"/>
    <s v="TJX"/>
    <s v="mobile"/>
    <s v="GEO,Frequency,OS,BrowserLanguage,Segment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372"/>
    <s v="CPA - AI - Shorties - iOS - Aus"/>
    <s v="nsfw"/>
    <d v="1899-12-30T09:16:00"/>
    <s v="In-Stream Video"/>
    <s v="TJX"/>
    <s v="mobile"/>
    <s v="GEO,Frequency,OS,BrowserLanguage,Segment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382"/>
    <s v="CPA - AI - Shorties - Android - Aus"/>
    <s v="nsfw"/>
    <d v="1899-12-30T09:16:00"/>
    <s v="In-Stream Video"/>
    <s v="TJX"/>
    <s v="mobile"/>
    <s v="GEO,Frequency,OS,BrowserLanguage,Segment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392"/>
    <s v="CPA - JOI - Video-IS - iOS - USA"/>
    <s v="nsfw"/>
    <d v="1899-12-30T16:09:00"/>
    <s v="In-Stream Video"/>
    <s v="TJX"/>
    <s v="mobile"/>
    <s v="GEO,Frequency,Keyword,OS,BrowserLanguage"/>
    <n v="72"/>
    <n v="0"/>
    <s v="No"/>
    <n v="1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412"/>
    <s v="CPA - JOI - Video-IS - Desktop - USA - BROKEN"/>
    <s v="nsfw"/>
    <d v="1899-12-30T16:09:00"/>
    <s v="In-Stream Video"/>
    <s v="TJX"/>
    <s v="desktop"/>
    <s v="GEO,Frequency,Keyword,BrowserLanguage"/>
    <n v="14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422"/>
    <s v="CPA - JOI - Video-IS - Android - Aus"/>
    <s v="nsfw"/>
    <d v="1899-12-30T16:09:00"/>
    <s v="In-Stream Video"/>
    <s v="TJX"/>
    <s v="mobile"/>
    <s v="GEO,Frequency,Keyword,OS,BrowserLanguage"/>
    <n v="46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432"/>
    <s v="CPA - JOI - Video-IS - iOS - Aus"/>
    <s v="nsfw"/>
    <d v="1899-12-30T16:09:00"/>
    <s v="In-Stream Video"/>
    <s v="TJX"/>
    <s v="mobile"/>
    <s v="GEO,Frequency,Keyword,BrowserLanguage"/>
    <n v="46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442"/>
    <s v="CPA - JOI - Video-IS - Desktop - Aus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452"/>
    <s v="CPA - JOI - Video-IS - Desktop - UK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462"/>
    <s v="CPA - JOI - Video-IS - iOS - UK"/>
    <s v="nsfw"/>
    <d v="1899-12-30T16:09:00"/>
    <s v="In-Stream Video"/>
    <s v="TJX"/>
    <s v="mobile"/>
    <s v="GEO,Frequency,Keyword,BrowserLanguage"/>
    <n v="72"/>
    <n v="0"/>
    <s v="No"/>
    <n v="1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472"/>
    <s v="CPA - JOI - Video-IS - Android - UK"/>
    <s v="nsfw"/>
    <d v="1899-12-30T16:09:00"/>
    <s v="In-Stream Video"/>
    <s v="TJX"/>
    <s v="mobile"/>
    <s v="GEO,Frequency,Keyword,OS,BrowserLanguage"/>
    <n v="46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482"/>
    <s v="CPA - JOI - Video-IS - Desktop - Canada"/>
    <s v="nsfw"/>
    <d v="1899-12-30T16:09:00"/>
    <s v="In-Stream Video"/>
    <s v="TJX"/>
    <s v="desktop"/>
    <s v="GEO,Frequency,Keyword,BrowserLanguage"/>
    <n v="26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492"/>
    <s v="CPA - JOI - Video-IS - iOS - Canada"/>
    <s v="nsfw"/>
    <d v="1899-12-30T16:09:00"/>
    <s v="In-Stream Video"/>
    <s v="TJX"/>
    <s v="mobile"/>
    <s v="GEO,Frequency,Keyword,BrowserLanguage"/>
    <n v="7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502"/>
    <s v="CPA - JOI - Video-IS - Android - Canada - BROKEN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512"/>
    <s v="CPA - Furry - Video-IS - iOS - USA"/>
    <s v="nsfw"/>
    <d v="1899-12-30T16:09:00"/>
    <s v="In-Stream Video"/>
    <s v="TJX"/>
    <s v="mobile"/>
    <s v="GEO,Frequency,Keyword,OS,BrowserLanguage"/>
    <n v="12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3"/>
    <x v="0"/>
  </r>
  <r>
    <s v="RUNNING"/>
    <n v="1011822522"/>
    <s v="CPA - Furry - Video-IS - Desktop - USA"/>
    <s v="nsfw"/>
    <d v="1899-12-30T16:09:00"/>
    <s v="In-Stream Video"/>
    <s v="TJX"/>
    <s v="desktop"/>
    <s v="GEO,Frequency,Keyword,BrowserLanguage"/>
    <n v="65"/>
    <n v="0"/>
    <s v="Yes"/>
    <s v="Unlimited"/>
    <n v="16659"/>
    <n v="898"/>
    <n v="5.3904800000000002"/>
    <n v="2"/>
    <n v="46.87"/>
    <n v="2.8140000000000001"/>
    <n v="5.1999999999999998E-2"/>
    <n v="23.434999999999999"/>
    <n v="1"/>
    <n v="0"/>
    <s v="Yes"/>
    <n v="16659"/>
    <n v="12323"/>
    <n v="1934"/>
    <s v="Furry"/>
    <s v="CP"/>
    <x v="4"/>
    <x v="0"/>
  </r>
  <r>
    <s v="PAUSED"/>
    <n v="1011822532"/>
    <s v="CPA - Furry - Video-IS - Desktop - Canada"/>
    <s v="nsfw"/>
    <d v="1899-12-30T16:09:00"/>
    <s v="In-Stream Video"/>
    <s v="TJX"/>
    <s v="desktop"/>
    <s v="GEO,Frequency,Keyword,BrowserLanguage"/>
    <n v="273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3"/>
    <x v="0"/>
  </r>
  <r>
    <s v="PAUSED"/>
    <n v="1011822542"/>
    <s v="CPA - Furry - Video-IS - iOS - Canada - BROKEN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552"/>
    <s v="CPA - Furry - Video-IS - Android - Canada"/>
    <s v="nsfw"/>
    <d v="1899-12-30T16:09:00"/>
    <s v="In-Stream Video"/>
    <s v="TJX"/>
    <s v="mobile"/>
    <s v="GEO,Frequency,Keyword,OS,BrowserLanguage"/>
    <n v="126"/>
    <n v="0"/>
    <s v="No"/>
    <n v="1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562"/>
    <s v="CPAa - Furry - Video-IS - Desktop - Aus"/>
    <s v="nsfw"/>
    <d v="1899-12-30T16:09:00"/>
    <s v="In-Stream Video"/>
    <s v="TJX"/>
    <s v="desktop"/>
    <s v="GEO,Frequency,Keyword,BrowserLanguage"/>
    <n v="273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572"/>
    <s v="CPA - Furry - Video-IS - iOS - Aus"/>
    <s v="nsfw"/>
    <d v="1899-12-30T16:09:00"/>
    <s v="In-Stream Video"/>
    <s v="TJX"/>
    <s v="mobile"/>
    <s v="GEO,Frequency,Keyword,OS,BrowserLanguage"/>
    <n v="52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3"/>
    <x v="0"/>
  </r>
  <r>
    <s v="PAUSED"/>
    <n v="1011822582"/>
    <s v="CPA - Furry - Video-IS - Android - Aus"/>
    <s v="nsfw"/>
    <d v="1899-12-30T16:09:00"/>
    <s v="In-Stream Video"/>
    <s v="TJX"/>
    <s v="mobile"/>
    <s v="GEO,Frequency,Keyword,OS,BrowserLanguage"/>
    <n v="126"/>
    <n v="0"/>
    <s v="No"/>
    <n v="1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592"/>
    <s v="CPA - Furry - Video-IS - Desktop - UK"/>
    <s v="nsfw"/>
    <d v="1899-12-30T16:09:00"/>
    <s v="In-Stream Video"/>
    <s v="TJX"/>
    <s v="desktop"/>
    <s v="GEO,Frequency,Keyword,BrowserLanguage"/>
    <n v="273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3"/>
    <x v="0"/>
  </r>
  <r>
    <s v="PAUSED"/>
    <n v="1011822602"/>
    <s v="CPA - Furry - Video-IS - iOS - UK"/>
    <s v="nsfw"/>
    <d v="1899-12-30T16:09:00"/>
    <s v="In-Stream Video"/>
    <s v="TJX"/>
    <s v="mobile"/>
    <s v="GEO,Frequency,Keyword,OS,BrowserLanguage"/>
    <n v="52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612"/>
    <s v="CPA - Furry - Video-IS - Android - UK"/>
    <s v="nsfw"/>
    <d v="1899-12-30T16:09:00"/>
    <s v="In-Stream Video"/>
    <s v="TJX"/>
    <s v="mobile"/>
    <s v="GEO,Frequency,Keyword,OS,BrowserLanguage"/>
    <n v="126"/>
    <n v="0"/>
    <s v="No"/>
    <n v="1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642"/>
    <s v="CPA - VTuber - Video-IS - iOS - USA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652"/>
    <s v="CPA - Compilation - Video-IS - iOS - USA"/>
    <s v="nsfw"/>
    <d v="1899-12-30T16:09:00"/>
    <s v="In-Stream Video"/>
    <s v="TJX"/>
    <s v="mobile"/>
    <s v="GEO,Frequency,Keyword,OS,BrowserLanguage"/>
    <n v="616"/>
    <n v="0"/>
    <s v="No"/>
    <n v="2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662"/>
    <s v="CPA - Cuck - Video-IS - iOS - USA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672"/>
    <s v="CPA - Gaming - Video-IS - iOS - USA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682"/>
    <s v="CPA - POV - Video-IS - iOS - USA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692"/>
    <s v="CPA - Romantic - Video-IS - iOS - USA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702"/>
    <s v="CPA - Roleplay - Video-IS - iOS - USA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712"/>
    <s v="CPAa - Fantasy - Video-IS - iOS - USA"/>
    <s v="nsfw"/>
    <d v="1899-12-30T16:09:00"/>
    <s v="In-Stream Video"/>
    <s v="TJX"/>
    <s v="mobile"/>
    <s v="GEO,Frequency,Keyword,OS,BrowserLanguage"/>
    <n v="74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722"/>
    <s v="CPA - Webcam - Video-IS - iOS - USA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732"/>
    <s v="CPA - Gameshow - Video-IS - iOS - USA"/>
    <s v="nsfw"/>
    <d v="1899-12-30T16:09:00"/>
    <s v="In-Stream Video"/>
    <s v="TJX"/>
    <s v="mobile"/>
    <s v="GEO,Frequency,Keyword,OS,BrowserLanguage"/>
    <n v="616"/>
    <n v="0"/>
    <s v="No"/>
    <n v="2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742"/>
    <s v="CPA - Jav - Video-IS - iOS - USA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762"/>
    <s v="CPA - Casting - Video-IS - iOS - USA"/>
    <s v="nsfw"/>
    <d v="1899-12-30T16:09:00"/>
    <s v="In-Stream Video"/>
    <s v="TJX"/>
    <s v="mobile"/>
    <s v="GEO,Frequency,Keyword,OS,BrowserLanguage"/>
    <n v="74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772"/>
    <s v="CPA - FinDom - Video-IS - iOS - USA"/>
    <s v="nsfw"/>
    <d v="1899-12-30T16:09:00"/>
    <s v="In-Stream Video"/>
    <s v="TJX"/>
    <s v="mobile"/>
    <s v="GEO,Frequency,Keyword,OS,BrowserLanguage"/>
    <n v="99"/>
    <n v="0"/>
    <s v="Yes"/>
    <s v="Unlimited"/>
    <n v="0"/>
    <n v="0"/>
    <n v="0"/>
    <m/>
    <n v="0"/>
    <n v="0"/>
    <n v="0"/>
    <n v="0"/>
    <n v="1"/>
    <n v="0"/>
    <s v="Yes"/>
    <m/>
    <m/>
    <m/>
    <s v="Archive"/>
    <s v="CP"/>
    <x v="5"/>
    <x v="0"/>
  </r>
  <r>
    <s v="PAUSED"/>
    <n v="1011822782"/>
    <s v="CPA - Webcams - Video-IS - iOS - USA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792"/>
    <s v="CPA - OF - Video-IS - iOS - USA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22812"/>
    <s v="CPA - Trans - Video-IS - iOS - USA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8812"/>
    <s v="CPA - Trans - Video-IS - Desktop - USA"/>
    <s v="nsfw"/>
    <d v="1899-12-30T16:09:00"/>
    <s v="In-Stream Video"/>
    <s v="TJX"/>
    <s v="desktop"/>
    <s v="GEO,Frequency,BrowserLanguage"/>
    <n v="17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6"/>
    <x v="0"/>
  </r>
  <r>
    <s v="PAUSED"/>
    <n v="1011838822"/>
    <s v="CPA - Trans - Video-IS - Android - Aus"/>
    <s v="nsfw"/>
    <d v="1899-12-30T16:09:00"/>
    <s v="In-Stream Video"/>
    <s v="TJX"/>
    <s v="mobile"/>
    <s v="GEO,Frequency,OS,BrowserLanguage"/>
    <n v="242"/>
    <n v="0"/>
    <s v="No"/>
    <n v="1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8832"/>
    <s v="CPA - Trans - Video-IS - iOS - Aus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6"/>
    <x v="0"/>
  </r>
  <r>
    <s v="PAUSED"/>
    <n v="1011838852"/>
    <s v="CPA - Trans - Video-IS - Android - Canada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8862"/>
    <s v="CPA - Trans - Video-IS - iOS - Canada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8882"/>
    <s v="CPA - Trans - Video-IS - Desktop - Aus"/>
    <s v="nsfw"/>
    <d v="1899-12-30T16:09:00"/>
    <s v="In-Stream Video"/>
    <s v="TJX"/>
    <s v="desktop"/>
    <s v="GEO,Frequency,BrowserLanguage"/>
    <n v="1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6"/>
    <x v="0"/>
  </r>
  <r>
    <s v="PAUSED"/>
    <n v="1011838892"/>
    <s v="CPA - Trans - Video-IS - Desktop - UK"/>
    <s v="nsfw"/>
    <d v="1899-12-30T16:09:00"/>
    <s v="In-Stream Video"/>
    <s v="TJX"/>
    <s v="desktop"/>
    <s v="GEO,Frequency,BrowserLanguage"/>
    <n v="230"/>
    <n v="0"/>
    <s v="Yes"/>
    <s v="Unlimited"/>
    <n v="1"/>
    <n v="0"/>
    <n v="0"/>
    <n v="0"/>
    <n v="0"/>
    <n v="3.8109999999999999"/>
    <n v="0"/>
    <n v="0"/>
    <n v="1"/>
    <n v="0"/>
    <s v="Yes"/>
    <n v="1"/>
    <n v="1"/>
    <n v="0"/>
    <s v="Bin"/>
    <s v="CP"/>
    <x v="6"/>
    <x v="0"/>
  </r>
  <r>
    <s v="PAUSED"/>
    <n v="1011838902"/>
    <s v="CPA - Trans - Video-IS - Desktop - Canada"/>
    <s v="nsfw"/>
    <d v="1899-12-30T16:09:00"/>
    <s v="In-Stream Video"/>
    <s v="TJX"/>
    <s v="desktop"/>
    <s v="GEO,Frequency,BrowserLanguage"/>
    <n v="17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8912"/>
    <s v="CPA - Trans - Video-IS - iOS - UK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6"/>
    <x v="0"/>
  </r>
  <r>
    <s v="PAUSED"/>
    <n v="1011838922"/>
    <s v="CPA - Trans - Video-IS - Android - UK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8932"/>
    <s v="CPA - Fantasy - Video-IS - Android - USA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8942"/>
    <s v="CPA - Fantasy - Video-IS - Desktop - USA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8952"/>
    <s v="CPA - Fantasy - Video-IS - iOS - Aus"/>
    <s v="nsfw"/>
    <d v="1899-12-30T16:09:00"/>
    <s v="In-Stream Video"/>
    <s v="TJX"/>
    <s v="mobile"/>
    <s v="GEO,Frequency,Keyword,OS,BrowserLanguage"/>
    <n v="74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8962"/>
    <s v="CPA - Fantasy - Video-IS - Android - Aus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8972"/>
    <s v="CPA - Fantasy - Video-IS - Desktop - Aus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8982"/>
    <s v="CPA - Fantasy - Video-IS - iOS - UK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8992"/>
    <s v="CPA - Fantasy - Video-IS - Android - UK"/>
    <s v="nsfw"/>
    <d v="1899-12-30T16:09:00"/>
    <s v="In-Stream Video"/>
    <s v="TJX"/>
    <s v="mobile"/>
    <s v="GEO,Frequency,Keyword,OS,BrowserLanguage"/>
    <n v="22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002"/>
    <s v="CPA - Fantasy - Video-IS - Desktop - UK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012"/>
    <s v="CPA - Fantasy - Video-IS - Desktop - Canada"/>
    <s v="nsfw"/>
    <d v="1899-12-30T16:09:00"/>
    <s v="In-Stream Video"/>
    <s v="TJX"/>
    <s v="desktop"/>
    <s v="GEO,Frequency,Keyword,BrowserLanguage"/>
    <n v="8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022"/>
    <s v="CPA - Fantasy - Video-IS - Android - Canada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032"/>
    <s v="CPA - Fantasy - Video-IS - iOS - Canada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042"/>
    <s v="CPA - Cosplay - Video-IS - iOS - USA"/>
    <s v="nsfw"/>
    <d v="1899-12-30T16:09:00"/>
    <s v="In-Stream Video"/>
    <s v="TJX"/>
    <s v="mobile"/>
    <s v="GEO,Frequency,Keyword,OS,BrowserLanguage"/>
    <n v="130"/>
    <n v="0"/>
    <s v="No"/>
    <n v="1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052"/>
    <s v="CPA - Cosplay - Video-IS - Desktop - USA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072"/>
    <s v="CPA - Cosplay - Video-IS - Android - Aus"/>
    <s v="nsfw"/>
    <d v="1899-12-30T16:09:00"/>
    <s v="In-Stream Video"/>
    <s v="TJX"/>
    <s v="mobile"/>
    <s v="GEO,Frequency,Keyword,OS,BrowserLanguage"/>
    <n v="130"/>
    <n v="0"/>
    <s v="No"/>
    <n v="1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082"/>
    <s v="CPA - Cosplay - Video-IS - iOS - Aus"/>
    <s v="nsfw"/>
    <d v="1899-12-30T16:09:00"/>
    <s v="In-Stream Video"/>
    <s v="TJX"/>
    <s v="mobile"/>
    <s v="GEO,Frequency,Keyword,OS,BrowserLanguage"/>
    <n v="52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092"/>
    <s v="CPA - Cosplay - Video-IS - Desktop - Aus"/>
    <s v="nsfw"/>
    <d v="1899-12-30T16:09:00"/>
    <s v="In-Stream Video"/>
    <s v="TJX"/>
    <s v="desktop"/>
    <s v="GEO,Frequency,Keyword,BrowserLanguage"/>
    <n v="26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102"/>
    <s v="CPA - Cosplay - Video-IS - Desktop - Canada"/>
    <s v="nsfw"/>
    <d v="1899-12-30T16:09:00"/>
    <s v="In-Stream Video"/>
    <s v="TJX"/>
    <s v="desktop"/>
    <s v="GEO,Frequency,Keyword,BrowserLanguage"/>
    <n v="26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112"/>
    <s v="CPA - Cosplay - Video-IS - iOS - Canada"/>
    <s v="nsfw"/>
    <d v="1899-12-30T16:09:00"/>
    <s v="In-Stream Video"/>
    <s v="TJX"/>
    <s v="mobile"/>
    <s v="GEO,Frequency,Keyword,OS,BrowserLanguage"/>
    <n v="52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122"/>
    <s v="CPA - Cosplay - Video-IS - Android - Canada"/>
    <s v="nsfw"/>
    <d v="1899-12-30T16:09:00"/>
    <s v="In-Stream Video"/>
    <s v="TJX"/>
    <s v="mobile"/>
    <s v="GEO,Frequency,Keyword,OS,BrowserLanguage"/>
    <n v="130"/>
    <n v="0"/>
    <s v="No"/>
    <n v="1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132"/>
    <s v="CPAa - Cosplay - Video-IS - Android - UK"/>
    <s v="nsfw"/>
    <d v="1899-12-30T16:09:00"/>
    <s v="In-Stream Video"/>
    <s v="TJX"/>
    <s v="mobile"/>
    <s v="GEO,Frequency,Keyword,OS,BrowserLanguage"/>
    <n v="13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142"/>
    <s v="CPA - Cosplay - Video-IS - iOS - UK"/>
    <s v="nsfw"/>
    <d v="1899-12-30T16:09:00"/>
    <s v="In-Stream Video"/>
    <s v="TJX"/>
    <s v="mobile"/>
    <s v="GEO,Frequency,Keyword,OS,BrowserLanguage"/>
    <n v="52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152"/>
    <s v="CPA - Cosplay - Video-IS - Desktop - UK"/>
    <s v="nsfw"/>
    <d v="1899-12-30T16:09:00"/>
    <s v="In-Stream Video"/>
    <s v="TJX"/>
    <s v="desktop"/>
    <s v="GEO,Frequency,Keyword,BrowserLanguage"/>
    <n v="26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162"/>
    <s v="CPA - FinDom - Video-IS - Android - USA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1839172"/>
    <s v="CPA - FinDom - Video-IS - Desktop - USA"/>
    <s v="nsfw"/>
    <d v="1899-12-30T16:09:00"/>
    <s v="In-Stream Video"/>
    <s v="TJX"/>
    <s v="desktop"/>
    <s v="GEO,Frequency,Keyword,BrowserLanguage"/>
    <n v="45"/>
    <n v="0"/>
    <s v="Yes"/>
    <s v="Unlimited"/>
    <n v="350201"/>
    <n v="16304"/>
    <n v="4.6556100000000002"/>
    <n v="18"/>
    <n v="1320.1"/>
    <n v="3.77"/>
    <n v="8.1000000000000003E-2"/>
    <n v="73.338999999999999"/>
    <n v="1"/>
    <n v="0"/>
    <s v="Yes"/>
    <n v="350185"/>
    <n v="273031"/>
    <n v="44244"/>
    <s v="FinDom"/>
    <s v="CP"/>
    <x v="3"/>
    <x v="0"/>
  </r>
  <r>
    <s v="PAUSED"/>
    <n v="1011839182"/>
    <s v="CPA - FinDom - Video-IS - iOS - Aus"/>
    <s v="nsfw"/>
    <d v="1899-12-30T16:09:00"/>
    <s v="In-Stream Video"/>
    <s v="TJX"/>
    <s v="mobile"/>
    <s v="GEO,Frequency,Keyword,OS,BrowserLanguage"/>
    <n v="99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3"/>
    <x v="0"/>
  </r>
  <r>
    <s v="RUNNING"/>
    <n v="1011839192"/>
    <s v="CPA - FinDom - Video-IS - excl. iOS - Aus"/>
    <s v="nsfw"/>
    <d v="1899-12-30T16:09:00"/>
    <s v="In-Stream Video"/>
    <s v="TJX"/>
    <s v="mobile"/>
    <s v="GEO,Frequency,Keyword,OS,BrowserLanguage"/>
    <n v="99"/>
    <n v="0"/>
    <s v="Yes"/>
    <s v="Unlimited"/>
    <n v="13545"/>
    <n v="846"/>
    <n v="6.2458499999999999"/>
    <n v="0"/>
    <n v="26.67"/>
    <n v="1.9690000000000001"/>
    <n v="3.2000000000000001E-2"/>
    <n v="0"/>
    <n v="1"/>
    <n v="0"/>
    <s v="Yes"/>
    <n v="13545"/>
    <n v="11823"/>
    <n v="1359"/>
    <s v="FinDom"/>
    <s v="CP"/>
    <x v="3"/>
    <x v="0"/>
  </r>
  <r>
    <s v="PAUSED"/>
    <n v="1011839202"/>
    <s v="CPA - FinDom - Video-IS - Desktop - Aus"/>
    <s v="nsfw"/>
    <d v="1899-12-30T16:09:00"/>
    <s v="In-Stream Video"/>
    <s v="TJX"/>
    <s v="desktop"/>
    <s v="GEO,Frequency,Keyword,BrowserLanguage"/>
    <n v="45"/>
    <n v="0"/>
    <s v="Yes"/>
    <s v="Unlimited"/>
    <n v="1"/>
    <n v="0"/>
    <n v="0"/>
    <n v="0"/>
    <n v="0"/>
    <n v="2.512"/>
    <n v="0"/>
    <n v="0"/>
    <n v="1"/>
    <n v="0"/>
    <s v="Yes"/>
    <n v="1"/>
    <n v="0"/>
    <n v="0"/>
    <s v="FinDom"/>
    <s v="CP"/>
    <x v="7"/>
    <x v="0"/>
  </r>
  <r>
    <s v="RUNNING"/>
    <n v="1011839212"/>
    <s v="CPA - FinDom - Video-IS - Desktop - Canada"/>
    <s v="nsfw"/>
    <d v="1899-12-30T16:09:00"/>
    <s v="In-Stream Video"/>
    <s v="TJX"/>
    <s v="desktop"/>
    <s v="GEO,Frequency,Keyword,BrowserLanguage"/>
    <n v="45"/>
    <n v="0"/>
    <s v="Yes"/>
    <s v="Unlimited"/>
    <n v="81043"/>
    <n v="3507"/>
    <n v="4.3273299999999999"/>
    <n v="1"/>
    <n v="212.17"/>
    <n v="2.6179999999999999"/>
    <n v="0.06"/>
    <n v="212.17"/>
    <n v="1"/>
    <n v="0"/>
    <s v="Yes"/>
    <n v="81041"/>
    <n v="62196"/>
    <n v="11029"/>
    <s v="FinDom"/>
    <s v="CP"/>
    <x v="3"/>
    <x v="0"/>
  </r>
  <r>
    <s v="PAUSED"/>
    <n v="1011839222"/>
    <s v="CPA - FinDom - Video-IS - Android - Canada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232"/>
    <s v="CPA - FinDom - Video-IS - iOS - Canada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242"/>
    <s v="CPAa - FinDom - Video-IS - iOS - UK"/>
    <s v="nsfw"/>
    <d v="1899-12-30T16:09:00"/>
    <s v="In-Stream Video"/>
    <s v="TJX"/>
    <s v="mobile"/>
    <s v="GEO,Frequency,Keyword,OS,BrowserLanguage"/>
    <n v="99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252"/>
    <s v="CPA - FinDom - Video-IS - Android - UK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262"/>
    <s v="CPA - FinDom - Video-IS - Desktop - UK"/>
    <s v="nsfw"/>
    <d v="1899-12-30T16:09:00"/>
    <s v="In-Stream Video"/>
    <s v="TJX"/>
    <s v="desktop"/>
    <s v="GEO,Frequency,Keyword,BrowserLanguage"/>
    <n v="268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3"/>
    <x v="0"/>
  </r>
  <r>
    <s v="PAUSED"/>
    <n v="1011839272"/>
    <s v="CPA - VTuber - Video-IS - Android - USA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282"/>
    <s v="CPA - Vtuber - Video-IS - Desktop - USA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292"/>
    <s v="CPA - Vtuber - Video-IS - Desktop - Aus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302"/>
    <s v="CPA - VTuber - Video-IS - excl. iOS - Aus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Ocean"/>
    <s v="CP"/>
    <x v="8"/>
    <x v="0"/>
  </r>
  <r>
    <s v="PAUSED"/>
    <n v="1011839312"/>
    <s v="CPA - VTuber - Video-IS - iOS - Aus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322"/>
    <s v="CPA - VTuber - Video-IS - iOS - UK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332"/>
    <s v="CPA - VTuber - Video-IS - Android - UK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342"/>
    <s v="CPA - Vtuber - Video-IS - Desktop - UK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352"/>
    <s v="CPA - Vtuber - Video-IS - Desktop - Canada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362"/>
    <s v="CPA - VTuber - Video-IS - Android - Canada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39372"/>
    <s v="CPA - VTuber - Video-IS - iOS - Canada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43472"/>
    <s v="CPA2 - Hentai - Video-IS - iOS - USA - BROKEN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43482"/>
    <s v="CPA2 - Hentai - Video-IS - Android - USA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47032"/>
    <s v="CPA2 - Hentai - Video-IS - Desktop - US"/>
    <s v="nsfw"/>
    <d v="1899-12-30T16:09:00"/>
    <s v="In-Stream Video"/>
    <s v="TJX"/>
    <s v="desktop"/>
    <s v="GEO,Frequency,Keyword,BrowserLanguage"/>
    <n v="355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47042"/>
    <s v="CPA2 - Hentai - Video-IS - iOS - Aus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47052"/>
    <s v="CPA2 - Hentai - Video-IS - Android - Aus - BROKEN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47062"/>
    <s v="CPA2 - Hentai - Video-IS - iOS - UK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47072"/>
    <s v="CPA2 - Hentai - Video-IS - Android - UK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47082"/>
    <s v="CPA2 - Hentai - Video-IS - Android - Canada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47092"/>
    <s v="CPA2 - Hentai - Video-IS - iOS - Canada - BROKEN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47112"/>
    <s v="CPA2 - Hentai - Video-IS - Desktop - Canada"/>
    <s v="nsfw"/>
    <d v="1899-12-30T16:09:00"/>
    <s v="In-Stream Video"/>
    <s v="TJX"/>
    <s v="desktop"/>
    <s v="GEO,Frequency,Keyword,BrowserLanguage"/>
    <n v="355"/>
    <n v="0"/>
    <s v="Yes"/>
    <s v="Unlimited"/>
    <n v="0"/>
    <n v="0"/>
    <n v="0"/>
    <n v="0"/>
    <n v="0"/>
    <n v="0"/>
    <n v="0"/>
    <n v="0"/>
    <n v="1"/>
    <n v="0"/>
    <s v="Yes"/>
    <n v="0"/>
    <n v="0"/>
    <n v="0"/>
    <s v="Bin"/>
    <s v="CP"/>
    <x v="1"/>
    <x v="0"/>
  </r>
  <r>
    <s v="PAUSED"/>
    <n v="1011847122"/>
    <s v="CPA2 - Hentai - Video-IS - Desktop - UK"/>
    <s v="nsfw"/>
    <d v="1899-12-30T16:09:00"/>
    <s v="In-Stream Video"/>
    <s v="TJX"/>
    <s v="desktop"/>
    <s v="GEO,Frequency,Keyword,BrowserLanguage"/>
    <n v="355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47132"/>
    <s v="CPA2 - Hentai - Video-IS - Desktop - Aus"/>
    <s v="nsfw"/>
    <d v="1899-12-30T16:09:00"/>
    <s v="In-Stream Video"/>
    <s v="TJX"/>
    <s v="desktop"/>
    <s v="GEO,Frequency,Keyword,BrowserLanguage"/>
    <n v="355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7952"/>
    <s v="CPA - Webcam - Video-IS - Android - USA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7962"/>
    <s v="CPA - Webcam - Video-IS - Desktop - USA"/>
    <s v="nsfw"/>
    <d v="1899-12-30T16:09:00"/>
    <s v="In-Stream Video"/>
    <s v="TJX"/>
    <s v="desktop"/>
    <s v="GEO,Frequency,Keyword,BrowserLanguage"/>
    <n v="8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7972"/>
    <s v="CPA - Webcam - Video-IS - iOS - Aus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7982"/>
    <s v="CPA - Webcam - Video-IS - Android - Aus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7992"/>
    <s v="CPA - Webcam - Video-IS - Desktop - Aus"/>
    <s v="nsfw"/>
    <d v="1899-12-30T16:09:00"/>
    <s v="In-Stream Video"/>
    <s v="TJX"/>
    <s v="desktop"/>
    <s v="GEO,Frequency,Keyword,BrowserLanguage"/>
    <n v="8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8002"/>
    <s v="CPA - Webcam - Video-IS - Desktop - Canada - BROKEN"/>
    <s v="nsfw"/>
    <d v="1899-12-30T16:09:00"/>
    <s v="In-Stream Video"/>
    <s v="TJX"/>
    <s v="desktop"/>
    <s v="GEO,Frequency,Keyword,BrowserLanguage"/>
    <n v="14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8012"/>
    <s v="CPA - Webcam - Video-IS - Android - Canada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8022"/>
    <s v="CPA - Webcam - Video-IS - iOS - Canada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8032"/>
    <s v="CPA - Webcam - Video-IS - Desktop - UK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8042"/>
    <s v="CPA - Webcam - Video-IS - Android - UK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8052"/>
    <s v="CPA - Webcam - Video-IS - iOS - UK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8062"/>
    <s v="CPA - Cuck - Video-IS - Andriod - USA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8072"/>
    <s v="CPA - Romantic - Video-IS - Android - USA"/>
    <s v="nsfw"/>
    <d v="1899-12-30T16:09:00"/>
    <s v="In-Stream Video"/>
    <s v="TJX"/>
    <s v="mobile"/>
    <s v="GEO,Frequency,Keyword,OS,BrowserLanguage"/>
    <n v="22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8402"/>
    <s v="CPA - Shorties - iOS - USA"/>
    <s v="nsfw"/>
    <d v="1899-12-30T09:16:00"/>
    <s v="In-Stream Video"/>
    <s v="TJX"/>
    <s v="mobile"/>
    <s v="GEO,Frequency,OS,Browser,BrowserLanguage"/>
    <n v="11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8412"/>
    <s v="CPA - Shorties - iOS - Aus"/>
    <s v="nsfw"/>
    <d v="1899-12-30T09:16:00"/>
    <s v="In-Stream Video"/>
    <s v="TJX"/>
    <s v="mobile"/>
    <s v="GEO,Frequency,OS,BrowserLanguage"/>
    <n v="5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8422"/>
    <s v="CPA - Shorties - Android - Aus"/>
    <s v="nsfw"/>
    <d v="1899-12-30T09:16:00"/>
    <s v="In-Stream Video"/>
    <s v="TJX"/>
    <s v="mobile"/>
    <s v="GEO,Frequency,OS,BrowserLanguage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8432"/>
    <s v="CPA - Shorties - Android - Canada"/>
    <s v="nsfw"/>
    <d v="1899-12-30T09:16:00"/>
    <s v="In-Stream Video"/>
    <s v="TJX"/>
    <s v="mobile"/>
    <s v="GEO,Frequency,OS,BrowserLanguage"/>
    <n v="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8442"/>
    <s v="CPA - Shorties - iOS - Canada"/>
    <s v="nsfw"/>
    <d v="1899-12-30T09:16:00"/>
    <s v="In-Stream Video"/>
    <s v="TJX"/>
    <s v="mobile"/>
    <s v="GEO,Frequency,OS,BrowserLanguage"/>
    <n v="11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8452"/>
    <s v="CPA - Shorties - iOS - UK"/>
    <s v="nsfw"/>
    <d v="1899-12-30T09:16:00"/>
    <s v="In-Stream Video"/>
    <s v="TJX"/>
    <s v="mobile"/>
    <s v="GEO,Frequency,OS,BrowserLanguage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8462"/>
    <s v="CPA - Shorties - Android - UK"/>
    <s v="nsfw"/>
    <d v="1899-12-30T09:16:00"/>
    <s v="In-Stream Video"/>
    <s v="TJX"/>
    <s v="mobile"/>
    <s v="GEO,Frequency,OS,BrowserLanguage"/>
    <n v="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9612"/>
    <s v="CPA - Casting - Video-IS - Android - USA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9622"/>
    <s v="CPA - Casting - Video-IS - Android - Aus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9632"/>
    <s v="CPA - Casting - Video-IS - iOS - Aus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9642"/>
    <s v="CPA - Casting - Video-IS - Android - UK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9652"/>
    <s v="CPA - Casting - Video-IS - iOS - UK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9662"/>
    <s v="CPA - Casting - Video-IS - Android - Canada"/>
    <s v="nsfw"/>
    <d v="1899-12-30T16:09:00"/>
    <s v="In-Stream Video"/>
    <s v="TJX"/>
    <s v="mobile"/>
    <s v="GEO,Frequency,Keyword,OS,BrowserLanguage"/>
    <n v="616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59672"/>
    <s v="CPA - Casting - Video-IS - iOS - Canada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812"/>
    <s v="CPA - Humiliation - Video-IS - Mobile - USA"/>
    <s v="nsfw"/>
    <d v="1899-12-30T16:09:00"/>
    <s v="In-Stream Video"/>
    <s v="TJX"/>
    <s v="mobile"/>
    <s v="GEO,Frequency,Keyword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822"/>
    <s v="CPA - Cheating - Video-IS - Mobile - USA"/>
    <s v="nsfw"/>
    <d v="1899-12-30T16:09:00"/>
    <s v="In-Stream Video"/>
    <s v="TJX"/>
    <s v="mobile"/>
    <s v="GEO,Frequency,Keyword,BrowserLanguage"/>
    <n v="22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832"/>
    <s v="CPA - StepMum - Video-IS - Mobile - USA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842"/>
    <s v="CPA - StepDaughter - Video-IS - Mobile - USA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852"/>
    <s v="CPA - StepSis - Video-IS - Mobile - USA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862"/>
    <s v="CPA - SoloGirl - Video-IS - Mobile - USA"/>
    <s v="nsfw"/>
    <d v="1899-12-30T16:09:00"/>
    <s v="In-Stream Video"/>
    <s v="TJX"/>
    <s v="mobile"/>
    <s v="GEO,Frequency,Keyword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872"/>
    <s v="CPA - SexDoll - Video-IS - Mobile - USA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882"/>
    <s v="CPA - FreeUse - Video-IS - Mobile - USA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892"/>
    <s v="CPA - DatingSim - Video-IS - Mobile - USA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902"/>
    <s v="CPA - FuckingMachine - Video-IS - Mobile - USA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912"/>
    <s v="CPA - Dildo - Video-IS - Mobile - USA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922"/>
    <s v="CPA - MILF - Video-IS - Mobile - USA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932"/>
    <s v="CPA - Voyeur - Video-IS - Mobile - USA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942"/>
    <s v="CPA - OrgasmControl - Video-IS - Mobile - USA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952"/>
    <s v="CPA - Mature - Video-IS - Mobile - USA"/>
    <s v="nsfw"/>
    <d v="1899-12-30T16:09:00"/>
    <s v="In-Stream Video"/>
    <s v="TJX"/>
    <s v="mobile"/>
    <s v="GEO,Frequency,Keyword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962"/>
    <s v="CPA - Funny - Video-IS - Mobile - USA"/>
    <s v="nsfw"/>
    <d v="1899-12-30T16:09:00"/>
    <s v="In-Stream Video"/>
    <s v="TJX"/>
    <s v="mobile"/>
    <s v="GEO,Frequency,Keyword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972"/>
    <s v="CPA - FemDom - Video-IS - Mobile - USA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982"/>
    <s v="CPA - Exhibitionism - Video-IS - Mobile - USA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0992"/>
    <s v="CPA - Camgirl - Video-IS - Mobile - USA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1002"/>
    <s v="CPA - AdultGames - Video-IS - Mobile - USA"/>
    <s v="nsfw"/>
    <d v="1899-12-30T16:09:00"/>
    <s v="In-Stream Video"/>
    <s v="TJX"/>
    <s v="mobile"/>
    <s v="GEO,Frequency,BrowserLanguage,Segment"/>
    <n v="616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1012"/>
    <s v="CPA - GameStreaming - Video-IS - Mobile - USA"/>
    <s v="nsfw"/>
    <d v="1899-12-30T16:09:00"/>
    <s v="In-Stream Video"/>
    <s v="TJX"/>
    <s v="mobile"/>
    <s v="GEO,Frequency,BrowserLanguage,Segment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1022"/>
    <s v="CPA - VOD Hentai - Video-IS - Mobile - USA"/>
    <s v="nsfw"/>
    <d v="1899-12-30T16:09:00"/>
    <s v="In-Stream Video"/>
    <s v="TJX"/>
    <s v="mobile"/>
    <s v="GEO,Frequency,BrowserLanguage,Segment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1032"/>
    <s v="CPA - Clone - Video-IS - Mobile - USA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1382"/>
    <s v="CPA - Blonde - Video-IS - Mobile - USA - BROKEN"/>
    <s v="nsfw"/>
    <d v="1899-12-30T16:09:00"/>
    <s v="In-Stream Video"/>
    <s v="TJX"/>
    <s v="mobile"/>
    <s v="GEO,Frequency,Keyword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61402"/>
    <s v="CPA - Goth - Video-IS - Mobile - USA"/>
    <s v="nsfw"/>
    <d v="1899-12-30T16:09:00"/>
    <s v="In-Stream Video"/>
    <s v="TJX"/>
    <s v="mobile"/>
    <s v="GEO,Frequency,Keyword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83592"/>
    <s v="CPA - Hentai - NativeVideo - Mobile - USA"/>
    <s v="nsfw"/>
    <s v="640 x 360"/>
    <s v="Display"/>
    <s v="TJX"/>
    <s v="mobile"/>
    <s v="GEO,Frequency,Keyword,BrowserLanguage"/>
    <n v="44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1884752"/>
    <s v="CPA - Gay - Mobile - USA - BROKEN"/>
    <s v="nsfw"/>
    <d v="1899-12-30T16:09:00"/>
    <s v="In-Stream Video"/>
    <s v="TJX"/>
    <s v="mobile"/>
    <s v="GEO,Frequency,BrowserLanguage"/>
    <n v="99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374472"/>
    <s v="CPA - Brunette - Video-IS - Mobile - USA"/>
    <s v="nsfw"/>
    <d v="1899-12-30T16:09:00"/>
    <s v="In-Stream Video"/>
    <s v="TJX"/>
    <s v="mobile"/>
    <s v="GEO,Frequency,Keyword,BrowserLanguage"/>
    <n v="33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374482"/>
    <s v="CPA - Ebony - Video-IS - Mobile - USA"/>
    <s v="nsfw"/>
    <d v="1899-12-30T16:09:00"/>
    <s v="In-Stream Video"/>
    <s v="TJX"/>
    <s v="mobile"/>
    <s v="GEO,Frequency,Keyword,BrowserLanguage"/>
    <n v="33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374492"/>
    <s v="CPA - Indian - Video-IS - Mobile - USA"/>
    <s v="nsfw"/>
    <d v="1899-12-30T16:09:00"/>
    <s v="In-Stream Video"/>
    <s v="TJX"/>
    <s v="mobile"/>
    <s v="GEO,Frequency,Keyword,BrowserLanguage"/>
    <n v="33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374502"/>
    <s v="CPA - Red Head - Video-IS - Mobile - USA"/>
    <s v="nsfw"/>
    <d v="1899-12-30T16:09:00"/>
    <s v="In-Stream Video"/>
    <s v="TJX"/>
    <s v="mobile"/>
    <s v="GEO,Frequency,Keyword,BrowserLanguage"/>
    <n v="33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374512"/>
    <s v="CPAa - Blowjob - Video-IS - Mobile - USA"/>
    <s v="nsfw"/>
    <d v="1899-12-30T16:09:00"/>
    <s v="In-Stream Video"/>
    <s v="TJX"/>
    <s v="mobile"/>
    <s v="GEO,Frequency,Keyword,BrowserLanguage"/>
    <n v="33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374522"/>
    <s v="CPA - Blowjob - Video-IS - Mobile - USA"/>
    <s v="nsfw"/>
    <d v="1899-12-30T16:09:00"/>
    <s v="In-Stream Video"/>
    <s v="TJX"/>
    <s v="mobile"/>
    <s v="GEO,Frequency,Keyword,OS,Browser,BrowserLanguage"/>
    <n v="33"/>
    <n v="0"/>
    <s v="Yes"/>
    <s v="Unlimited"/>
    <n v="1"/>
    <n v="0"/>
    <n v="0"/>
    <n v="0"/>
    <n v="0"/>
    <n v="1.893"/>
    <n v="0"/>
    <n v="0"/>
    <n v="1"/>
    <n v="0"/>
    <s v="Yes"/>
    <n v="1"/>
    <n v="1"/>
    <n v="0"/>
    <s v="Bin"/>
    <s v="CP"/>
    <x v="1"/>
    <x v="0"/>
  </r>
  <r>
    <s v="PAUSED"/>
    <n v="1012702572"/>
    <s v="CPA - StepDaughter - Video-IS - Android - USA - BROKEN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582"/>
    <s v="CPA - StepDaughter - Video-IS - Desktop - USA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602"/>
    <s v="CPAa - StepDaughter - Video-IS - iOS - USA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612"/>
    <s v="CPA - StepDaughter - Video-IS - Android - Aus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622"/>
    <s v="CPA - StepDaughter - Video-IS - Desktop - Aus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632"/>
    <s v="CPAa - StepDaughter - Video-IS - iOS - Aus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652"/>
    <s v="CPA - StepDaughter - Video-IS - Android - Canada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662"/>
    <s v="CPA - StepDaughter - Video-IS - Desktop - Canada"/>
    <s v="nsfw"/>
    <d v="1899-12-30T16:09:00"/>
    <s v="In-Stream Video"/>
    <s v="TJX"/>
    <s v="desktop"/>
    <s v="GEO,Frequency,Keyword,BrowserLanguage"/>
    <n v="404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672"/>
    <s v="CPA - StepDaughter - Video-IS - iOS - Canada - BROKEN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682"/>
    <s v="CPA - StepDaughter - Video-IS - Android - UK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702"/>
    <s v="CPAa - StepDaughter - Video-IS - iOS - UK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712"/>
    <s v="CPA - StepDaughter - Video-IS - Desktop - UK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722"/>
    <s v="CPA - SexDoll - Video-IS - iOS - USA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732"/>
    <s v="CPA - SexDoll - Video-IS - excl. iOS - USA"/>
    <s v="nsfw"/>
    <d v="1899-12-30T16:09:00"/>
    <s v="In-Stream Video"/>
    <s v="TJX"/>
    <s v="mobile"/>
    <s v="GEO,Frequency,Keyword,OS,BrowserLanguage"/>
    <n v="1010"/>
    <n v="0"/>
    <s v="Yes"/>
    <s v="Unlimited"/>
    <n v="0"/>
    <n v="0"/>
    <n v="0"/>
    <m/>
    <n v="0"/>
    <n v="0"/>
    <n v="0"/>
    <n v="0"/>
    <n v="1"/>
    <n v="0"/>
    <s v="Yes"/>
    <m/>
    <m/>
    <m/>
    <s v="Archive"/>
    <s v="CP"/>
    <x v="5"/>
    <x v="0"/>
  </r>
  <r>
    <s v="PAUSED"/>
    <n v="1012702742"/>
    <s v="CPA - SexDoll - Video-IS - Desktop - USA"/>
    <s v="nsfw"/>
    <d v="1899-12-30T16:09:00"/>
    <s v="In-Stream Video"/>
    <s v="TJX"/>
    <s v="desktop"/>
    <s v="GEO,Frequency,Keyword,BrowserLanguage"/>
    <n v="35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752"/>
    <s v="CPA - SexDoll - Video-IS - iOS - Aus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762"/>
    <s v="CPA - SexDoll - Video-IS - Android - Aus - BROKEN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772"/>
    <s v="CPA - SexDoll - Video-IS - Desktop - Aus"/>
    <s v="nsfw"/>
    <d v="1899-12-30T16:09:00"/>
    <s v="In-Stream Video"/>
    <s v="TJX"/>
    <s v="desktop"/>
    <s v="GEO,Frequency,Keyword,BrowserLanguage"/>
    <n v="35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792"/>
    <s v="CPA - SexDoll - Video-IS - iOS - UK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802"/>
    <s v="CPA - SexDoll - Video-IS - Desktop - UK"/>
    <s v="nsfw"/>
    <d v="1899-12-30T16:09:00"/>
    <s v="In-Stream Video"/>
    <s v="TJX"/>
    <s v="desktop"/>
    <s v="GEO,Frequency,Keyword,BrowserLanguage"/>
    <n v="35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812"/>
    <s v="CPA - SexDoll - Video-IS - Android - UK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822"/>
    <s v="CPA - SexDoll - Video-IS - Android - Canada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832"/>
    <s v="CPA - SexDoll - Video-IS - Desktop - Canada"/>
    <s v="nsfw"/>
    <d v="1899-12-30T16:09:00"/>
    <s v="In-Stream Video"/>
    <s v="TJX"/>
    <s v="desktop"/>
    <s v="GEO,Frequency,Keyword,BrowserLanguage"/>
    <n v="356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842"/>
    <s v="CPA - SexDoll - Video-IS - iOS - Canada - BROKEN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2872"/>
    <s v="CPA - Gay - iOS - Video-IS - USA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162"/>
    <s v="CPA - Gay - Android - Video-IS - USA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182"/>
    <s v="CPA - Gay - Desktop - Video-IS USA"/>
    <s v="nsfw"/>
    <d v="1899-12-30T16:09:00"/>
    <s v="In-Stream Video"/>
    <s v="TJX"/>
    <s v="desktop"/>
    <s v="GEO,Frequency,BrowserLanguage"/>
    <n v="1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202"/>
    <s v="CPA - Gay - iOS - Video-IS - Aus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212"/>
    <s v="CPA - Gay - Android - Video-IS - Aus"/>
    <s v="nsfw"/>
    <d v="1899-12-30T16:09:00"/>
    <s v="In-Stream Video"/>
    <s v="TJX"/>
    <s v="mobile"/>
    <s v="GEO,Frequency,OS,BrowserLanguage"/>
    <n v="4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222"/>
    <s v="CPA - Gay - Desktop - Video-IS - Aus"/>
    <s v="nsfw"/>
    <d v="1899-12-30T16:09:00"/>
    <s v="In-Stream Video"/>
    <s v="TJX"/>
    <s v="desktop"/>
    <s v="GEO,Frequency,BrowserLanguage"/>
    <n v="1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242"/>
    <s v="CPA - Gay - Desktop - Video-IS - UK"/>
    <s v="nsfw"/>
    <d v="1899-12-30T16:09:00"/>
    <s v="In-Stream Video"/>
    <s v="TJX"/>
    <s v="desktop"/>
    <s v="GEO,Frequency,BrowserLanguage"/>
    <n v="1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252"/>
    <s v="CPA - Gay - Android - Video-IS - UK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262"/>
    <s v="CPA - Gay - iOS - Video-IS - UK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292"/>
    <s v="CPA - Gay - iOS - Video-IS - Canada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302"/>
    <s v="CPA - Gay - Android - Video-IS - Canada"/>
    <s v="nsfw"/>
    <d v="1899-12-30T16:09:00"/>
    <s v="In-Stream Video"/>
    <s v="TJX"/>
    <s v="mobile"/>
    <s v="GEO,Frequency,OS,BrowserLanguage"/>
    <n v="4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312"/>
    <s v="CPA - Gay - Desktop - Video-IS - Canada"/>
    <s v="nsfw"/>
    <d v="1899-12-30T16:09:00"/>
    <s v="In-Stream Video"/>
    <s v="TJX"/>
    <s v="desktop"/>
    <s v="GEO,Frequency,BrowserLanguage"/>
    <n v="16"/>
    <n v="0"/>
    <s v="Yes"/>
    <s v="Unlimited"/>
    <n v="0"/>
    <n v="0"/>
    <n v="0"/>
    <m/>
    <n v="0"/>
    <n v="0"/>
    <n v="0"/>
    <n v="0"/>
    <n v="1"/>
    <n v="0"/>
    <s v="Yes"/>
    <m/>
    <m/>
    <m/>
    <s v="Archive"/>
    <s v="CP"/>
    <x v="5"/>
    <x v="0"/>
  </r>
  <r>
    <s v="PAUSED"/>
    <n v="1012703332"/>
    <s v="CPA - Blonde - Video-IS - Android - Canada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342"/>
    <s v="CPA - Blonde - Video-IS - iOS - Canada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352"/>
    <s v="CPA - Blonde - Video-IS - Desktop - Canada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362"/>
    <s v="CPA - Blonde - Video-IS - Android - UK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372"/>
    <s v="CPA - Blonde - Video-IS - Desktop - UK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382"/>
    <s v="CPA - Blonde - Video-IS - iOS - UK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392"/>
    <s v="CPAa - Blonde - Video-IS - iOS - Aus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402"/>
    <s v="CPA - Blonde - Video-IS - Desktop - Aus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412"/>
    <s v="CPA - Blonde - Video-IS - Android - Aus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422"/>
    <s v="CPAa - Blonde - Video-IS - Android - USA - BROKEN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432"/>
    <s v="CPA - Blonde - Video-IS - Desktop - USA"/>
    <s v="nsfw"/>
    <d v="1899-12-30T16:09:00"/>
    <s v="In-Stream Video"/>
    <s v="TJX"/>
    <s v="desktop"/>
    <s v="GEO,Frequency,Keyword,BrowserLanguage"/>
    <n v="404"/>
    <n v="0"/>
    <s v="Yes"/>
    <s v="Unlimited"/>
    <n v="0"/>
    <n v="0"/>
    <n v="0"/>
    <n v="0"/>
    <n v="0"/>
    <n v="0"/>
    <n v="0"/>
    <n v="0"/>
    <n v="1"/>
    <n v="0"/>
    <s v="Yes"/>
    <n v="0"/>
    <n v="0"/>
    <n v="0"/>
    <s v="Tests"/>
    <s v="CP"/>
    <x v="9"/>
    <x v="0"/>
  </r>
  <r>
    <s v="PAUSED"/>
    <n v="1012703442"/>
    <s v="CPAa - Blonde - Video-IS - iOS - USA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452"/>
    <s v="CPA - Blowjob - Video-IS - iOS - USA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462"/>
    <s v="CPA - Blowjob - Video-IS - Desktop - USA"/>
    <s v="nsfw"/>
    <d v="1899-12-30T16:09:00"/>
    <s v="In-Stream Video"/>
    <s v="TJX"/>
    <s v="desktop"/>
    <s v="GEO,Frequency,Keyword,BrowserLanguage"/>
    <n v="212"/>
    <n v="0"/>
    <s v="Yes"/>
    <s v="Unlimited"/>
    <n v="1"/>
    <n v="0"/>
    <n v="0"/>
    <n v="0"/>
    <n v="0"/>
    <n v="1.238"/>
    <n v="0"/>
    <n v="0"/>
    <n v="1"/>
    <n v="0"/>
    <s v="Yes"/>
    <n v="1"/>
    <n v="1"/>
    <n v="1"/>
    <s v="Archive"/>
    <s v="CP"/>
    <x v="5"/>
    <x v="0"/>
  </r>
  <r>
    <s v="PAUSED"/>
    <n v="1012703472"/>
    <s v="CPAa - Blowjob - Video-IS - Android - USA - BROKEN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482"/>
    <s v="CPA - Blowjob - Video-IS - iOS - Aus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492"/>
    <s v="CPA - Blowjob - Video-IS - Desktop - Aus - BROKEN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502"/>
    <s v="CPA - Blowjob - Video-IS - Android - Aus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512"/>
    <s v="CPA - Blowjob - Video-IS - iOS - UK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522"/>
    <s v="CPA - Blowjob - Video-IS - Desktop - UK"/>
    <s v="nsfw"/>
    <d v="1899-12-30T16:09:00"/>
    <s v="In-Stream Video"/>
    <s v="TJX"/>
    <s v="desktop"/>
    <s v="GEO,Frequency,Keyword,BrowserLanguage"/>
    <n v="404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532"/>
    <s v="CPA - Blowjob - Video-IS - Android - UK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542"/>
    <s v="CPA - Blowjob - Video-IS - Android - Canada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552"/>
    <s v="CPA - Blowjob - Video-IS - Desktop - Canada - BROKEN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562"/>
    <s v="CPA - Blowjob - Video-IS - iOS - Canada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572"/>
    <s v="CPA - MILF - Video-IS - iOS - Canada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582"/>
    <s v="CPA - MILF - Video-IS - Desktop - Canada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592"/>
    <s v="CPA - MILF - Video-IS - Android - Canada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602"/>
    <s v="CPA - MILF - Video-IS - iOS - UK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612"/>
    <s v="CPA - MILF - Video-IS - Desktop - UK"/>
    <s v="nsfw"/>
    <d v="1899-12-30T16:09:00"/>
    <s v="In-Stream Video"/>
    <s v="TJX"/>
    <s v="desktop"/>
    <s v="GEO,Frequency,Keyword,BrowserLanguage"/>
    <n v="212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622"/>
    <s v="CPA - MILF - Video-IS - Android - UK - BROKEN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632"/>
    <s v="CPA - MILF - Video-IS - Android - Aus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642"/>
    <s v="CPA - MILF - Video-IS - Desktop - Aus"/>
    <s v="nsfw"/>
    <d v="1899-12-30T16:09:00"/>
    <s v="In-Stream Video"/>
    <s v="TJX"/>
    <s v="desktop"/>
    <s v="GEO,Frequency,Keyword,BrowserLanguage"/>
    <n v="404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652"/>
    <s v="CPA - MILF - Video-IS - iOS - Aus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662"/>
    <s v="CPA - MILF - Video-IS - iOS - USA"/>
    <s v="nsfw"/>
    <d v="1899-12-30T16:09:00"/>
    <s v="In-Stream Video"/>
    <s v="TJX"/>
    <s v="mobile"/>
    <s v="GEO,Frequency,Keyword,OS,BrowserLanguage"/>
    <n v="101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3672"/>
    <s v="CPA - MILF - Video-IS - Desktop - USA - BROKEN"/>
    <s v="nsfw"/>
    <d v="1899-12-30T16:09:00"/>
    <s v="In-Stream Video"/>
    <s v="TJX"/>
    <s v="desktop"/>
    <s v="GEO,Frequency,Keyword,BrowserLanguage"/>
    <n v="112"/>
    <n v="0"/>
    <s v="Yes"/>
    <s v="Unlimited"/>
    <n v="1"/>
    <n v="0"/>
    <n v="0"/>
    <n v="0"/>
    <n v="0"/>
    <n v="3.1059999999999999"/>
    <n v="0"/>
    <n v="0"/>
    <n v="1"/>
    <n v="0"/>
    <s v="Yes"/>
    <n v="1"/>
    <n v="1"/>
    <n v="0"/>
    <s v="Bin"/>
    <s v="CP"/>
    <x v="1"/>
    <x v="0"/>
  </r>
  <r>
    <s v="PAUSED"/>
    <n v="1012703682"/>
    <s v="CPAa - MILF - Video-IS - Android - USA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7882"/>
    <s v="CPA - Blowjob - Video-IS - Mobile - USA"/>
    <s v="nsfw"/>
    <d v="1899-12-30T16:09:00"/>
    <s v="In-Stream Video"/>
    <s v="TJX"/>
    <s v="mobile"/>
    <s v="GEO,Frequency,Keyword,BrowserLanguage"/>
    <n v="298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7892"/>
    <s v="CPA - Missionary - Video-IS - Mobile - USA - BROKEN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7912"/>
    <s v="CPA - Cowgirl - Video-IS - Mobile - USA - BROKEN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7922"/>
    <s v="CPA - Cumshot - Video-IS - Mobile - USA"/>
    <s v="nsfw"/>
    <d v="1899-12-30T16:09:00"/>
    <s v="In-Stream Video"/>
    <s v="TJX"/>
    <s v="mobile"/>
    <s v="GEO,Frequency,Keyword,BrowserLanguage"/>
    <n v="598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07932"/>
    <s v="CPA - Titjob - Video-IS - Mobile - USA"/>
    <s v="nsfw"/>
    <d v="1899-12-30T16:09:00"/>
    <s v="In-Stream Video"/>
    <s v="TJX"/>
    <s v="mobile"/>
    <s v="GEO,Frequency,Keyword,BrowserLanguage"/>
    <n v="598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692"/>
    <s v="CPAa - Cowgirl - Video-IS - iOS - USA"/>
    <s v="nsfw"/>
    <d v="1899-12-30T16:09:00"/>
    <s v="In-Stream Video"/>
    <s v="TJX"/>
    <s v="mobile"/>
    <s v="GEO,Frequency,Keyword,OS,Browser,BrowserLanguage"/>
    <n v="105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702"/>
    <s v="CPA - Cowgirl - Video-IS - Android - USA - BROKEN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722"/>
    <s v="CPA - Cowgirl - Video-IS - Desktop - USA - BROKEN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n v="0"/>
    <n v="0"/>
    <n v="0"/>
    <n v="0"/>
    <n v="0"/>
    <n v="1"/>
    <n v="0"/>
    <s v="Yes"/>
    <n v="0"/>
    <n v="0"/>
    <n v="0"/>
    <s v="Bin"/>
    <s v="CP"/>
    <x v="1"/>
    <x v="0"/>
  </r>
  <r>
    <s v="PAUSED"/>
    <n v="1012710732"/>
    <s v="CPA - Cowgirl - Video-IS - iOS - Aus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742"/>
    <s v="CPA - Cowgirl - Video-IS - Android - Aus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752"/>
    <s v="CPA - Cowgirl - Video-IS - Desktop - Aus - BROKEN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762"/>
    <s v="CPA - Cowgirl - Video-IS - iOS - UK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772"/>
    <s v="CPA - Cowgirl - Video-IS - Android - UK"/>
    <s v="nsfw"/>
    <d v="1899-12-30T16:09:00"/>
    <s v="In-Stream Video"/>
    <s v="TJX"/>
    <s v="mobile"/>
    <s v="GEO,Frequency,Keyword,OS,BrowserLanguage"/>
    <n v="57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782"/>
    <s v="CPA - Cowgirl - Video-IS - Desktop - UK"/>
    <s v="nsfw"/>
    <d v="1899-12-30T16:09:00"/>
    <s v="In-Stream Video"/>
    <s v="TJX"/>
    <s v="desktop"/>
    <s v="GEO,Frequency,Keyword,BrowserLanguage"/>
    <n v="22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792"/>
    <s v="CPA - Cowgirl - Video-IS - iOS - Canada"/>
    <s v="nsfw"/>
    <d v="1899-12-30T16:09:00"/>
    <s v="In-Stream Video"/>
    <s v="TJX"/>
    <s v="mobile"/>
    <s v="GEO,Frequency,Keyword,OS,BrowserLanguage"/>
    <n v="57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802"/>
    <s v="CPA - Cowgirl - Video-IS - excl. iOS - Canada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Archive"/>
    <s v="CP"/>
    <x v="5"/>
    <x v="0"/>
  </r>
  <r>
    <s v="PAUSED"/>
    <n v="1012710812"/>
    <s v="CPA - Cowgirl - Video-IS - Desktop - Canada"/>
    <s v="nsfw"/>
    <d v="1899-12-30T16:09:00"/>
    <s v="In-Stream Video"/>
    <s v="TJX"/>
    <s v="desktop"/>
    <s v="GEO,Frequency,Keyword,BrowserLanguage"/>
    <n v="372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822"/>
    <s v="CPAa - Missionary - Video-IS - iOS - USA - BROKEN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832"/>
    <s v="CPAa - Missionary - Video-IS - Android - USA - BROKEN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710842"/>
    <s v="CPA - Missionary - Video-IS - Desktop - USA"/>
    <s v="nsfw"/>
    <d v="1899-12-30T16:09:00"/>
    <s v="In-Stream Video"/>
    <s v="TJX"/>
    <s v="desktop"/>
    <s v="GEO,Frequency,Keyword,BrowserLanguage"/>
    <n v="36"/>
    <n v="0"/>
    <s v="Yes"/>
    <s v="Unlimited"/>
    <n v="260055"/>
    <n v="10177"/>
    <n v="3.9134000000000002"/>
    <n v="6"/>
    <n v="315.27"/>
    <n v="1.212"/>
    <n v="3.1E-2"/>
    <n v="52.545000000000002"/>
    <n v="1"/>
    <n v="0"/>
    <s v="Yes"/>
    <n v="260055"/>
    <n v="188645"/>
    <n v="35076"/>
    <s v="Missionary"/>
    <s v="CP"/>
    <x v="3"/>
    <x v="0"/>
  </r>
  <r>
    <s v="PAUSED"/>
    <n v="1012710862"/>
    <s v="CPA - Missionary - Video-IS - iOS - Aus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872"/>
    <s v="CPA - Missionary - Video-IS - Android - Aus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882"/>
    <s v="CPA - Missionary - Video-IS - Desktop - Aus"/>
    <s v="nsfw"/>
    <d v="1899-12-30T16:09:00"/>
    <s v="In-Stream Video"/>
    <s v="TJX"/>
    <s v="desktop"/>
    <s v="GEO,Frequency,Keyword,BrowserLanguage"/>
    <n v="22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3"/>
    <x v="0"/>
  </r>
  <r>
    <s v="PAUSED"/>
    <n v="1012710892"/>
    <s v="CPA - Missionary - Video-IS - iOS - UK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902"/>
    <s v="CPA - Missionary - Video-IS - Android - UK"/>
    <s v="nsfw"/>
    <d v="1899-12-30T16:09:00"/>
    <s v="In-Stream Video"/>
    <s v="TJX"/>
    <s v="mobile"/>
    <s v="GEO,Frequency,Keyword,OS,BrowserLanguage"/>
    <n v="57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912"/>
    <s v="CPA - Missionary - Video-IS - Desktop - UK"/>
    <s v="nsfw"/>
    <d v="1899-12-30T16:09:00"/>
    <s v="In-Stream Video"/>
    <s v="TJX"/>
    <s v="desktop"/>
    <s v="GEO,Frequency,Keyword,BrowserLanguage"/>
    <n v="22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3"/>
    <x v="0"/>
  </r>
  <r>
    <s v="PAUSED"/>
    <n v="1012710922"/>
    <s v="CPA - Missionary - Video-IS - iOS - Canada"/>
    <s v="nsfw"/>
    <d v="1899-12-30T16:09:00"/>
    <s v="In-Stream Video"/>
    <s v="TJX"/>
    <s v="mobile"/>
    <s v="GEO,Frequency,Keyword,OS,BrowserLanguage"/>
    <n v="57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932"/>
    <s v="CPA - Missionary - Video-IS - excl. iOS - Canada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Missionary"/>
    <s v="CP"/>
    <x v="10"/>
    <x v="0"/>
  </r>
  <r>
    <s v="PAUSED"/>
    <n v="1012710942"/>
    <s v="CPA - Missionary - Video-IS - Desktop - Canada - BROKEN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962"/>
    <s v="CPA - Femdom - Video-IS - Desktop - USA"/>
    <s v="nsfw"/>
    <d v="1899-12-30T16:09:00"/>
    <s v="In-Stream Video"/>
    <s v="TJX"/>
    <s v="desktop"/>
    <s v="GEO,Frequency,Keyword,BrowserLanguage"/>
    <n v="372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972"/>
    <s v="CPA - Femdom - Video-IS - iOS - USA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0982"/>
    <s v="CPA - Femdom - Video-IS - excl. iOS - USA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Ocean"/>
    <s v="CP"/>
    <x v="8"/>
    <x v="0"/>
  </r>
  <r>
    <s v="PAUSED"/>
    <n v="1012710992"/>
    <s v="CPA - Femdom - Video-IS - Desktop - Aus"/>
    <s v="nsfw"/>
    <d v="1899-12-30T16:09:00"/>
    <s v="In-Stream Video"/>
    <s v="TJX"/>
    <s v="desktop"/>
    <s v="GEO,Frequency,Keyword,BrowserLanguage"/>
    <n v="37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1002"/>
    <s v="CPA - Femdom - Video-IS - iOS - Aus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711012"/>
    <s v="CPA - Femdom - Video-IS - excl. iOS - Aus"/>
    <s v="nsfw"/>
    <d v="1899-12-30T16:09:00"/>
    <s v="In-Stream Video"/>
    <s v="TJX"/>
    <s v="mobile"/>
    <s v="GEO,Frequency,Keyword,OS,BrowserLanguage"/>
    <n v="810"/>
    <n v="0"/>
    <s v="Yes"/>
    <s v="Unlimited"/>
    <n v="19906"/>
    <n v="1190"/>
    <n v="5.9781000000000004"/>
    <n v="0"/>
    <n v="27.47"/>
    <n v="1.38"/>
    <n v="2.3E-2"/>
    <n v="0"/>
    <n v="1"/>
    <n v="0"/>
    <s v="Yes"/>
    <n v="19906"/>
    <n v="17793"/>
    <n v="1554"/>
    <s v="Ocean"/>
    <s v="CP"/>
    <x v="8"/>
    <x v="0"/>
  </r>
  <r>
    <s v="PAUSED"/>
    <n v="1012711022"/>
    <s v="CPA - Femdom - Video-IS - Android - UK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711032"/>
    <s v="CPA - Femdom - Video-IS - Desktop - UK"/>
    <s v="nsfw"/>
    <d v="1899-12-30T16:09:00"/>
    <s v="In-Stream Video"/>
    <s v="TJX"/>
    <s v="desktop"/>
    <s v="GEO,Frequency,Keyword,BrowserLanguage"/>
    <n v="372"/>
    <n v="0"/>
    <s v="Yes"/>
    <s v="Unlimited"/>
    <n v="31992"/>
    <n v="1209"/>
    <n v="3.7790699999999999"/>
    <n v="0"/>
    <n v="97.98"/>
    <n v="3.0630000000000002"/>
    <n v="8.1000000000000003E-2"/>
    <n v="0"/>
    <n v="1"/>
    <n v="0"/>
    <s v="Yes"/>
    <n v="31992"/>
    <n v="25996"/>
    <n v="3268"/>
    <s v="Ocean"/>
    <s v="CP"/>
    <x v="3"/>
    <x v="0"/>
  </r>
  <r>
    <s v="PAUSED"/>
    <n v="1012711042"/>
    <s v="CPAa - Femdom - Video-IS - iOS - UK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1052"/>
    <s v="CPA - Femdom - Video-IS - Android - Canada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1062"/>
    <s v="CPA - Femdom - Video-IS - Desktop - Canada"/>
    <s v="nsfw"/>
    <d v="1899-12-30T16:09:00"/>
    <s v="In-Stream Video"/>
    <s v="TJX"/>
    <s v="desktop"/>
    <s v="GEO,Frequency,Keyword,BrowserLanguage"/>
    <n v="37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1072"/>
    <s v="CPA - Femdom - Video-IS - iOS - Canada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1082"/>
    <s v="CPA - AI Alt - Video-IS - Mobile - USA"/>
    <s v="nsfw"/>
    <d v="1899-12-30T16:09:00"/>
    <s v="In-Stream Video"/>
    <s v="TJX"/>
    <s v="mobile"/>
    <s v="GEO,Frequency,Keyword,BrowserLanguage"/>
    <n v="558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8322"/>
    <s v="CPA - Tattoo - Video-IS - Mobile - USA"/>
    <s v="nsfw"/>
    <d v="1899-12-30T16:09:00"/>
    <s v="In-Stream Video"/>
    <s v="TJX"/>
    <s v="mobile"/>
    <s v="GEO,Frequency,Keyword,BrowserLanguage"/>
    <n v="614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8332"/>
    <s v="CPA - Handjob - Video-IS - Mobile - USA"/>
    <s v="nsfw"/>
    <d v="1899-12-30T16:09:00"/>
    <s v="In-Stream Video"/>
    <s v="TJX"/>
    <s v="mobile"/>
    <s v="GEO,Frequency,Keyword,BrowserLanguage"/>
    <n v="614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8342"/>
    <s v="CPA - Ass - Video-IS - Mobile - USA"/>
    <s v="nsfw"/>
    <d v="1899-12-30T16:09:00"/>
    <s v="In-Stream Video"/>
    <s v="TJX"/>
    <s v="mobile"/>
    <s v="GEO,Frequency,Keyword,BrowserLanguage"/>
    <n v="254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8362"/>
    <s v="CPA - Lingerie - Video-IS - Mobile - USA"/>
    <s v="nsfw"/>
    <d v="1899-12-30T16:09:00"/>
    <s v="In-Stream Video"/>
    <s v="TJX"/>
    <s v="mobile"/>
    <s v="GEO,Frequency,Keyword,BrowserLanguage"/>
    <n v="254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8372"/>
    <s v="CPA - TransV2 - Video-IS - Mobile - USA"/>
    <s v="nsfw"/>
    <d v="1899-12-30T16:09:00"/>
    <s v="In-Stream Video"/>
    <s v="TJX"/>
    <s v="mobile"/>
    <s v="GEO,Frequency,Keyword,BrowserLanguage"/>
    <n v="1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8382"/>
    <s v="CPA - POV - Video-IS - Mobile - USA"/>
    <s v="nsfw"/>
    <d v="1899-12-30T16:09:00"/>
    <s v="In-Stream Video"/>
    <s v="TJX"/>
    <s v="mobile"/>
    <s v="GEO,Frequency,Keyword,BrowserLanguage"/>
    <n v="254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8502"/>
    <s v="CPA - JOI - Video-IS - Mobile - USA - BROKEN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8512"/>
    <s v="CPA - FaceFuck - Video-IS - Mobile - USA"/>
    <s v="nsfw"/>
    <d v="1899-12-30T16:09:00"/>
    <s v="In-Stream Video"/>
    <s v="TJX"/>
    <s v="mobile"/>
    <s v="GEO,Frequency,Keyword,BrowserLanguage"/>
    <n v="254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9952"/>
    <s v="CPAa - Threesome - Video-IS - Mobile - USA - BROKEN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9972"/>
    <s v="CPA - Gangbang - Video-IS - Mobile - USA"/>
    <s v="nsfw"/>
    <d v="1899-12-30T16:09:00"/>
    <s v="In-Stream Video"/>
    <s v="TJX"/>
    <s v="mobile"/>
    <s v="GEO,Frequency,Keyword,BrowserLanguage"/>
    <n v="644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19982"/>
    <s v="CPA - Anal - Video-IS - Mobile - USA"/>
    <s v="nsfw"/>
    <d v="1899-12-30T16:09:00"/>
    <s v="In-Stream Video"/>
    <s v="TJX"/>
    <s v="mobile"/>
    <s v="GEO,Frequency,Keyword,BrowserLanguage"/>
    <n v="644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522"/>
    <s v="CPA - Gangbang - Video-IS - iOS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532"/>
    <s v="CPA - Gangbang - Video-IS - Desktop - USA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582"/>
    <s v="CPAa - Gangbang - Video-IS - iOS - USA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592"/>
    <s v="(clone) CPA - Gangbang - Video-IS - iOS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(c"/>
    <x v="1"/>
    <x v="0"/>
  </r>
  <r>
    <s v="PAUSED"/>
    <n v="1012726602"/>
    <s v="CPA - Gangbang - Video-IS - Android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612"/>
    <s v="CPA - Gangbang - Video-IS - Android - Aus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622"/>
    <s v="CPA - Gangbang - Video-IS - Desktop - Aus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642"/>
    <s v="CPA - Gangbang - Video-IS - iOS - Aus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652"/>
    <s v="CPA - Gangbang - Video-IS - iOS - Canad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662"/>
    <s v="CPA - Gangbang - Video-IS - Desktop - Canada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672"/>
    <s v="CPA - Gangbang - Video-IS - Android - Canad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682"/>
    <s v="CPA - Gangbang - Video-IS - Android - UK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692"/>
    <s v="CPAa - Gangbang - Video-IS - Desktop - UK"/>
    <s v="nsfw"/>
    <d v="1899-12-30T16:09:00"/>
    <s v="In-Stream Video"/>
    <s v="TJX"/>
    <s v="desktop"/>
    <s v="GEO,Frequency,Keyword,BrowserLanguage"/>
    <n v="112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702"/>
    <s v="CPA - Gangbang - Video-IS - iOS - UK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712"/>
    <s v="CPA - Threesome - Video-IS - iOS - UK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722"/>
    <s v="CPA - Threesome - Video-IS - Desktop - UK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3"/>
    <x v="0"/>
  </r>
  <r>
    <s v="PAUSED"/>
    <n v="1012726732"/>
    <s v="CPA - Threesome - Video-IS - Android - UK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742"/>
    <s v="CPA - Threesome - Video-IS - Android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726752"/>
    <s v="CPA - Threesome - Video-IS - Desktop - USA"/>
    <s v="nsfw"/>
    <d v="1899-12-30T16:09:00"/>
    <s v="In-Stream Video"/>
    <s v="TJX"/>
    <s v="desktop"/>
    <s v="GEO,Frequency,Keyword,BrowserLanguage"/>
    <n v="112"/>
    <n v="0"/>
    <s v="Yes"/>
    <s v="Unlimited"/>
    <n v="250312"/>
    <n v="9702"/>
    <n v="3.8759600000000001"/>
    <n v="3"/>
    <n v="353.83"/>
    <n v="1.4139999999999999"/>
    <n v="3.5999999999999997E-2"/>
    <n v="117.943"/>
    <n v="1"/>
    <n v="0"/>
    <s v="Yes"/>
    <n v="250312"/>
    <n v="193125"/>
    <n v="27960"/>
    <s v="Threesome"/>
    <s v="CP"/>
    <x v="3"/>
    <x v="0"/>
  </r>
  <r>
    <s v="PAUSED"/>
    <n v="1012726762"/>
    <s v="CPA - Threesome - Video-IS - iOS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802"/>
    <s v="CPA - Threesome - Video-IS - Android - Aus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812"/>
    <s v="CPA - Threesome - Video-IS - Desktop - Aus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3"/>
    <x v="0"/>
  </r>
  <r>
    <s v="PAUSED"/>
    <n v="1012726822"/>
    <s v="CPA - Threesome - Video-IS - iOS - Aus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842"/>
    <s v="CPA - Threesome - Video-IS - iOS - Canad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852"/>
    <s v="CPA - Threesome - Video-IS - Desktop - Canada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3"/>
    <x v="0"/>
  </r>
  <r>
    <s v="PAUSED"/>
    <n v="1012726862"/>
    <s v="CPA - Threesome - Video-IS - Android - Canad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882"/>
    <s v="CPA - Handjob - Video-IS - Android - USA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892"/>
    <s v="CPA - Handjob - Video-IS - Desktop - USA - BROKEN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902"/>
    <s v="CPA - Handjob - Video-IS - iOS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912"/>
    <s v="CPA - Handjob - Video-IS - iOS - Aus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922"/>
    <s v="CPA - Handjob - Video-IS - Desktop - Aus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932"/>
    <s v="CPAa - Handjob - Video-IS - Android - Aus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942"/>
    <s v="CPAa - Handjob - Video-IS - Android - UK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952"/>
    <s v="CPA - Handjob - Video-IS - Desktop - UK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962"/>
    <s v="CPA - Handjob - Video-IS - iOS - UK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972"/>
    <s v="CPA - Handjob - Video-IS - iOS - Canada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982"/>
    <s v="CPA - Handjob - Video-IS - Desktop - Canada"/>
    <s v="nsfw"/>
    <d v="1899-12-30T16:09:00"/>
    <s v="In-Stream Video"/>
    <s v="TJX"/>
    <s v="desktop"/>
    <s v="GEO,Frequency,Keyword,BrowserLanguage"/>
    <n v="112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6992"/>
    <s v="CPA - Handjob - Video-IS - Android - Canad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7002"/>
    <s v="CPA - TransV2 - Video-IS - Android - Canada - BROKEN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727012"/>
    <s v="CPA - TransV2 - Video-IS - Desktop - Canada"/>
    <s v="nsfw"/>
    <d v="1899-12-30T16:09:00"/>
    <s v="In-Stream Video"/>
    <s v="TJX"/>
    <s v="desktop"/>
    <s v="GEO,Frequency,Keyword,BrowserLanguage"/>
    <n v="112"/>
    <n v="0"/>
    <s v="No"/>
    <n v="150"/>
    <n v="28558"/>
    <n v="1395"/>
    <n v="4.8848000000000003"/>
    <n v="1"/>
    <n v="56.01"/>
    <n v="1.9610000000000001"/>
    <n v="0.04"/>
    <n v="56.008000000000003"/>
    <n v="1"/>
    <n v="0"/>
    <s v="Yes"/>
    <n v="28558"/>
    <n v="23330"/>
    <n v="3007"/>
    <s v="TransV2"/>
    <s v="CP"/>
    <x v="6"/>
    <x v="0"/>
  </r>
  <r>
    <s v="PAUSED"/>
    <n v="1012727022"/>
    <s v="CPA - TransV2 - Video-IS - iOS - Canad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7032"/>
    <s v="CPA - TransV2 - Video-IS - iOS - UK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727042"/>
    <s v="CPA - TransV2 - Video-IS - Desktop - UK"/>
    <s v="nsfw"/>
    <d v="1899-12-30T16:09:00"/>
    <s v="In-Stream Video"/>
    <s v="TJX"/>
    <s v="desktop"/>
    <s v="GEO,Frequency,Keyword,BrowserLanguage"/>
    <n v="160"/>
    <n v="0"/>
    <s v="Yes"/>
    <s v="Unlimited"/>
    <n v="108097"/>
    <n v="4252"/>
    <n v="3.9335"/>
    <n v="0"/>
    <n v="322.89999999999998"/>
    <n v="2.9870000000000001"/>
    <n v="7.5999999999999998E-2"/>
    <n v="0"/>
    <n v="1"/>
    <n v="0"/>
    <s v="Yes"/>
    <n v="108098"/>
    <n v="87150"/>
    <n v="10886"/>
    <s v="TransV2"/>
    <s v="CP"/>
    <x v="6"/>
    <x v="0"/>
  </r>
  <r>
    <s v="PAUSED"/>
    <n v="1012727052"/>
    <s v="CPA - TransV2 - Video-IS - Android - UK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7062"/>
    <s v="CPA - TransV2 - Video-IS - Android - Aus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7072"/>
    <s v="CPA - TransV2 - Video-IS - Desktop - Aus - BROKEN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7082"/>
    <s v="CPA - TransV2 - Video-IS - iOS - Aus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27092"/>
    <s v="CPA - TransV2 - Video-IS - iOS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6"/>
    <x v="0"/>
  </r>
  <r>
    <s v="RUNNING"/>
    <n v="1012727102"/>
    <s v="CPA - TransV2 - Video-IS - Desktop - USA"/>
    <s v="nsfw"/>
    <d v="1899-12-30T16:09:00"/>
    <s v="In-Stream Video"/>
    <s v="TJX"/>
    <s v="desktop"/>
    <s v="GEO,Frequency,Keyword,BrowserLanguage"/>
    <n v="112"/>
    <n v="0"/>
    <s v="Yes"/>
    <s v="Unlimited"/>
    <n v="197082"/>
    <n v="7582"/>
    <n v="3.8471299999999999"/>
    <n v="2"/>
    <n v="424.85"/>
    <n v="2.1560000000000001"/>
    <n v="5.6000000000000001E-2"/>
    <n v="212.423"/>
    <n v="1"/>
    <n v="0"/>
    <s v="Yes"/>
    <n v="197082"/>
    <n v="150733"/>
    <n v="21855"/>
    <s v="TransV2"/>
    <s v="CP"/>
    <x v="6"/>
    <x v="0"/>
  </r>
  <r>
    <s v="PAUSED"/>
    <n v="1012727112"/>
    <s v="CPA - TransV2 - Video-IS - Android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752"/>
    <s v="CPA - Teen - Video-IS - Mobile - USA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782"/>
    <s v="CPA - Amateur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732792"/>
    <s v="CPA - Festival - Video-IS - Mobile - USA"/>
    <s v="nsfw"/>
    <d v="1899-12-30T16:09:00"/>
    <s v="In-Stream Video"/>
    <s v="TJX"/>
    <s v="mobile"/>
    <s v="GEO,Frequency,Keyword,BrowserLanguage"/>
    <n v="280"/>
    <n v="0"/>
    <s v="Yes"/>
    <s v="Unlimited"/>
    <n v="3591"/>
    <n v="155"/>
    <n v="4.3163499999999999"/>
    <n v="0"/>
    <n v="6.15"/>
    <n v="1.7110000000000001"/>
    <n v="0.04"/>
    <n v="0"/>
    <n v="1"/>
    <n v="0"/>
    <s v="Yes"/>
    <n v="3591"/>
    <n v="3200"/>
    <n v="291"/>
    <s v="Tests"/>
    <s v="CP"/>
    <x v="3"/>
    <x v="0"/>
  </r>
  <r>
    <s v="PAUSED"/>
    <n v="1012732802"/>
    <s v="CPA - Cam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812"/>
    <s v="CPA - Curvy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822"/>
    <s v="CPA - Busty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832"/>
    <s v="CPA - Doctor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842"/>
    <s v="CPA - Nurse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852"/>
    <s v="CPA - Police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862"/>
    <s v="CPA - Solider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872"/>
    <s v="CPA - Uniform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882"/>
    <s v="CPA - Tutor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892"/>
    <s v="CPA - Teacher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902"/>
    <s v="CPA - Overwatch - Video-IS - Mobile - USA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912"/>
    <s v="CPA - LoL - Video-IS - Mobile - USA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922"/>
    <s v="CPA - Fortnight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932"/>
    <s v="CPA - rule34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942"/>
    <s v="CPA - pokemon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962"/>
    <s v="CPA - Frieren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972"/>
    <s v="CPA - One Piece - Video-IS - Mobile - USA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982"/>
    <s v="CPA - Demon Slayer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2992"/>
    <s v="CPA - Yoga - Video-IS - Mobile - USA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002"/>
    <s v="CPA - TanLines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012"/>
    <s v="CPA - Athlete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022"/>
    <s v="CPA - FreeUse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032"/>
    <s v="CPA - Stuck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042"/>
    <s v="CPA - Korean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052"/>
    <s v="CPA - Chinese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062"/>
    <s v="CPA - Pegging - Video-IS - Mobile - USA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072"/>
    <s v="CPA - BBC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082"/>
    <s v="CPA - Bikini - Video-IS - Mobile - USA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Tests"/>
    <s v="CP"/>
    <x v="9"/>
    <x v="0"/>
  </r>
  <r>
    <s v="PAUSED"/>
    <n v="1012733092"/>
    <s v="CPA - Stocking/Socks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112"/>
    <s v="CPA - Cuck - Video-IS - Mobile - USA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Tests"/>
    <s v="CP"/>
    <x v="9"/>
    <x v="0"/>
  </r>
  <r>
    <s v="PAUSED"/>
    <n v="1012733122"/>
    <s v="CPA - Female POV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132"/>
    <s v="CPA - Braista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142"/>
    <s v="CPA - Wedding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152"/>
    <s v="CPA - AI Porn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172"/>
    <s v="CPA - Orgy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182"/>
    <s v="CPA - Bathroom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192"/>
    <s v="CPA - Shower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212"/>
    <s v="CPA - Office - Video-IS - Mobile - USA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Tests"/>
    <s v="CP"/>
    <x v="9"/>
    <x v="0"/>
  </r>
  <r>
    <s v="PAUSED"/>
    <n v="1012733222"/>
    <s v="CPA - Wife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232"/>
    <s v="CPA - Mature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242"/>
    <s v="CPA - Bukkake - Video-IS - Mobile - USA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252"/>
    <s v="CPA - Big Dick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262"/>
    <s v="CPA - French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272"/>
    <s v="CPA - Fetish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282"/>
    <s v="CPA - Genshin Impact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292"/>
    <s v="CPA - Minecraft - Video-IS - Mobile - USA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302"/>
    <s v="CPA - Resident Evil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312"/>
    <s v="CPA - Valorant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322"/>
    <s v="CPA - Marvel - Video-IS - iOS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Marvel"/>
    <s v="CP"/>
    <x v="11"/>
    <x v="0"/>
  </r>
  <r>
    <s v="PAUSED"/>
    <n v="1012733332"/>
    <s v="CPA - Chun Li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342"/>
    <s v="CPA - Lara Croft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352"/>
    <s v="CPA - Creampie - Video-IS - Mobile - USA - BROKEN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522"/>
    <s v="CPA - Tifa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532"/>
    <s v="CPA - DVA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542"/>
    <s v="CPA - VideoGameChars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33562"/>
    <s v="CPA - Slime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733572"/>
    <s v="CPA - Monster Girls - Video-IS - Mobile - USA"/>
    <s v="nsfw"/>
    <d v="1899-12-30T16:09:00"/>
    <s v="In-Stream Video"/>
    <s v="TJX"/>
    <s v="mobile"/>
    <s v="GEO,Frequency,Keyword,BrowserLanguage"/>
    <n v="280"/>
    <n v="0"/>
    <s v="Yes"/>
    <s v="Unlimited"/>
    <n v="4317"/>
    <n v="241"/>
    <n v="5.5825800000000001"/>
    <n v="2"/>
    <n v="7.25"/>
    <n v="1.679"/>
    <n v="0.03"/>
    <n v="3.6230000000000002"/>
    <n v="1"/>
    <n v="0"/>
    <s v="Yes"/>
    <n v="4317"/>
    <n v="3847"/>
    <n v="295"/>
    <s v="Tests"/>
    <s v="CP"/>
    <x v="3"/>
    <x v="0"/>
  </r>
  <r>
    <s v="PAUSED"/>
    <n v="1012741762"/>
    <s v="CPA - Cuck - Video-IS - iOS - US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41772"/>
    <s v="CPA - Cuck - Video-IS - Android - US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41792"/>
    <s v="CPA - Cuck - Video-IS - Desktop- USA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232"/>
    <s v="CPA - Cuck - Video-IS - Desktop- Aus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242"/>
    <s v="CPA - Cuck - Video-IS - Android - Aus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252"/>
    <s v="CPA - Cuck - Video-IS - iOS - Aus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262"/>
    <s v="CPA - Cuck - Video-IS - iOS - Canad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272"/>
    <s v="CPA - Cuck - Video-IS - Android - Canad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282"/>
    <s v="CPA - Cuck - Video-IS - Desktop - Canada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292"/>
    <s v="CPA - Cuck - Video-IS - Desktop - UK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302"/>
    <s v="CPA - Cuck - Video-IS - Android - UK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312"/>
    <s v="CPA - Cuck - Video-IS - iOS - UK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322"/>
    <s v="CPA - Cuck - Video-IS - iOS - NZ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332"/>
    <s v="CPA - Cuck - Video-IS - Android - NZ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342"/>
    <s v="CPA - Cuck - Video-IS - Desktop - NZ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352"/>
    <s v="CPA - Marvel - Video-IS - iOS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Archive"/>
    <s v="CP"/>
    <x v="11"/>
    <x v="0"/>
  </r>
  <r>
    <s v="PAUSED"/>
    <n v="1012750362"/>
    <s v="CPA - Marvel - Video-IS - excl. iOS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Marvel"/>
    <s v="CP"/>
    <x v="11"/>
    <x v="0"/>
  </r>
  <r>
    <s v="RUNNING"/>
    <n v="1012750372"/>
    <s v="CPA - Marvel - Video-IS - Desktop - USA"/>
    <s v="nsfw"/>
    <d v="1899-12-30T16:09:00"/>
    <s v="In-Stream Video"/>
    <s v="TJX"/>
    <s v="desktop"/>
    <s v="GEO,Frequency,Keyword,BrowserLanguage"/>
    <n v="112"/>
    <n v="0"/>
    <s v="Yes"/>
    <s v="Unlimited"/>
    <n v="167371"/>
    <n v="9814"/>
    <n v="5.8636200000000001"/>
    <n v="14"/>
    <n v="493.52"/>
    <n v="2.9489999999999998"/>
    <n v="0.05"/>
    <n v="35.250999999999998"/>
    <n v="1"/>
    <n v="0"/>
    <s v="Yes"/>
    <n v="167370"/>
    <n v="132272"/>
    <n v="15217"/>
    <s v="Marvel"/>
    <s v="CP"/>
    <x v="3"/>
    <x v="0"/>
  </r>
  <r>
    <s v="PAUSED"/>
    <n v="1012750382"/>
    <s v="CPA - Marvel - Video-IS - Desktop - Aus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Marvel"/>
    <s v="CP"/>
    <x v="11"/>
    <x v="0"/>
  </r>
  <r>
    <s v="RUNNING"/>
    <n v="1012750392"/>
    <s v="CPA - Marvel - Video-IS - iOS - Aus"/>
    <s v="nsfw"/>
    <d v="1899-12-30T16:09:00"/>
    <s v="In-Stream Video"/>
    <s v="TJX"/>
    <s v="mobile"/>
    <s v="GEO,Frequency,Keyword,OS,BrowserLanguage"/>
    <n v="280"/>
    <n v="0"/>
    <s v="Yes"/>
    <s v="Unlimited"/>
    <n v="5819"/>
    <n v="270"/>
    <n v="4.6399699999999999"/>
    <n v="0"/>
    <n v="11.03"/>
    <n v="1.8959999999999999"/>
    <n v="4.1000000000000002E-2"/>
    <n v="0"/>
    <n v="1"/>
    <n v="0"/>
    <s v="Yes"/>
    <n v="5819"/>
    <n v="5293"/>
    <n v="358"/>
    <s v="Marvel"/>
    <s v="CP"/>
    <x v="3"/>
    <x v="0"/>
  </r>
  <r>
    <s v="RUNNING"/>
    <n v="1012750402"/>
    <s v="CPA - Marvel - Video-IS - excl. iOS - Aus"/>
    <s v="nsfw"/>
    <d v="1899-12-30T16:09:00"/>
    <s v="In-Stream Video"/>
    <s v="TJX"/>
    <s v="mobile"/>
    <s v="GEO,Frequency,Keyword,OS,BrowserLanguage"/>
    <n v="280"/>
    <n v="0"/>
    <s v="Yes"/>
    <s v="Unlimited"/>
    <n v="45827"/>
    <n v="3898"/>
    <n v="8.5059000000000005"/>
    <n v="1"/>
    <n v="53.46"/>
    <n v="1.167"/>
    <n v="1.4E-2"/>
    <n v="53.457999999999998"/>
    <n v="1"/>
    <n v="0"/>
    <s v="Yes"/>
    <n v="45828"/>
    <n v="41190"/>
    <n v="3270"/>
    <s v="Marvel"/>
    <s v="CP"/>
    <x v="3"/>
    <x v="0"/>
  </r>
  <r>
    <s v="PAUSED"/>
    <n v="1012750412"/>
    <s v="CPA - Marvel - Video-IS - Android - Canad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422"/>
    <s v="CPA - Marvel - Video-IS - iOS - Canad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Marvel"/>
    <s v="CP"/>
    <x v="11"/>
    <x v="0"/>
  </r>
  <r>
    <s v="RUNNING"/>
    <n v="1012750432"/>
    <s v="CPA - Marvel - Video-IS - Desktop - Canada"/>
    <s v="nsfw"/>
    <d v="1899-12-30T16:09:00"/>
    <s v="In-Stream Video"/>
    <s v="TJX"/>
    <s v="desktop"/>
    <s v="GEO,Frequency,Keyword,BrowserLanguage"/>
    <n v="112"/>
    <n v="0"/>
    <s v="Yes"/>
    <s v="Unlimited"/>
    <n v="59933"/>
    <n v="3098"/>
    <n v="5.1691099999999999"/>
    <n v="1"/>
    <n v="175.13"/>
    <n v="2.9220000000000002"/>
    <n v="5.7000000000000002E-2"/>
    <n v="175.13200000000001"/>
    <n v="1"/>
    <n v="0"/>
    <s v="Yes"/>
    <n v="59929"/>
    <n v="45568"/>
    <n v="5930"/>
    <s v="Marvel"/>
    <s v="CP"/>
    <x v="3"/>
    <x v="0"/>
  </r>
  <r>
    <s v="RUNNING"/>
    <n v="1012750442"/>
    <s v="CPA - Marvel - Video-IS - Desktop - UK"/>
    <s v="nsfw"/>
    <d v="1899-12-30T16:09:00"/>
    <s v="In-Stream Video"/>
    <s v="TJX"/>
    <s v="desktop"/>
    <s v="GEO,Frequency,Keyword,BrowserLanguage"/>
    <n v="112"/>
    <n v="0"/>
    <s v="Yes"/>
    <s v="Unlimited"/>
    <n v="6185"/>
    <n v="214"/>
    <n v="3.4599799999999998"/>
    <n v="0"/>
    <n v="17.91"/>
    <n v="2.8969999999999998"/>
    <n v="8.4000000000000005E-2"/>
    <n v="0"/>
    <n v="1"/>
    <n v="0"/>
    <s v="Yes"/>
    <n v="6185"/>
    <n v="4576"/>
    <n v="700"/>
    <s v="Marvel"/>
    <s v="CP"/>
    <x v="3"/>
    <x v="0"/>
  </r>
  <r>
    <s v="RUNNING"/>
    <n v="1012750452"/>
    <s v="CPA - Marvel - Video-IS - iOS - UK"/>
    <s v="nsfw"/>
    <d v="1899-12-30T16:09:00"/>
    <s v="In-Stream Video"/>
    <s v="TJX"/>
    <s v="mobile"/>
    <s v="GEO,Frequency,Keyword,OS,BrowserLanguage"/>
    <n v="280"/>
    <n v="0"/>
    <s v="Yes"/>
    <s v="Unlimited"/>
    <n v="846"/>
    <n v="41"/>
    <n v="4.84633"/>
    <n v="0"/>
    <n v="1.62"/>
    <n v="1.9119999999999999"/>
    <n v="3.9E-2"/>
    <n v="0"/>
    <n v="1"/>
    <n v="0"/>
    <s v="Yes"/>
    <n v="846"/>
    <n v="794"/>
    <n v="34"/>
    <s v="Marvel"/>
    <s v="CP"/>
    <x v="3"/>
    <x v="0"/>
  </r>
  <r>
    <s v="PAUSED"/>
    <n v="1012750462"/>
    <s v="CPA - Marvel - Video-IS - Android - UK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472"/>
    <s v="CPA - Marvel - Video-IS - Android - NZ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482"/>
    <s v="CPA - Marvel - Video-IS - iOS - NZ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Marvel"/>
    <s v="CP"/>
    <x v="11"/>
    <x v="0"/>
  </r>
  <r>
    <s v="PAUSED"/>
    <n v="1012750492"/>
    <s v="CPA - Marvel - Video-IS - Desktop - NZ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Marvel"/>
    <s v="CP"/>
    <x v="11"/>
    <x v="0"/>
  </r>
  <r>
    <s v="PAUSED"/>
    <n v="1012750502"/>
    <s v="CPA - Bukkake - Video-IS - Desktop - NZ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512"/>
    <s v="CPA - Bukkake - Video-IS - iOS - NZ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750522"/>
    <s v="CPA - Bukkake - Video-IS - excl. iOS - NZ"/>
    <s v="nsfw"/>
    <d v="1899-12-30T16:09:00"/>
    <s v="In-Stream Video"/>
    <s v="TJX"/>
    <s v="mobile"/>
    <s v="GEO,Frequency,Keyword,OS,BrowserLanguage"/>
    <n v="280"/>
    <n v="0"/>
    <s v="Yes"/>
    <s v="Unlimited"/>
    <n v="17622"/>
    <n v="840"/>
    <n v="4.7667700000000002"/>
    <n v="0"/>
    <n v="32.200000000000003"/>
    <n v="1.8280000000000001"/>
    <n v="3.7999999999999999E-2"/>
    <n v="0"/>
    <n v="1"/>
    <n v="0"/>
    <s v="Yes"/>
    <n v="17622"/>
    <n v="15925"/>
    <n v="1218"/>
    <s v="Ocean"/>
    <s v="CP"/>
    <x v="3"/>
    <x v="0"/>
  </r>
  <r>
    <s v="PAUSED"/>
    <n v="1012750532"/>
    <s v="CPA - Bukkake - Video-IS - excl. iOS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Ocean"/>
    <s v="CP"/>
    <x v="8"/>
    <x v="0"/>
  </r>
  <r>
    <s v="PAUSED"/>
    <n v="1012750542"/>
    <s v="CPA - Bukkake - Video-IS - iOS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Ocean"/>
    <s v="CP"/>
    <x v="8"/>
    <x v="0"/>
  </r>
  <r>
    <s v="PAUSED"/>
    <n v="1012750552"/>
    <s v="CPA - Bukkake - Video-IS - Desktop - USA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562"/>
    <s v="CPA - Bukkake - Video-IS - Desktop - Aus"/>
    <s v="nsfw"/>
    <d v="1899-12-30T16:09:00"/>
    <s v="In-Stream Video"/>
    <s v="TJX"/>
    <s v="desktop"/>
    <s v="GEO,Frequency,Keyword,BrowserLanguage"/>
    <n v="112"/>
    <n v="0"/>
    <s v="Yes"/>
    <s v="Unlimited"/>
    <n v="1"/>
    <n v="0"/>
    <n v="0"/>
    <n v="0"/>
    <n v="0"/>
    <n v="2.133"/>
    <n v="0"/>
    <n v="0"/>
    <n v="1"/>
    <n v="0"/>
    <s v="Yes"/>
    <n v="1"/>
    <n v="0"/>
    <n v="0"/>
    <s v="Ocean"/>
    <s v="CP"/>
    <x v="8"/>
    <x v="0"/>
  </r>
  <r>
    <s v="RUNNING"/>
    <n v="1012750572"/>
    <s v="CPA - Bukkake - Video-IS - iOS - Aus"/>
    <s v="nsfw"/>
    <d v="1899-12-30T16:09:00"/>
    <s v="In-Stream Video"/>
    <s v="TJX"/>
    <s v="mobile"/>
    <s v="GEO,Frequency,Keyword,OS,BrowserLanguage"/>
    <n v="280"/>
    <n v="0"/>
    <s v="Yes"/>
    <s v="Unlimited"/>
    <n v="6018"/>
    <n v="291"/>
    <n v="4.8354900000000001"/>
    <n v="0"/>
    <n v="11.39"/>
    <n v="1.893"/>
    <n v="3.9E-2"/>
    <n v="0"/>
    <n v="1"/>
    <n v="0"/>
    <s v="Yes"/>
    <n v="6018"/>
    <n v="5593"/>
    <n v="280"/>
    <s v="Ocean"/>
    <s v="CP"/>
    <x v="3"/>
    <x v="0"/>
  </r>
  <r>
    <s v="PAUSED"/>
    <n v="1012750582"/>
    <s v="CPA - Bukkake - Video-IS - Android - Aus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592"/>
    <s v="CPA - Bukkake - Video-IS - Android - UK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602"/>
    <s v="CPA - Bukkake - Video-IS - iOS - UK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612"/>
    <s v="CPA - Bukkake - Video-IS - Desktop - UK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622"/>
    <s v="CPA - Bukkake - Video-IS - Desktop - Canada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632"/>
    <s v="CPA - Bukkake - Video-IS - iOS - Canad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642"/>
    <s v="CPA - Bukkake - Video-IS - Android - Canad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652"/>
    <s v="CPA - Office - Video-IS - Android - Canad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662"/>
    <s v="CPA - Office - Video-IS - iOS - Canad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672"/>
    <s v="CPA - Office - Video-IS - Desktop - Canada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682"/>
    <s v="CPA - Office - Video-IS - Desktop - USA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692"/>
    <s v="CPA - Office - Video-IS - iOS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702"/>
    <s v="CPA - Office - Video-IS - Android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750712"/>
    <s v="CPA - Office - Video-IS - excl. iOS - Aus"/>
    <s v="nsfw"/>
    <d v="1899-12-30T16:09:00"/>
    <s v="In-Stream Video"/>
    <s v="TJX"/>
    <s v="mobile"/>
    <s v="GEO,Frequency,Keyword,OS,BrowserLanguage"/>
    <n v="280"/>
    <n v="0"/>
    <s v="No"/>
    <n v="250"/>
    <n v="10521"/>
    <n v="651"/>
    <n v="6.1876199999999999"/>
    <n v="0"/>
    <n v="15.84"/>
    <n v="1.5049999999999999"/>
    <n v="2.4E-2"/>
    <n v="0"/>
    <n v="1"/>
    <n v="0"/>
    <s v="Yes"/>
    <n v="10521"/>
    <n v="9376"/>
    <n v="853"/>
    <s v="Ocean"/>
    <s v="CP"/>
    <x v="8"/>
    <x v="0"/>
  </r>
  <r>
    <s v="PAUSED"/>
    <n v="1012750722"/>
    <s v="CPA - Office - Video-IS - iOS - Aus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732"/>
    <s v="CPA - Office - Video-IS - Desktop - Aus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Ocean"/>
    <s v="CP"/>
    <x v="8"/>
    <x v="0"/>
  </r>
  <r>
    <s v="PAUSED"/>
    <n v="1012750742"/>
    <s v="CPA - Office - Video-IS - Desktop - UK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752"/>
    <s v="CPA - Office - Video-IS - iOS - UK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762"/>
    <s v="CPA - Office - Video-IS - Android - UK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782"/>
    <s v="CPA - Office - Video-IS - Android - NZ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792"/>
    <s v="CPA - Office - Video-IS - iOS - NZ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750802"/>
    <s v="CPA - Office - Video-IS - Desktop - NZ"/>
    <s v="nsfw"/>
    <d v="1899-12-30T16:09:00"/>
    <s v="In-Stream Video"/>
    <s v="TJX"/>
    <s v="desktop"/>
    <s v="GEO,Frequency,Keyword,BrowserLanguage"/>
    <n v="112"/>
    <n v="0"/>
    <s v="No"/>
    <n v="250"/>
    <n v="3919"/>
    <n v="140"/>
    <n v="3.5723400000000001"/>
    <n v="0"/>
    <n v="11.19"/>
    <n v="2.8559999999999999"/>
    <n v="0.08"/>
    <n v="0"/>
    <n v="1"/>
    <n v="0"/>
    <s v="Yes"/>
    <n v="3919"/>
    <n v="3078"/>
    <n v="486"/>
    <s v="Ocean"/>
    <s v="CP"/>
    <x v="3"/>
    <x v="0"/>
  </r>
  <r>
    <s v="PAUSED"/>
    <n v="1012750812"/>
    <s v="CPA - Bikini - Video-IS - Desktop - NZ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822"/>
    <s v="CPA - Bikini - Video-IS - iOS - NZ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832"/>
    <s v="CPA - Bikini - Video-IS - Android - NZ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842"/>
    <s v="CPA - Bikini - Video-IS - Android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852"/>
    <s v="CPA - Bikini - Video-IS - iOS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862"/>
    <s v="CPA - Bikini - Video-IS - Desktop - USA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882"/>
    <s v="CPA - Bikini - Video-IS - Desktop - Canada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892"/>
    <s v="CPA - Bikini - Video-IS - iOS - Canad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902"/>
    <s v="CPA - Bikini - Video-IS - Android - Canad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912"/>
    <s v="CPA - Bikini - Video-IS - Android - UK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922"/>
    <s v="CPA - Bikini - Video-IS - iOS - UK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932"/>
    <s v="CPA - Bikini - Video-IS - Desktop - UK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942"/>
    <s v="CPA - Bikini - Video-IS - Desktop - Aus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952"/>
    <s v="CPA - Bikini - Video-IS - iOS - Aus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0962"/>
    <s v="CPA - Bikini - Video-IS - Android - Aus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750972"/>
    <s v="CPA - Pegging - Video-IS - Desktop - Aus"/>
    <s v="nsfw"/>
    <d v="1899-12-30T16:09:00"/>
    <s v="In-Stream Video"/>
    <s v="TJX"/>
    <s v="desktop"/>
    <s v="GEO,Frequency,Keyword,BrowserLanguage"/>
    <n v="112"/>
    <n v="0"/>
    <s v="Yes"/>
    <s v="Unlimited"/>
    <n v="17333"/>
    <n v="675"/>
    <n v="3.8943099999999999"/>
    <n v="0"/>
    <n v="49.38"/>
    <n v="2.8490000000000002"/>
    <n v="7.2999999999999995E-2"/>
    <n v="0"/>
    <n v="1"/>
    <n v="0"/>
    <s v="Yes"/>
    <n v="17334"/>
    <n v="13974"/>
    <n v="2038"/>
    <s v="Ocean"/>
    <s v="CP"/>
    <x v="3"/>
    <x v="0"/>
  </r>
  <r>
    <s v="RUNNING"/>
    <n v="1012750982"/>
    <s v="CPA - Pegging - Video-IS - excl. iOS - Aus"/>
    <s v="nsfw"/>
    <d v="1899-12-30T16:09:00"/>
    <s v="In-Stream Video"/>
    <s v="TJX"/>
    <s v="mobile"/>
    <s v="GEO,Frequency,Keyword,OS,BrowserLanguage"/>
    <n v="280"/>
    <n v="0"/>
    <s v="No"/>
    <n v="250"/>
    <n v="6999"/>
    <n v="434"/>
    <n v="6.2008900000000002"/>
    <n v="0"/>
    <n v="10.199999999999999"/>
    <n v="1.458"/>
    <n v="2.4E-2"/>
    <n v="0"/>
    <n v="1"/>
    <n v="0"/>
    <s v="Yes"/>
    <n v="6999"/>
    <n v="6240"/>
    <n v="566"/>
    <s v="Ocean"/>
    <s v="CP"/>
    <x v="3"/>
    <x v="0"/>
  </r>
  <r>
    <s v="PAUSED"/>
    <n v="1012750992"/>
    <s v="CPA - Pegging - Video-IS - iOS - Aus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1002"/>
    <s v="CPA - Pegging - Video-IS - iOS - US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1012"/>
    <s v="CPA - Pegging - Video-IS - Android - US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751022"/>
    <s v="CPA - Pegging - Video-IS - Desktop - USA"/>
    <s v="nsfw"/>
    <d v="1899-12-30T16:09:00"/>
    <s v="In-Stream Video"/>
    <s v="TJX"/>
    <s v="desktop"/>
    <s v="GEO,Frequency,Keyword,BrowserLanguage"/>
    <n v="112"/>
    <n v="0"/>
    <s v="Yes"/>
    <s v="Unlimited"/>
    <n v="77949"/>
    <n v="3236"/>
    <n v="4.1514300000000004"/>
    <n v="4"/>
    <n v="229.11"/>
    <n v="2.9390000000000001"/>
    <n v="7.0999999999999994E-2"/>
    <n v="57.277999999999999"/>
    <n v="1"/>
    <n v="0"/>
    <s v="Yes"/>
    <n v="77948"/>
    <n v="63921"/>
    <n v="7242"/>
    <s v="Ocean"/>
    <s v="CP"/>
    <x v="3"/>
    <x v="0"/>
  </r>
  <r>
    <s v="PAUSED"/>
    <n v="1012751032"/>
    <s v="CPA - Pegging - Video-IS - Desktop - Canada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751042"/>
    <s v="CPA - Pegging - Video-IS - excl. iOS - Canada"/>
    <s v="nsfw"/>
    <d v="1899-12-30T16:09:00"/>
    <s v="In-Stream Video"/>
    <s v="TJX"/>
    <s v="mobile"/>
    <s v="GEO,Frequency,Keyword,OS,BrowserLanguage"/>
    <n v="280"/>
    <n v="0"/>
    <s v="Yes"/>
    <s v="Unlimited"/>
    <n v="64335"/>
    <n v="2887"/>
    <n v="4.4874499999999999"/>
    <n v="2"/>
    <n v="111.68"/>
    <n v="1.736"/>
    <n v="3.9E-2"/>
    <n v="55.841999999999999"/>
    <n v="1"/>
    <n v="0"/>
    <s v="Yes"/>
    <n v="64334"/>
    <n v="57699"/>
    <n v="4843"/>
    <s v="Ocean"/>
    <s v="CP"/>
    <x v="3"/>
    <x v="0"/>
  </r>
  <r>
    <s v="PAUSED"/>
    <n v="1012751052"/>
    <s v="CPA - Pegging - Video-IS - iOS - Canad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1062"/>
    <s v="CPA - Pegging - Video-IS - iOS - UK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1072"/>
    <s v="CPA - Pegging - Video-IS - Android - UK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1082"/>
    <s v="CPA - Pegging - Video-IS - Desktop - UK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1092"/>
    <s v="CPA - Pegging - Video-IS - Desktop - NZ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1102"/>
    <s v="CPA - Pegging - Video-IS - Android - NZ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1112"/>
    <s v="CPA - Pegging - Video-IS - iOS - NZ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1332"/>
    <s v="CPA - Shorties - iOS - NZ"/>
    <s v="nsfw"/>
    <d v="1899-12-30T09:16:00"/>
    <s v="In-Stream Video"/>
    <s v="TJX"/>
    <s v="mobile"/>
    <s v="GEO,Frequency,OS,BrowserLanguage"/>
    <n v="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51342"/>
    <s v="CPA - Handjob - Video-IS - Desktop - NZ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Archive"/>
    <s v="CP"/>
    <x v="5"/>
    <x v="0"/>
  </r>
  <r>
    <s v="PAUSED"/>
    <n v="1012751352"/>
    <s v="CPA - Shorties - Android - NZ"/>
    <s v="nsfw"/>
    <d v="1899-12-30T09:16:00"/>
    <s v="In-Stream Video"/>
    <s v="TJX"/>
    <s v="mobile"/>
    <s v="GEO,Frequency,OS,BrowserLanguage"/>
    <n v="8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69582"/>
    <s v="CPA - Cowgirl - NativeVideo - Mobile - USA"/>
    <s v="nsfw"/>
    <s v="640 x 360"/>
    <s v="Display"/>
    <s v="TJX"/>
    <s v="mobile"/>
    <s v="GEO,Frequency,Keyword,BrowserLanguage"/>
    <n v="416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69592"/>
    <s v="CPA - Hentai - NativeVideo - Mobile - USA"/>
    <s v="nsfw"/>
    <s v="640 x 360"/>
    <s v="Display"/>
    <s v="TJX"/>
    <s v="mobile"/>
    <s v="GEO,Frequency,Keyword,BrowserLanguage"/>
    <n v="41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69602"/>
    <s v="CPA - Missionary - NativeVideo - Mobile - USA"/>
    <s v="nsfw"/>
    <s v="640 x 360"/>
    <s v="Display"/>
    <s v="TJX"/>
    <s v="mobile"/>
    <s v="GEO,Frequency,Keyword,BrowserLanguage"/>
    <n v="416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69612"/>
    <s v="CPA - Blonde - NativeVideo - Mobile - USA"/>
    <s v="nsfw"/>
    <s v="640 x 360"/>
    <s v="Display"/>
    <s v="TJX"/>
    <s v="mobile"/>
    <s v="GEO,Frequency,Keyword,BrowserLanguage"/>
    <n v="41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69622"/>
    <s v="CPA - Handjob - NativeVideo - Mobile - USA"/>
    <s v="nsfw"/>
    <s v="640 x 360"/>
    <s v="Display"/>
    <s v="TJX"/>
    <s v="mobile"/>
    <s v="GEO,Frequency,Keyword,BrowserLanguage"/>
    <n v="416"/>
    <n v="0"/>
    <s v="No"/>
    <n v="1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69632"/>
    <s v="CPA - JOI - NativeVideo - Mobile - USA"/>
    <s v="nsfw"/>
    <s v="640 x 360"/>
    <s v="Display"/>
    <s v="TJX"/>
    <s v="mobile"/>
    <s v="GEO,Frequency,Keyword,BrowserLanguage"/>
    <n v="41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722"/>
    <s v="CPA - Creampie - Video-IS - Mobile - USA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732"/>
    <s v="CPA - TransV2 - Video-IS - Desktop - Aus"/>
    <s v="nsfw"/>
    <d v="1899-12-30T16:09:00"/>
    <s v="In-Stream Video"/>
    <s v="TJX"/>
    <s v="desktop"/>
    <s v="GEO,Frequency,Keyword,BrowserLanguage"/>
    <n v="208"/>
    <n v="0"/>
    <s v="Yes"/>
    <s v="Unlimited"/>
    <n v="0"/>
    <n v="0"/>
    <n v="0"/>
    <m/>
    <n v="0"/>
    <n v="0"/>
    <n v="0"/>
    <n v="0"/>
    <n v="1"/>
    <n v="0"/>
    <s v="Yes"/>
    <m/>
    <m/>
    <m/>
    <s v="TransV2"/>
    <s v="CP"/>
    <x v="6"/>
    <x v="0"/>
  </r>
  <r>
    <s v="PAUSED"/>
    <n v="1012772742"/>
    <s v="CPA - TransV2 - Video-IS - Android - Canad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752"/>
    <s v="CPA - Handjob - Video-IS - Desktop - USA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762"/>
    <s v="CPA - Threesome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772"/>
    <s v="CPA - JOI - Video-IS - Mobile - USA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782"/>
    <s v="CPA - Missionary - Video-IS - Desktop - Canada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3"/>
    <x v="0"/>
  </r>
  <r>
    <s v="PAUSED"/>
    <n v="1012772792"/>
    <s v="CPA - Missionary - Video-IS - Android - US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802"/>
    <s v="CPA - Missionary - Video-IS - iOS - US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812"/>
    <s v="CPA - Cowgirl - Video-IS - Desktop - Aus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3"/>
    <x v="0"/>
  </r>
  <r>
    <s v="PAUSED"/>
    <n v="1012772872"/>
    <s v="CPA - Cowgirl - Video-IS - Desktop - USA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882"/>
    <s v="CPA - Cowgirl - Video-IS - Android - US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892"/>
    <s v="CPA - Cowgirl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902"/>
    <s v="CPA - Missionary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912"/>
    <s v="CPA - MILF - Video-IS - Desktop - USA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922"/>
    <s v="CPA - MILF - Video-IS - Android - UK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932"/>
    <s v="CPA - Blowjob - Video-IS - Desktop - Canada"/>
    <s v="nsfw"/>
    <d v="1899-12-30T16:09:00"/>
    <s v="In-Stream Video"/>
    <s v="TJX"/>
    <s v="desktop"/>
    <s v="GEO,Frequency,Keyword,BrowserLanguage"/>
    <n v="112"/>
    <n v="0"/>
    <s v="Yes"/>
    <s v="Unlimited"/>
    <n v="6"/>
    <n v="0"/>
    <n v="0"/>
    <n v="0"/>
    <n v="0.01"/>
    <n v="1.675"/>
    <n v="0"/>
    <n v="0"/>
    <n v="1"/>
    <n v="0"/>
    <s v="Yes"/>
    <n v="6"/>
    <n v="2"/>
    <n v="1"/>
    <s v="Blowjob"/>
    <s v="CP"/>
    <x v="3"/>
    <x v="0"/>
  </r>
  <r>
    <s v="PAUSED"/>
    <n v="1012772942"/>
    <s v="CPA - Blowjob - Video-IS - Desktop - Aus"/>
    <s v="nsfw"/>
    <d v="1899-12-30T16:09:00"/>
    <s v="In-Stream Video"/>
    <s v="TJX"/>
    <s v="desktop"/>
    <s v="GEO,Frequency,Keyword,BrowserLanguage"/>
    <n v="112"/>
    <n v="0"/>
    <s v="Yes"/>
    <s v="Unlimited"/>
    <n v="2"/>
    <n v="0"/>
    <n v="0"/>
    <n v="0"/>
    <n v="0"/>
    <n v="1.4610000000000001"/>
    <n v="0"/>
    <n v="0"/>
    <n v="1"/>
    <n v="0"/>
    <s v="Yes"/>
    <n v="2"/>
    <n v="1"/>
    <n v="0"/>
    <s v="Archive"/>
    <s v="CP"/>
    <x v="5"/>
    <x v="0"/>
  </r>
  <r>
    <s v="PAUSED"/>
    <n v="1012772952"/>
    <s v="CPA - Blowjob - Video-IS - Android - US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962"/>
    <s v="CPA - Blonde - Video-IS - Android - US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972"/>
    <s v="CPA - SexDoll - Video-IS - iOS - Canad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982"/>
    <s v="CPA - SexDoll - Video-IS - Android - Aus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2992"/>
    <s v="CPA - StepDaughter - Video-IS - iOS - Canad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3002"/>
    <s v="CPA - StepDaughter - Video-IS - Android - US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3012"/>
    <s v="CPA - Gay - Mobile - USA"/>
    <s v="nsfw"/>
    <d v="1899-12-30T16:09:00"/>
    <s v="In-Stream Video"/>
    <s v="TJX"/>
    <s v="mobile"/>
    <s v="GEO,Frequency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3022"/>
    <s v="CPA - Blonde - Video-IS - Mobile - USA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3032"/>
    <s v="CPA - Webcam - Video-IS - Desktop - Canada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3042"/>
    <s v="CPA - Hentai - Video-IS - iOS - Canad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Hentai"/>
    <s v="CP"/>
    <x v="12"/>
    <x v="0"/>
  </r>
  <r>
    <s v="PAUSED"/>
    <n v="1012773052"/>
    <s v="CPA - Hentai - Video-IS - Android - Aus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773062"/>
    <s v="CPA - Hentai - Video-IS - iOS - USA"/>
    <s v="nsfw"/>
    <d v="1899-12-30T16:09:00"/>
    <s v="In-Stream Video"/>
    <s v="TJX"/>
    <s v="mobile"/>
    <s v="GEO,Frequency,Keyword,OS,BrowserLanguage"/>
    <n v="280"/>
    <n v="0"/>
    <s v="Yes"/>
    <s v="Unlimited"/>
    <n v="18963"/>
    <n v="862"/>
    <n v="4.5456799999999999"/>
    <n v="2"/>
    <n v="30.39"/>
    <n v="1.603"/>
    <n v="3.5000000000000003E-2"/>
    <n v="15.194000000000001"/>
    <n v="1"/>
    <n v="0"/>
    <s v="Yes"/>
    <n v="18963"/>
    <n v="16826"/>
    <n v="1169"/>
    <s v="Hentai"/>
    <s v="CP"/>
    <x v="12"/>
    <x v="0"/>
  </r>
  <r>
    <s v="PAUSED"/>
    <n v="1012773072"/>
    <s v="CPA - Furry - Video-IS - iOS - Canada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3082"/>
    <s v="CPA - JOI - Video-IS - Android - Canada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73092"/>
    <s v="CPA - JOI - Video-IS - Desktop - USA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773102"/>
    <s v="CPA - Furry - Video-IS - excl. iOS - USA"/>
    <s v="nsfw"/>
    <d v="1899-12-30T16:09:00"/>
    <s v="In-Stream Video"/>
    <s v="TJX"/>
    <s v="mobile"/>
    <s v="GEO,Frequency,Keyword,OS,BrowserLanguage"/>
    <n v="130"/>
    <n v="0"/>
    <s v="Yes"/>
    <s v="Unlimited"/>
    <n v="203640"/>
    <n v="17604"/>
    <n v="8.6446699999999996"/>
    <n v="5"/>
    <n v="443.17"/>
    <n v="2.1760000000000002"/>
    <n v="2.5000000000000001E-2"/>
    <n v="88.634"/>
    <n v="1"/>
    <n v="0"/>
    <s v="No"/>
    <n v="203637"/>
    <n v="183291"/>
    <n v="13347"/>
    <s v="Furry"/>
    <s v="CP"/>
    <x v="3"/>
    <x v="0"/>
  </r>
  <r>
    <s v="RUNNING"/>
    <n v="1012773112"/>
    <s v="CPA - AI - Video-IS - iOS - USA"/>
    <s v="nsfw"/>
    <d v="1899-12-30T16:09:00"/>
    <s v="In-Stream Video"/>
    <s v="TJX"/>
    <s v="mobile"/>
    <s v="GEO,Frequency,OS,BrowserLanguage,Segment"/>
    <n v="370"/>
    <n v="0"/>
    <s v="Yes"/>
    <s v="Unlimited"/>
    <n v="109149"/>
    <n v="5164"/>
    <n v="4.7311500000000004"/>
    <n v="5"/>
    <n v="277.82"/>
    <n v="2.5449999999999999"/>
    <n v="5.3999999999999999E-2"/>
    <n v="55.564"/>
    <n v="1"/>
    <n v="0"/>
    <s v="Yes"/>
    <n v="109145"/>
    <n v="97338"/>
    <n v="8701"/>
    <s v="AI"/>
    <s v="CP"/>
    <x v="0"/>
    <x v="0"/>
  </r>
  <r>
    <s v="RUNNING"/>
    <n v="1012773122"/>
    <s v="CPA - AI - Video-IS - excl. iOS - USA"/>
    <s v="nsfw"/>
    <d v="1899-12-30T16:09:00"/>
    <s v="In-Stream Video"/>
    <s v="TJX"/>
    <s v="mobile"/>
    <s v="GEO,Frequency,OS,BrowserLanguage,Segment"/>
    <n v="370"/>
    <n v="0"/>
    <s v="Yes"/>
    <s v="Unlimited"/>
    <n v="119807"/>
    <n v="7382"/>
    <n v="6.1615799999999998"/>
    <n v="3"/>
    <n v="293.60000000000002"/>
    <n v="2.4510000000000001"/>
    <n v="0.04"/>
    <n v="97.867999999999995"/>
    <n v="1"/>
    <n v="0"/>
    <s v="Yes"/>
    <n v="119807"/>
    <n v="106339"/>
    <n v="9839"/>
    <s v="AI"/>
    <s v="CP"/>
    <x v="0"/>
    <x v="0"/>
  </r>
  <r>
    <s v="PAUSED"/>
    <n v="1012797382"/>
    <s v="CPA - Cowgirl - Video-IS - iOS - USA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97402"/>
    <s v="CPA - Missionary - Video-IS - iOS - USA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97422"/>
    <s v="CPA - Blowjob - Video-IS - iOS - USA"/>
    <s v="nsfw"/>
    <d v="1899-12-30T16:09:00"/>
    <s v="In-Stream Video"/>
    <s v="TJX"/>
    <s v="mobile"/>
    <s v="GEO,Frequency,Keyword,OS,Browser,BrowserLanguage"/>
    <n v="30"/>
    <n v="0"/>
    <s v="No"/>
    <n v="10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97432"/>
    <s v="CPA - Blonde - Video-IS - iOS - USA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97442"/>
    <s v="CPA - MILF - Video-IS - iOS - USA"/>
    <s v="nsfw"/>
    <d v="1899-12-30T16:09:00"/>
    <s v="In-Stream Video"/>
    <s v="TJX"/>
    <s v="mobile"/>
    <s v="GEO,Frequency,Keyword,OS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97452"/>
    <s v="CPA - Handjob - Video-IS - iOS - USA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797462"/>
    <s v="CPA - Fantasy - Video-IS - iOS - USA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Archive"/>
    <s v="CP"/>
    <x v="5"/>
    <x v="0"/>
  </r>
  <r>
    <s v="PAUSED"/>
    <n v="1012797472"/>
    <s v="CPA - Threesome - Video-IS - iOS - USA"/>
    <s v="nsfw"/>
    <d v="1899-12-30T16:09:00"/>
    <s v="In-Stream Video"/>
    <s v="TJX"/>
    <s v="mobile"/>
    <s v="GEO,Frequency,Keyword,OS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00202"/>
    <s v="CPA - Threesome - Video-IS - excl. iOS - USA"/>
    <s v="nsfw"/>
    <d v="1899-12-30T16:09:00"/>
    <s v="In-Stream Video"/>
    <s v="TJX"/>
    <s v="mobile"/>
    <s v="GEO,Frequency,Keyword,OS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00212"/>
    <s v="CPA - Fantasy - Video-IS - excl. iOS - USA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Ocean"/>
    <s v="CP"/>
    <x v="8"/>
    <x v="0"/>
  </r>
  <r>
    <s v="PAUSED"/>
    <n v="1012800222"/>
    <s v="CPA - Handjob - Video-IS - excl. iOS - USA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00232"/>
    <s v="CPA - MILF - Video-IS - excl. iOS - USA"/>
    <s v="nsfw"/>
    <d v="1899-12-30T16:09:00"/>
    <s v="In-Stream Video"/>
    <s v="TJX"/>
    <s v="mobile"/>
    <s v="GEO,Frequency,Keyword,OS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00242"/>
    <s v="CPA - Blonde - Video-IS - excl. iOS - USA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00252"/>
    <s v="CPA - Blowjob - Video-IS - excl. iOS - USA"/>
    <s v="nsfw"/>
    <d v="1899-12-30T16:09:00"/>
    <s v="In-Stream Video"/>
    <s v="TJX"/>
    <s v="mobile"/>
    <s v="GEO,Frequency,Keyword,OS,Browser,BrowserLanguage"/>
    <n v="30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00262"/>
    <s v="CPA - Missionary - Video-IS - excl. iOS - USA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00272"/>
    <s v="CPA - Cowgirl - Video-IS - excl. iOS - USA"/>
    <s v="nsfw"/>
    <d v="1899-12-30T16:09:00"/>
    <s v="In-Stream Video"/>
    <s v="TJX"/>
    <s v="mobile"/>
    <s v="GEO,Frequency,Keyword,OS,Browser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06532"/>
    <s v="CPA - JOI - Video-IS - iOS - USA"/>
    <s v="nsfw"/>
    <d v="1899-12-30T16:09:00"/>
    <s v="In-Stream Video"/>
    <s v="TJX"/>
    <s v="mobile"/>
    <s v="GEO,Frequency,Keyword,OS,BrowserLanguage"/>
    <n v="70"/>
    <n v="0"/>
    <s v="No"/>
    <n v="250"/>
    <n v="0"/>
    <n v="0"/>
    <n v="0"/>
    <m/>
    <n v="0"/>
    <n v="0"/>
    <n v="0"/>
    <n v="0"/>
    <n v="1"/>
    <n v="0"/>
    <s v="Yes"/>
    <m/>
    <m/>
    <m/>
    <s v="Ocean"/>
    <s v="CP"/>
    <x v="1"/>
    <x v="0"/>
  </r>
  <r>
    <s v="PAUSED"/>
    <n v="1012806542"/>
    <s v="CPA - JOI - Video-IS - excl. iOS - USA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11242"/>
    <s v="CPA - Trans - Video-IS - excl. iOS - USA"/>
    <s v="nsfw"/>
    <d v="1899-12-30T16:09:00"/>
    <s v="In-Stream Video"/>
    <s v="TJX"/>
    <s v="mobile"/>
    <s v="GEO,Frequency,OS,BrowserLanguage"/>
    <n v="120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11252"/>
    <s v="CPA - Transv2 - Video-IS - iOS - USA"/>
    <s v="nsfw"/>
    <d v="1899-12-30T16:09:00"/>
    <s v="In-Stream Video"/>
    <s v="TJX"/>
    <s v="mobile"/>
    <s v="GEO,Frequency,Keyword,OS,BrowserLanguage"/>
    <n v="120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6"/>
    <x v="0"/>
  </r>
  <r>
    <s v="PAUSED"/>
    <n v="1012811262"/>
    <s v="CPA - Trans - Video-IS - iOS - USA"/>
    <s v="nsfw"/>
    <d v="1899-12-30T16:09:00"/>
    <s v="In-Stream Video"/>
    <s v="TJX"/>
    <s v="mobile"/>
    <s v="GEO,Frequency,OS,BrowserLanguage"/>
    <n v="120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11272"/>
    <s v="CPA - Transv2 - Video-IS - excl. iOS - USA"/>
    <s v="nsfw"/>
    <d v="1899-12-30T16:09:00"/>
    <s v="In-Stream Video"/>
    <s v="TJX"/>
    <s v="mobile"/>
    <s v="GEO,Frequency,Keyword,OS,BrowserLanguage"/>
    <n v="110"/>
    <n v="0"/>
    <s v="No"/>
    <n v="500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811552"/>
    <s v="CPA - Hentai - Video-IS - excl. iOS - USA"/>
    <s v="nsfw"/>
    <d v="1899-12-30T16:09:00"/>
    <s v="In-Stream Video"/>
    <s v="TJX"/>
    <s v="mobile"/>
    <s v="GEO,Frequency,Keyword,OS,BrowserLanguage"/>
    <n v="110"/>
    <n v="0"/>
    <s v="Yes"/>
    <s v="Unlimited"/>
    <n v="37767"/>
    <n v="2460"/>
    <n v="6.5136200000000004"/>
    <n v="4"/>
    <n v="77.319999999999993"/>
    <n v="2.0470000000000002"/>
    <n v="3.1E-2"/>
    <n v="19.329999999999998"/>
    <n v="1"/>
    <n v="0"/>
    <s v="Yes"/>
    <n v="37767"/>
    <n v="33023"/>
    <n v="2571"/>
    <s v="Hentai"/>
    <s v="CP"/>
    <x v="12"/>
    <x v="0"/>
  </r>
  <r>
    <s v="PAUSED"/>
    <n v="1012811562"/>
    <s v="CPA - Hentai - Video-IS - iOS - USA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2"/>
    <x v="0"/>
  </r>
  <r>
    <s v="RUNNING"/>
    <n v="1012811572"/>
    <s v="CPA - Hentai - Video-IS - Desktop - USA"/>
    <s v="nsfw"/>
    <d v="1899-12-30T16:09:00"/>
    <s v="In-Stream Video"/>
    <s v="TJX"/>
    <s v="desktop"/>
    <s v="GEO,Frequency,Keyword,BrowserLanguage"/>
    <n v="56"/>
    <n v="0"/>
    <s v="Yes"/>
    <s v="Unlimited"/>
    <n v="98882"/>
    <n v="6291"/>
    <n v="6.3621299999999996"/>
    <n v="6"/>
    <n v="288.16000000000003"/>
    <n v="2.9140000000000001"/>
    <n v="4.5999999999999999E-2"/>
    <n v="48.027000000000001"/>
    <n v="1"/>
    <n v="0"/>
    <s v="Yes"/>
    <n v="98881"/>
    <n v="75660"/>
    <n v="10585"/>
    <s v="Hentai"/>
    <s v="CP"/>
    <x v="12"/>
    <x v="0"/>
  </r>
  <r>
    <s v="RUNNING"/>
    <n v="1012811582"/>
    <s v="CPA - Hentai - Video-IS - excl. iOS - Aus"/>
    <s v="nsfw"/>
    <d v="1899-12-30T16:09:00"/>
    <s v="In-Stream Video"/>
    <s v="TJX"/>
    <s v="mobile"/>
    <s v="GEO,Frequency,Keyword,OS,BrowserLanguage"/>
    <n v="130"/>
    <n v="0"/>
    <s v="Yes"/>
    <s v="Unlimited"/>
    <n v="310415"/>
    <n v="17548"/>
    <n v="5.6530800000000001"/>
    <n v="7"/>
    <n v="625.13"/>
    <n v="2.0139999999999998"/>
    <n v="3.5999999999999997E-2"/>
    <n v="89.304000000000002"/>
    <n v="1"/>
    <n v="0"/>
    <s v="Yes"/>
    <n v="310419"/>
    <n v="275388"/>
    <n v="24987"/>
    <s v="Hentai"/>
    <s v="CP"/>
    <x v="12"/>
    <x v="0"/>
  </r>
  <r>
    <s v="PAUSED"/>
    <n v="1012811592"/>
    <s v="CPA - Hentai - Video-IS - Desktop - Aus"/>
    <s v="nsfw"/>
    <d v="1899-12-30T16:09:00"/>
    <s v="In-Stream Video"/>
    <s v="TJX"/>
    <s v="desktop"/>
    <s v="GEO,Frequency,Keyword,BrowserLanguage"/>
    <n v="36"/>
    <n v="0"/>
    <s v="Yes"/>
    <s v="Unlimited"/>
    <n v="0"/>
    <n v="0"/>
    <n v="0"/>
    <m/>
    <n v="0"/>
    <n v="0"/>
    <n v="0"/>
    <n v="0"/>
    <n v="1"/>
    <n v="0"/>
    <s v="Yes"/>
    <m/>
    <m/>
    <m/>
    <s v="Hentai"/>
    <s v="CP"/>
    <x v="12"/>
    <x v="0"/>
  </r>
  <r>
    <s v="PAUSED"/>
    <n v="1012811602"/>
    <s v="CPA - Hentai - Video-IS - iOS - Aus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Hentai"/>
    <s v="CP"/>
    <x v="12"/>
    <x v="0"/>
  </r>
  <r>
    <s v="PAUSED"/>
    <n v="1012811612"/>
    <s v="CPA - Hentai - Video-IS - iOS - Canada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2"/>
    <x v="0"/>
  </r>
  <r>
    <s v="RUNNING"/>
    <n v="1012811622"/>
    <s v="CPA - Hentai - Video-IS - Desktop - Canada"/>
    <s v="nsfw"/>
    <d v="1899-12-30T16:09:00"/>
    <s v="In-Stream Video"/>
    <s v="TJX"/>
    <s v="desktop"/>
    <s v="GEO,Frequency,Keyword,BrowserLanguage"/>
    <n v="64"/>
    <n v="0"/>
    <s v="Yes"/>
    <s v="Unlimited"/>
    <n v="220307"/>
    <n v="13575"/>
    <n v="6.1618599999999999"/>
    <n v="10"/>
    <n v="835.61"/>
    <n v="3.7930000000000001"/>
    <n v="6.2E-2"/>
    <n v="83.561000000000007"/>
    <n v="1"/>
    <n v="0"/>
    <s v="Yes"/>
    <n v="220299"/>
    <n v="176432"/>
    <n v="23505"/>
    <s v="Hentai"/>
    <s v="CP"/>
    <x v="12"/>
    <x v="0"/>
  </r>
  <r>
    <s v="RUNNING"/>
    <n v="1012811632"/>
    <s v="CPA - Hentai - Video-IS - excl. iOS - Canada"/>
    <s v="nsfw"/>
    <d v="1899-12-30T16:09:00"/>
    <s v="In-Stream Video"/>
    <s v="TJX"/>
    <s v="mobile"/>
    <s v="GEO,Frequency,Keyword,OS,BrowserLanguage"/>
    <n v="120"/>
    <n v="0"/>
    <s v="Yes"/>
    <s v="Unlimited"/>
    <n v="390035"/>
    <n v="23210"/>
    <n v="5.9507500000000002"/>
    <n v="8"/>
    <n v="778.91"/>
    <n v="1.9970000000000001"/>
    <n v="3.4000000000000002E-2"/>
    <n v="97.363"/>
    <n v="1"/>
    <n v="0"/>
    <s v="Yes"/>
    <n v="390022"/>
    <n v="347395"/>
    <n v="27986"/>
    <s v="Hentai"/>
    <s v="CP"/>
    <x v="12"/>
    <x v="0"/>
  </r>
  <r>
    <s v="PAUSED"/>
    <n v="1012811642"/>
    <s v="CPA - Hentai - Video-IS - iOS - NZ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Hentai"/>
    <s v="CP"/>
    <x v="12"/>
    <x v="0"/>
  </r>
  <r>
    <s v="PAUSED"/>
    <n v="1012811652"/>
    <s v="CPA - Hentai - Video-IS - excl. iOS - NZ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Hentai"/>
    <s v="CP"/>
    <x v="12"/>
    <x v="0"/>
  </r>
  <r>
    <s v="PAUSED"/>
    <n v="1012811662"/>
    <s v="CPA - Hentai - Video-IS - Desktop - NZ"/>
    <s v="nsfw"/>
    <d v="1899-12-30T16:09:00"/>
    <s v="In-Stream Video"/>
    <s v="TJX"/>
    <s v="desktop"/>
    <s v="GEO,Frequency,Keyword,BrowserLanguage"/>
    <n v="36"/>
    <n v="0"/>
    <s v="Yes"/>
    <s v="Unlimited"/>
    <n v="0"/>
    <n v="0"/>
    <n v="0"/>
    <m/>
    <n v="0"/>
    <n v="0"/>
    <n v="0"/>
    <n v="0"/>
    <n v="1"/>
    <n v="0"/>
    <s v="Yes"/>
    <m/>
    <m/>
    <m/>
    <s v="Hentai"/>
    <s v="CP"/>
    <x v="12"/>
    <x v="0"/>
  </r>
  <r>
    <s v="RUNNING"/>
    <n v="1012811672"/>
    <s v="CPA - Hentai - Video-IS - Desktop - UK"/>
    <s v="nsfw"/>
    <d v="1899-12-30T16:09:00"/>
    <s v="In-Stream Video"/>
    <s v="TJX"/>
    <s v="desktop"/>
    <s v="GEO,Frequency,Keyword,BrowserLanguage"/>
    <n v="52"/>
    <n v="0"/>
    <s v="Yes"/>
    <s v="Unlimited"/>
    <n v="43553"/>
    <n v="2173"/>
    <n v="4.9893200000000002"/>
    <n v="2"/>
    <n v="165.41"/>
    <n v="3.798"/>
    <n v="7.5999999999999998E-2"/>
    <n v="82.703000000000003"/>
    <n v="1"/>
    <n v="0"/>
    <s v="Yes"/>
    <n v="43553"/>
    <n v="34347"/>
    <n v="5098"/>
    <s v="Hentai"/>
    <s v="CP"/>
    <x v="12"/>
    <x v="0"/>
  </r>
  <r>
    <s v="RUNNING"/>
    <n v="1012811682"/>
    <s v="CPA - Hentai - Video-IS - excl. iOS - UK"/>
    <s v="nsfw"/>
    <d v="1899-12-30T16:09:00"/>
    <s v="In-Stream Video"/>
    <s v="TJX"/>
    <s v="mobile"/>
    <s v="GEO,Frequency,Keyword,OS,BrowserLanguage"/>
    <n v="70"/>
    <n v="0"/>
    <s v="Yes"/>
    <s v="Unlimited"/>
    <n v="9010"/>
    <n v="555"/>
    <n v="6.1598199999999999"/>
    <n v="0"/>
    <n v="12.5"/>
    <n v="1.387"/>
    <n v="2.3E-2"/>
    <n v="0"/>
    <n v="1"/>
    <n v="0"/>
    <s v="Yes"/>
    <n v="9010"/>
    <n v="8105"/>
    <n v="691"/>
    <s v="Hentai"/>
    <s v="CP"/>
    <x v="12"/>
    <x v="0"/>
  </r>
  <r>
    <s v="RUNNING"/>
    <n v="1012811692"/>
    <s v="CPA - Hentai - Video-IS - iOS - UK"/>
    <s v="nsfw"/>
    <d v="1899-12-30T16:09:00"/>
    <s v="In-Stream Video"/>
    <s v="TJX"/>
    <s v="mobile"/>
    <s v="GEO,Frequency,Keyword,OS,BrowserLanguage"/>
    <n v="70"/>
    <n v="0"/>
    <s v="Yes"/>
    <s v="Unlimited"/>
    <n v="3157"/>
    <n v="174"/>
    <n v="5.5115600000000002"/>
    <n v="0"/>
    <n v="6.71"/>
    <n v="2.1259999999999999"/>
    <n v="3.9E-2"/>
    <n v="0"/>
    <n v="1"/>
    <n v="0"/>
    <s v="Yes"/>
    <n v="3157"/>
    <n v="2985"/>
    <n v="99"/>
    <s v="Hentai"/>
    <s v="CP"/>
    <x v="12"/>
    <x v="0"/>
  </r>
  <r>
    <s v="RUNNING"/>
    <n v="1012811702"/>
    <s v="OLD_CPA_Hentai_NativeVideo_iOS_USA_SD"/>
    <s v="nsfw"/>
    <s v="640 x 360"/>
    <s v="Display"/>
    <s v="TJX"/>
    <s v="mobile"/>
    <s v="GEO,Frequency,Keyword,OS,BrowserLanguage"/>
    <n v="416"/>
    <n v="0"/>
    <s v="Yes"/>
    <s v="Unlimited"/>
    <n v="5434613"/>
    <n v="7010"/>
    <n v="0.12898999999999999"/>
    <n v="15"/>
    <n v="909.68"/>
    <n v="0.16700000000000001"/>
    <n v="0.13"/>
    <n v="60.645000000000003"/>
    <n v="2"/>
    <n v="0"/>
    <s v="Yes"/>
    <n v="0"/>
    <n v="0"/>
    <n v="0"/>
    <s v="Hentai"/>
    <s v="OL"/>
    <x v="12"/>
    <x v="0"/>
  </r>
  <r>
    <s v="RUNNING"/>
    <n v="1012811712"/>
    <s v="OLD_CPA_Hentai_NativeVideo_excl.-iOS_USA_SD"/>
    <s v="nsfw"/>
    <s v="640 x 360"/>
    <s v="Display"/>
    <s v="TJX"/>
    <s v="mobile"/>
    <s v="GEO,Frequency,Keyword,OS,BrowserLanguage"/>
    <n v="416"/>
    <n v="0"/>
    <s v="Yes"/>
    <s v="Unlimited"/>
    <n v="2823682"/>
    <n v="6368"/>
    <n v="0.22552"/>
    <n v="8"/>
    <n v="483.06"/>
    <n v="0.17100000000000001"/>
    <n v="7.5999999999999998E-2"/>
    <n v="60.383000000000003"/>
    <n v="2"/>
    <n v="0"/>
    <s v="Yes"/>
    <n v="0"/>
    <n v="0"/>
    <n v="0"/>
    <s v="Hentai"/>
    <s v="OL"/>
    <x v="12"/>
    <x v="0"/>
  </r>
  <r>
    <s v="PAUSED"/>
    <n v="1012811722"/>
    <s v="CPA - Hentai - NativeVideo - Desktop - USA"/>
    <s v="nsfw"/>
    <s v="640 x 360"/>
    <s v="Display"/>
    <s v="TJX"/>
    <s v="desktop"/>
    <s v="GEO,Frequency,Keyword,BrowserLanguage"/>
    <n v="396"/>
    <n v="0"/>
    <s v="Yes"/>
    <s v="Unlimited"/>
    <n v="0"/>
    <n v="0"/>
    <n v="0"/>
    <m/>
    <n v="0"/>
    <n v="0"/>
    <n v="0"/>
    <n v="0"/>
    <n v="1"/>
    <n v="0"/>
    <s v="Yes"/>
    <m/>
    <m/>
    <m/>
    <s v="Hentai"/>
    <s v="CP"/>
    <x v="12"/>
    <x v="0"/>
  </r>
  <r>
    <s v="RUNNING"/>
    <n v="1012811772"/>
    <s v="OLD_CPA_Hentai_NativeVideo_Desktop_Aus_SD"/>
    <s v="nsfw"/>
    <s v="640 x 360"/>
    <s v="Display"/>
    <s v="TJX"/>
    <s v="desktop"/>
    <s v="GEO,Frequency,Keyword,BrowserLanguage"/>
    <n v="396"/>
    <n v="0"/>
    <s v="Yes"/>
    <s v="Unlimited"/>
    <n v="347542"/>
    <n v="507"/>
    <n v="0.14588000000000001"/>
    <n v="0"/>
    <n v="49.67"/>
    <n v="0.14299999999999999"/>
    <n v="9.8000000000000004E-2"/>
    <n v="0"/>
    <n v="2"/>
    <n v="0"/>
    <s v="Yes"/>
    <n v="0"/>
    <n v="0"/>
    <n v="0"/>
    <s v="Hentai"/>
    <s v="OL"/>
    <x v="12"/>
    <x v="0"/>
  </r>
  <r>
    <s v="RUNNING"/>
    <n v="1012811782"/>
    <s v="OLD_CPA_Hentai_NativeVideo_excl.-iOS_Aus_SD"/>
    <s v="nsfw"/>
    <s v="640 x 360"/>
    <s v="Display"/>
    <s v="TJX"/>
    <s v="mobile"/>
    <s v="GEO,Frequency,Keyword,OS,BrowserLanguage"/>
    <n v="416"/>
    <n v="0"/>
    <s v="Yes"/>
    <s v="Unlimited"/>
    <n v="763739"/>
    <n v="1655"/>
    <n v="0.2167"/>
    <n v="3"/>
    <n v="106.32"/>
    <n v="0.13900000000000001"/>
    <n v="6.4000000000000001E-2"/>
    <n v="35.44"/>
    <n v="2"/>
    <n v="0"/>
    <s v="Yes"/>
    <n v="0"/>
    <n v="0"/>
    <n v="0"/>
    <s v="Hentai"/>
    <s v="OL"/>
    <x v="12"/>
    <x v="0"/>
  </r>
  <r>
    <s v="RUNNING"/>
    <n v="1012811792"/>
    <s v="OLD_CPA_Hentai_NativeVideo_iOS_Aus_SD"/>
    <s v="nsfw"/>
    <s v="640 x 360"/>
    <s v="Display"/>
    <s v="TJX"/>
    <s v="mobile"/>
    <s v="GEO,Frequency,Keyword,OS,BrowserLanguage"/>
    <n v="416"/>
    <n v="0"/>
    <s v="Yes"/>
    <s v="Unlimited"/>
    <n v="827166"/>
    <n v="1132"/>
    <n v="0.13685"/>
    <n v="2"/>
    <n v="113.27"/>
    <n v="0.13700000000000001"/>
    <n v="0.1"/>
    <n v="56.636000000000003"/>
    <n v="2"/>
    <n v="0"/>
    <s v="Yes"/>
    <n v="0"/>
    <n v="0"/>
    <n v="0"/>
    <s v="Hentai"/>
    <s v="OL"/>
    <x v="12"/>
    <x v="0"/>
  </r>
  <r>
    <s v="RUNNING"/>
    <n v="1012811802"/>
    <s v="CPA - Hentai - NativeVideo - iOS - Canada"/>
    <s v="nsfw"/>
    <s v="640 x 360"/>
    <s v="Display"/>
    <s v="TJX"/>
    <s v="mobile"/>
    <s v="GEO,Frequency,Keyword,OS,BrowserLanguage"/>
    <n v="416"/>
    <n v="0"/>
    <s v="Yes"/>
    <s v="Unlimited"/>
    <n v="1750923"/>
    <n v="2581"/>
    <n v="0.14741000000000001"/>
    <n v="1"/>
    <n v="339.59"/>
    <n v="0.19400000000000001"/>
    <n v="0.13200000000000001"/>
    <n v="339.58699999999999"/>
    <n v="1"/>
    <n v="0"/>
    <s v="Yes"/>
    <n v="0"/>
    <n v="0"/>
    <n v="0"/>
    <s v="Hentai"/>
    <s v="CP"/>
    <x v="12"/>
    <x v="0"/>
  </r>
  <r>
    <s v="RUNNING"/>
    <n v="1012811812"/>
    <s v="OLD_CPA_Hentai_NativeVideo_excl.-iOS_Canada_SD"/>
    <s v="nsfw"/>
    <s v="640 x 360"/>
    <s v="Display"/>
    <s v="TJX"/>
    <s v="mobile"/>
    <s v="GEO,Frequency,Keyword,OS,BrowserLanguage"/>
    <n v="416"/>
    <n v="0"/>
    <s v="Yes"/>
    <s v="Unlimited"/>
    <n v="1250970"/>
    <n v="2983"/>
    <n v="0.23845"/>
    <n v="5"/>
    <n v="456.61"/>
    <n v="0.36499999999999999"/>
    <n v="0.153"/>
    <n v="91.320999999999998"/>
    <n v="2"/>
    <n v="0"/>
    <s v="Yes"/>
    <n v="0"/>
    <n v="0"/>
    <n v="0"/>
    <s v="Hentai"/>
    <s v="OL"/>
    <x v="12"/>
    <x v="0"/>
  </r>
  <r>
    <s v="RUNNING"/>
    <n v="1012811822"/>
    <s v="OLD_CPA_Hentai_NativeVideo_Desktop_Canada_SD"/>
    <s v="nsfw"/>
    <s v="640 x 360"/>
    <s v="Display"/>
    <s v="TJX"/>
    <s v="desktop"/>
    <s v="GEO,Frequency,Keyword,BrowserLanguage"/>
    <n v="396"/>
    <n v="0"/>
    <s v="Yes"/>
    <s v="Unlimited"/>
    <n v="580203"/>
    <n v="939"/>
    <n v="0.16184000000000001"/>
    <n v="0"/>
    <n v="83.24"/>
    <n v="0.14399999999999999"/>
    <n v="8.8999999999999996E-2"/>
    <n v="0"/>
    <n v="2"/>
    <n v="0"/>
    <s v="Yes"/>
    <n v="0"/>
    <n v="0"/>
    <n v="0"/>
    <s v="Hentai"/>
    <s v="OL"/>
    <x v="12"/>
    <x v="0"/>
  </r>
  <r>
    <s v="RUNNING"/>
    <n v="1012811832"/>
    <s v="OLD_CPA_Hentai_NativeVideo_Desktop_NZ_SD"/>
    <s v="nsfw"/>
    <s v="640 x 360"/>
    <s v="Display"/>
    <s v="TJX"/>
    <s v="desktop"/>
    <s v="GEO,Frequency,Keyword,BrowserLanguage"/>
    <n v="396"/>
    <n v="0"/>
    <s v="Yes"/>
    <s v="Unlimited"/>
    <n v="98736"/>
    <n v="133"/>
    <n v="0.13469"/>
    <n v="0"/>
    <n v="14.06"/>
    <n v="0.14199999999999999"/>
    <n v="0.106"/>
    <n v="0"/>
    <n v="2"/>
    <n v="0"/>
    <s v="Yes"/>
    <n v="0"/>
    <n v="0"/>
    <n v="0"/>
    <s v="Hentai"/>
    <s v="OL"/>
    <x v="12"/>
    <x v="0"/>
  </r>
  <r>
    <s v="RUNNING"/>
    <n v="1012811842"/>
    <s v="OLD_CPA_Hentai_300x250_Desktop_UK_SD"/>
    <s v="nsfw"/>
    <s v="640 x 360"/>
    <s v="Display"/>
    <s v="TJX"/>
    <s v="mobile"/>
    <s v="GEO,Frequency,Keyword,OS,BrowserLanguage"/>
    <n v="416"/>
    <n v="0"/>
    <s v="Yes"/>
    <s v="Unlimited"/>
    <n v="226058"/>
    <n v="699"/>
    <n v="0.30920999999999998"/>
    <n v="0"/>
    <n v="31.77"/>
    <n v="0.14099999999999999"/>
    <n v="4.4999999999999998E-2"/>
    <n v="0"/>
    <n v="2"/>
    <n v="0"/>
    <s v="Yes"/>
    <n v="0"/>
    <n v="0"/>
    <n v="0"/>
    <s v="Hentai"/>
    <s v="OL"/>
    <x v="12"/>
    <x v="0"/>
  </r>
  <r>
    <s v="RUNNING"/>
    <n v="1012811852"/>
    <s v="OLD_CPA_Hentai_NativeVideo_iOS_NZ_SD"/>
    <s v="nsfw"/>
    <s v="640 x 360"/>
    <s v="Display"/>
    <s v="TJX"/>
    <s v="mobile"/>
    <s v="GEO,Frequency,Keyword,OS,BrowserLanguage"/>
    <n v="416"/>
    <n v="0"/>
    <s v="Yes"/>
    <s v="Unlimited"/>
    <n v="158362"/>
    <n v="193"/>
    <n v="0.12187000000000001"/>
    <n v="1"/>
    <n v="21.97"/>
    <n v="0.13900000000000001"/>
    <n v="0.114"/>
    <n v="21.966999999999999"/>
    <n v="2"/>
    <n v="0"/>
    <s v="Yes"/>
    <n v="0"/>
    <n v="0"/>
    <n v="0"/>
    <s v="Hentai"/>
    <s v="OL"/>
    <x v="12"/>
    <x v="0"/>
  </r>
  <r>
    <s v="RUNNING"/>
    <n v="1012811862"/>
    <s v="OLD_CPA_Hentai_NativeVideo_excl.-iOS_UK_SD"/>
    <s v="nsfw"/>
    <s v="640 x 360"/>
    <s v="Display"/>
    <s v="TJX"/>
    <s v="mobile"/>
    <s v="GEO,Frequency,Keyword,OS,BrowserLanguage"/>
    <n v="416"/>
    <n v="0"/>
    <s v="Yes"/>
    <s v="Unlimited"/>
    <n v="336907"/>
    <n v="597"/>
    <n v="0.1772"/>
    <n v="1"/>
    <n v="42.06"/>
    <n v="0.125"/>
    <n v="7.0000000000000007E-2"/>
    <n v="42.058"/>
    <n v="2"/>
    <n v="0"/>
    <s v="Yes"/>
    <n v="0"/>
    <n v="0"/>
    <n v="0"/>
    <s v="Hentai"/>
    <s v="OL"/>
    <x v="12"/>
    <x v="0"/>
  </r>
  <r>
    <s v="RUNNING"/>
    <n v="1012811872"/>
    <s v="CPA - Hentai - NativeVideo - excl. iOS - UK"/>
    <s v="nsfw"/>
    <s v="640 x 360"/>
    <s v="Display"/>
    <s v="TJX"/>
    <s v="mobile"/>
    <s v="GEO,Frequency,Keyword,OS,BrowserLanguage"/>
    <n v="416"/>
    <n v="0"/>
    <s v="Yes"/>
    <s v="Unlimited"/>
    <n v="293149"/>
    <n v="938"/>
    <n v="0.31996000000000002"/>
    <n v="2"/>
    <n v="37.96"/>
    <n v="0.13"/>
    <n v="0.04"/>
    <n v="18.978999999999999"/>
    <n v="1"/>
    <n v="0"/>
    <s v="Yes"/>
    <n v="0"/>
    <n v="0"/>
    <n v="0"/>
    <s v="Hentai"/>
    <s v="CP"/>
    <x v="12"/>
    <x v="0"/>
  </r>
  <r>
    <s v="RUNNING"/>
    <n v="1012811882"/>
    <s v="OLD_CPA_Hentai_NativeVideo_Desktop_UK_SD"/>
    <s v="nsfw"/>
    <s v="640 x 360"/>
    <s v="Display"/>
    <s v="TJX"/>
    <s v="desktop"/>
    <s v="GEO,Frequency,Keyword,BrowserLanguage"/>
    <n v="396"/>
    <n v="0"/>
    <s v="Yes"/>
    <s v="Unlimited"/>
    <n v="111492"/>
    <n v="225"/>
    <n v="0.20180999999999999"/>
    <n v="0"/>
    <n v="16.36"/>
    <n v="0.14699999999999999"/>
    <n v="7.2999999999999995E-2"/>
    <n v="0"/>
    <n v="2"/>
    <n v="0"/>
    <s v="Yes"/>
    <n v="0"/>
    <n v="0"/>
    <n v="0"/>
    <s v="Hentai"/>
    <s v="OL"/>
    <x v="12"/>
    <x v="0"/>
  </r>
  <r>
    <s v="PAUSED"/>
    <n v="1012811912"/>
    <s v="CPA - Hentai - 300x250 - iOS - USA"/>
    <s v="nsfw"/>
    <s v="300 x 250"/>
    <s v="Display"/>
    <s v="TJX"/>
    <s v="mobile"/>
    <s v="GEO,Frequency,Keyword,OS,BrowserLanguage"/>
    <n v="81"/>
    <n v="0"/>
    <s v="Yes"/>
    <s v="Unlimited"/>
    <n v="0"/>
    <n v="0"/>
    <n v="0"/>
    <m/>
    <n v="0"/>
    <n v="0"/>
    <n v="0"/>
    <n v="0"/>
    <n v="1"/>
    <n v="0"/>
    <s v="Yes"/>
    <m/>
    <m/>
    <m/>
    <s v="Hentai"/>
    <s v="CP"/>
    <x v="12"/>
    <x v="0"/>
  </r>
  <r>
    <s v="PAUSED"/>
    <n v="1012811942"/>
    <s v="CPA - Hentai - 300x250 - Desktop - USA"/>
    <s v="nsfw"/>
    <s v="300 x 250"/>
    <s v="Display"/>
    <s v="TJX"/>
    <s v="desktop"/>
    <s v="GEO,Frequency,Keyword,BrowserLanguage"/>
    <n v="48"/>
    <n v="0"/>
    <s v="Yes"/>
    <s v="Unlimited"/>
    <n v="0"/>
    <n v="0"/>
    <n v="0"/>
    <m/>
    <n v="0"/>
    <n v="0"/>
    <n v="0"/>
    <n v="0"/>
    <n v="1"/>
    <n v="0"/>
    <s v="Yes"/>
    <m/>
    <m/>
    <m/>
    <s v="Hentai"/>
    <s v="CP"/>
    <x v="12"/>
    <x v="0"/>
  </r>
  <r>
    <s v="RUNNING"/>
    <n v="1012811972"/>
    <s v="OLD_CPA_Hentai_300x250_excl.-iOS_USA_SD"/>
    <s v="nsfw"/>
    <s v="300 x 250"/>
    <s v="Display"/>
    <s v="TJX"/>
    <s v="mobile"/>
    <s v="GEO,Frequency,Keyword,OS,BrowserLanguage"/>
    <n v="81"/>
    <n v="0"/>
    <s v="Yes"/>
    <s v="Unlimited"/>
    <n v="6702609"/>
    <n v="2775"/>
    <n v="4.1399999999999999E-2"/>
    <n v="6"/>
    <n v="440.88"/>
    <n v="6.6000000000000003E-2"/>
    <n v="0.159"/>
    <n v="73.478999999999999"/>
    <n v="2"/>
    <n v="0"/>
    <s v="Yes"/>
    <n v="0"/>
    <n v="0"/>
    <n v="0"/>
    <s v="Hentai"/>
    <s v="OL"/>
    <x v="12"/>
    <x v="0"/>
  </r>
  <r>
    <s v="RUNNING"/>
    <n v="1012811992"/>
    <s v="OLD_CPA_Hentai_300x250_excl.-iOS_Aus_SD"/>
    <s v="nsfw"/>
    <s v="300 x 250"/>
    <s v="Display"/>
    <s v="TJX"/>
    <s v="mobile"/>
    <s v="GEO,Frequency,Keyword,OS,BrowserLanguage"/>
    <n v="81"/>
    <n v="0"/>
    <s v="Yes"/>
    <s v="Unlimited"/>
    <n v="937715"/>
    <n v="377"/>
    <n v="4.02E-2"/>
    <n v="3"/>
    <n v="60.42"/>
    <n v="6.4000000000000001E-2"/>
    <n v="0.16"/>
    <n v="20.138999999999999"/>
    <n v="2"/>
    <n v="0"/>
    <s v="Yes"/>
    <n v="0"/>
    <n v="0"/>
    <n v="0"/>
    <s v="Hentai"/>
    <s v="OL"/>
    <x v="12"/>
    <x v="0"/>
  </r>
  <r>
    <s v="PAUSED"/>
    <n v="1012812002"/>
    <s v="CPA - Hentai - 300x250 - Desktop - Aus"/>
    <s v="nsfw"/>
    <s v="300 x 250"/>
    <s v="Display"/>
    <s v="TJX"/>
    <s v="desktop"/>
    <s v="GEO,Frequency,Keyword,BrowserLanguage"/>
    <n v="48"/>
    <n v="0"/>
    <s v="Yes"/>
    <s v="Unlimited"/>
    <n v="0"/>
    <n v="0"/>
    <n v="0"/>
    <m/>
    <n v="0"/>
    <n v="0"/>
    <n v="0"/>
    <n v="0"/>
    <n v="1"/>
    <n v="0"/>
    <s v="Yes"/>
    <m/>
    <m/>
    <m/>
    <s v="Hentai"/>
    <s v="CP"/>
    <x v="12"/>
    <x v="0"/>
  </r>
  <r>
    <s v="RUNNING"/>
    <n v="1012812012"/>
    <s v="OLD_CPA_Hentai_300x250_iOS_Aus_SD"/>
    <s v="nsfw"/>
    <s v="300 x 250"/>
    <s v="Display"/>
    <s v="TJX"/>
    <s v="mobile"/>
    <s v="GEO,Frequency,Keyword,OS,BrowserLanguage"/>
    <n v="81"/>
    <n v="0"/>
    <s v="Yes"/>
    <s v="Unlimited"/>
    <n v="931735"/>
    <n v="253"/>
    <n v="2.7150000000000001E-2"/>
    <n v="0"/>
    <n v="62.39"/>
    <n v="6.7000000000000004E-2"/>
    <n v="0.247"/>
    <n v="0"/>
    <n v="2"/>
    <n v="0"/>
    <s v="Yes"/>
    <n v="0"/>
    <n v="0"/>
    <n v="0"/>
    <s v="Hentai"/>
    <s v="OL"/>
    <x v="12"/>
    <x v="0"/>
  </r>
  <r>
    <s v="RUNNING"/>
    <n v="1012812022"/>
    <s v="OLD_CPA_Hentai_300x250_iOS_UK_SD"/>
    <s v="nsfw"/>
    <s v="300 x 250"/>
    <s v="Display"/>
    <s v="TJX"/>
    <s v="mobile"/>
    <s v="GEO,Frequency,Keyword,OS,BrowserLanguage"/>
    <n v="81"/>
    <n v="0"/>
    <s v="Yes"/>
    <s v="Unlimited"/>
    <n v="387178"/>
    <n v="112"/>
    <n v="2.8930000000000001E-2"/>
    <n v="0"/>
    <n v="25.96"/>
    <n v="6.7000000000000004E-2"/>
    <n v="0.23200000000000001"/>
    <n v="0"/>
    <n v="2"/>
    <n v="0"/>
    <s v="Yes"/>
    <n v="0"/>
    <n v="0"/>
    <n v="0"/>
    <s v="Hentai"/>
    <s v="OL"/>
    <x v="12"/>
    <x v="0"/>
  </r>
  <r>
    <s v="RUNNING"/>
    <n v="1012812032"/>
    <s v="CPA - Hentai - 300x250 - Desktop - UK"/>
    <s v="nsfw"/>
    <s v="300 x 250"/>
    <s v="Display"/>
    <s v="TJX"/>
    <s v="desktop"/>
    <s v="GEO,Frequency,Keyword,BrowserLanguage"/>
    <n v="48"/>
    <n v="0"/>
    <s v="Yes"/>
    <s v="Unlimited"/>
    <n v="151333"/>
    <n v="222"/>
    <n v="0.1467"/>
    <n v="0"/>
    <n v="31.6"/>
    <n v="0.20899999999999999"/>
    <n v="0.14199999999999999"/>
    <n v="0"/>
    <n v="1"/>
    <n v="0"/>
    <s v="Yes"/>
    <n v="0"/>
    <n v="0"/>
    <n v="0"/>
    <s v="Hentai"/>
    <s v="CP"/>
    <x v="12"/>
    <x v="0"/>
  </r>
  <r>
    <s v="RUNNING"/>
    <n v="1012812042"/>
    <s v="OLD_CPA_Hentai_300x250_excl.-iOS_UK_SD"/>
    <s v="nsfw"/>
    <s v="300 x 250"/>
    <s v="Display"/>
    <s v="TJX"/>
    <s v="mobile"/>
    <s v="GEO,Frequency,Keyword,OS,BrowserLanguage"/>
    <n v="81"/>
    <n v="0"/>
    <s v="Yes"/>
    <s v="Unlimited"/>
    <n v="404967"/>
    <n v="149"/>
    <n v="3.6790000000000003E-2"/>
    <n v="0"/>
    <n v="26.59"/>
    <n v="6.6000000000000003E-2"/>
    <n v="0.17799999999999999"/>
    <n v="0"/>
    <n v="2"/>
    <n v="0"/>
    <s v="Yes"/>
    <n v="0"/>
    <n v="0"/>
    <n v="0"/>
    <s v="Hentai"/>
    <s v="OL"/>
    <x v="12"/>
    <x v="0"/>
  </r>
  <r>
    <s v="PAUSED"/>
    <n v="1012812062"/>
    <s v="CPA - Hentai - 300x250 - Desktop - Canada"/>
    <s v="nsfw"/>
    <s v="300 x 250"/>
    <s v="Display"/>
    <s v="TJX"/>
    <s v="desktop"/>
    <s v="GEO,Frequency,Keyword,BrowserLanguage"/>
    <n v="48"/>
    <n v="0"/>
    <s v="Yes"/>
    <s v="Unlimited"/>
    <n v="0"/>
    <n v="0"/>
    <n v="0"/>
    <m/>
    <n v="0"/>
    <n v="0"/>
    <n v="0"/>
    <n v="0"/>
    <n v="1"/>
    <n v="0"/>
    <s v="Yes"/>
    <m/>
    <m/>
    <m/>
    <s v="Hentai"/>
    <s v="CP"/>
    <x v="12"/>
    <x v="0"/>
  </r>
  <r>
    <s v="PAUSED"/>
    <n v="1012812072"/>
    <s v="CPA - Hentai - 300x250 - iOS - Canada"/>
    <s v="nsfw"/>
    <s v="300 x 250"/>
    <s v="Display"/>
    <s v="TJX"/>
    <s v="mobile"/>
    <s v="GEO,Frequency,Keyword,OS,BrowserLanguage"/>
    <n v="81"/>
    <n v="0"/>
    <s v="Yes"/>
    <s v="Unlimited"/>
    <n v="0"/>
    <n v="0"/>
    <n v="0"/>
    <m/>
    <n v="0"/>
    <n v="0"/>
    <n v="0"/>
    <n v="0"/>
    <n v="1"/>
    <n v="0"/>
    <s v="Yes"/>
    <m/>
    <m/>
    <m/>
    <s v="Hentai"/>
    <s v="CP"/>
    <x v="12"/>
    <x v="0"/>
  </r>
  <r>
    <s v="PAUSED"/>
    <n v="1012812082"/>
    <s v="CPA - Hentai - 300x250 - excl. iOS - Canada"/>
    <s v="nsfw"/>
    <s v="300 x 250"/>
    <s v="Display"/>
    <s v="TJX"/>
    <s v="mobile"/>
    <s v="GEO,Frequency,Keyword,OS,BrowserLanguage"/>
    <n v="81"/>
    <n v="0"/>
    <s v="Yes"/>
    <s v="Unlimited"/>
    <n v="0"/>
    <n v="0"/>
    <n v="0"/>
    <m/>
    <n v="0"/>
    <n v="0"/>
    <n v="0"/>
    <n v="0"/>
    <n v="1"/>
    <n v="0"/>
    <s v="Yes"/>
    <m/>
    <m/>
    <m/>
    <s v="Hentai"/>
    <s v="CP"/>
    <x v="12"/>
    <x v="0"/>
  </r>
  <r>
    <s v="RUNNING"/>
    <n v="1012812092"/>
    <s v="OLD_CPA_Hentai_300x250_excl.-iOS_NZ_SD"/>
    <s v="nsfw"/>
    <s v="300 x 250"/>
    <s v="Display"/>
    <s v="TJX"/>
    <s v="mobile"/>
    <s v="GEO,Frequency,Keyword,OS,BrowserLanguage"/>
    <n v="81"/>
    <n v="0"/>
    <s v="Yes"/>
    <s v="Unlimited"/>
    <n v="257768"/>
    <n v="131"/>
    <n v="5.0819999999999997E-2"/>
    <n v="0"/>
    <n v="18.32"/>
    <n v="7.0999999999999994E-2"/>
    <n v="0.14000000000000001"/>
    <n v="0"/>
    <n v="2"/>
    <n v="0"/>
    <s v="Yes"/>
    <n v="0"/>
    <n v="0"/>
    <n v="0"/>
    <s v="Hentai"/>
    <s v="OL"/>
    <x v="12"/>
    <x v="0"/>
  </r>
  <r>
    <s v="RUNNING"/>
    <n v="1012812102"/>
    <s v="OLD_CPA_Hentai_300x250_iOS_NZ_SD"/>
    <s v="nsfw"/>
    <s v="300 x 250"/>
    <s v="Display"/>
    <s v="TJX"/>
    <s v="mobile"/>
    <s v="GEO,Frequency,Keyword,OS,BrowserLanguage"/>
    <n v="81"/>
    <n v="0"/>
    <s v="Yes"/>
    <s v="Unlimited"/>
    <n v="176344"/>
    <n v="79"/>
    <n v="4.48E-2"/>
    <n v="0"/>
    <n v="12.96"/>
    <n v="7.3999999999999996E-2"/>
    <n v="0.16400000000000001"/>
    <n v="0"/>
    <n v="2"/>
    <n v="0"/>
    <s v="Yes"/>
    <n v="0"/>
    <n v="0"/>
    <n v="0"/>
    <s v="Hentai"/>
    <s v="OL"/>
    <x v="12"/>
    <x v="0"/>
  </r>
  <r>
    <s v="RUNNING"/>
    <n v="1012812112"/>
    <s v="OLD_CPA_Hentai_300x250_Desktop_NZ_SD"/>
    <s v="nsfw"/>
    <s v="300 x 250"/>
    <s v="Display"/>
    <s v="TJX"/>
    <s v="desktop"/>
    <s v="GEO,Frequency,Keyword,BrowserLanguage"/>
    <n v="48"/>
    <n v="0"/>
    <s v="Yes"/>
    <s v="Unlimited"/>
    <n v="124610"/>
    <n v="305"/>
    <n v="0.24476000000000001"/>
    <n v="0"/>
    <n v="23.27"/>
    <n v="0.187"/>
    <n v="7.5999999999999998E-2"/>
    <n v="0"/>
    <n v="2"/>
    <n v="0"/>
    <s v="Yes"/>
    <n v="0"/>
    <n v="0"/>
    <n v="0"/>
    <s v="Hentai"/>
    <s v="OL"/>
    <x v="12"/>
    <x v="0"/>
  </r>
  <r>
    <s v="PAUSED"/>
    <n v="1012820322"/>
    <s v="CPA - Gay - Video-IS - excl. iOS - USA"/>
    <s v="nsfw"/>
    <d v="1899-12-30T16:09:00"/>
    <s v="In-Stream Video"/>
    <s v="TJX"/>
    <s v="mobile"/>
    <s v="GEO,Frequency,OS,BrowserLanguage"/>
    <n v="50"/>
    <n v="0"/>
    <s v="No"/>
    <n v="500"/>
    <n v="0"/>
    <n v="0"/>
    <n v="0"/>
    <m/>
    <n v="0"/>
    <n v="0"/>
    <n v="0"/>
    <n v="0"/>
    <n v="1"/>
    <n v="0"/>
    <s v="Yes"/>
    <m/>
    <m/>
    <m/>
    <s v="General"/>
    <s v="CP"/>
    <x v="13"/>
    <x v="0"/>
  </r>
  <r>
    <s v="PAUSED"/>
    <n v="1012820332"/>
    <s v="CPA - Gay - Video-IS - iOS - USA"/>
    <s v="nsfw"/>
    <d v="1899-12-30T16:09:00"/>
    <s v="In-Stream Video"/>
    <s v="TJX"/>
    <s v="mobile"/>
    <s v="GEO,Frequency,OS,BrowserLanguage"/>
    <n v="50"/>
    <n v="0"/>
    <s v="No"/>
    <n v="500"/>
    <n v="0"/>
    <n v="0"/>
    <n v="0"/>
    <m/>
    <n v="0"/>
    <n v="0"/>
    <n v="0"/>
    <n v="0"/>
    <n v="1"/>
    <n v="0"/>
    <s v="Yes"/>
    <m/>
    <m/>
    <m/>
    <s v="General"/>
    <s v="CP"/>
    <x v="13"/>
    <x v="0"/>
  </r>
  <r>
    <s v="PAUSED"/>
    <n v="1012850562"/>
    <s v="CPA - AI - Video - Desktop - USA"/>
    <s v="nsfw"/>
    <d v="1899-12-30T16:09:00"/>
    <s v="In-Stream Video"/>
    <s v="TJX"/>
    <s v="desktop"/>
    <s v="GEO,Frequency,BrowserLanguage,Segment"/>
    <n v="45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NOT RUNNING"/>
    <n v="1012853592"/>
    <s v="CPA - AI - Video-IS - iOS - UK"/>
    <s v="nsfw"/>
    <d v="1899-12-30T16:09:00"/>
    <s v="In-Stream Video"/>
    <s v="TJX"/>
    <s v="mobile"/>
    <s v="GEO,Frequency,OS,Segment"/>
    <n v="460"/>
    <n v="0"/>
    <s v="Yes"/>
    <s v="Unlimited"/>
    <n v="0"/>
    <n v="0"/>
    <n v="0"/>
    <m/>
    <n v="0"/>
    <n v="0"/>
    <n v="0"/>
    <n v="0"/>
    <n v="1"/>
    <n v="0"/>
    <s v="Yes"/>
    <m/>
    <m/>
    <m/>
    <s v="AI"/>
    <s v="CP"/>
    <x v="1"/>
    <x v="0"/>
  </r>
  <r>
    <s v="PAUSED"/>
    <n v="1012853732"/>
    <s v="CPA - AI - Shorties - iOS - UK"/>
    <s v="nsfw"/>
    <d v="1899-12-30T09:16:00"/>
    <s v="In-Stream Video"/>
    <s v="TJX"/>
    <s v="mobile"/>
    <s v="GEO,Frequency,OS,Segment"/>
    <n v="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53752"/>
    <s v="CPA - AI - Shorties - Android - UK"/>
    <s v="nsfw"/>
    <d v="1899-12-30T09:16:00"/>
    <s v="In-Stream Video"/>
    <s v="TJX"/>
    <s v="mobile"/>
    <s v="GEO,Frequency,OS,Segment"/>
    <n v="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54242"/>
    <s v="CPA - AI - Shorties - Android - Canada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54252"/>
    <s v="CPA - AI - Shorties - iOS - Canada"/>
    <s v="nsfw"/>
    <d v="1899-12-30T09:16:00"/>
    <s v="In-Stream Video"/>
    <s v="TJX"/>
    <s v="mobile"/>
    <s v="GEO,Frequency,OS,Segment"/>
    <n v="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54262"/>
    <s v="CPA - AI - Shorties - Android - NZ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54272"/>
    <s v="CPA - AI - Shorties - iOS - NZ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54282"/>
    <s v="CPA - AI - Shorties - Android - IE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54302"/>
    <s v="CPA - AI - Shorties - iOS - IE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NOT RUNNING"/>
    <n v="1012854322"/>
    <s v="CPA - AI - Video-IS - iOS - NZ"/>
    <s v="nsfw"/>
    <d v="1899-12-30T16:09:00"/>
    <s v="In-Stream Video"/>
    <s v="TJX"/>
    <s v="mobile"/>
    <s v="GEO,Frequency,OS,Segment"/>
    <n v="920"/>
    <n v="0"/>
    <s v="Yes"/>
    <s v="Unlimited"/>
    <n v="263"/>
    <n v="11"/>
    <n v="4.1825099999999997"/>
    <n v="0"/>
    <n v="0.15"/>
    <n v="0.58499999999999996"/>
    <n v="1.4E-2"/>
    <n v="0"/>
    <n v="1"/>
    <n v="0"/>
    <s v="Yes"/>
    <n v="263"/>
    <n v="235"/>
    <n v="22"/>
    <s v="AI"/>
    <s v="CP"/>
    <x v="0"/>
    <x v="0"/>
  </r>
  <r>
    <s v="PAUSED"/>
    <n v="1012854332"/>
    <s v="CPA - AI - Video-IS - iOS - IE"/>
    <s v="nsfw"/>
    <d v="1899-12-30T16:09:00"/>
    <s v="In-Stream Video"/>
    <s v="TJX"/>
    <s v="mobile"/>
    <s v="GEO,Frequency,OS,Segment"/>
    <n v="9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NOT RUNNING"/>
    <n v="1012854342"/>
    <s v="CPA - AI - Video-IS - excl. iOS - NZ"/>
    <s v="nsfw"/>
    <d v="1899-12-30T16:09:00"/>
    <s v="In-Stream Video"/>
    <s v="TJX"/>
    <s v="mobile"/>
    <s v="GEO,Frequency,OS,Segment"/>
    <n v="460"/>
    <n v="0"/>
    <s v="Yes"/>
    <s v="Unlimited"/>
    <n v="151"/>
    <n v="8"/>
    <n v="5.2980099999999997"/>
    <n v="0"/>
    <n v="0.09"/>
    <n v="0.58099999999999996"/>
    <n v="1.0999999999999999E-2"/>
    <n v="0"/>
    <n v="1"/>
    <n v="0"/>
    <s v="Yes"/>
    <n v="151"/>
    <n v="133"/>
    <n v="13"/>
    <s v="AI"/>
    <s v="CP"/>
    <x v="0"/>
    <x v="0"/>
  </r>
  <r>
    <s v="PAUSED"/>
    <n v="1012854352"/>
    <s v="CPA - AI - Video-IS - Android - IE"/>
    <s v="nsfw"/>
    <d v="1899-12-30T16:09:00"/>
    <s v="In-Stream Video"/>
    <s v="TJX"/>
    <s v="mobile"/>
    <s v="GEO,Frequency,OS,Segment"/>
    <n v="92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NOT RUNNING"/>
    <n v="1012854472"/>
    <s v="CPA - AI - Video-IS - Desktop - NZ"/>
    <s v="nsfw"/>
    <d v="1899-12-30T16:09:00"/>
    <s v="In-Stream Video"/>
    <s v="TJX"/>
    <s v="desktop"/>
    <s v="GEO,Frequency,BrowserLanguage,Segment"/>
    <n v="252"/>
    <n v="0"/>
    <s v="Yes"/>
    <s v="Unlimited"/>
    <n v="179"/>
    <n v="2"/>
    <n v="1.1173200000000001"/>
    <n v="0"/>
    <n v="0.11"/>
    <n v="0.58799999999999997"/>
    <n v="5.2999999999999999E-2"/>
    <n v="0"/>
    <n v="1"/>
    <n v="0"/>
    <s v="Yes"/>
    <n v="179"/>
    <n v="129"/>
    <n v="25"/>
    <s v="AI"/>
    <s v="CP"/>
    <x v="0"/>
    <x v="0"/>
  </r>
  <r>
    <s v="PAUSED"/>
    <n v="1012854502"/>
    <s v="CPA - AI - Video-IS - Desktop - IE"/>
    <s v="nsfw"/>
    <d v="1899-12-30T16:09:00"/>
    <s v="In-Stream Video"/>
    <s v="TJX"/>
    <s v="desktop"/>
    <s v="GEO,Frequency,BrowserLanguage,Segment"/>
    <n v="560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54662"/>
    <s v="CPA - AI - 950x250 - Desktop - US"/>
    <s v="nsfw"/>
    <s v="950 x 250"/>
    <s v="Display"/>
    <s v="TJX"/>
    <s v="desktop"/>
    <s v="GEO,Frequency,BrowserLanguage,Segment"/>
    <n v="6"/>
    <n v="0"/>
    <s v="Yes"/>
    <s v="Unlimited"/>
    <n v="0"/>
    <n v="0"/>
    <n v="0"/>
    <m/>
    <n v="0"/>
    <n v="0"/>
    <n v="0"/>
    <n v="0"/>
    <n v="1"/>
    <n v="0"/>
    <s v="No"/>
    <m/>
    <m/>
    <m/>
    <s v="Bin"/>
    <s v="CP"/>
    <x v="1"/>
    <x v="0"/>
  </r>
  <r>
    <s v="PAUSED"/>
    <n v="1012854692"/>
    <s v="CPA - AI - 950x250 - Desktop - UK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Bin"/>
    <s v="CP"/>
    <x v="1"/>
    <x v="0"/>
  </r>
  <r>
    <s v="PAUSED"/>
    <n v="1012854712"/>
    <s v="CPA - AI - 950x250 - Desktop - Canada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Bin"/>
    <s v="CP"/>
    <x v="1"/>
    <x v="0"/>
  </r>
  <r>
    <s v="PAUSED"/>
    <n v="1012854722"/>
    <s v="CPA - AI - 950x250 - Desktop - Aus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Bin"/>
    <s v="CP"/>
    <x v="1"/>
    <x v="0"/>
  </r>
  <r>
    <s v="PAUSED"/>
    <n v="1012854732"/>
    <s v="CPA - AI - 950x250 - Desktop - NZ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Bin"/>
    <s v="CP"/>
    <x v="1"/>
    <x v="0"/>
  </r>
  <r>
    <s v="PAUSED"/>
    <n v="1012854742"/>
    <s v="CPA - AI - 950x250 - Desktop - IE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Bin"/>
    <s v="CP"/>
    <x v="1"/>
    <x v="0"/>
  </r>
  <r>
    <s v="PAUSED"/>
    <n v="1012854792"/>
    <s v="CPA - AI - 950x250 - Mobile - USA"/>
    <s v="nsfw"/>
    <s v="950 x 250"/>
    <s v="Display"/>
    <s v="TJX"/>
    <s v="mobile"/>
    <s v="GEO,Frequency,OS,Segment"/>
    <n v="4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54842"/>
    <s v="CPA - AI - 950x250 - Mobile - Aus"/>
    <s v="nsfw"/>
    <s v="950 x 250"/>
    <s v="Display"/>
    <s v="TJX"/>
    <s v="mobile"/>
    <s v="GEO,Frequency,OS,Segment"/>
    <n v="6"/>
    <n v="0"/>
    <s v="Yes"/>
    <s v="Unlimited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58692"/>
    <s v="CPA - KEY1 - Video-IS - Desktop - USA - 1"/>
    <s v="nsfw"/>
    <d v="1899-12-30T16:09:00"/>
    <s v="In-Stream Video"/>
    <s v="TJX"/>
    <s v="desktop"/>
    <s v="GEO,Frequency,Keyword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60402"/>
    <s v="CPA - KEY1 - Video-IS - Desktop - USA - 2"/>
    <s v="nsfw"/>
    <d v="1899-12-30T16:09:00"/>
    <s v="In-Stream Video"/>
    <s v="TJX"/>
    <s v="desktop"/>
    <s v="GEO,Frequency,Keyword"/>
    <n v="280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PAUSED"/>
    <n v="1012863632"/>
    <s v="CPA - INT1KEY1 - Preroll - Desktop - USA"/>
    <s v="nsfw"/>
    <d v="1899-12-30T16:09:00"/>
    <s v="In-Stream Video"/>
    <s v="TJX"/>
    <s v="desktop"/>
    <s v="GEO,Frequency,Keyword,Segment"/>
    <n v="252"/>
    <n v="0"/>
    <s v="No"/>
    <n v="250"/>
    <n v="0"/>
    <n v="0"/>
    <n v="0"/>
    <m/>
    <n v="0"/>
    <n v="0"/>
    <n v="0"/>
    <n v="0"/>
    <n v="1"/>
    <n v="0"/>
    <s v="Yes"/>
    <m/>
    <m/>
    <m/>
    <s v="Bin"/>
    <s v="CP"/>
    <x v="1"/>
    <x v="0"/>
  </r>
  <r>
    <s v="RUNNING"/>
    <n v="1012865892"/>
    <s v="CPA - Marvel - Video-IS - excl. iOS - UK"/>
    <s v="nsfw"/>
    <d v="1899-12-30T16:09:00"/>
    <s v="In-Stream Video"/>
    <s v="TJX"/>
    <s v="mobile"/>
    <s v="GEO,Frequency,Keyword,OS,BrowserLanguage"/>
    <n v="560"/>
    <n v="0"/>
    <s v="Yes"/>
    <s v="Unlimited"/>
    <n v="1746"/>
    <n v="91"/>
    <n v="5.2119"/>
    <n v="0"/>
    <n v="1.34"/>
    <n v="0.76600000000000001"/>
    <n v="1.4999999999999999E-2"/>
    <n v="0"/>
    <n v="1"/>
    <n v="0"/>
    <s v="Yes"/>
    <n v="1746"/>
    <n v="1581"/>
    <n v="131"/>
    <s v="Marvel"/>
    <s v="CP"/>
    <x v="3"/>
    <x v="0"/>
  </r>
  <r>
    <s v="RUNNING"/>
    <n v="1012865902"/>
    <s v="CPA - Marvel - Video-IS - excl. iOS - Canada"/>
    <s v="nsfw"/>
    <d v="1899-12-30T16:09:00"/>
    <s v="In-Stream Video"/>
    <s v="TJX"/>
    <s v="mobile"/>
    <s v="GEO,Frequency,Keyword,OS,BrowserLanguage"/>
    <n v="560"/>
    <n v="0"/>
    <s v="Yes"/>
    <s v="Unlimited"/>
    <n v="57237"/>
    <n v="3439"/>
    <n v="6.0083500000000001"/>
    <n v="0"/>
    <n v="76.62"/>
    <n v="1.339"/>
    <n v="2.1999999999999999E-2"/>
    <n v="0"/>
    <n v="1"/>
    <n v="0"/>
    <s v="Yes"/>
    <n v="57233"/>
    <n v="50836"/>
    <n v="4224"/>
    <s v="Marvel"/>
    <s v="CP"/>
    <x v="3"/>
    <x v="0"/>
  </r>
  <r>
    <s v="PAUSED"/>
    <n v="1012865912"/>
    <s v="CPA - Marvel - Video-IS - excl. iOS - Aus"/>
    <s v="nsfw"/>
    <d v="1899-12-30T16:09:00"/>
    <s v="In-Stream Video"/>
    <s v="TJX"/>
    <s v="mobile"/>
    <s v="GEO,Frequency,Keyword,OS,BrowserLanguage"/>
    <n v="560"/>
    <n v="0"/>
    <s v="Yes"/>
    <s v="Unlimited"/>
    <n v="0"/>
    <n v="0"/>
    <n v="0"/>
    <m/>
    <n v="0"/>
    <n v="0"/>
    <n v="0"/>
    <n v="0"/>
    <n v="1"/>
    <n v="0"/>
    <s v="Yes"/>
    <m/>
    <m/>
    <m/>
    <s v="Archive"/>
    <s v="CP"/>
    <x v="3"/>
    <x v="0"/>
  </r>
  <r>
    <s v="RUNNING"/>
    <n v="1012865922"/>
    <s v="CPA - Marvel - Video-IS - excl. iOS - NZ"/>
    <s v="nsfw"/>
    <d v="1899-12-30T16:09:00"/>
    <s v="In-Stream Video"/>
    <s v="TJX"/>
    <s v="mobile"/>
    <s v="GEO,Frequency,Keyword,OS,BrowserLanguage"/>
    <n v="560"/>
    <n v="0"/>
    <s v="Yes"/>
    <s v="Unlimited"/>
    <n v="3171"/>
    <n v="173"/>
    <n v="5.4556899999999997"/>
    <n v="0"/>
    <n v="2.72"/>
    <n v="0.85699999999999998"/>
    <n v="1.6E-2"/>
    <n v="0"/>
    <n v="1"/>
    <n v="0"/>
    <s v="Yes"/>
    <n v="3171"/>
    <n v="2799"/>
    <n v="249"/>
    <s v="Marvel"/>
    <s v="CP"/>
    <x v="3"/>
    <x v="0"/>
  </r>
  <r>
    <s v="RUNNING"/>
    <n v="1012866372"/>
    <s v="CPA - Missionary - Video-IS - Desktop - UK"/>
    <s v="nsfw"/>
    <d v="1899-12-30T16:09:00"/>
    <s v="In-Stream Video"/>
    <s v="TJX"/>
    <s v="desktop"/>
    <s v="GEO,Frequency,Keyword,BrowserLanguage"/>
    <n v="72"/>
    <n v="0"/>
    <s v="Yes"/>
    <s v="Unlimited"/>
    <n v="244178"/>
    <n v="10964"/>
    <n v="4.49017"/>
    <n v="9"/>
    <n v="688.9"/>
    <n v="2.8210000000000002"/>
    <n v="6.3E-2"/>
    <n v="76.543999999999997"/>
    <n v="1"/>
    <n v="0"/>
    <s v="Yes"/>
    <n v="244182"/>
    <n v="190698"/>
    <n v="29873"/>
    <s v="Missionary"/>
    <s v="CP"/>
    <x v="3"/>
    <x v="0"/>
  </r>
  <r>
    <s v="RUNNING"/>
    <n v="1012866382"/>
    <s v="CPA - Missionary - Video-IS - Desktop - Aus"/>
    <s v="nsfw"/>
    <d v="1899-12-30T16:09:00"/>
    <s v="In-Stream Video"/>
    <s v="TJX"/>
    <s v="desktop"/>
    <s v="GEO,Frequency,Keyword,Browser,BrowserLanguage"/>
    <n v="72"/>
    <n v="0"/>
    <s v="No"/>
    <n v="250"/>
    <n v="347609"/>
    <n v="15355"/>
    <n v="4.4173200000000001"/>
    <n v="4"/>
    <n v="530.15"/>
    <n v="1.5249999999999999"/>
    <n v="3.5000000000000003E-2"/>
    <n v="132.53700000000001"/>
    <n v="1"/>
    <n v="0"/>
    <s v="Yes"/>
    <n v="347617"/>
    <n v="268009"/>
    <n v="46124"/>
    <s v="Missionary"/>
    <s v="CP"/>
    <x v="3"/>
    <x v="0"/>
  </r>
  <r>
    <s v="RUNNING"/>
    <n v="1012866392"/>
    <s v="CPA - Missionary - Video-IS - Desktop - NZ"/>
    <s v="nsfw"/>
    <d v="1899-12-30T16:09:00"/>
    <s v="In-Stream Video"/>
    <s v="TJX"/>
    <s v="desktop"/>
    <s v="GEO,Frequency,Keyword,BrowserLanguage"/>
    <n v="72"/>
    <n v="0"/>
    <s v="No"/>
    <n v="250"/>
    <n v="10334"/>
    <n v="445"/>
    <n v="4.3061699999999998"/>
    <n v="0"/>
    <n v="10.81"/>
    <n v="1.046"/>
    <n v="2.4E-2"/>
    <n v="0"/>
    <n v="1"/>
    <n v="0"/>
    <s v="Yes"/>
    <n v="10334"/>
    <n v="7555"/>
    <n v="1451"/>
    <s v="Missionary"/>
    <s v="CP"/>
    <x v="3"/>
    <x v="0"/>
  </r>
  <r>
    <s v="RUNNING"/>
    <n v="1012866402"/>
    <s v="CPA - Missionary - Video-IS - Desktop - Canada"/>
    <s v="nsfw"/>
    <d v="1899-12-30T16:09:00"/>
    <s v="In-Stream Video"/>
    <s v="TJX"/>
    <s v="desktop"/>
    <s v="GEO,Frequency,Keyword,BrowserLanguage"/>
    <n v="72"/>
    <n v="0"/>
    <s v="Yes"/>
    <s v="Unlimited"/>
    <n v="629871"/>
    <n v="29196"/>
    <n v="4.63523"/>
    <n v="14"/>
    <n v="810.1"/>
    <n v="1.286"/>
    <n v="2.8000000000000001E-2"/>
    <n v="57.863999999999997"/>
    <n v="1"/>
    <n v="0"/>
    <s v="Yes"/>
    <n v="629863"/>
    <n v="486665"/>
    <n v="79143"/>
    <s v="Missionary"/>
    <s v="CP"/>
    <x v="3"/>
    <x v="0"/>
  </r>
  <r>
    <s v="PAUSED"/>
    <n v="1012866412"/>
    <s v="CPA - Missionary - Video-IS - excl. iOS - UK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Missionary"/>
    <s v="CP"/>
    <x v="10"/>
    <x v="0"/>
  </r>
  <r>
    <s v="PAUSED"/>
    <n v="1012866422"/>
    <s v="CPA - Missionary - Video-IS - excl. iOS - USA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Missionary"/>
    <s v="CP"/>
    <x v="1"/>
    <x v="0"/>
  </r>
  <r>
    <s v="PAUSED"/>
    <n v="1012866432"/>
    <s v="CPA - Missionary - Video-IS - excl. iOS - Aus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Missionary"/>
    <s v="CP"/>
    <x v="10"/>
    <x v="0"/>
  </r>
  <r>
    <s v="PAUSED"/>
    <n v="1012866442"/>
    <s v="CPA - Missionary - Video-IS - excl. iOS - NZ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Missionary"/>
    <s v="CP"/>
    <x v="10"/>
    <x v="0"/>
  </r>
  <r>
    <s v="PAUSED"/>
    <n v="1012866452"/>
    <s v="CPA - Missionary - Video-IS - iOS - NZ"/>
    <s v="nsfw"/>
    <d v="1899-12-30T16:09:00"/>
    <s v="In-Stream Video"/>
    <s v="TJX"/>
    <s v="mobile"/>
    <s v="GEO,Frequency,Keyword,OS,BrowserLanguage"/>
    <n v="81"/>
    <n v="0"/>
    <s v="No"/>
    <n v="250"/>
    <n v="0"/>
    <n v="0"/>
    <n v="0"/>
    <m/>
    <n v="0"/>
    <n v="0"/>
    <n v="0"/>
    <n v="0"/>
    <n v="1"/>
    <n v="0"/>
    <s v="Yes"/>
    <m/>
    <m/>
    <m/>
    <s v="Missionary"/>
    <s v="CP"/>
    <x v="10"/>
    <x v="0"/>
  </r>
  <r>
    <s v="PAUSED"/>
    <n v="1012866462"/>
    <s v="CPA - Missionary - Video-IS - iOS - Aus"/>
    <s v="nsfw"/>
    <d v="1899-12-30T16:09:00"/>
    <s v="In-Stream Video"/>
    <s v="TJX"/>
    <s v="mobile"/>
    <s v="GEO,Frequency,Keyword,OS,BrowserLanguage"/>
    <n v="81"/>
    <n v="0"/>
    <s v="No"/>
    <n v="250"/>
    <n v="0"/>
    <n v="0"/>
    <n v="0"/>
    <m/>
    <n v="0"/>
    <n v="0"/>
    <n v="0"/>
    <n v="0"/>
    <n v="1"/>
    <n v="0"/>
    <s v="Yes"/>
    <m/>
    <m/>
    <m/>
    <s v="Missionary"/>
    <s v="CP"/>
    <x v="1"/>
    <x v="0"/>
  </r>
  <r>
    <s v="PAUSED"/>
    <n v="1012866472"/>
    <s v="CPA - Missionary - Video-IS - iOS - USA"/>
    <s v="nsfw"/>
    <d v="1899-12-30T16:09:00"/>
    <s v="In-Stream Video"/>
    <s v="TJX"/>
    <s v="mobile"/>
    <s v="GEO,Frequency,Keyword,OS,BrowserLanguage"/>
    <n v="81"/>
    <n v="0"/>
    <s v="No"/>
    <n v="250"/>
    <n v="0"/>
    <n v="0"/>
    <n v="0"/>
    <m/>
    <n v="0"/>
    <n v="0"/>
    <n v="0"/>
    <n v="0"/>
    <n v="1"/>
    <n v="0"/>
    <s v="Yes"/>
    <m/>
    <m/>
    <m/>
    <s v="Missionary"/>
    <s v="CP"/>
    <x v="1"/>
    <x v="0"/>
  </r>
  <r>
    <s v="PAUSED"/>
    <n v="1012866482"/>
    <s v="CPA - Missionary - Video-IS - iOS - UK"/>
    <s v="nsfw"/>
    <d v="1899-12-30T16:09:00"/>
    <s v="In-Stream Video"/>
    <s v="TJX"/>
    <s v="mobile"/>
    <s v="GEO,Frequency,Keyword,OS,BrowserLanguage"/>
    <n v="81"/>
    <n v="0"/>
    <s v="No"/>
    <n v="250"/>
    <n v="0"/>
    <n v="0"/>
    <n v="0"/>
    <m/>
    <n v="0"/>
    <n v="0"/>
    <n v="0"/>
    <n v="0"/>
    <n v="1"/>
    <n v="0"/>
    <s v="Yes"/>
    <m/>
    <m/>
    <m/>
    <s v="Missionary"/>
    <s v="CP"/>
    <x v="1"/>
    <x v="0"/>
  </r>
  <r>
    <s v="PAUSED"/>
    <n v="1012866492"/>
    <s v="CPA - Missionary - Video-IS - iOS - Canada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Missionary"/>
    <s v="CP"/>
    <x v="1"/>
    <x v="0"/>
  </r>
  <r>
    <s v="PAUSED"/>
    <n v="1012866502"/>
    <s v="CPA - TransV2 - Video-IS - excl. iOS - USA"/>
    <s v="nsfw"/>
    <d v="1899-12-30T16:09:00"/>
    <s v="In-Stream Video"/>
    <s v="TJX"/>
    <s v="mobile"/>
    <s v="GEO,Frequency,Keyword,OS,BrowserLanguage"/>
    <n v="120"/>
    <n v="0"/>
    <s v="Yes"/>
    <s v="Unlimited"/>
    <n v="0"/>
    <n v="0"/>
    <n v="0"/>
    <m/>
    <n v="0"/>
    <n v="0"/>
    <n v="0"/>
    <n v="0"/>
    <n v="1"/>
    <n v="0"/>
    <s v="Yes"/>
    <m/>
    <m/>
    <m/>
    <s v="TransV2"/>
    <s v="CP"/>
    <x v="1"/>
    <x v="0"/>
  </r>
  <r>
    <s v="PAUSED"/>
    <n v="1012866512"/>
    <s v="CPA - TransV2 - Video-IS - iOS - USA"/>
    <s v="nsfw"/>
    <d v="1899-12-30T16:09:00"/>
    <s v="In-Stream Video"/>
    <s v="TJX"/>
    <s v="mobile"/>
    <s v="GEO,Frequency,Keyword,OS,BrowserLanguage"/>
    <n v="62"/>
    <n v="89"/>
    <s v="Yes"/>
    <s v="Unlimited"/>
    <n v="231978"/>
    <n v="12298"/>
    <n v="5.3013599999999999"/>
    <n v="3"/>
    <n v="498.37"/>
    <n v="2.1480000000000001"/>
    <n v="4.1000000000000002E-2"/>
    <n v="166.125"/>
    <n v="1"/>
    <n v="0"/>
    <s v="Yes"/>
    <n v="231978"/>
    <n v="210038"/>
    <n v="13771"/>
    <s v="TransV2"/>
    <s v="CP"/>
    <x v="6"/>
    <x v="0"/>
  </r>
  <r>
    <s v="PAUSED"/>
    <n v="1012866522"/>
    <s v="CPA - TransV2 - Video-IS - iOS - Aus"/>
    <s v="nsfw"/>
    <d v="1899-12-30T16:09:00"/>
    <s v="In-Stream Video"/>
    <s v="TJX"/>
    <s v="mobile"/>
    <s v="GEO,Frequency,Keyword,OS,BrowserLanguage"/>
    <n v="240"/>
    <n v="0"/>
    <s v="Yes"/>
    <s v="Unlimited"/>
    <n v="0"/>
    <n v="0"/>
    <n v="0"/>
    <m/>
    <n v="0"/>
    <n v="0"/>
    <n v="0"/>
    <n v="0"/>
    <n v="1"/>
    <n v="0"/>
    <s v="Yes"/>
    <m/>
    <m/>
    <m/>
    <s v="TransV2"/>
    <s v="CP"/>
    <x v="1"/>
    <x v="0"/>
  </r>
  <r>
    <s v="RUNNING"/>
    <n v="1012866532"/>
    <s v="CPA - TransV2 - Video-IS - excl. iOS - Aus"/>
    <s v="nsfw"/>
    <d v="1899-12-30T16:09:00"/>
    <s v="In-Stream Video"/>
    <s v="TJX"/>
    <s v="mobile"/>
    <s v="GEO,Frequency,Keyword,OS,BrowserLanguage"/>
    <n v="240"/>
    <n v="0"/>
    <s v="Yes"/>
    <s v="Unlimited"/>
    <n v="6599"/>
    <n v="286"/>
    <n v="4.33399"/>
    <n v="0"/>
    <n v="4.5"/>
    <n v="0.68200000000000005"/>
    <n v="1.6E-2"/>
    <n v="0"/>
    <n v="1"/>
    <n v="0"/>
    <s v="Yes"/>
    <n v="6599"/>
    <n v="5930"/>
    <n v="444"/>
    <s v="TransV2"/>
    <s v="CP"/>
    <x v="6"/>
    <x v="0"/>
  </r>
  <r>
    <s v="NOT RUNNING"/>
    <n v="1012866542"/>
    <s v="CPA - TransV2 - Video-IS - iOS - UK"/>
    <s v="nsfw"/>
    <d v="1899-12-30T16:09:00"/>
    <s v="In-Stream Video"/>
    <s v="TJX"/>
    <s v="mobile"/>
    <s v="GEO,Frequency,Keyword,OS,BrowserLanguage"/>
    <n v="240"/>
    <n v="0"/>
    <s v="Yes"/>
    <s v="Unlimited"/>
    <n v="0"/>
    <n v="0"/>
    <n v="0"/>
    <m/>
    <n v="0"/>
    <n v="0"/>
    <n v="0"/>
    <n v="0"/>
    <n v="1"/>
    <n v="0"/>
    <s v="Yes"/>
    <m/>
    <m/>
    <m/>
    <s v="TransV2"/>
    <s v="CP"/>
    <x v="1"/>
    <x v="0"/>
  </r>
  <r>
    <s v="RUNNING"/>
    <n v="1012866552"/>
    <s v="CPA - TransV2 - Video-IS - excl. iOS - UK"/>
    <s v="nsfw"/>
    <d v="1899-12-30T16:09:00"/>
    <s v="In-Stream Video"/>
    <s v="TJX"/>
    <s v="mobile"/>
    <s v="GEO,Frequency,Keyword,OS,BrowserLanguage"/>
    <n v="240"/>
    <n v="0"/>
    <s v="Yes"/>
    <s v="Unlimited"/>
    <n v="2846"/>
    <n v="126"/>
    <n v="4.42727"/>
    <n v="0"/>
    <n v="1.76"/>
    <n v="0.62"/>
    <n v="1.4E-2"/>
    <n v="0"/>
    <n v="1"/>
    <n v="0"/>
    <s v="Yes"/>
    <n v="2846"/>
    <n v="2630"/>
    <n v="151"/>
    <s v="TransV2"/>
    <s v="CP"/>
    <x v="6"/>
    <x v="0"/>
  </r>
  <r>
    <s v="PAUSED"/>
    <n v="1012866562"/>
    <s v="CPA - TransV2 - Video-IS - iOS - Canada"/>
    <s v="nsfw"/>
    <d v="1899-12-30T16:09:00"/>
    <s v="In-Stream Video"/>
    <s v="TJX"/>
    <s v="mobile"/>
    <s v="GEO,Frequency,Keyword,OS,BrowserLanguage"/>
    <n v="240"/>
    <n v="0"/>
    <s v="Yes"/>
    <s v="Unlimited"/>
    <n v="0"/>
    <n v="0"/>
    <n v="0"/>
    <m/>
    <n v="0"/>
    <n v="0"/>
    <n v="0"/>
    <n v="0"/>
    <n v="1"/>
    <n v="0"/>
    <s v="Yes"/>
    <m/>
    <m/>
    <m/>
    <s v="TransV2"/>
    <s v="CP"/>
    <x v="1"/>
    <x v="0"/>
  </r>
  <r>
    <s v="PAUSED"/>
    <n v="1012866572"/>
    <s v="CPA - TransV2 - Video-IS - excl. iOS - Canada"/>
    <s v="nsfw"/>
    <d v="1899-12-30T16:09:00"/>
    <s v="In-Stream Video"/>
    <s v="TJX"/>
    <s v="mobile"/>
    <s v="GEO,Frequency,Keyword,OS,BrowserLanguage"/>
    <n v="240"/>
    <n v="0"/>
    <s v="Yes"/>
    <s v="Unlimited"/>
    <n v="0"/>
    <n v="0"/>
    <n v="0"/>
    <m/>
    <n v="0"/>
    <n v="0"/>
    <n v="0"/>
    <n v="0"/>
    <n v="1"/>
    <n v="0"/>
    <s v="Yes"/>
    <m/>
    <m/>
    <m/>
    <s v="TransV2"/>
    <s v="CP"/>
    <x v="6"/>
    <x v="0"/>
  </r>
  <r>
    <s v="RUNNING"/>
    <n v="1012866582"/>
    <s v="CPA - TransV2 - Video-IS - excl. iOS - NZ"/>
    <s v="nsfw"/>
    <d v="1899-12-30T16:09:00"/>
    <s v="In-Stream Video"/>
    <s v="TJX"/>
    <s v="mobile"/>
    <s v="GEO,Frequency,Keyword,OS,BrowserLanguage"/>
    <n v="240"/>
    <n v="0"/>
    <s v="Yes"/>
    <s v="Unlimited"/>
    <n v="6850"/>
    <n v="391"/>
    <n v="5.7080299999999999"/>
    <n v="0"/>
    <n v="3.61"/>
    <n v="0.52600000000000002"/>
    <n v="8.9999999999999993E-3"/>
    <n v="0"/>
    <n v="1"/>
    <n v="0"/>
    <s v="Yes"/>
    <n v="6850"/>
    <n v="5971"/>
    <n v="619"/>
    <s v="TransV2"/>
    <s v="CP"/>
    <x v="6"/>
    <x v="0"/>
  </r>
  <r>
    <s v="RUNNING"/>
    <n v="1012866592"/>
    <s v="CPA - TransV2 - Video-IS - iOS - NZ"/>
    <s v="nsfw"/>
    <d v="1899-12-30T16:09:00"/>
    <s v="In-Stream Video"/>
    <s v="TJX"/>
    <s v="mobile"/>
    <s v="GEO,Frequency,Keyword,OS,BrowserLanguage"/>
    <n v="240"/>
    <n v="0"/>
    <s v="Yes"/>
    <s v="Unlimited"/>
    <n v="10497"/>
    <n v="507"/>
    <n v="4.8299500000000002"/>
    <n v="0"/>
    <n v="6.02"/>
    <n v="0.57399999999999995"/>
    <n v="1.2E-2"/>
    <n v="0"/>
    <n v="1"/>
    <n v="0"/>
    <s v="Yes"/>
    <n v="10497"/>
    <n v="9256"/>
    <n v="867"/>
    <s v="TransV2"/>
    <s v="CP"/>
    <x v="6"/>
    <x v="0"/>
  </r>
  <r>
    <s v="RUNNING"/>
    <n v="1012866602"/>
    <s v="CPA - TransV2 - Video-IS - Desktop - NZ"/>
    <s v="nsfw"/>
    <d v="1899-12-30T16:09:00"/>
    <s v="In-Stream Video"/>
    <s v="TJX"/>
    <s v="desktop"/>
    <s v="GEO,Frequency,Keyword,BrowserLanguage"/>
    <n v="416"/>
    <n v="0"/>
    <s v="Yes"/>
    <s v="Unlimited"/>
    <n v="9542"/>
    <n v="425"/>
    <n v="4.4539900000000001"/>
    <n v="0"/>
    <n v="9.17"/>
    <n v="0.96099999999999997"/>
    <n v="2.1999999999999999E-2"/>
    <n v="0"/>
    <n v="1"/>
    <n v="0"/>
    <s v="Yes"/>
    <n v="9542"/>
    <n v="7139"/>
    <n v="1153"/>
    <s v="TransV2"/>
    <s v="CP"/>
    <x v="6"/>
    <x v="0"/>
  </r>
  <r>
    <s v="PAUSED"/>
    <n v="1012866612"/>
    <s v="CPA - VideoGameBatch - Video-IS - ALL - USA"/>
    <s v="nsfw"/>
    <d v="1899-12-30T16:09:00"/>
    <s v="In-Stream Video"/>
    <s v="TJX"/>
    <s v="all"/>
    <s v="GEO,Frequency,Keyword,BrowserLanguage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s v="CP"/>
    <x v="9"/>
    <x v="0"/>
  </r>
  <r>
    <s v="RUNNING"/>
    <n v="1012866632"/>
    <s v="CPA - Nintendo - Video-IS - ALL - USA"/>
    <s v="nsfw"/>
    <d v="1899-12-30T16:09:00"/>
    <s v="In-Stream Video"/>
    <s v="TJX"/>
    <s v="all"/>
    <s v="GEO,Frequency,Keyword,BrowserLanguage"/>
    <n v="168"/>
    <n v="0"/>
    <s v="No"/>
    <n v="250"/>
    <n v="21851"/>
    <n v="1152"/>
    <n v="5.2720700000000003"/>
    <n v="0"/>
    <n v="49.35"/>
    <n v="2.2589999999999999"/>
    <n v="4.2999999999999997E-2"/>
    <n v="0"/>
    <n v="1"/>
    <n v="0"/>
    <s v="No"/>
    <n v="21851"/>
    <n v="18962"/>
    <n v="1953"/>
    <s v="Tests"/>
    <s v="CP"/>
    <x v="3"/>
    <x v="0"/>
  </r>
  <r>
    <s v="RUNNING"/>
    <n v="1012866642"/>
    <s v="CPA - Pokemon/Digimon - Video-IS - ALL - USA"/>
    <s v="nsfw"/>
    <d v="1899-12-30T16:09:00"/>
    <s v="In-Stream Video"/>
    <s v="TJX"/>
    <s v="all"/>
    <s v="GEO,Frequency,Keyword,BrowserLanguage"/>
    <n v="168"/>
    <n v="0"/>
    <s v="Yes"/>
    <s v="Unlimited"/>
    <n v="1880841"/>
    <n v="102792"/>
    <n v="5.4652099999999999"/>
    <n v="48"/>
    <n v="4254.79"/>
    <n v="2.262"/>
    <n v="4.1000000000000002E-2"/>
    <n v="88.641000000000005"/>
    <n v="1"/>
    <n v="0"/>
    <s v="No"/>
    <n v="1880804"/>
    <n v="1668928"/>
    <n v="140933"/>
    <s v="Tests"/>
    <s v="CP"/>
    <x v="3"/>
    <x v="0"/>
  </r>
  <r>
    <s v="PAUSED"/>
    <n v="1012866652"/>
    <s v="CPA - DC - Video-IS - ALL - USA"/>
    <s v="nsfw"/>
    <d v="1899-12-30T16:09:00"/>
    <s v="In-Stream Video"/>
    <s v="TJX"/>
    <s v="all"/>
    <s v="GEO,Frequency,Keyword,BrowserLanguage"/>
    <n v="168"/>
    <n v="0"/>
    <s v="Yes"/>
    <s v="Unlimited"/>
    <n v="0"/>
    <n v="0"/>
    <n v="0"/>
    <m/>
    <n v="0"/>
    <n v="0"/>
    <n v="0"/>
    <n v="0"/>
    <n v="1"/>
    <n v="0"/>
    <s v="No"/>
    <m/>
    <m/>
    <m/>
    <s v="Tests"/>
    <s v="CP"/>
    <x v="9"/>
    <x v="0"/>
  </r>
  <r>
    <s v="PAUSED"/>
    <n v="1012866662"/>
    <s v="CPA - Starwars - Video-IS - ALL - USA"/>
    <s v="nsfw"/>
    <d v="1899-12-30T16:09:00"/>
    <s v="In-Stream Video"/>
    <s v="TJX"/>
    <s v="all"/>
    <s v="GEO,Frequency,Keyword,BrowserLanguage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s v="CP"/>
    <x v="9"/>
    <x v="0"/>
  </r>
  <r>
    <s v="RUNNING"/>
    <n v="1012866672"/>
    <s v="CPA - CartoonBatch - Video-IS - ALL - USA"/>
    <s v="nsfw"/>
    <d v="1899-12-30T16:09:00"/>
    <s v="In-Stream Video"/>
    <s v="TJX"/>
    <s v="all"/>
    <s v="GEO,Frequency,Keyword,BrowserLanguage"/>
    <n v="168"/>
    <n v="0"/>
    <s v="No"/>
    <n v="250"/>
    <n v="14017"/>
    <n v="863"/>
    <n v="6.1568100000000001"/>
    <n v="0"/>
    <n v="31.58"/>
    <n v="2.2530000000000001"/>
    <n v="3.6999999999999998E-2"/>
    <n v="0"/>
    <n v="1"/>
    <n v="0"/>
    <s v="No"/>
    <n v="14017"/>
    <n v="12468"/>
    <n v="1015"/>
    <s v="Tests"/>
    <s v="CP"/>
    <x v="3"/>
    <x v="0"/>
  </r>
  <r>
    <s v="PAUSED"/>
    <n v="1012867202"/>
    <s v="CPA - VOD Video Game Buy - Video-IS - ALL - USA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s v="CP"/>
    <x v="9"/>
    <x v="0"/>
  </r>
  <r>
    <s v="PAUSED"/>
    <n v="1012867212"/>
    <s v="CPA - VOD Hentai Intent - Video-IS - ALL - USA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Bin"/>
    <s v="CP"/>
    <x v="1"/>
    <x v="0"/>
  </r>
  <r>
    <s v="PAUSED"/>
    <n v="1012867222"/>
    <s v="CPA - Dating Intent - Video-IS - ALL - USA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s v="CP"/>
    <x v="9"/>
    <x v="0"/>
  </r>
  <r>
    <s v="PAUSED"/>
    <n v="1012867232"/>
    <s v="CPA - VOD VR Intent - Video-IS - ALL - USA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Bin"/>
    <s v="CP"/>
    <x v="1"/>
    <x v="0"/>
  </r>
  <r>
    <s v="PAUSED"/>
    <n v="1012867242"/>
    <s v="CPA - Sex Toy Intent - Video-IS - ALL - USA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s v="CP"/>
    <x v="9"/>
    <x v="0"/>
  </r>
  <r>
    <s v="PAUSED"/>
    <n v="1012867252"/>
    <s v="CPA - Erotica Interest - Video-IS - ALL - USA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Bin"/>
    <s v="CP"/>
    <x v="1"/>
    <x v="0"/>
  </r>
  <r>
    <s v="PAUSED"/>
    <n v="1012867262"/>
    <s v="CPA - Game Streaming Interest - Video-IS - ALL - USA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s v="CP"/>
    <x v="9"/>
    <x v="0"/>
  </r>
  <r>
    <s v="PAUSED"/>
    <n v="1012867272"/>
    <s v="CPA - Casino Intent - Video-IS - ALL - USA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s v="CP"/>
    <x v="9"/>
    <x v="0"/>
  </r>
  <r>
    <s v="RUNNING"/>
    <n v="1012869782"/>
    <s v="CPA - Furry - Video-IS - Desktop - Aus"/>
    <s v="nsfw"/>
    <d v="1899-12-30T16:09:00"/>
    <s v="In-Stream Video"/>
    <s v="TJX"/>
    <s v="desktop"/>
    <s v="GEO,Frequency,Keyword,BrowserLanguage"/>
    <n v="104"/>
    <n v="0"/>
    <s v="Yes"/>
    <s v="Unlimited"/>
    <n v="44443"/>
    <n v="2421"/>
    <n v="5.4474299999999998"/>
    <n v="1"/>
    <n v="110.39"/>
    <n v="2.484"/>
    <n v="4.5999999999999999E-2"/>
    <n v="110.386"/>
    <n v="1"/>
    <n v="0"/>
    <s v="Yes"/>
    <n v="44445"/>
    <n v="34991"/>
    <n v="4739"/>
    <s v="Furry"/>
    <s v="CP"/>
    <x v="3"/>
    <x v="0"/>
  </r>
  <r>
    <s v="RUNNING"/>
    <n v="1012869792"/>
    <s v="CPA - Furry - Video-IS - Desktop - Canada"/>
    <s v="nsfw"/>
    <d v="1899-12-30T16:09:00"/>
    <s v="In-Stream Video"/>
    <s v="TJX"/>
    <s v="desktop"/>
    <s v="GEO,Frequency,Keyword,BrowserLanguage"/>
    <n v="104"/>
    <n v="0"/>
    <s v="Yes"/>
    <s v="Unlimited"/>
    <n v="20532"/>
    <n v="961"/>
    <n v="4.6805000000000003"/>
    <n v="2"/>
    <n v="52.78"/>
    <n v="2.5710000000000002"/>
    <n v="5.5E-2"/>
    <n v="26.391999999999999"/>
    <n v="1"/>
    <n v="0"/>
    <s v="Yes"/>
    <n v="20531"/>
    <n v="14644"/>
    <n v="2158"/>
    <s v="Furry"/>
    <s v="CP"/>
    <x v="3"/>
    <x v="0"/>
  </r>
  <r>
    <s v="RUNNING"/>
    <n v="1012869802"/>
    <s v="CPA - Furry - Video-IS - Desktop - UK"/>
    <s v="nsfw"/>
    <d v="1899-12-30T16:09:00"/>
    <s v="In-Stream Video"/>
    <s v="TJX"/>
    <s v="desktop"/>
    <s v="GEO,Frequency,Keyword,BrowserLanguage"/>
    <n v="104"/>
    <n v="0"/>
    <s v="Yes"/>
    <s v="Unlimited"/>
    <n v="1698"/>
    <n v="55"/>
    <n v="3.2391000000000001"/>
    <n v="0"/>
    <n v="4.71"/>
    <n v="2.7749999999999999"/>
    <n v="8.5999999999999993E-2"/>
    <n v="0"/>
    <n v="1"/>
    <n v="0"/>
    <s v="Yes"/>
    <n v="1698"/>
    <n v="1206"/>
    <n v="210"/>
    <s v="Furry"/>
    <s v="CP"/>
    <x v="3"/>
    <x v="0"/>
  </r>
  <r>
    <s v="RUNNING"/>
    <n v="1012869812"/>
    <s v="CPA - Furry - Video-IS - Desktop - NZ"/>
    <s v="nsfw"/>
    <d v="1899-12-30T16:09:00"/>
    <s v="In-Stream Video"/>
    <s v="TJX"/>
    <s v="desktop"/>
    <s v="GEO,Frequency,Keyword,BrowserLanguage"/>
    <n v="104"/>
    <n v="0"/>
    <s v="Yes"/>
    <s v="Unlimited"/>
    <n v="1342"/>
    <n v="65"/>
    <n v="4.8435199999999998"/>
    <n v="0"/>
    <n v="0.78"/>
    <n v="0.58399999999999996"/>
    <n v="1.2E-2"/>
    <n v="0"/>
    <n v="1"/>
    <n v="0"/>
    <s v="Yes"/>
    <n v="1342"/>
    <n v="967"/>
    <n v="173"/>
    <s v="Furry"/>
    <s v="CP"/>
    <x v="3"/>
    <x v="0"/>
  </r>
  <r>
    <s v="NOT RUNNING"/>
    <n v="1012869822"/>
    <s v="CPA - Furry - Video-IS - excl. iOS - Aus"/>
    <s v="nsfw"/>
    <d v="1899-12-30T16:09:00"/>
    <s v="In-Stream Video"/>
    <s v="TJX"/>
    <s v="mobile"/>
    <s v="GEO,Frequency,Keyword,OS,BrowserLanguage"/>
    <n v="260"/>
    <n v="0"/>
    <s v="Yes"/>
    <s v="Unlimited"/>
    <n v="108"/>
    <n v="4"/>
    <n v="3.7037"/>
    <n v="0"/>
    <n v="7.0000000000000007E-2"/>
    <n v="0.68500000000000005"/>
    <n v="1.7999999999999999E-2"/>
    <n v="0"/>
    <n v="1"/>
    <n v="0"/>
    <s v="Yes"/>
    <n v="108"/>
    <n v="94"/>
    <n v="8"/>
    <s v="Furry"/>
    <s v="CP"/>
    <x v="3"/>
    <x v="0"/>
  </r>
  <r>
    <s v="NOT RUNNING"/>
    <n v="1012869832"/>
    <s v="CPA - Furry - Video-IS - excl. iOS - UK"/>
    <s v="nsfw"/>
    <d v="1899-12-30T16:09:00"/>
    <s v="In-Stream Video"/>
    <s v="TJX"/>
    <s v="mobile"/>
    <s v="GEO,Frequency,Keyword,OS,BrowserLanguage"/>
    <n v="260"/>
    <n v="0"/>
    <s v="Yes"/>
    <s v="Unlimited"/>
    <n v="36"/>
    <n v="2"/>
    <n v="5.5555599999999998"/>
    <n v="0"/>
    <n v="0.02"/>
    <n v="0.60899999999999999"/>
    <n v="1.0999999999999999E-2"/>
    <n v="0"/>
    <n v="1"/>
    <n v="0"/>
    <s v="Yes"/>
    <n v="36"/>
    <n v="33"/>
    <n v="3"/>
    <s v="Furry"/>
    <s v="CP"/>
    <x v="3"/>
    <x v="0"/>
  </r>
  <r>
    <s v="PAUSED"/>
    <n v="1012869842"/>
    <s v="CPA - Furry - Video-IS - excl. iOS - Canada"/>
    <s v="nsfw"/>
    <d v="1899-12-30T16:09:00"/>
    <s v="In-Stream Video"/>
    <s v="TJX"/>
    <s v="mobile"/>
    <s v="GEO,Frequency,Keyword,OS,BrowserLanguage"/>
    <n v="260"/>
    <n v="0"/>
    <s v="Yes"/>
    <s v="Unlimited"/>
    <n v="0"/>
    <n v="0"/>
    <n v="0"/>
    <m/>
    <n v="0"/>
    <n v="0"/>
    <n v="0"/>
    <n v="0"/>
    <n v="1"/>
    <n v="0"/>
    <s v="Yes"/>
    <m/>
    <m/>
    <m/>
    <s v="Furry"/>
    <s v="CP"/>
    <x v="4"/>
    <x v="0"/>
  </r>
  <r>
    <s v="NOT RUNNING"/>
    <n v="1012869852"/>
    <s v="CPA - Furry - Video-IS - excl. iOS - NZ"/>
    <s v="nsfw"/>
    <d v="1899-12-30T16:09:00"/>
    <s v="In-Stream Video"/>
    <s v="TJX"/>
    <s v="mobile"/>
    <s v="GEO,Frequency,Keyword,OS,BrowserLanguage"/>
    <n v="260"/>
    <n v="0"/>
    <s v="Yes"/>
    <s v="Unlimited"/>
    <n v="510"/>
    <n v="35"/>
    <n v="6.8627500000000001"/>
    <n v="0"/>
    <n v="0.28000000000000003"/>
    <n v="0.55800000000000005"/>
    <n v="8.0000000000000002E-3"/>
    <n v="0"/>
    <n v="1"/>
    <n v="0"/>
    <s v="Yes"/>
    <n v="510"/>
    <n v="445"/>
    <n v="37"/>
    <s v="Furry"/>
    <s v="CP"/>
    <x v="3"/>
    <x v="0"/>
  </r>
  <r>
    <s v="RUNNING"/>
    <n v="1012869862"/>
    <s v="CPA - Furry - Video-IS - iOS - USA"/>
    <s v="nsfw"/>
    <d v="1899-12-30T16:09:00"/>
    <s v="In-Stream Video"/>
    <s v="TJX"/>
    <s v="mobile"/>
    <s v="GEO,Frequency,Keyword,OS,BrowserLanguage"/>
    <n v="130"/>
    <n v="0"/>
    <s v="Yes"/>
    <s v="Unlimited"/>
    <n v="33289"/>
    <n v="1768"/>
    <n v="5.3110600000000003"/>
    <n v="1"/>
    <n v="111.01"/>
    <n v="3.335"/>
    <n v="6.3E-2"/>
    <n v="111.006"/>
    <n v="1"/>
    <n v="0"/>
    <s v="Yes"/>
    <n v="33286"/>
    <n v="30106"/>
    <n v="1722"/>
    <s v="Furry"/>
    <s v="CP"/>
    <x v="3"/>
    <x v="0"/>
  </r>
  <r>
    <s v="RUNNING"/>
    <n v="1012869872"/>
    <s v="CPA - Furry - Video-IS - iOS - Aus"/>
    <s v="nsfw"/>
    <d v="1899-12-30T16:09:00"/>
    <s v="In-Stream Video"/>
    <s v="TJX"/>
    <s v="mobile"/>
    <s v="GEO,Frequency,Keyword,OS,BrowserLanguage"/>
    <n v="260"/>
    <n v="0"/>
    <s v="Yes"/>
    <s v="Unlimited"/>
    <n v="294"/>
    <n v="12"/>
    <n v="4.08162"/>
    <n v="0"/>
    <n v="0.21"/>
    <n v="0.71"/>
    <n v="1.7000000000000001E-2"/>
    <n v="0"/>
    <n v="1"/>
    <n v="0"/>
    <s v="Yes"/>
    <n v="294"/>
    <n v="257"/>
    <n v="20"/>
    <s v="Furry"/>
    <s v="CP"/>
    <x v="3"/>
    <x v="0"/>
  </r>
  <r>
    <s v="NOT RUNNING"/>
    <n v="1012869882"/>
    <s v="CPA - Furry - Video-IS - iOS - UK"/>
    <s v="nsfw"/>
    <d v="1899-12-30T16:09:00"/>
    <s v="In-Stream Video"/>
    <s v="TJX"/>
    <s v="mobile"/>
    <s v="GEO,Frequency,Keyword,OS,BrowserLanguage"/>
    <n v="260"/>
    <n v="0"/>
    <s v="Yes"/>
    <s v="Unlimited"/>
    <n v="0"/>
    <n v="0"/>
    <n v="0"/>
    <m/>
    <n v="0"/>
    <n v="0"/>
    <n v="0"/>
    <n v="0"/>
    <n v="1"/>
    <n v="0"/>
    <s v="Yes"/>
    <m/>
    <m/>
    <m/>
    <s v="Furry"/>
    <s v="CP"/>
    <x v="1"/>
    <x v="0"/>
  </r>
  <r>
    <s v="PAUSED"/>
    <n v="1012869902"/>
    <s v="CPA - Furry - Video-IS - iOS - Canada"/>
    <s v="nsfw"/>
    <d v="1899-12-30T16:09:00"/>
    <s v="In-Stream Video"/>
    <s v="TJX"/>
    <s v="mobile"/>
    <s v="GEO,Frequency,Keyword,OS,BrowserLanguage"/>
    <n v="260"/>
    <n v="0"/>
    <s v="Yes"/>
    <s v="Unlimited"/>
    <n v="0"/>
    <n v="0"/>
    <n v="0"/>
    <m/>
    <n v="0"/>
    <n v="0"/>
    <n v="0"/>
    <n v="0"/>
    <n v="1"/>
    <n v="0"/>
    <s v="Yes"/>
    <m/>
    <m/>
    <m/>
    <s v="Furry"/>
    <s v="CP"/>
    <x v="1"/>
    <x v="0"/>
  </r>
  <r>
    <s v="RUNNING"/>
    <n v="1012869912"/>
    <s v="CPA - Furry - Video-IS - iOS - NZ"/>
    <s v="nsfw"/>
    <d v="1899-12-30T16:09:00"/>
    <s v="In-Stream Video"/>
    <s v="TJX"/>
    <s v="mobile"/>
    <s v="GEO,Frequency,Keyword,OS,BrowserLanguage"/>
    <n v="260"/>
    <n v="0"/>
    <s v="Yes"/>
    <s v="Unlimited"/>
    <n v="2170"/>
    <n v="101"/>
    <n v="4.6543799999999997"/>
    <n v="0"/>
    <n v="1.26"/>
    <n v="0.58099999999999996"/>
    <n v="1.2E-2"/>
    <n v="0"/>
    <n v="1"/>
    <n v="0"/>
    <s v="Yes"/>
    <n v="2170"/>
    <n v="1914"/>
    <n v="168"/>
    <s v="Furry"/>
    <s v="CP"/>
    <x v="3"/>
    <x v="0"/>
  </r>
  <r>
    <s v="RUNNING"/>
    <n v="1012905942"/>
    <s v="CPA - Header Retargeting - Video-IS - Mobile - USA"/>
    <s v="nsfw"/>
    <d v="1899-12-30T16:09:00"/>
    <s v="In-Stream Video"/>
    <s v="TJX"/>
    <s v="mobile"/>
    <s v="GEO,Frequency"/>
    <n v="129"/>
    <n v="0"/>
    <s v="Yes"/>
    <s v="Unlimited"/>
    <n v="319734"/>
    <n v="15868"/>
    <n v="4.9628800000000002"/>
    <n v="11"/>
    <n v="709.35"/>
    <n v="2.2189999999999999"/>
    <n v="4.4999999999999998E-2"/>
    <n v="64.486000000000004"/>
    <n v="1"/>
    <n v="0"/>
    <s v="No"/>
    <n v="319689"/>
    <n v="279309"/>
    <n v="29485"/>
    <s v="Remarketing"/>
    <s v="CP"/>
    <x v="14"/>
    <x v="0"/>
  </r>
  <r>
    <s v="RUNNING"/>
    <n v="1012905952"/>
    <s v="CPA - Header Retargeting - Video-IS - Mobile - Australia"/>
    <s v="nsfw"/>
    <d v="1899-12-30T16:09:00"/>
    <s v="In-Stream Video"/>
    <s v="TJX"/>
    <s v="mobile"/>
    <s v="GEO,Frequency"/>
    <n v="129"/>
    <n v="0"/>
    <s v="No"/>
    <n v="250"/>
    <n v="18440"/>
    <n v="838"/>
    <n v="4.5444599999999999"/>
    <n v="1"/>
    <n v="36.1"/>
    <n v="1.958"/>
    <n v="4.2999999999999997E-2"/>
    <n v="36.104999999999997"/>
    <n v="1"/>
    <n v="0"/>
    <s v="No"/>
    <n v="18440"/>
    <n v="16055"/>
    <n v="1846"/>
    <s v="Remarketing"/>
    <s v="CP"/>
    <x v="14"/>
    <x v="0"/>
  </r>
  <r>
    <s v="RUNNING"/>
    <n v="1012905962"/>
    <s v="CPA - Header Retargeting - Video-IS - Mobile - Canada"/>
    <s v="nsfw"/>
    <d v="1899-12-30T16:09:00"/>
    <s v="In-Stream Video"/>
    <s v="TJX"/>
    <s v="mobile"/>
    <s v="GEO,Frequency"/>
    <n v="129"/>
    <n v="0"/>
    <s v="Yes"/>
    <s v="Unlimited"/>
    <n v="52593"/>
    <n v="2742"/>
    <n v="5.2136100000000001"/>
    <n v="5"/>
    <n v="66.44"/>
    <n v="1.2629999999999999"/>
    <n v="2.4E-2"/>
    <n v="13.287000000000001"/>
    <n v="1"/>
    <n v="0"/>
    <s v="No"/>
    <n v="52592"/>
    <n v="46022"/>
    <n v="4740"/>
    <s v="Remarketing"/>
    <s v="CP"/>
    <x v="14"/>
    <x v="0"/>
  </r>
  <r>
    <s v="RUNNING"/>
    <n v="1012905982"/>
    <s v="CPA - Header Retargeting - Video-IS - Mobile - Denmark"/>
    <s v="nsfw"/>
    <d v="1899-12-30T16:09:00"/>
    <s v="In-Stream Video"/>
    <s v="TJX"/>
    <s v="mobile"/>
    <s v="GEO,Frequency"/>
    <n v="129"/>
    <n v="0"/>
    <s v="No"/>
    <n v="250"/>
    <n v="762"/>
    <n v="33"/>
    <n v="4.3307099999999998"/>
    <n v="0"/>
    <n v="0.51"/>
    <n v="0.66600000000000004"/>
    <n v="1.4999999999999999E-2"/>
    <n v="0"/>
    <n v="1"/>
    <n v="0"/>
    <s v="No"/>
    <n v="762"/>
    <n v="671"/>
    <n v="60"/>
    <s v="Remarketing"/>
    <s v="CP"/>
    <x v="14"/>
    <x v="0"/>
  </r>
  <r>
    <s v="RUNNING"/>
    <n v="1012905992"/>
    <s v="CPA - Header Retargeting - Video-IS - Mobile - New Zealand"/>
    <s v="nsfw"/>
    <d v="1899-12-30T16:09:00"/>
    <s v="In-Stream Video"/>
    <s v="TJX"/>
    <s v="mobile"/>
    <s v="GEO,Frequency"/>
    <n v="129"/>
    <n v="0"/>
    <s v="No"/>
    <n v="250"/>
    <n v="2974"/>
    <n v="171"/>
    <n v="5.7498300000000002"/>
    <n v="0"/>
    <n v="3.3"/>
    <n v="1.109"/>
    <n v="1.9E-2"/>
    <n v="0"/>
    <n v="1"/>
    <n v="0"/>
    <s v="No"/>
    <n v="2974"/>
    <n v="2506"/>
    <n v="323"/>
    <s v="Remarketing"/>
    <s v="CP"/>
    <x v="14"/>
    <x v="0"/>
  </r>
  <r>
    <s v="RUNNING"/>
    <n v="1012906002"/>
    <s v="CPA - Header Retargeting - Video-IS - Mobile - Norway"/>
    <s v="nsfw"/>
    <d v="1899-12-30T16:09:00"/>
    <s v="In-Stream Video"/>
    <s v="TJX"/>
    <s v="mobile"/>
    <s v="GEO,Frequency"/>
    <n v="129"/>
    <n v="0"/>
    <s v="No"/>
    <n v="250"/>
    <n v="7149"/>
    <n v="391"/>
    <n v="5.4692999999999996"/>
    <n v="0"/>
    <n v="12.07"/>
    <n v="1.6890000000000001"/>
    <n v="3.1E-2"/>
    <n v="0"/>
    <n v="1"/>
    <n v="0"/>
    <s v="No"/>
    <n v="7149"/>
    <n v="6253"/>
    <n v="574"/>
    <s v="Remarketing"/>
    <s v="CP"/>
    <x v="14"/>
    <x v="0"/>
  </r>
  <r>
    <s v="RUNNING"/>
    <n v="1012906012"/>
    <s v="CPA - Header Retargeting - Video-IS - Mobile - United Kingdom"/>
    <s v="nsfw"/>
    <d v="1899-12-30T16:09:00"/>
    <s v="In-Stream Video"/>
    <s v="TJX"/>
    <s v="mobile"/>
    <s v="GEO,Frequency"/>
    <n v="129"/>
    <n v="0"/>
    <s v="No"/>
    <n v="250"/>
    <n v="17222"/>
    <n v="935"/>
    <n v="5.4291"/>
    <n v="0"/>
    <n v="42.73"/>
    <n v="2.4809999999999999"/>
    <n v="4.5999999999999999E-2"/>
    <n v="0"/>
    <n v="1"/>
    <n v="0"/>
    <s v="No"/>
    <n v="17224"/>
    <n v="15265"/>
    <n v="1399"/>
    <s v="Remarketing"/>
    <s v="CP"/>
    <x v="14"/>
    <x v="0"/>
  </r>
  <r>
    <s v="PAUSED"/>
    <n v="1012914792"/>
    <s v="CPA - Blowjob - Video-IS - Desktop - USA"/>
    <s v="nsfw"/>
    <d v="1899-12-30T16:09:00"/>
    <s v="In-Stream Video"/>
    <s v="TJX"/>
    <s v="desktop"/>
    <s v="GEO,Frequency,Keyword,BrowserLanguage"/>
    <n v="100"/>
    <n v="0"/>
    <s v="No"/>
    <n v="250"/>
    <n v="0"/>
    <n v="0"/>
    <n v="0"/>
    <m/>
    <n v="0"/>
    <n v="0"/>
    <n v="0"/>
    <n v="0"/>
    <n v="1"/>
    <n v="0"/>
    <s v="Yes"/>
    <m/>
    <m/>
    <m/>
    <s v="Blowjob"/>
    <s v="CP"/>
    <x v="5"/>
    <x v="0"/>
  </r>
  <r>
    <s v="PAUSED"/>
    <n v="1012914802"/>
    <s v="CPA - Blowjob - Video-IS - Desktop - Aus"/>
    <s v="nsfw"/>
    <d v="1899-12-30T16:09:00"/>
    <s v="In-Stream Video"/>
    <s v="TJX"/>
    <s v="desktop"/>
    <s v="GEO,Frequency,Keyword,BrowserLanguage"/>
    <n v="100"/>
    <n v="0"/>
    <s v="No"/>
    <n v="250"/>
    <n v="1"/>
    <n v="0"/>
    <n v="0"/>
    <n v="0"/>
    <n v="0"/>
    <n v="1.8160000000000001"/>
    <n v="0"/>
    <n v="0"/>
    <n v="1"/>
    <n v="0"/>
    <s v="Yes"/>
    <n v="1"/>
    <n v="0"/>
    <n v="0"/>
    <s v="Blowjob"/>
    <s v="CP"/>
    <x v="5"/>
    <x v="0"/>
  </r>
  <r>
    <s v="PAUSED"/>
    <n v="1012914812"/>
    <s v="CPA - Blowjob - Video-IS - Desktop - UK"/>
    <s v="nsfw"/>
    <d v="1899-12-30T16:09:00"/>
    <s v="In-Stream Video"/>
    <s v="TJX"/>
    <s v="desktop"/>
    <s v="GEO,Frequency,Keyword,BrowserLanguage"/>
    <n v="100"/>
    <n v="0"/>
    <s v="No"/>
    <n v="250"/>
    <n v="1"/>
    <n v="0"/>
    <n v="0"/>
    <n v="0"/>
    <n v="0"/>
    <n v="2.9569999999999999"/>
    <n v="0"/>
    <n v="0"/>
    <n v="1"/>
    <n v="0"/>
    <s v="Yes"/>
    <n v="1"/>
    <n v="1"/>
    <n v="0"/>
    <s v="Blowjob"/>
    <s v="CP"/>
    <x v="1"/>
    <x v="0"/>
  </r>
  <r>
    <s v="RUNNING"/>
    <n v="1012914822"/>
    <s v="CPA - Blowjob - Video-IS - Desktop - NZ"/>
    <s v="nsfw"/>
    <d v="1899-12-30T16:09:00"/>
    <s v="In-Stream Video"/>
    <s v="TJX"/>
    <s v="desktop"/>
    <s v="GEO,Frequency,Keyword,BrowserLanguage"/>
    <n v="100"/>
    <n v="0"/>
    <s v="No"/>
    <n v="250"/>
    <n v="20383"/>
    <n v="858"/>
    <n v="4.20939"/>
    <n v="0"/>
    <n v="19.25"/>
    <n v="0.94499999999999995"/>
    <n v="2.1999999999999999E-2"/>
    <n v="0"/>
    <n v="1"/>
    <n v="0"/>
    <s v="Yes"/>
    <n v="20383"/>
    <n v="15047"/>
    <n v="2676"/>
    <s v="Blowjob"/>
    <s v="CP"/>
    <x v="3"/>
    <x v="0"/>
  </r>
  <r>
    <s v="PAUSED"/>
    <n v="1012914832"/>
    <s v="CPA - Blowjob - Video-IS - iOS - USA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s v="CP"/>
    <x v="1"/>
    <x v="0"/>
  </r>
  <r>
    <s v="PAUSED"/>
    <n v="1012914842"/>
    <s v="CPA - Blowjob - Video-IS - iOS - UK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s v="CP"/>
    <x v="1"/>
    <x v="0"/>
  </r>
  <r>
    <s v="PAUSED"/>
    <n v="1012914852"/>
    <s v="CPA - Blowjob - Video-IS - iOS - Aus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s v="CP"/>
    <x v="1"/>
    <x v="0"/>
  </r>
  <r>
    <s v="PAUSED"/>
    <n v="1012914862"/>
    <s v="CPA - Blowjob - Video-IS - iOS - Canada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s v="CP"/>
    <x v="1"/>
    <x v="0"/>
  </r>
  <r>
    <s v="RUNNING"/>
    <n v="1012914872"/>
    <s v="CPA - Blowjob - Video-IS - iOS - NZ"/>
    <s v="nsfw"/>
    <d v="1899-12-30T16:09:00"/>
    <s v="In-Stream Video"/>
    <s v="TJX"/>
    <s v="mobile"/>
    <s v="GEO,Frequency,Keyword,OS,BrowserLanguage"/>
    <n v="90"/>
    <n v="0"/>
    <s v="No"/>
    <n v="250"/>
    <n v="73175"/>
    <n v="4246"/>
    <n v="5.80253"/>
    <n v="0"/>
    <n v="73.23"/>
    <n v="1.0009999999999999"/>
    <n v="1.7000000000000001E-2"/>
    <n v="0"/>
    <n v="1"/>
    <n v="0"/>
    <s v="Yes"/>
    <n v="73175"/>
    <n v="63851"/>
    <n v="6835"/>
    <s v="Blowjob"/>
    <s v="CP"/>
    <x v="3"/>
    <x v="0"/>
  </r>
  <r>
    <s v="PAUSED"/>
    <n v="1012914882"/>
    <s v="CPA - Blowjob - Video-IS - excl. iOS - NZ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s v="CP"/>
    <x v="15"/>
    <x v="0"/>
  </r>
  <r>
    <s v="PAUSED"/>
    <n v="1012914892"/>
    <s v="CPA - Blowjob - Video-IS - excl. iOS - Canada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s v="CP"/>
    <x v="15"/>
    <x v="0"/>
  </r>
  <r>
    <s v="PAUSED"/>
    <n v="1012914902"/>
    <s v="CPA - Blowjob - Video-IS - excl. iOS - Aus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s v="CP"/>
    <x v="15"/>
    <x v="0"/>
  </r>
  <r>
    <s v="PAUSED"/>
    <n v="1012914912"/>
    <s v="CPA - Blowjob - Video-IS - excl. iOS - UK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s v="CP"/>
    <x v="15"/>
    <x v="0"/>
  </r>
  <r>
    <s v="PAUSED"/>
    <n v="1012914922"/>
    <s v="CPA - Blowjob - Video-IS - excl. iOS - USA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s v="CP"/>
    <x v="1"/>
    <x v="0"/>
  </r>
  <r>
    <s v="PAUSED"/>
    <n v="1012914992"/>
    <s v="CPA - Shorties - Video-IS - iOS - USA"/>
    <s v="nsfw"/>
    <d v="1899-12-30T09:16:00"/>
    <s v="In-Stream Video"/>
    <s v="TJX"/>
    <s v="mobile"/>
    <s v="GEO,Frequency,OS,BrowserLanguage"/>
    <n v="3"/>
    <n v="0"/>
    <s v="Yes"/>
    <s v="Unlimited"/>
    <n v="0"/>
    <n v="0"/>
    <n v="0"/>
    <m/>
    <n v="0"/>
    <n v="0"/>
    <n v="0"/>
    <n v="0"/>
    <n v="1"/>
    <n v="0"/>
    <s v="Yes"/>
    <m/>
    <m/>
    <m/>
    <s v="Shorties"/>
    <s v="CP"/>
    <x v="2"/>
    <x v="0"/>
  </r>
  <r>
    <s v="RUNNING"/>
    <n v="1012915002"/>
    <s v="CPA - Shorties - Video-IS - excl. iOS - USA"/>
    <s v="nsfw"/>
    <d v="1899-12-30T09:16:00"/>
    <s v="In-Stream Video"/>
    <s v="TJX"/>
    <s v="mobile"/>
    <s v="GEO,Frequency,OS,BrowserLanguage"/>
    <n v="3"/>
    <n v="0"/>
    <s v="Yes"/>
    <s v="Unlimited"/>
    <n v="502258"/>
    <n v="6584"/>
    <n v="1.31088"/>
    <n v="15"/>
    <n v="1818.17"/>
    <n v="3.62"/>
    <n v="0.27600000000000002"/>
    <n v="121.212"/>
    <n v="1"/>
    <n v="0"/>
    <s v="Yes"/>
    <n v="502241"/>
    <n v="0"/>
    <n v="7298"/>
    <s v="Shorties"/>
    <s v="CP"/>
    <x v="2"/>
    <x v="0"/>
  </r>
  <r>
    <s v="RUNNING"/>
    <n v="1012915022"/>
    <s v="CPA - Shorties - Video-IS - excl. iOS - Aus"/>
    <s v="nsfw"/>
    <d v="1899-12-30T09:16:00"/>
    <s v="In-Stream Video"/>
    <s v="TJX"/>
    <s v="mobile"/>
    <s v="GEO,Frequency,OS,BrowserLanguage"/>
    <n v="3"/>
    <n v="0"/>
    <s v="Yes"/>
    <s v="Unlimited"/>
    <n v="100926"/>
    <n v="1146"/>
    <n v="1.1354900000000001"/>
    <n v="4"/>
    <n v="183.99"/>
    <n v="1.823"/>
    <n v="0.161"/>
    <n v="45.997"/>
    <n v="1"/>
    <n v="0"/>
    <s v="Yes"/>
    <n v="100926"/>
    <n v="0"/>
    <n v="1300"/>
    <s v="Shorties"/>
    <s v="CP"/>
    <x v="2"/>
    <x v="0"/>
  </r>
  <r>
    <s v="RUNNING"/>
    <n v="1012915032"/>
    <s v="CPA - Shorties - Video-IS - excl. iOS - UK"/>
    <s v="nsfw"/>
    <d v="1899-12-30T09:16:00"/>
    <s v="In-Stream Video"/>
    <s v="TJX"/>
    <s v="mobile"/>
    <s v="GEO,Frequency,OS,BrowserLanguage"/>
    <n v="3"/>
    <n v="0"/>
    <s v="Yes"/>
    <s v="Unlimited"/>
    <n v="29812"/>
    <n v="342"/>
    <n v="1.1471899999999999"/>
    <n v="1"/>
    <n v="40.78"/>
    <n v="1.3680000000000001"/>
    <n v="0.11899999999999999"/>
    <n v="40.783000000000001"/>
    <n v="1"/>
    <n v="0"/>
    <s v="Yes"/>
    <n v="29812"/>
    <n v="0"/>
    <n v="428"/>
    <s v="Shorties"/>
    <s v="CP"/>
    <x v="2"/>
    <x v="0"/>
  </r>
  <r>
    <s v="PAUSED"/>
    <n v="1012915042"/>
    <s v="CPA - Shorties - Video-IS - excl. iOS - Canada"/>
    <s v="nsfw"/>
    <d v="1899-12-30T09:16:00"/>
    <s v="In-Stream Video"/>
    <s v="TJX"/>
    <s v="mobile"/>
    <s v="GEO,Frequency,OS,BrowserLanguage"/>
    <n v="3"/>
    <n v="0"/>
    <s v="Yes"/>
    <s v="Unlimited"/>
    <n v="0"/>
    <n v="0"/>
    <n v="0"/>
    <m/>
    <n v="0"/>
    <n v="0"/>
    <n v="0"/>
    <n v="0"/>
    <n v="1"/>
    <n v="0"/>
    <s v="Yes"/>
    <m/>
    <m/>
    <m/>
    <s v="Shorties"/>
    <s v="CP"/>
    <x v="2"/>
    <x v="0"/>
  </r>
  <r>
    <s v="RUNNING"/>
    <n v="1012915052"/>
    <s v="CPA - Shorties - Video-IS - excl. iOS - NZ"/>
    <s v="nsfw"/>
    <d v="1899-12-30T09:16:00"/>
    <s v="In-Stream Video"/>
    <s v="TJX"/>
    <s v="mobile"/>
    <s v="GEO,Frequency,OS,BrowserLanguage"/>
    <n v="3"/>
    <n v="0"/>
    <s v="Yes"/>
    <s v="Unlimited"/>
    <n v="10672"/>
    <n v="114"/>
    <n v="1.0682199999999999"/>
    <n v="0"/>
    <n v="3.9"/>
    <n v="0.36499999999999999"/>
    <n v="3.4000000000000002E-2"/>
    <n v="0"/>
    <n v="1"/>
    <n v="0"/>
    <s v="Yes"/>
    <n v="10672"/>
    <n v="0"/>
    <n v="79"/>
    <s v="Shorties"/>
    <s v="CP"/>
    <x v="2"/>
    <x v="0"/>
  </r>
  <r>
    <s v="PAUSED"/>
    <n v="1012915072"/>
    <s v="CPA - Shorties - Video-IS - iOS - Canada"/>
    <s v="nsfw"/>
    <d v="1899-12-30T09:16:00"/>
    <s v="In-Stream Video"/>
    <s v="TJX"/>
    <s v="mobile"/>
    <s v="GEO,Frequency,OS,BrowserLanguage"/>
    <n v="3"/>
    <n v="0"/>
    <s v="Yes"/>
    <s v="Unlimited"/>
    <n v="81346"/>
    <n v="766"/>
    <n v="0.94166000000000005"/>
    <n v="1"/>
    <n v="222.4"/>
    <n v="2.734"/>
    <n v="0.28999999999999998"/>
    <n v="222.4"/>
    <n v="1"/>
    <n v="0"/>
    <s v="Yes"/>
    <n v="81346"/>
    <n v="0"/>
    <n v="814"/>
    <s v="Shorties"/>
    <s v="CP"/>
    <x v="2"/>
    <x v="0"/>
  </r>
  <r>
    <s v="PAUSED"/>
    <n v="1012915082"/>
    <s v="CPA - Shorties - Video-IS - iOS - UK"/>
    <s v="nsfw"/>
    <d v="1899-12-30T09:16:00"/>
    <s v="In-Stream Video"/>
    <s v="TJX"/>
    <s v="mobile"/>
    <s v="GEO,Frequency,OS,BrowserLanguage"/>
    <n v="3"/>
    <n v="0"/>
    <s v="Yes"/>
    <s v="Unlimited"/>
    <n v="0"/>
    <n v="0"/>
    <n v="0"/>
    <m/>
    <n v="0"/>
    <n v="0"/>
    <n v="0"/>
    <n v="0"/>
    <n v="1"/>
    <n v="0"/>
    <s v="Yes"/>
    <m/>
    <m/>
    <m/>
    <s v="Shorties"/>
    <s v="CP"/>
    <x v="2"/>
    <x v="0"/>
  </r>
  <r>
    <s v="RUNNING"/>
    <n v="1012915092"/>
    <s v="CPA - Shorties - Video-IS - iOS - Aus"/>
    <s v="nsfw"/>
    <d v="1899-12-30T09:16:00"/>
    <s v="In-Stream Video"/>
    <s v="TJX"/>
    <s v="mobile"/>
    <s v="GEO,Frequency,OS,BrowserLanguage"/>
    <n v="3"/>
    <n v="0"/>
    <s v="Yes"/>
    <s v="Unlimited"/>
    <n v="162012"/>
    <n v="1410"/>
    <n v="0.87031000000000003"/>
    <n v="1"/>
    <n v="295.35000000000002"/>
    <n v="1.823"/>
    <n v="0.20899999999999999"/>
    <n v="295.34800000000001"/>
    <n v="1"/>
    <n v="0"/>
    <s v="Yes"/>
    <n v="162014"/>
    <n v="0"/>
    <n v="1682"/>
    <s v="Shorties"/>
    <s v="CP"/>
    <x v="2"/>
    <x v="0"/>
  </r>
  <r>
    <s v="RUNNING"/>
    <n v="1012915102"/>
    <s v="CPA - Shorties - Video-IS - iOS - NZ"/>
    <s v="nsfw"/>
    <d v="1899-12-30T09:16:00"/>
    <s v="In-Stream Video"/>
    <s v="TJX"/>
    <s v="mobile"/>
    <s v="GEO,Frequency,OS,BrowserLanguage"/>
    <n v="3"/>
    <n v="0"/>
    <s v="Yes"/>
    <s v="Unlimited"/>
    <n v="8414"/>
    <n v="54"/>
    <n v="0.64178999999999997"/>
    <n v="0"/>
    <n v="3.07"/>
    <n v="0.36499999999999999"/>
    <n v="5.7000000000000002E-2"/>
    <n v="0"/>
    <n v="1"/>
    <n v="0"/>
    <s v="Yes"/>
    <n v="8413"/>
    <n v="0"/>
    <n v="33"/>
    <s v="Shorties"/>
    <s v="CP"/>
    <x v="2"/>
    <x v="0"/>
  </r>
  <r>
    <s v="PAUSED"/>
    <n v="1012915132"/>
    <s v="CPA - Cowgirl - Video-IS - Desktop - USA"/>
    <s v="nsfw"/>
    <d v="1899-12-30T16:09:00"/>
    <s v="In-Stream Video"/>
    <s v="TJX"/>
    <s v="desktop"/>
    <s v="GEO,Frequency,Keyword,BrowserLanguage"/>
    <n v="36"/>
    <n v="0"/>
    <s v="No"/>
    <n v="250"/>
    <n v="1"/>
    <n v="0"/>
    <n v="0"/>
    <n v="0"/>
    <n v="0"/>
    <n v="1.0820000000000001"/>
    <n v="0"/>
    <n v="0"/>
    <n v="1"/>
    <n v="0"/>
    <s v="Yes"/>
    <n v="1"/>
    <n v="0"/>
    <n v="0"/>
    <s v="Cowgirl"/>
    <s v="CP"/>
    <x v="1"/>
    <x v="0"/>
  </r>
  <r>
    <s v="PAUSED"/>
    <n v="1012915142"/>
    <s v="CPA - Cowgirl - Video-IS - iOS - USA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s v="CP"/>
    <x v="1"/>
    <x v="0"/>
  </r>
  <r>
    <s v="PAUSED"/>
    <n v="1012915172"/>
    <s v="CPA - Cowgirl - Video-IS - iOS - UK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s v="CP"/>
    <x v="1"/>
    <x v="0"/>
  </r>
  <r>
    <s v="PAUSED"/>
    <n v="1012915182"/>
    <s v="CPA - Cowgirl - Video-IS - iOS - Aus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s v="CP"/>
    <x v="1"/>
    <x v="0"/>
  </r>
  <r>
    <s v="PAUSED"/>
    <n v="1012915192"/>
    <s v="CPA - Cowgirl - Video-IS - iOS - Canada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s v="CP"/>
    <x v="1"/>
    <x v="0"/>
  </r>
  <r>
    <s v="PAUSED"/>
    <n v="1012915202"/>
    <s v="CPA - Cowgirl - Video-IS - iOS - NZ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s v="CP"/>
    <x v="16"/>
    <x v="0"/>
  </r>
  <r>
    <s v="PAUSED"/>
    <n v="1012915212"/>
    <s v="CPA - Cowgirl - Video-IS - excl. iOS - USA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s v="CP"/>
    <x v="1"/>
    <x v="0"/>
  </r>
  <r>
    <s v="PAUSED"/>
    <n v="1012915222"/>
    <s v="CPA - Cowgirl - Video-IS - excl. iOS - UK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s v="CP"/>
    <x v="16"/>
    <x v="0"/>
  </r>
  <r>
    <s v="PAUSED"/>
    <n v="1012915232"/>
    <s v="CPA - Cowgirl - Video-IS - excl. iOS - Aus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s v="CP"/>
    <x v="16"/>
    <x v="0"/>
  </r>
  <r>
    <s v="PAUSED"/>
    <n v="1012915242"/>
    <s v="CPA - Cowgirl - Video-IS - excl. iOS - Canada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s v="CP"/>
    <x v="5"/>
    <x v="0"/>
  </r>
  <r>
    <s v="PAUSED"/>
    <n v="1012915252"/>
    <s v="CPA - Cowgirl - Video-IS - excl. iOS - NZ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s v="CP"/>
    <x v="16"/>
    <x v="0"/>
  </r>
  <r>
    <s v="RUNNING"/>
    <n v="1012915262"/>
    <s v="CPA - Cowgirl - Video-IS - Desktop - NZ"/>
    <s v="nsfw"/>
    <d v="1899-12-30T16:09:00"/>
    <s v="In-Stream Video"/>
    <s v="TJX"/>
    <s v="desktop"/>
    <s v="GEO,Frequency,Keyword,BrowserLanguage"/>
    <n v="36"/>
    <n v="0"/>
    <s v="No"/>
    <n v="250"/>
    <n v="11471"/>
    <n v="474"/>
    <n v="4.1321599999999998"/>
    <n v="0"/>
    <n v="11.1"/>
    <n v="0.96799999999999997"/>
    <n v="2.3E-2"/>
    <n v="0"/>
    <n v="1"/>
    <n v="0"/>
    <s v="Yes"/>
    <n v="11471"/>
    <n v="8097"/>
    <n v="1775"/>
    <s v="Cowgirl"/>
    <s v="CP"/>
    <x v="3"/>
    <x v="0"/>
  </r>
  <r>
    <s v="PAUSED"/>
    <n v="1012915272"/>
    <s v="CPA - Cowgirl - Video-IS - Desktop - Canada"/>
    <s v="nsfw"/>
    <d v="1899-12-30T16:09:00"/>
    <s v="In-Stream Video"/>
    <s v="TJX"/>
    <s v="desktop"/>
    <s v="GEO,Frequency,Keyword,BrowserLanguage"/>
    <n v="36"/>
    <n v="0"/>
    <s v="No"/>
    <n v="250"/>
    <n v="0"/>
    <n v="0"/>
    <n v="0"/>
    <m/>
    <n v="0"/>
    <n v="0"/>
    <n v="0"/>
    <n v="0"/>
    <n v="1"/>
    <n v="0"/>
    <s v="Yes"/>
    <m/>
    <m/>
    <m/>
    <s v="Cowgirl"/>
    <s v="CP"/>
    <x v="1"/>
    <x v="0"/>
  </r>
  <r>
    <s v="PAUSED"/>
    <n v="1012915282"/>
    <s v="CPA - Cowgirl - Video-IS - Desktop - UK"/>
    <s v="nsfw"/>
    <d v="1899-12-30T16:09:00"/>
    <s v="In-Stream Video"/>
    <s v="TJX"/>
    <s v="desktop"/>
    <s v="GEO,Frequency,Keyword,BrowserLanguage"/>
    <n v="36"/>
    <n v="0"/>
    <s v="No"/>
    <n v="250"/>
    <n v="0"/>
    <n v="0"/>
    <n v="0"/>
    <m/>
    <n v="0"/>
    <n v="0"/>
    <n v="0"/>
    <n v="0"/>
    <n v="1"/>
    <n v="0"/>
    <s v="Yes"/>
    <m/>
    <m/>
    <m/>
    <s v="Cowgirl"/>
    <s v="CP"/>
    <x v="1"/>
    <x v="0"/>
  </r>
  <r>
    <s v="PAUSED"/>
    <n v="1012915292"/>
    <s v="CPA - Cowgirl - Video-IS - Desktop - Aus"/>
    <s v="nsfw"/>
    <d v="1899-12-30T16:09:00"/>
    <s v="In-Stream Video"/>
    <s v="TJX"/>
    <s v="desktop"/>
    <s v="GEO,Frequency,Keyword,BrowserLanguage"/>
    <n v="36"/>
    <n v="0"/>
    <s v="No"/>
    <n v="250"/>
    <n v="3"/>
    <n v="0"/>
    <n v="0"/>
    <n v="0"/>
    <n v="0.01"/>
    <n v="1.7430000000000001"/>
    <n v="0"/>
    <n v="0"/>
    <n v="1"/>
    <n v="0"/>
    <s v="Yes"/>
    <n v="3"/>
    <n v="1"/>
    <n v="0"/>
    <s v="Cowgirl"/>
    <s v="CP"/>
    <x v="3"/>
    <x v="0"/>
  </r>
  <r>
    <s v="PAUSED"/>
    <n v="1012915392"/>
    <s v="CPA - Trans - Video-IS - iOS - USA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Trans"/>
    <s v="CP"/>
    <x v="1"/>
    <x v="0"/>
  </r>
  <r>
    <s v="RUNNING"/>
    <n v="1012915402"/>
    <s v="CPA - Trans - Video-IS - Desktop - USA"/>
    <s v="nsfw"/>
    <d v="1899-12-30T16:09:00"/>
    <s v="In-Stream Video"/>
    <s v="TJX"/>
    <s v="desktop"/>
    <s v="GEO,Frequency,BrowserLanguage"/>
    <n v="16"/>
    <n v="0"/>
    <s v="Yes"/>
    <s v="Unlimited"/>
    <n v="236407"/>
    <n v="10487"/>
    <n v="4.4359900000000003"/>
    <n v="7"/>
    <n v="654.46"/>
    <n v="2.7679999999999998"/>
    <n v="6.2E-2"/>
    <n v="93.494"/>
    <n v="1"/>
    <n v="0"/>
    <s v="Yes"/>
    <n v="236399"/>
    <n v="186727"/>
    <n v="25700"/>
    <s v="Trans"/>
    <s v="CP"/>
    <x v="6"/>
    <x v="0"/>
  </r>
  <r>
    <s v="PAUSED"/>
    <n v="1012915422"/>
    <s v="CPA - Trans - Video-IS - excl. iOS - USA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Trans"/>
    <s v="CP"/>
    <x v="1"/>
    <x v="0"/>
  </r>
  <r>
    <s v="PAUSED"/>
    <n v="1012915432"/>
    <s v="CPA - Erotica Interest - Video-IS - Desktop - USA"/>
    <s v="nsfw"/>
    <d v="1899-12-30T16:09:00"/>
    <s v="In-Stream Video"/>
    <s v="TJX"/>
    <s v="desktop"/>
    <s v="GEO,Frequency,BrowserLanguage,Segment"/>
    <n v="36"/>
    <n v="0"/>
    <s v="No"/>
    <n v="250"/>
    <n v="1"/>
    <n v="0"/>
    <n v="0"/>
    <n v="0"/>
    <n v="0"/>
    <n v="3.8109999999999999"/>
    <n v="0"/>
    <n v="0"/>
    <n v="1"/>
    <n v="0"/>
    <s v="Yes"/>
    <n v="1"/>
    <n v="1"/>
    <n v="0"/>
    <s v="Erotica Interest"/>
    <s v="CP"/>
    <x v="17"/>
    <x v="0"/>
  </r>
  <r>
    <s v="PAUSED"/>
    <n v="1012915442"/>
    <s v="CPA - Erotica Interest - Video-IS - iOS - USA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Erotica Interest"/>
    <s v="CP"/>
    <x v="17"/>
    <x v="0"/>
  </r>
  <r>
    <s v="RUNNING"/>
    <n v="1012915452"/>
    <s v="CPA - Erotica Interest - Video-IS - excl. iOS - USA"/>
    <s v="nsfw"/>
    <d v="1899-12-30T16:09:00"/>
    <s v="In-Stream Video"/>
    <s v="TJX"/>
    <s v="mobile"/>
    <s v="GEO,Frequency,OS,BrowserLanguage,Segment"/>
    <n v="90"/>
    <n v="0"/>
    <s v="No"/>
    <n v="250"/>
    <n v="17000"/>
    <n v="940"/>
    <n v="5.5294100000000004"/>
    <n v="1"/>
    <n v="53.88"/>
    <n v="3.169"/>
    <n v="5.7000000000000002E-2"/>
    <n v="53.875999999999998"/>
    <n v="1"/>
    <n v="0"/>
    <s v="Yes"/>
    <n v="16992"/>
    <n v="15064"/>
    <n v="1366"/>
    <s v="Erotica Interest"/>
    <s v="CP"/>
    <x v="3"/>
    <x v="0"/>
  </r>
  <r>
    <s v="RUNNING"/>
    <n v="1012915462"/>
    <s v="CPA - Erotica Interest - Video-IS - Desktop - Aus"/>
    <s v="nsfw"/>
    <d v="1899-12-30T16:09:00"/>
    <s v="In-Stream Video"/>
    <s v="TJX"/>
    <s v="desktop"/>
    <s v="GEO,Frequency,BrowserLanguage,Segment"/>
    <n v="36"/>
    <n v="0"/>
    <s v="Yes"/>
    <s v="Unlimited"/>
    <n v="4845"/>
    <n v="262"/>
    <n v="5.4076399999999998"/>
    <n v="1"/>
    <n v="12.09"/>
    <n v="2.4940000000000002"/>
    <n v="4.5999999999999999E-2"/>
    <n v="12.085000000000001"/>
    <n v="1"/>
    <n v="0"/>
    <s v="Yes"/>
    <n v="4845"/>
    <n v="3639"/>
    <n v="661"/>
    <s v="Erotica Interest"/>
    <s v="CP"/>
    <x v="3"/>
    <x v="0"/>
  </r>
  <r>
    <s v="RUNNING"/>
    <n v="1012915472"/>
    <s v="CPA - Erotica Interest - Video-IS - Desktop - UK"/>
    <s v="nsfw"/>
    <d v="1899-12-30T16:09:00"/>
    <s v="In-Stream Video"/>
    <s v="TJX"/>
    <s v="desktop"/>
    <s v="GEO,Frequency,BrowserLanguage,Segment"/>
    <n v="36"/>
    <n v="0"/>
    <s v="No"/>
    <n v="250"/>
    <n v="1282"/>
    <n v="49"/>
    <n v="3.8221500000000002"/>
    <n v="0"/>
    <n v="3.58"/>
    <n v="2.7949999999999999"/>
    <n v="7.2999999999999995E-2"/>
    <n v="0"/>
    <n v="1"/>
    <n v="0"/>
    <s v="Yes"/>
    <n v="1282"/>
    <n v="1009"/>
    <n v="163"/>
    <s v="Erotica Interest"/>
    <s v="CP"/>
    <x v="3"/>
    <x v="0"/>
  </r>
  <r>
    <s v="RUNNING"/>
    <n v="1012915482"/>
    <s v="CPA - Erotica Interest - Video-IS - Desktop - Canada"/>
    <s v="nsfw"/>
    <d v="1899-12-30T16:09:00"/>
    <s v="In-Stream Video"/>
    <s v="TJX"/>
    <s v="desktop"/>
    <s v="GEO,Frequency,BrowserLanguage,Segment"/>
    <n v="36"/>
    <n v="0"/>
    <s v="No"/>
    <n v="250"/>
    <n v="8068"/>
    <n v="381"/>
    <n v="4.7223600000000001"/>
    <n v="0"/>
    <n v="20.66"/>
    <n v="2.5609999999999999"/>
    <n v="5.3999999999999999E-2"/>
    <n v="0"/>
    <n v="1"/>
    <n v="0"/>
    <s v="Yes"/>
    <n v="8068"/>
    <n v="6208"/>
    <n v="1001"/>
    <s v="Erotica Interest"/>
    <s v="CP"/>
    <x v="3"/>
    <x v="0"/>
  </r>
  <r>
    <s v="NOT RUNNING"/>
    <n v="1012915492"/>
    <s v="CPA - Erotica Interest - Video-IS - Desktop - NZ"/>
    <s v="nsfw"/>
    <d v="1899-12-30T16:09:00"/>
    <s v="In-Stream Video"/>
    <s v="TJX"/>
    <s v="desktop"/>
    <s v="GEO,Frequency,BrowserLanguage,Segment"/>
    <n v="36"/>
    <n v="0"/>
    <s v="No"/>
    <n v="250"/>
    <n v="208"/>
    <n v="4"/>
    <n v="1.9230799999999999"/>
    <n v="0"/>
    <n v="0.12"/>
    <n v="0.59"/>
    <n v="3.1E-2"/>
    <n v="0"/>
    <n v="1"/>
    <n v="0"/>
    <s v="Yes"/>
    <n v="208"/>
    <n v="144"/>
    <n v="37"/>
    <s v="Erotica Interest"/>
    <s v="CP"/>
    <x v="3"/>
    <x v="0"/>
  </r>
  <r>
    <s v="NOT RUNNING"/>
    <n v="1012915502"/>
    <s v="CPA - Erotica Interest - Video-IS - iOS - UK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Erotica Interest"/>
    <s v="CP"/>
    <x v="17"/>
    <x v="0"/>
  </r>
  <r>
    <s v="RUNNING"/>
    <n v="1012915512"/>
    <s v="CPA - Erotica Interest - Video-IS - iOS - Canada"/>
    <s v="nsfw"/>
    <d v="1899-12-30T16:09:00"/>
    <s v="In-Stream Video"/>
    <s v="TJX"/>
    <s v="mobile"/>
    <s v="GEO,Frequency,OS,BrowserLanguage,Segment"/>
    <n v="90"/>
    <n v="0"/>
    <s v="Yes"/>
    <s v="Unlimited"/>
    <n v="23974"/>
    <n v="1030"/>
    <n v="4.2963100000000001"/>
    <n v="1"/>
    <n v="51.16"/>
    <n v="2.1339999999999999"/>
    <n v="0.05"/>
    <n v="51.164000000000001"/>
    <n v="1"/>
    <n v="0"/>
    <s v="Yes"/>
    <n v="23974"/>
    <n v="21430"/>
    <n v="1841"/>
    <s v="Erotica Interest"/>
    <s v="CP"/>
    <x v="3"/>
    <x v="0"/>
  </r>
  <r>
    <s v="NOT RUNNING"/>
    <n v="1012915522"/>
    <s v="CPA - Erotica Interest - Video-IS - iOS - Aus"/>
    <s v="nsfw"/>
    <d v="1899-12-30T16:09:00"/>
    <s v="In-Stream Video"/>
    <s v="TJX"/>
    <s v="mobile"/>
    <s v="GEO,Frequency,OS,BrowserLanguage,Segment"/>
    <n v="90"/>
    <n v="0"/>
    <s v="No"/>
    <n v="250"/>
    <n v="124"/>
    <n v="9"/>
    <n v="7.2580600000000004"/>
    <n v="0"/>
    <n v="0.09"/>
    <n v="0.72799999999999998"/>
    <n v="0.01"/>
    <n v="0"/>
    <n v="1"/>
    <n v="0"/>
    <s v="Yes"/>
    <n v="124"/>
    <n v="109"/>
    <n v="10"/>
    <s v="Erotica Interest"/>
    <s v="CP"/>
    <x v="3"/>
    <x v="0"/>
  </r>
  <r>
    <s v="NOT RUNNING"/>
    <n v="1012915532"/>
    <s v="CPA - Erotica Interest - Video-IS - iOS - NZ"/>
    <s v="nsfw"/>
    <d v="1899-12-30T16:09:00"/>
    <s v="In-Stream Video"/>
    <s v="TJX"/>
    <s v="mobile"/>
    <s v="GEO,Frequency,OS,BrowserLanguage,Segment"/>
    <n v="90"/>
    <n v="0"/>
    <s v="No"/>
    <n v="250"/>
    <n v="242"/>
    <n v="10"/>
    <n v="4.1322299999999998"/>
    <n v="0"/>
    <n v="0.14000000000000001"/>
    <n v="0.58099999999999996"/>
    <n v="1.4E-2"/>
    <n v="0"/>
    <n v="1"/>
    <n v="0"/>
    <s v="Yes"/>
    <n v="242"/>
    <n v="208"/>
    <n v="25"/>
    <s v="Erotica Interest"/>
    <s v="CP"/>
    <x v="3"/>
    <x v="0"/>
  </r>
  <r>
    <s v="NOT RUNNING"/>
    <n v="1012915552"/>
    <s v="CPA - Erotica Interest - Video-IS - excl. iOS - UK"/>
    <s v="nsfw"/>
    <d v="1899-12-30T16:09:00"/>
    <s v="In-Stream Video"/>
    <s v="TJX"/>
    <s v="mobile"/>
    <s v="GEO,Frequency,OS,BrowserLanguage,Segment"/>
    <n v="90"/>
    <n v="0"/>
    <s v="No"/>
    <n v="250"/>
    <n v="10"/>
    <n v="0"/>
    <n v="0"/>
    <n v="0"/>
    <n v="0.01"/>
    <n v="0.629"/>
    <n v="0"/>
    <n v="0"/>
    <n v="1"/>
    <n v="0"/>
    <s v="Yes"/>
    <n v="10"/>
    <n v="8"/>
    <n v="2"/>
    <s v="Erotica Interest"/>
    <s v="CP"/>
    <x v="3"/>
    <x v="0"/>
  </r>
  <r>
    <s v="RUNNING"/>
    <n v="1012915562"/>
    <s v="CPA - Erotica Interest - Video-IS - excl. iOS - Canada"/>
    <s v="nsfw"/>
    <d v="1899-12-30T16:09:00"/>
    <s v="In-Stream Video"/>
    <s v="TJX"/>
    <s v="mobile"/>
    <s v="GEO,Frequency,OS,BrowserLanguage,Segment"/>
    <n v="90"/>
    <n v="0"/>
    <s v="No"/>
    <n v="250"/>
    <n v="18634"/>
    <n v="973"/>
    <n v="5.2216399999999998"/>
    <n v="0"/>
    <n v="35.78"/>
    <n v="1.92"/>
    <n v="3.6999999999999998E-2"/>
    <n v="0"/>
    <n v="1"/>
    <n v="0"/>
    <s v="Yes"/>
    <n v="18634"/>
    <n v="16585"/>
    <n v="1480"/>
    <s v="Erotica Interest"/>
    <s v="CP"/>
    <x v="3"/>
    <x v="0"/>
  </r>
  <r>
    <s v="NOT RUNNING"/>
    <n v="1012915572"/>
    <s v="CPA - Erotica Interest - Video-IS - excl. iOS - Aus"/>
    <s v="nsfw"/>
    <d v="1899-12-30T16:09:00"/>
    <s v="In-Stream Video"/>
    <s v="TJX"/>
    <s v="mobile"/>
    <s v="GEO,Frequency,OS,BrowserLanguage,Segment"/>
    <n v="90"/>
    <n v="0"/>
    <s v="No"/>
    <n v="250"/>
    <n v="51"/>
    <n v="10"/>
    <n v="19.607839999999999"/>
    <n v="0"/>
    <n v="0.04"/>
    <n v="0.72799999999999998"/>
    <n v="4.0000000000000001E-3"/>
    <n v="0"/>
    <n v="1"/>
    <n v="0"/>
    <s v="Yes"/>
    <n v="51"/>
    <n v="41"/>
    <n v="5"/>
    <s v="Erotica Interest"/>
    <s v="CP"/>
    <x v="3"/>
    <x v="0"/>
  </r>
  <r>
    <s v="NOT RUNNING"/>
    <n v="1012915582"/>
    <s v="CPA - Erotica Interest - Video-IS - excl. iOS - NZ"/>
    <s v="nsfw"/>
    <d v="1899-12-30T16:09:00"/>
    <s v="In-Stream Video"/>
    <s v="TJX"/>
    <s v="mobile"/>
    <s v="GEO,Frequency,OS,BrowserLanguage,Segment"/>
    <n v="90"/>
    <n v="0"/>
    <s v="No"/>
    <n v="250"/>
    <n v="130"/>
    <n v="7"/>
    <n v="5.38462"/>
    <n v="0"/>
    <n v="0.08"/>
    <n v="0.57999999999999996"/>
    <n v="1.0999999999999999E-2"/>
    <n v="0"/>
    <n v="1"/>
    <n v="0"/>
    <s v="Yes"/>
    <n v="130"/>
    <n v="113"/>
    <n v="15"/>
    <s v="Erotica Interest"/>
    <s v="CP"/>
    <x v="3"/>
    <x v="0"/>
  </r>
  <r>
    <s v="RUNNING"/>
    <n v="1012915592"/>
    <s v="CPA - VR Intent - Video-IS - Desktop - USA"/>
    <s v="nsfw"/>
    <d v="1899-12-30T16:09:00"/>
    <s v="In-Stream Video"/>
    <s v="TJX"/>
    <s v="desktop"/>
    <s v="GEO,Frequency,BrowserLanguage,Segment"/>
    <n v="36"/>
    <n v="0"/>
    <s v="No"/>
    <n v="250"/>
    <n v="7487"/>
    <n v="412"/>
    <n v="5.5028699999999997"/>
    <n v="0"/>
    <n v="28.37"/>
    <n v="3.7890000000000001"/>
    <n v="6.9000000000000006E-2"/>
    <n v="0"/>
    <n v="1"/>
    <n v="0"/>
    <s v="Yes"/>
    <n v="7487"/>
    <n v="5648"/>
    <n v="1010"/>
    <s v="VR Intent"/>
    <s v="CP"/>
    <x v="3"/>
    <x v="0"/>
  </r>
  <r>
    <s v="PAUSED"/>
    <n v="1012915602"/>
    <s v="CPA - VR Intent - Video-IS - iOS - USA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R Intent"/>
    <s v="CP"/>
    <x v="18"/>
    <x v="0"/>
  </r>
  <r>
    <s v="RUNNING"/>
    <n v="1012915612"/>
    <s v="CPA - VR Intent - Video-IS - excl. iOS - USA"/>
    <s v="nsfw"/>
    <d v="1899-12-30T16:09:00"/>
    <s v="In-Stream Video"/>
    <s v="TJX"/>
    <s v="mobile"/>
    <s v="GEO,Frequency,OS,BrowserLanguage,Segment"/>
    <n v="90"/>
    <n v="0"/>
    <s v="Yes"/>
    <s v="Unlimited"/>
    <n v="55728"/>
    <n v="4239"/>
    <n v="7.6065899999999997"/>
    <n v="3"/>
    <n v="181.13"/>
    <n v="3.25"/>
    <n v="4.2999999999999997E-2"/>
    <n v="60.377000000000002"/>
    <n v="1"/>
    <n v="0"/>
    <s v="Yes"/>
    <n v="55728"/>
    <n v="47855"/>
    <n v="5419"/>
    <s v="VR Intent"/>
    <s v="CP"/>
    <x v="3"/>
    <x v="0"/>
  </r>
  <r>
    <s v="RUNNING"/>
    <n v="1012915622"/>
    <s v="CPA - VR Intent - Video-IS - Desktop - Aus"/>
    <s v="nsfw"/>
    <d v="1899-12-30T16:09:00"/>
    <s v="In-Stream Video"/>
    <s v="TJX"/>
    <s v="desktop"/>
    <s v="GEO,Frequency,BrowserLanguage,Segment"/>
    <n v="36"/>
    <n v="0"/>
    <s v="No"/>
    <n v="250"/>
    <n v="629"/>
    <n v="28"/>
    <n v="4.4515099999999999"/>
    <n v="0"/>
    <n v="1.55"/>
    <n v="2.4700000000000002"/>
    <n v="5.5E-2"/>
    <n v="0"/>
    <n v="1"/>
    <n v="0"/>
    <s v="Yes"/>
    <n v="629"/>
    <n v="424"/>
    <n v="134"/>
    <s v="VR Intent"/>
    <s v="CP"/>
    <x v="3"/>
    <x v="0"/>
  </r>
  <r>
    <s v="RUNNING"/>
    <n v="1012915652"/>
    <s v="CPA - VR Intent - Video-IS - Desktop - UK"/>
    <s v="nsfw"/>
    <d v="1899-12-30T16:09:00"/>
    <s v="In-Stream Video"/>
    <s v="TJX"/>
    <s v="desktop"/>
    <s v="GEO,Frequency,BrowserLanguage,Segment"/>
    <n v="36"/>
    <n v="0"/>
    <s v="No"/>
    <n v="250"/>
    <n v="388"/>
    <n v="31"/>
    <n v="7.9896900000000004"/>
    <n v="0"/>
    <n v="1.08"/>
    <n v="2.7949999999999999"/>
    <n v="3.5000000000000003E-2"/>
    <n v="0"/>
    <n v="1"/>
    <n v="0"/>
    <s v="Yes"/>
    <n v="388"/>
    <n v="292"/>
    <n v="51"/>
    <s v="VR Intent"/>
    <s v="CP"/>
    <x v="3"/>
    <x v="0"/>
  </r>
  <r>
    <s v="NOT RUNNING"/>
    <n v="1012915672"/>
    <s v="CPA - VR Intent - Video-IS - Desktop - NZ"/>
    <s v="nsfw"/>
    <d v="1899-12-30T16:09:00"/>
    <s v="In-Stream Video"/>
    <s v="TJX"/>
    <s v="desktop"/>
    <s v="GEO,Frequency,BrowserLanguage,Segment"/>
    <n v="36"/>
    <n v="0"/>
    <s v="No"/>
    <n v="250"/>
    <n v="11"/>
    <n v="2"/>
    <n v="18.181809999999999"/>
    <n v="0"/>
    <n v="0.01"/>
    <n v="0.57799999999999996"/>
    <n v="3.0000000000000001E-3"/>
    <n v="0"/>
    <n v="1"/>
    <n v="0"/>
    <s v="Yes"/>
    <n v="11"/>
    <n v="8"/>
    <n v="2"/>
    <s v="VR Intent"/>
    <s v="CP"/>
    <x v="3"/>
    <x v="0"/>
  </r>
  <r>
    <s v="RUNNING"/>
    <n v="1012915682"/>
    <s v="CPA - VR Intent - Video-IS - Desktop - Canada"/>
    <s v="nsfw"/>
    <d v="1899-12-30T16:09:00"/>
    <s v="In-Stream Video"/>
    <s v="TJX"/>
    <s v="desktop"/>
    <s v="GEO,Frequency,BrowserLanguage,Segment"/>
    <n v="36"/>
    <n v="0"/>
    <s v="No"/>
    <n v="250"/>
    <n v="1405"/>
    <n v="92"/>
    <n v="6.5480400000000003"/>
    <n v="0"/>
    <n v="3.56"/>
    <n v="2.532"/>
    <n v="3.9E-2"/>
    <n v="0"/>
    <n v="1"/>
    <n v="0"/>
    <s v="Yes"/>
    <n v="1405"/>
    <n v="1045"/>
    <n v="191"/>
    <s v="VR Intent"/>
    <s v="CP"/>
    <x v="3"/>
    <x v="0"/>
  </r>
  <r>
    <s v="NOT RUNNING"/>
    <n v="1012915692"/>
    <s v="CPA - VR Intent - Video-IS - iOS - Aus"/>
    <s v="nsfw"/>
    <d v="1899-12-30T16:09:00"/>
    <s v="In-Stream Video"/>
    <s v="TJX"/>
    <s v="mobile"/>
    <s v="GEO,Frequency,OS,BrowserLanguage,Segment"/>
    <n v="90"/>
    <n v="0"/>
    <s v="No"/>
    <n v="250"/>
    <n v="29"/>
    <n v="2"/>
    <n v="6.8965500000000004"/>
    <n v="0"/>
    <n v="0.02"/>
    <n v="0.73199999999999998"/>
    <n v="1.0999999999999999E-2"/>
    <n v="0"/>
    <n v="1"/>
    <n v="0"/>
    <s v="Yes"/>
    <n v="29"/>
    <n v="25"/>
    <n v="3"/>
    <s v="VR Intent"/>
    <s v="CP"/>
    <x v="3"/>
    <x v="0"/>
  </r>
  <r>
    <s v="NOT RUNNING"/>
    <n v="1012915702"/>
    <s v="CPA - VR Intent - Video-IS - iOS - UK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R Intent"/>
    <s v="CP"/>
    <x v="18"/>
    <x v="0"/>
  </r>
  <r>
    <s v="RUNNING"/>
    <n v="1012915712"/>
    <s v="CPA - VR Intent - Video-IS - iOS - Canada"/>
    <s v="nsfw"/>
    <d v="1899-12-30T16:09:00"/>
    <s v="In-Stream Video"/>
    <s v="TJX"/>
    <s v="mobile"/>
    <s v="GEO,Frequency,OS,BrowserLanguage,Segment"/>
    <n v="90"/>
    <n v="0"/>
    <s v="No"/>
    <n v="250"/>
    <n v="22115"/>
    <n v="836"/>
    <n v="3.78024"/>
    <n v="0"/>
    <n v="46.97"/>
    <n v="2.1240000000000001"/>
    <n v="5.6000000000000001E-2"/>
    <n v="0"/>
    <n v="1"/>
    <n v="0"/>
    <s v="Yes"/>
    <n v="22115"/>
    <n v="19936"/>
    <n v="1670"/>
    <s v="VR Intent"/>
    <s v="CP"/>
    <x v="3"/>
    <x v="0"/>
  </r>
  <r>
    <s v="NOT RUNNING"/>
    <n v="1012915722"/>
    <s v="CPA - VR Intent - Video-IS - iOS - NZ"/>
    <s v="nsfw"/>
    <d v="1899-12-30T16:09:00"/>
    <s v="In-Stream Video"/>
    <s v="TJX"/>
    <s v="mobile"/>
    <s v="GEO,Frequency,OS,BrowserLanguage,Segment"/>
    <n v="90"/>
    <n v="0"/>
    <s v="No"/>
    <n v="250"/>
    <n v="30"/>
    <n v="1"/>
    <n v="3.3333300000000001"/>
    <n v="0"/>
    <n v="0.02"/>
    <n v="0.58599999999999997"/>
    <n v="1.7999999999999999E-2"/>
    <n v="0"/>
    <n v="1"/>
    <n v="0"/>
    <s v="Yes"/>
    <n v="30"/>
    <n v="22"/>
    <n v="7"/>
    <s v="VR Intent"/>
    <s v="CP"/>
    <x v="3"/>
    <x v="0"/>
  </r>
  <r>
    <s v="NOT RUNNING"/>
    <n v="1012915732"/>
    <s v="CPA - VR Intent - Video-IS - excl. iOS - UK"/>
    <s v="nsfw"/>
    <d v="1899-12-30T16:09:00"/>
    <s v="In-Stream Video"/>
    <s v="TJX"/>
    <s v="mobile"/>
    <s v="GEO,Frequency,OS,BrowserLanguage,Segment"/>
    <n v="90"/>
    <n v="0"/>
    <s v="No"/>
    <n v="250"/>
    <n v="14"/>
    <n v="4"/>
    <n v="28.571429999999999"/>
    <n v="0"/>
    <n v="0.01"/>
    <n v="0.53300000000000003"/>
    <n v="2E-3"/>
    <n v="0"/>
    <n v="1"/>
    <n v="0"/>
    <s v="Yes"/>
    <n v="14"/>
    <n v="11"/>
    <n v="2"/>
    <s v="VR Intent"/>
    <s v="CP"/>
    <x v="3"/>
    <x v="0"/>
  </r>
  <r>
    <s v="RUNNING"/>
    <n v="1012915742"/>
    <s v="CPA - VR Intent - Video-IS - excl. iOS - Canada"/>
    <s v="nsfw"/>
    <d v="1899-12-30T16:09:00"/>
    <s v="In-Stream Video"/>
    <s v="TJX"/>
    <s v="mobile"/>
    <s v="GEO,Frequency,OS,BrowserLanguage,Segment"/>
    <n v="90"/>
    <n v="0"/>
    <s v="No"/>
    <n v="250"/>
    <n v="12568"/>
    <n v="1002"/>
    <n v="7.9726299999999997"/>
    <n v="0"/>
    <n v="25.86"/>
    <n v="2.0569999999999999"/>
    <n v="2.5999999999999999E-2"/>
    <n v="0"/>
    <n v="1"/>
    <n v="0"/>
    <s v="Yes"/>
    <n v="12567"/>
    <n v="10608"/>
    <n v="1258"/>
    <s v="VR Intent"/>
    <s v="CP"/>
    <x v="3"/>
    <x v="0"/>
  </r>
  <r>
    <s v="NOT RUNNING"/>
    <n v="1012915752"/>
    <s v="CPA - VR Intent - Video-IS - excl. iOS - NZ"/>
    <s v="nsfw"/>
    <d v="1899-12-30T16:09:00"/>
    <s v="In-Stream Video"/>
    <s v="TJX"/>
    <s v="mobile"/>
    <s v="GEO,Frequency,OS,BrowserLanguage,Segment"/>
    <n v="90"/>
    <n v="0"/>
    <s v="No"/>
    <n v="250"/>
    <n v="44"/>
    <n v="4"/>
    <n v="9.0908999999999995"/>
    <n v="0"/>
    <n v="0.03"/>
    <n v="0.57699999999999996"/>
    <n v="6.0000000000000001E-3"/>
    <n v="0"/>
    <n v="1"/>
    <n v="0"/>
    <s v="Yes"/>
    <n v="44"/>
    <n v="35"/>
    <n v="8"/>
    <s v="VR Intent"/>
    <s v="CP"/>
    <x v="3"/>
    <x v="0"/>
  </r>
  <r>
    <s v="NOT RUNNING"/>
    <n v="1012915762"/>
    <s v="CPA - VR Intent - Video-IS - excl. iOS - Aus"/>
    <s v="nsfw"/>
    <d v="1899-12-30T16:09:00"/>
    <s v="In-Stream Video"/>
    <s v="TJX"/>
    <s v="mobile"/>
    <s v="GEO,Frequency,OS,BrowserLanguage,Segment"/>
    <n v="90"/>
    <n v="0"/>
    <s v="No"/>
    <n v="250"/>
    <n v="46"/>
    <n v="0"/>
    <n v="0"/>
    <n v="0"/>
    <n v="0.03"/>
    <n v="0.72899999999999998"/>
    <n v="0"/>
    <n v="0"/>
    <n v="1"/>
    <n v="0"/>
    <s v="Yes"/>
    <n v="46"/>
    <n v="36"/>
    <n v="5"/>
    <s v="VR Intent"/>
    <s v="CP"/>
    <x v="3"/>
    <x v="0"/>
  </r>
  <r>
    <s v="PAUSED"/>
    <n v="1012915772"/>
    <s v="CPA - VOD Hentai Intent - Video-IS - Desktop - USA"/>
    <s v="nsfw"/>
    <d v="1899-12-30T16:09:00"/>
    <s v="In-Stream Video"/>
    <s v="TJX"/>
    <s v="desktop"/>
    <s v="GEO,Frequency,BrowserLanguage,Segment"/>
    <n v="36"/>
    <n v="0"/>
    <s v="No"/>
    <n v="250"/>
    <n v="5"/>
    <n v="0"/>
    <n v="0"/>
    <n v="0"/>
    <n v="0.02"/>
    <n v="3.8109999999999999"/>
    <n v="0"/>
    <n v="0"/>
    <n v="1"/>
    <n v="0"/>
    <s v="Yes"/>
    <n v="5"/>
    <n v="3"/>
    <n v="0"/>
    <s v="VOD Hentai Intent"/>
    <s v="CP"/>
    <x v="3"/>
    <x v="0"/>
  </r>
  <r>
    <s v="PAUSED"/>
    <n v="1012915792"/>
    <s v="CPA - VOD Hentai Intent - Video-IS - iOS - USA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OD Hentai Intent"/>
    <s v="CP"/>
    <x v="19"/>
    <x v="0"/>
  </r>
  <r>
    <s v="PAUSED"/>
    <n v="1012915802"/>
    <s v="CPA - VOD Hentai Intent - Video-IS - excl. iOS - USA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OD Hentai Intent"/>
    <s v="CP"/>
    <x v="19"/>
    <x v="0"/>
  </r>
  <r>
    <s v="RUNNING"/>
    <n v="1012915832"/>
    <s v="CPA - VOD Hentai Intent - Video-IS - Desktop - NZ"/>
    <s v="nsfw"/>
    <d v="1899-12-30T16:09:00"/>
    <s v="In-Stream Video"/>
    <s v="TJX"/>
    <s v="desktop"/>
    <s v="GEO,Frequency,BrowserLanguage,Segment"/>
    <n v="36"/>
    <n v="0"/>
    <s v="No"/>
    <n v="250"/>
    <n v="267"/>
    <n v="18"/>
    <n v="6.7415700000000003"/>
    <n v="0"/>
    <n v="0.16"/>
    <n v="0.59"/>
    <n v="8.9999999999999993E-3"/>
    <n v="0"/>
    <n v="1"/>
    <n v="0"/>
    <s v="Yes"/>
    <n v="267"/>
    <n v="186"/>
    <n v="23"/>
    <s v="VOD Hentai Intent"/>
    <s v="CP"/>
    <x v="3"/>
    <x v="0"/>
  </r>
  <r>
    <s v="RUNNING"/>
    <n v="1012915842"/>
    <s v="CPA - VOD Hentai Intent - Video-IS - Desktop - Aus"/>
    <s v="nsfw"/>
    <d v="1899-12-30T16:09:00"/>
    <s v="In-Stream Video"/>
    <s v="TJX"/>
    <s v="desktop"/>
    <s v="GEO,Frequency,BrowserLanguage,Segment"/>
    <n v="36"/>
    <n v="0"/>
    <s v="No"/>
    <n v="250"/>
    <n v="5089"/>
    <n v="291"/>
    <n v="5.7182199999999996"/>
    <n v="1"/>
    <n v="12.77"/>
    <n v="2.5089999999999999"/>
    <n v="4.3999999999999997E-2"/>
    <n v="12.769"/>
    <n v="1"/>
    <n v="0"/>
    <s v="Yes"/>
    <n v="5089"/>
    <n v="4027"/>
    <n v="480"/>
    <s v="VOD Hentai Intent"/>
    <s v="CP"/>
    <x v="3"/>
    <x v="0"/>
  </r>
  <r>
    <s v="RUNNING"/>
    <n v="1012915852"/>
    <s v="CPA - VOD Hentai Intent - Video-IS - Desktop - Canada"/>
    <s v="nsfw"/>
    <d v="1899-12-30T16:09:00"/>
    <s v="In-Stream Video"/>
    <s v="TJX"/>
    <s v="desktop"/>
    <s v="GEO,Frequency,BrowserLanguage,Segment"/>
    <n v="36"/>
    <n v="0"/>
    <s v="No"/>
    <n v="250"/>
    <n v="7200"/>
    <n v="406"/>
    <n v="5.63889"/>
    <n v="0"/>
    <n v="18.59"/>
    <n v="2.581"/>
    <n v="4.5999999999999999E-2"/>
    <n v="0"/>
    <n v="1"/>
    <n v="0"/>
    <s v="Yes"/>
    <n v="7200"/>
    <n v="5637"/>
    <n v="670"/>
    <s v="VOD Hentai Intent"/>
    <s v="CP"/>
    <x v="3"/>
    <x v="0"/>
  </r>
  <r>
    <s v="RUNNING"/>
    <n v="1012915862"/>
    <s v="CPA - VOD Hentai Intent - Video-IS - Desktop - UK"/>
    <s v="nsfw"/>
    <d v="1899-12-30T16:09:00"/>
    <s v="In-Stream Video"/>
    <s v="TJX"/>
    <s v="desktop"/>
    <s v="GEO,Frequency,BrowserLanguage,Segment"/>
    <n v="36"/>
    <n v="0"/>
    <s v="No"/>
    <n v="250"/>
    <n v="516"/>
    <n v="28"/>
    <n v="5.4263599999999999"/>
    <n v="0"/>
    <n v="1.44"/>
    <n v="2.7879999999999998"/>
    <n v="5.0999999999999997E-2"/>
    <n v="0"/>
    <n v="1"/>
    <n v="0"/>
    <s v="Yes"/>
    <n v="516"/>
    <n v="391"/>
    <n v="50"/>
    <s v="VOD Hentai Intent"/>
    <s v="CP"/>
    <x v="3"/>
    <x v="0"/>
  </r>
  <r>
    <s v="NOT RUNNING"/>
    <n v="1012915872"/>
    <s v="CPA - VOD Hentai Intent - Video-IS - iOS - Aus"/>
    <s v="nsfw"/>
    <d v="1899-12-30T16:09:00"/>
    <s v="In-Stream Video"/>
    <s v="TJX"/>
    <s v="mobile"/>
    <s v="GEO,Frequency,OS,BrowserLanguage,Segment"/>
    <n v="90"/>
    <n v="0"/>
    <s v="No"/>
    <n v="250"/>
    <n v="32"/>
    <n v="5"/>
    <n v="15.625"/>
    <n v="0"/>
    <n v="0.02"/>
    <n v="0.69899999999999995"/>
    <n v="4.0000000000000001E-3"/>
    <n v="0"/>
    <n v="1"/>
    <n v="0"/>
    <s v="Yes"/>
    <n v="32"/>
    <n v="30"/>
    <n v="2"/>
    <s v="VOD Hentai Intent"/>
    <s v="CP"/>
    <x v="3"/>
    <x v="0"/>
  </r>
  <r>
    <s v="RUNNING"/>
    <n v="1012915882"/>
    <s v="CPA - VOD Hentai Intent - Video-IS - iOS - Canada"/>
    <s v="nsfw"/>
    <d v="1899-12-30T16:09:00"/>
    <s v="In-Stream Video"/>
    <s v="TJX"/>
    <s v="mobile"/>
    <s v="GEO,Frequency,OS,BrowserLanguage,Segment"/>
    <n v="90"/>
    <n v="0"/>
    <s v="No"/>
    <n v="250"/>
    <n v="21519"/>
    <n v="1051"/>
    <n v="4.8840599999999998"/>
    <n v="0"/>
    <n v="46.4"/>
    <n v="2.1560000000000001"/>
    <n v="4.3999999999999997E-2"/>
    <n v="0"/>
    <n v="1"/>
    <n v="0"/>
    <s v="Yes"/>
    <n v="21519"/>
    <n v="19310"/>
    <n v="1463"/>
    <s v="VOD Hentai Intent"/>
    <s v="CP"/>
    <x v="3"/>
    <x v="0"/>
  </r>
  <r>
    <s v="NOT RUNNING"/>
    <n v="1012915892"/>
    <s v="CPA - VOD Hentai Intent - Video-IS - iOS - UK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OD Hentai Intent"/>
    <s v="CP"/>
    <x v="19"/>
    <x v="0"/>
  </r>
  <r>
    <s v="NOT RUNNING"/>
    <n v="1012915902"/>
    <s v="CPA - VOD Hentai Intent - Video-IS - iOS - NZ"/>
    <s v="nsfw"/>
    <d v="1899-12-30T16:09:00"/>
    <s v="In-Stream Video"/>
    <s v="TJX"/>
    <s v="mobile"/>
    <s v="GEO,Frequency,OS,BrowserLanguage,Segment"/>
    <n v="90"/>
    <n v="0"/>
    <s v="No"/>
    <n v="250"/>
    <n v="271"/>
    <n v="14"/>
    <n v="5.1660500000000003"/>
    <n v="0"/>
    <n v="0.16"/>
    <n v="0.58499999999999996"/>
    <n v="1.0999999999999999E-2"/>
    <n v="0"/>
    <n v="1"/>
    <n v="0"/>
    <s v="Yes"/>
    <n v="271"/>
    <n v="238"/>
    <n v="25"/>
    <s v="VOD Hentai Intent"/>
    <s v="CP"/>
    <x v="3"/>
    <x v="0"/>
  </r>
  <r>
    <s v="NOT RUNNING"/>
    <n v="1012915922"/>
    <s v="CPA - VOD Hentai Intent - Video-IS - excl. iOS - Aus"/>
    <s v="nsfw"/>
    <d v="1899-12-30T16:09:00"/>
    <s v="In-Stream Video"/>
    <s v="TJX"/>
    <s v="mobile"/>
    <s v="GEO,Frequency,OS,BrowserLanguage,Segment"/>
    <n v="90"/>
    <n v="0"/>
    <s v="No"/>
    <n v="250"/>
    <n v="6"/>
    <n v="1"/>
    <n v="16.66667"/>
    <n v="0"/>
    <n v="0"/>
    <n v="0.65200000000000002"/>
    <n v="4.0000000000000001E-3"/>
    <n v="0"/>
    <n v="1"/>
    <n v="0"/>
    <s v="Yes"/>
    <n v="6"/>
    <n v="6"/>
    <n v="0"/>
    <s v="VOD Hentai Intent"/>
    <s v="CP"/>
    <x v="19"/>
    <x v="0"/>
  </r>
  <r>
    <s v="NOT RUNNING"/>
    <n v="1012915932"/>
    <s v="CPA - VOD Hentai Intent - Video-IS - excl. iOS - UK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OD Hentai Intent"/>
    <s v="CP"/>
    <x v="19"/>
    <x v="0"/>
  </r>
  <r>
    <s v="NOT RUNNING"/>
    <n v="1012915942"/>
    <s v="CPA - VOD Hentai Intent - Video-IS - excl. iOS - NZ"/>
    <s v="nsfw"/>
    <d v="1899-12-30T16:09:00"/>
    <s v="In-Stream Video"/>
    <s v="TJX"/>
    <s v="mobile"/>
    <s v="GEO,Frequency,OS,BrowserLanguage,Segment"/>
    <n v="90"/>
    <n v="0"/>
    <s v="No"/>
    <n v="250"/>
    <n v="288"/>
    <n v="20"/>
    <n v="6.9444400000000002"/>
    <n v="0"/>
    <n v="0.17"/>
    <n v="0.58299999999999996"/>
    <n v="8.0000000000000002E-3"/>
    <n v="0"/>
    <n v="1"/>
    <n v="0"/>
    <s v="Yes"/>
    <n v="288"/>
    <n v="251"/>
    <n v="26"/>
    <s v="VOD Hentai Intent"/>
    <s v="CP"/>
    <x v="3"/>
    <x v="0"/>
  </r>
  <r>
    <s v="RUNNING"/>
    <n v="1012915952"/>
    <s v="CPA - VOD Hentai Intent - Video-IS - excl. iOS - Canada"/>
    <s v="nsfw"/>
    <d v="1899-12-30T16:09:00"/>
    <s v="In-Stream Video"/>
    <s v="TJX"/>
    <s v="mobile"/>
    <s v="GEO,Frequency,OS,BrowserLanguage,Segment"/>
    <n v="90"/>
    <n v="0"/>
    <s v="No"/>
    <n v="250"/>
    <n v="25501"/>
    <n v="1503"/>
    <n v="5.8938899999999999"/>
    <n v="0"/>
    <n v="50.62"/>
    <n v="1.9850000000000001"/>
    <n v="3.4000000000000002E-2"/>
    <n v="0"/>
    <n v="1"/>
    <n v="0"/>
    <s v="Yes"/>
    <n v="25498"/>
    <n v="22473"/>
    <n v="1984"/>
    <s v="VOD Hentai Intent"/>
    <s v="CP"/>
    <x v="3"/>
    <x v="0"/>
  </r>
  <r>
    <s v="RUNNING"/>
    <n v="1012915962"/>
    <s v="CPA - Trans - Video-IS - iOS - Aus"/>
    <s v="nsfw"/>
    <d v="1899-12-30T16:09:00"/>
    <s v="In-Stream Video"/>
    <s v="TJX"/>
    <s v="mobile"/>
    <s v="GEO,Frequency,OS,BrowserLanguage"/>
    <n v="20"/>
    <n v="0"/>
    <s v="No"/>
    <n v="250"/>
    <n v="6198"/>
    <n v="400"/>
    <n v="6.4536899999999999"/>
    <n v="0"/>
    <n v="4.49"/>
    <n v="0.72499999999999998"/>
    <n v="1.0999999999999999E-2"/>
    <n v="0"/>
    <n v="1"/>
    <n v="0"/>
    <s v="Yes"/>
    <n v="6198"/>
    <n v="5649"/>
    <n v="372"/>
    <s v="Trans"/>
    <s v="CP"/>
    <x v="6"/>
    <x v="0"/>
  </r>
  <r>
    <s v="NOT RUNNING"/>
    <n v="1012915972"/>
    <s v="CPA - Trans - Video-IS - iOS - UK"/>
    <s v="nsfw"/>
    <d v="1899-12-30T16:09:00"/>
    <s v="In-Stream Video"/>
    <s v="TJX"/>
    <s v="mobile"/>
    <s v="GEO,Frequency,OS,BrowserLanguage"/>
    <n v="20"/>
    <n v="0"/>
    <s v="No"/>
    <n v="250"/>
    <n v="122"/>
    <n v="8"/>
    <n v="6.5573800000000002"/>
    <n v="0"/>
    <n v="0.1"/>
    <n v="0.78"/>
    <n v="1.2E-2"/>
    <n v="0"/>
    <n v="1"/>
    <n v="0"/>
    <s v="Yes"/>
    <n v="122"/>
    <n v="115"/>
    <n v="4"/>
    <s v="Trans"/>
    <s v="CP"/>
    <x v="6"/>
    <x v="0"/>
  </r>
  <r>
    <s v="PAUSED"/>
    <n v="1012915982"/>
    <s v="CPA - Trans - Video-IS - iOS - Canada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Trans"/>
    <s v="CP"/>
    <x v="1"/>
    <x v="0"/>
  </r>
  <r>
    <s v="NOT RUNNING"/>
    <n v="1012915992"/>
    <s v="CPA - Trans - Video-IS - iOS - NZ"/>
    <s v="nsfw"/>
    <d v="1899-12-30T16:09:00"/>
    <s v="In-Stream Video"/>
    <s v="TJX"/>
    <s v="mobile"/>
    <s v="GEO,Frequency,OS,BrowserLanguage"/>
    <n v="20"/>
    <n v="0"/>
    <s v="No"/>
    <n v="250"/>
    <n v="4"/>
    <n v="0"/>
    <n v="0"/>
    <n v="0"/>
    <n v="0"/>
    <n v="0.33100000000000002"/>
    <n v="0"/>
    <n v="0"/>
    <n v="1"/>
    <n v="0"/>
    <s v="Yes"/>
    <n v="4"/>
    <n v="4"/>
    <n v="0"/>
    <s v="Trans"/>
    <s v="CP"/>
    <x v="6"/>
    <x v="0"/>
  </r>
  <r>
    <s v="RUNNING"/>
    <n v="1012916002"/>
    <s v="CPA - Trans - Video-IS - Desktop - Aus"/>
    <s v="nsfw"/>
    <d v="1899-12-30T16:09:00"/>
    <s v="In-Stream Video"/>
    <s v="TJX"/>
    <s v="desktop"/>
    <s v="GEO,Frequency,BrowserLanguage"/>
    <n v="8"/>
    <n v="0"/>
    <s v="No"/>
    <n v="250"/>
    <n v="10585"/>
    <n v="488"/>
    <n v="4.61029"/>
    <n v="0"/>
    <n v="25.95"/>
    <n v="2.452"/>
    <n v="5.2999999999999999E-2"/>
    <n v="0"/>
    <n v="1"/>
    <n v="0"/>
    <s v="Yes"/>
    <n v="10585"/>
    <n v="8188"/>
    <n v="1363"/>
    <s v="Trans"/>
    <s v="CP"/>
    <x v="6"/>
    <x v="0"/>
  </r>
  <r>
    <s v="RUNNING"/>
    <n v="1012916012"/>
    <s v="CPA - Trans - Video-IS - Desktop - UK"/>
    <s v="nsfw"/>
    <d v="1899-12-30T16:09:00"/>
    <s v="In-Stream Video"/>
    <s v="TJX"/>
    <s v="desktop"/>
    <s v="GEO,Frequency,BrowserLanguage"/>
    <n v="8"/>
    <n v="0"/>
    <s v="No"/>
    <n v="250"/>
    <n v="18361"/>
    <n v="622"/>
    <n v="3.3876200000000001"/>
    <n v="0"/>
    <n v="49.48"/>
    <n v="2.6949999999999998"/>
    <n v="0.08"/>
    <n v="0"/>
    <n v="1"/>
    <n v="0"/>
    <s v="Yes"/>
    <n v="18361"/>
    <n v="14154"/>
    <n v="2054"/>
    <s v="Trans"/>
    <s v="CP"/>
    <x v="6"/>
    <x v="0"/>
  </r>
  <r>
    <s v="PAUSED"/>
    <n v="1012916022"/>
    <s v="CPA - Trans - Video-IS - Desktop - Canada"/>
    <s v="nsfw"/>
    <d v="1899-12-30T16:09:00"/>
    <s v="In-Stream Video"/>
    <s v="TJX"/>
    <s v="desktop"/>
    <s v="GEO,Frequency,BrowserLanguage"/>
    <n v="8"/>
    <n v="0"/>
    <s v="No"/>
    <n v="250"/>
    <n v="1"/>
    <n v="0"/>
    <n v="0"/>
    <n v="0"/>
    <n v="0"/>
    <n v="2.5880000000000001"/>
    <n v="0"/>
    <n v="0"/>
    <n v="1"/>
    <n v="0"/>
    <s v="Yes"/>
    <n v="1"/>
    <n v="1"/>
    <n v="0"/>
    <s v="Trans"/>
    <s v="CP"/>
    <x v="1"/>
    <x v="0"/>
  </r>
  <r>
    <s v="RUNNING"/>
    <n v="1012916032"/>
    <s v="CPA - Trans - Video-IS - Desktop - NZ"/>
    <s v="nsfw"/>
    <d v="1899-12-30T16:09:00"/>
    <s v="In-Stream Video"/>
    <s v="TJX"/>
    <s v="desktop"/>
    <s v="GEO,Frequency,BrowserLanguage"/>
    <n v="8"/>
    <n v="0"/>
    <s v="No"/>
    <n v="250"/>
    <n v="1393"/>
    <n v="46"/>
    <n v="3.3022300000000002"/>
    <n v="0"/>
    <n v="0.77"/>
    <n v="0.55400000000000005"/>
    <n v="1.7000000000000001E-2"/>
    <n v="0"/>
    <n v="1"/>
    <n v="0"/>
    <s v="Yes"/>
    <n v="1393"/>
    <n v="998"/>
    <n v="185"/>
    <s v="Trans"/>
    <s v="CP"/>
    <x v="6"/>
    <x v="0"/>
  </r>
  <r>
    <s v="RUNNING"/>
    <n v="1012916052"/>
    <s v="CPA - Trans - Video-IS - excl. iOS - Aus"/>
    <s v="nsfw"/>
    <d v="1899-12-30T16:09:00"/>
    <s v="In-Stream Video"/>
    <s v="TJX"/>
    <s v="mobile"/>
    <s v="GEO,Frequency,OS,BrowserLanguage"/>
    <n v="20"/>
    <n v="0"/>
    <s v="No"/>
    <n v="250"/>
    <n v="2760"/>
    <n v="141"/>
    <n v="5.1086999999999998"/>
    <n v="0"/>
    <n v="1.96"/>
    <n v="0.71"/>
    <n v="1.4E-2"/>
    <n v="0"/>
    <n v="1"/>
    <n v="0"/>
    <s v="Yes"/>
    <n v="2760"/>
    <n v="2491"/>
    <n v="171"/>
    <s v="Trans"/>
    <s v="CP"/>
    <x v="6"/>
    <x v="0"/>
  </r>
  <r>
    <s v="PAUSED"/>
    <n v="1012916062"/>
    <s v="CPA - Trans - Video-IS - excl. iOS - Canada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Trans"/>
    <s v="CP"/>
    <x v="6"/>
    <x v="0"/>
  </r>
  <r>
    <s v="RUNNING"/>
    <n v="1012916072"/>
    <s v="CPA - Trans - Video-IS - excl. iOS - UK"/>
    <s v="nsfw"/>
    <d v="1899-12-30T16:09:00"/>
    <s v="In-Stream Video"/>
    <s v="TJX"/>
    <s v="mobile"/>
    <s v="GEO,Frequency,OS,BrowserLanguage"/>
    <n v="20"/>
    <n v="0"/>
    <s v="No"/>
    <n v="250"/>
    <n v="1432"/>
    <n v="102"/>
    <n v="7.1229100000000001"/>
    <n v="0"/>
    <n v="0.97"/>
    <n v="0.68"/>
    <n v="0.01"/>
    <n v="0"/>
    <n v="1"/>
    <n v="0"/>
    <s v="Yes"/>
    <n v="1432"/>
    <n v="1315"/>
    <n v="80"/>
    <s v="Trans"/>
    <s v="CP"/>
    <x v="6"/>
    <x v="0"/>
  </r>
  <r>
    <s v="NOT RUNNING"/>
    <n v="1012916082"/>
    <s v="CPA - Trans - Video-IS - excl. iOS - NZ"/>
    <s v="nsfw"/>
    <d v="1899-12-30T16:09:00"/>
    <s v="In-Stream Video"/>
    <s v="TJX"/>
    <s v="mobile"/>
    <s v="GEO,Frequency,OS,BrowserLanguage"/>
    <n v="20"/>
    <n v="0"/>
    <s v="No"/>
    <n v="250"/>
    <n v="6"/>
    <n v="1"/>
    <n v="16.66667"/>
    <n v="0"/>
    <n v="0"/>
    <n v="0.23699999999999999"/>
    <n v="1E-3"/>
    <n v="0"/>
    <n v="1"/>
    <n v="0"/>
    <s v="Yes"/>
    <n v="6"/>
    <n v="5"/>
    <n v="0"/>
    <s v="Trans"/>
    <s v="CP"/>
    <x v="6"/>
    <x v="0"/>
  </r>
  <r>
    <s v="PAUSED"/>
    <n v="1012921252"/>
    <s v="CPA - Blowjob - Video-IS - iOS - USA NEW"/>
    <s v="nsfw"/>
    <d v="1899-12-30T16:09:00"/>
    <s v="In-Stream Video"/>
    <s v="TJX"/>
    <s v="mobile"/>
    <s v="GEO,Frequency,Keyword,OS,Browser,BrowserLanguage"/>
    <n v="6"/>
    <n v="0"/>
    <s v="No"/>
    <n v="500"/>
    <n v="0"/>
    <n v="0"/>
    <n v="0"/>
    <m/>
    <n v="0"/>
    <n v="0"/>
    <n v="0"/>
    <n v="0"/>
    <n v="1"/>
    <n v="0"/>
    <s v="Yes"/>
    <m/>
    <m/>
    <m/>
    <s v="Blowjob"/>
    <s v="CP"/>
    <x v="15"/>
    <x v="0"/>
  </r>
  <r>
    <s v="RUNNING"/>
    <n v="1012921942"/>
    <s v="CPA - Hentai - Video-IS - excl. iOS - OTH"/>
    <s v="nsfw"/>
    <d v="1899-12-30T16:09:00"/>
    <s v="In-Stream Video"/>
    <s v="TJX"/>
    <s v="mobile"/>
    <s v="GEO,Frequency,Keyword,OS,BrowserLanguage"/>
    <n v="1100"/>
    <n v="0"/>
    <s v="Yes"/>
    <s v="Unlimited"/>
    <n v="80402"/>
    <n v="6263"/>
    <n v="7.7896099999999997"/>
    <n v="1"/>
    <n v="99.37"/>
    <n v="1.236"/>
    <n v="1.6E-2"/>
    <n v="99.373000000000005"/>
    <n v="1"/>
    <n v="0"/>
    <s v="Yes"/>
    <n v="80402"/>
    <n v="70377"/>
    <n v="6258"/>
    <s v="Hentai"/>
    <s v="CP"/>
    <x v="12"/>
    <x v="0"/>
  </r>
  <r>
    <s v="RUNNING"/>
    <n v="1012921952"/>
    <s v="CPA - Hentai - Video-IS - iOS - OTH"/>
    <s v="nsfw"/>
    <d v="1899-12-30T16:09:00"/>
    <s v="In-Stream Video"/>
    <s v="TJX"/>
    <s v="mobile"/>
    <s v="GEO,Frequency,Keyword,OS,BrowserLanguage"/>
    <n v="1100"/>
    <n v="0"/>
    <s v="No"/>
    <n v="250"/>
    <n v="56923"/>
    <n v="3585"/>
    <n v="6.2979799999999999"/>
    <n v="0"/>
    <n v="90.44"/>
    <n v="1.589"/>
    <n v="2.5000000000000001E-2"/>
    <n v="0"/>
    <n v="1"/>
    <n v="0"/>
    <s v="Yes"/>
    <n v="56924"/>
    <n v="50069"/>
    <n v="4286"/>
    <s v="Hentai"/>
    <s v="CP"/>
    <x v="12"/>
    <x v="0"/>
  </r>
  <r>
    <s v="RUNNING"/>
    <n v="1012921962"/>
    <s v="CPA - Hentai - Video-IS - Desktop - OTH"/>
    <s v="nsfw"/>
    <d v="1899-12-30T16:09:00"/>
    <s v="In-Stream Video"/>
    <s v="TJX"/>
    <s v="desktop"/>
    <s v="GEO,Frequency,Keyword,BrowserLanguage"/>
    <n v="520"/>
    <n v="0"/>
    <s v="Yes"/>
    <s v="Unlimited"/>
    <n v="38936"/>
    <n v="2631"/>
    <n v="6.7572400000000004"/>
    <n v="2"/>
    <n v="70.95"/>
    <n v="1.8220000000000001"/>
    <n v="2.7E-2"/>
    <n v="35.472999999999999"/>
    <n v="1"/>
    <n v="0"/>
    <s v="Yes"/>
    <n v="38936"/>
    <n v="30453"/>
    <n v="4059"/>
    <s v="Hentai"/>
    <s v="CP"/>
    <x v="12"/>
    <x v="0"/>
  </r>
  <r>
    <s v="RUNNING"/>
    <n v="1012924742"/>
    <s v="CPA - Global - Video-IS - Desktop - OTH"/>
    <s v="nsfw"/>
    <d v="1899-12-30T16:09:00"/>
    <s v="In-Stream Video"/>
    <s v="TJX"/>
    <s v="desktop"/>
    <s v="GEO,Frequency,Keyword,BrowserLanguage"/>
    <n v="360"/>
    <n v="0"/>
    <s v="Yes"/>
    <s v="Unlimited"/>
    <n v="839975"/>
    <n v="42435"/>
    <n v="5.0519400000000001"/>
    <n v="19"/>
    <n v="1559.05"/>
    <n v="1.8560000000000001"/>
    <n v="3.6999999999999998E-2"/>
    <n v="82.055000000000007"/>
    <n v="1"/>
    <n v="0"/>
    <s v="Yes"/>
    <n v="839982"/>
    <n v="645394"/>
    <n v="112265"/>
    <s v="Global"/>
    <s v="CP"/>
    <x v="20"/>
    <x v="0"/>
  </r>
  <r>
    <s v="PAUSED"/>
    <n v="1012924752"/>
    <s v="CPA - Global - Video-IS - iOS - OTH"/>
    <s v="nsfw"/>
    <d v="1899-12-30T16:09:00"/>
    <s v="In-Stream Video"/>
    <s v="TJX"/>
    <s v="mobile"/>
    <s v="GEO,Frequency,Keyword,OS,BrowserLanguage"/>
    <n v="700"/>
    <n v="0"/>
    <s v="Yes"/>
    <s v="Unlimited"/>
    <n v="0"/>
    <n v="0"/>
    <n v="0"/>
    <m/>
    <n v="0"/>
    <n v="0"/>
    <n v="0"/>
    <n v="0"/>
    <n v="1"/>
    <n v="0"/>
    <s v="Yes"/>
    <m/>
    <m/>
    <m/>
    <s v="Global"/>
    <s v="CP"/>
    <x v="20"/>
    <x v="0"/>
  </r>
  <r>
    <s v="PAUSED"/>
    <n v="1012924762"/>
    <s v="CPA - Global - Video-IS - excl. iOS - OTH"/>
    <s v="nsfw"/>
    <d v="1899-12-30T16:09:00"/>
    <s v="In-Stream Video"/>
    <s v="TJX"/>
    <s v="mobile"/>
    <s v="GEO,Frequency,Keyword,OS,BrowserLanguage"/>
    <n v="700"/>
    <n v="0"/>
    <s v="Yes"/>
    <s v="Unlimited"/>
    <n v="2"/>
    <n v="0"/>
    <n v="0"/>
    <n v="1"/>
    <n v="0"/>
    <n v="1.482"/>
    <n v="0"/>
    <n v="3.0000000000000001E-3"/>
    <n v="1"/>
    <n v="0"/>
    <s v="Yes"/>
    <n v="2"/>
    <n v="1"/>
    <n v="0"/>
    <s v="Global"/>
    <s v="CP"/>
    <x v="20"/>
    <x v="0"/>
  </r>
  <r>
    <s v="RUNNING"/>
    <n v="1012924802"/>
    <s v="CPA - FinDom - Video-IS - Desktop - UK"/>
    <s v="nsfw"/>
    <d v="1899-12-30T16:09:00"/>
    <s v="In-Stream Video"/>
    <s v="TJX"/>
    <s v="desktop"/>
    <s v="GEO,Frequency,Keyword,BrowserLanguage"/>
    <n v="36"/>
    <n v="0"/>
    <s v="Yes"/>
    <s v="Unlimited"/>
    <n v="11512"/>
    <n v="433"/>
    <n v="3.7612899999999998"/>
    <n v="0"/>
    <n v="31.54"/>
    <n v="2.74"/>
    <n v="7.2999999999999995E-2"/>
    <n v="0"/>
    <n v="1"/>
    <n v="0"/>
    <s v="Yes"/>
    <n v="11512"/>
    <n v="8789"/>
    <n v="1326"/>
    <s v="FinDom"/>
    <s v="CP"/>
    <x v="3"/>
    <x v="0"/>
  </r>
  <r>
    <s v="RUNNING"/>
    <n v="1012924812"/>
    <s v="CPA - FinDom - Video-IS - Desktop - NZ"/>
    <s v="nsfw"/>
    <d v="1899-12-30T16:09:00"/>
    <s v="In-Stream Video"/>
    <s v="TJX"/>
    <s v="desktop"/>
    <s v="GEO,Frequency,Keyword,BrowserLanguage"/>
    <n v="36"/>
    <n v="0"/>
    <s v="Yes"/>
    <s v="Unlimited"/>
    <n v="1192"/>
    <n v="48"/>
    <n v="4.02684"/>
    <n v="0"/>
    <n v="0.68"/>
    <n v="0.57299999999999995"/>
    <n v="1.4E-2"/>
    <n v="0"/>
    <n v="1"/>
    <n v="0"/>
    <s v="Yes"/>
    <n v="1192"/>
    <n v="856"/>
    <n v="169"/>
    <s v="FinDom"/>
    <s v="CP"/>
    <x v="3"/>
    <x v="0"/>
  </r>
  <r>
    <s v="PAUSED"/>
    <n v="1012924822"/>
    <s v="CPA - FinDom - Video-IS - excl. iOS - USA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FinDom"/>
    <s v="CP"/>
    <x v="7"/>
    <x v="0"/>
  </r>
  <r>
    <s v="PAUSED"/>
    <n v="1012924832"/>
    <s v="CPA - FinDom - Video-IS - excl. iOS - Canada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FinDom"/>
    <s v="CP"/>
    <x v="7"/>
    <x v="0"/>
  </r>
  <r>
    <s v="RUNNING"/>
    <n v="1012924842"/>
    <s v="CPA - FinDom - Video-IS - excl. iOS - UK"/>
    <s v="nsfw"/>
    <d v="1899-12-30T16:09:00"/>
    <s v="In-Stream Video"/>
    <s v="TJX"/>
    <s v="mobile"/>
    <s v="GEO,Frequency,Keyword,OS,BrowserLanguage"/>
    <n v="90"/>
    <n v="0"/>
    <s v="Yes"/>
    <s v="Unlimited"/>
    <n v="316"/>
    <n v="20"/>
    <n v="6.32911"/>
    <n v="0"/>
    <n v="0.19"/>
    <n v="0.6"/>
    <n v="8.9999999999999993E-3"/>
    <n v="0"/>
    <n v="1"/>
    <n v="0"/>
    <s v="Yes"/>
    <n v="316"/>
    <n v="291"/>
    <n v="17"/>
    <s v="FinDom"/>
    <s v="CP"/>
    <x v="3"/>
    <x v="0"/>
  </r>
  <r>
    <s v="NOT RUNNING"/>
    <n v="1012924852"/>
    <s v="CPA - FinDom - Video-IS - excl. iOS - NZ"/>
    <s v="nsfw"/>
    <d v="1899-12-30T16:09:00"/>
    <s v="In-Stream Video"/>
    <s v="TJX"/>
    <s v="mobile"/>
    <s v="GEO,Frequency,Keyword,OS,BrowserLanguage"/>
    <n v="90"/>
    <n v="0"/>
    <s v="Yes"/>
    <s v="Unlimited"/>
    <n v="812"/>
    <n v="45"/>
    <n v="5.5418700000000003"/>
    <n v="0"/>
    <n v="0.42"/>
    <n v="0.51900000000000002"/>
    <n v="8.9999999999999993E-3"/>
    <n v="0"/>
    <n v="1"/>
    <n v="0"/>
    <s v="Yes"/>
    <n v="812"/>
    <n v="703"/>
    <n v="87"/>
    <s v="FinDom"/>
    <s v="CP"/>
    <x v="3"/>
    <x v="0"/>
  </r>
  <r>
    <s v="PAUSED"/>
    <n v="1012924862"/>
    <s v="CPA - FinDom - Video-IS - iOS - USA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FinDom"/>
    <s v="CP"/>
    <x v="5"/>
    <x v="0"/>
  </r>
  <r>
    <s v="RUNNING"/>
    <n v="1012924872"/>
    <s v="CPA - FinDom - Video-IS - iOS - Aus"/>
    <s v="nsfw"/>
    <d v="1899-12-30T16:09:00"/>
    <s v="In-Stream Video"/>
    <s v="TJX"/>
    <s v="mobile"/>
    <s v="GEO,Frequency,Keyword,OS,BrowserLanguage"/>
    <n v="90"/>
    <n v="0"/>
    <s v="Yes"/>
    <s v="Unlimited"/>
    <n v="1100"/>
    <n v="51"/>
    <n v="4.6363599999999998"/>
    <n v="0"/>
    <n v="0.76"/>
    <n v="0.69"/>
    <n v="1.4999999999999999E-2"/>
    <n v="0"/>
    <n v="1"/>
    <n v="0"/>
    <s v="Yes"/>
    <n v="1100"/>
    <n v="998"/>
    <n v="72"/>
    <s v="FinDom"/>
    <s v="CP"/>
    <x v="3"/>
    <x v="0"/>
  </r>
  <r>
    <s v="PAUSED"/>
    <n v="1012924882"/>
    <s v="CPA - FinDom - Video-IS - iOS - Canada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FinDom"/>
    <s v="CP"/>
    <x v="1"/>
    <x v="0"/>
  </r>
  <r>
    <s v="NOT RUNNING"/>
    <n v="1012924892"/>
    <s v="CPA - FinDom - Video-IS - iOS - NZ"/>
    <s v="nsfw"/>
    <d v="1899-12-30T16:09:00"/>
    <s v="In-Stream Video"/>
    <s v="TJX"/>
    <s v="mobile"/>
    <s v="GEO,Frequency,Keyword,OS,BrowserLanguage"/>
    <n v="90"/>
    <n v="0"/>
    <s v="Yes"/>
    <s v="Unlimited"/>
    <n v="1267"/>
    <n v="71"/>
    <n v="5.60379"/>
    <n v="0"/>
    <n v="0.73"/>
    <n v="0.57599999999999996"/>
    <n v="0.01"/>
    <n v="0"/>
    <n v="1"/>
    <n v="0"/>
    <s v="Yes"/>
    <n v="1267"/>
    <n v="1094"/>
    <n v="121"/>
    <s v="FinDom"/>
    <s v="CP"/>
    <x v="3"/>
    <x v="0"/>
  </r>
  <r>
    <s v="NOT RUNNING"/>
    <n v="1012924902"/>
    <s v="CPA - FinDom - Video-IS - iOS - UK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FinDom"/>
    <s v="CP"/>
    <x v="7"/>
    <x v="0"/>
  </r>
  <r>
    <s v="RUNNING"/>
    <n v="1012924912"/>
    <s v="CPA - Threesome - Video-IS - Desktop - UK"/>
    <s v="nsfw"/>
    <d v="1899-12-30T16:09:00"/>
    <s v="In-Stream Video"/>
    <s v="TJX"/>
    <s v="desktop"/>
    <s v="GEO,Frequency,Keyword,BrowserLanguage"/>
    <n v="100"/>
    <n v="0"/>
    <s v="Yes"/>
    <s v="Unlimited"/>
    <n v="126924"/>
    <n v="5137"/>
    <n v="4.0472999999999999"/>
    <n v="1"/>
    <n v="365.88"/>
    <n v="2.883"/>
    <n v="7.0999999999999994E-2"/>
    <n v="365.88"/>
    <n v="1"/>
    <n v="0"/>
    <s v="Yes"/>
    <n v="126925"/>
    <n v="103086"/>
    <n v="12846"/>
    <s v="Threesome"/>
    <s v="CP"/>
    <x v="3"/>
    <x v="0"/>
  </r>
  <r>
    <s v="RUNNING"/>
    <n v="1012924922"/>
    <s v="CPA - Threesome - Video-IS - Desktop - Canada"/>
    <s v="nsfw"/>
    <d v="1899-12-30T16:09:00"/>
    <s v="In-Stream Video"/>
    <s v="TJX"/>
    <s v="desktop"/>
    <s v="GEO,Frequency,Keyword,BrowserLanguage"/>
    <n v="100"/>
    <n v="0"/>
    <s v="Yes"/>
    <s v="Unlimited"/>
    <n v="410792"/>
    <n v="16816"/>
    <n v="4.0935600000000001"/>
    <n v="5"/>
    <n v="600.91999999999996"/>
    <n v="1.4630000000000001"/>
    <n v="3.5999999999999997E-2"/>
    <n v="120.185"/>
    <n v="1"/>
    <n v="0"/>
    <s v="Yes"/>
    <n v="410784"/>
    <n v="331271"/>
    <n v="44825"/>
    <s v="Threesome"/>
    <s v="CP"/>
    <x v="3"/>
    <x v="0"/>
  </r>
  <r>
    <s v="RUNNING"/>
    <n v="1012924932"/>
    <s v="CPA - Threesome - Video-IS - Desktop - NZ"/>
    <s v="nsfw"/>
    <d v="1899-12-30T16:09:00"/>
    <s v="In-Stream Video"/>
    <s v="TJX"/>
    <s v="desktop"/>
    <s v="GEO,Frequency,Keyword,BrowserLanguage"/>
    <n v="100"/>
    <n v="0"/>
    <s v="Yes"/>
    <s v="Unlimited"/>
    <n v="9255"/>
    <n v="401"/>
    <n v="4.3327900000000001"/>
    <n v="0"/>
    <n v="9.41"/>
    <n v="1.0169999999999999"/>
    <n v="2.3E-2"/>
    <n v="0"/>
    <n v="1"/>
    <n v="0"/>
    <s v="Yes"/>
    <n v="9255"/>
    <n v="7104"/>
    <n v="1163"/>
    <s v="Threesome"/>
    <s v="CP"/>
    <x v="3"/>
    <x v="0"/>
  </r>
  <r>
    <s v="RUNNING"/>
    <n v="1012924942"/>
    <s v="CPA - Threesome - Video-IS - Desktop - Aus"/>
    <s v="nsfw"/>
    <d v="1899-12-30T16:09:00"/>
    <s v="In-Stream Video"/>
    <s v="TJX"/>
    <s v="desktop"/>
    <s v="GEO,Frequency,Keyword,BrowserLanguage"/>
    <n v="100"/>
    <n v="0"/>
    <s v="Yes"/>
    <s v="Unlimited"/>
    <n v="186701"/>
    <n v="7907"/>
    <n v="4.2351000000000001"/>
    <n v="0"/>
    <n v="278.20999999999998"/>
    <n v="1.49"/>
    <n v="3.5000000000000003E-2"/>
    <n v="0"/>
    <n v="1"/>
    <n v="0"/>
    <s v="Yes"/>
    <n v="186703"/>
    <n v="145745"/>
    <n v="23437"/>
    <s v="Threesome"/>
    <s v="CP"/>
    <x v="3"/>
    <x v="0"/>
  </r>
  <r>
    <s v="PAUSED"/>
    <n v="1012924952"/>
    <s v="CPA - Threesome - Video-IS - excl. iOS - USA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s v="CP"/>
    <x v="1"/>
    <x v="0"/>
  </r>
  <r>
    <s v="RUNNING"/>
    <n v="1012924962"/>
    <s v="CPA - Threesome - Video-IS - excl. iOS - UK"/>
    <s v="nsfw"/>
    <d v="1899-12-30T16:09:00"/>
    <s v="In-Stream Video"/>
    <s v="TJX"/>
    <s v="mobile"/>
    <s v="GEO,Frequency,Keyword,OS,BrowserLanguage"/>
    <n v="90"/>
    <n v="0"/>
    <s v="Yes"/>
    <s v="Unlimited"/>
    <n v="7358"/>
    <n v="421"/>
    <n v="5.72166"/>
    <n v="0"/>
    <n v="4.45"/>
    <n v="0.60499999999999998"/>
    <n v="1.0999999999999999E-2"/>
    <n v="0"/>
    <n v="1"/>
    <n v="0"/>
    <s v="Yes"/>
    <n v="7358"/>
    <n v="6844"/>
    <n v="352"/>
    <s v="Threesome"/>
    <s v="CP"/>
    <x v="3"/>
    <x v="0"/>
  </r>
  <r>
    <s v="PAUSED"/>
    <n v="1012924972"/>
    <s v="CPA - Threesome - Video-IS - excl. iOS - Canada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s v="CP"/>
    <x v="21"/>
    <x v="0"/>
  </r>
  <r>
    <s v="RUNNING"/>
    <n v="1012924982"/>
    <s v="CPA - Threesome - Video-IS - excl. iOS - NZ"/>
    <s v="nsfw"/>
    <d v="1899-12-30T16:09:00"/>
    <s v="In-Stream Video"/>
    <s v="TJX"/>
    <s v="mobile"/>
    <s v="GEO,Frequency,Keyword,OS,BrowserLanguage"/>
    <n v="90"/>
    <n v="0"/>
    <s v="Yes"/>
    <s v="Unlimited"/>
    <n v="11361"/>
    <n v="707"/>
    <n v="6.2230400000000001"/>
    <n v="0"/>
    <n v="5.93"/>
    <n v="0.52200000000000002"/>
    <n v="8.0000000000000002E-3"/>
    <n v="0"/>
    <n v="1"/>
    <n v="0"/>
    <s v="Yes"/>
    <n v="11361"/>
    <n v="9968"/>
    <n v="1035"/>
    <s v="Threesome"/>
    <s v="CP"/>
    <x v="3"/>
    <x v="0"/>
  </r>
  <r>
    <s v="PAUSED"/>
    <n v="1012924992"/>
    <s v="CPA - Threesome - Video-IS - excl. iOS - Aus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s v="CP"/>
    <x v="21"/>
    <x v="0"/>
  </r>
  <r>
    <s v="PAUSED"/>
    <n v="1012925002"/>
    <s v="CPA - Threesome - Video-IS - iOS - USA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s v="CP"/>
    <x v="1"/>
    <x v="0"/>
  </r>
  <r>
    <s v="NOT RUNNING"/>
    <n v="1012925022"/>
    <s v="CPA - Threesome - Video-IS - iOS - UK"/>
    <s v="nsfw"/>
    <d v="1899-12-30T16:09:00"/>
    <s v="In-Stream Video"/>
    <s v="TJX"/>
    <s v="mobile"/>
    <s v="GEO,Frequency,Keyword,OS,BrowserLanguage"/>
    <n v="90"/>
    <n v="0"/>
    <s v="Yes"/>
    <s v="Unlimited"/>
    <n v="1"/>
    <n v="0"/>
    <n v="0"/>
    <n v="0"/>
    <n v="0"/>
    <n v="0.53400000000000003"/>
    <n v="0"/>
    <n v="0"/>
    <n v="1"/>
    <n v="0"/>
    <s v="Yes"/>
    <n v="1"/>
    <n v="1"/>
    <n v="0"/>
    <s v="Threesome"/>
    <s v="CP"/>
    <x v="1"/>
    <x v="0"/>
  </r>
  <r>
    <s v="PAUSED"/>
    <n v="1012925032"/>
    <s v="CPA - Threesome - Video-IS - iOS - Canada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s v="CP"/>
    <x v="1"/>
    <x v="0"/>
  </r>
  <r>
    <s v="NOT RUNNING"/>
    <n v="1012925042"/>
    <s v="CPA - Threesome - Video-IS - iOS - NZ"/>
    <s v="nsfw"/>
    <d v="1899-12-30T16:09:00"/>
    <s v="In-Stream Video"/>
    <s v="TJX"/>
    <s v="mobile"/>
    <s v="GEO,Frequency,Keyword,OS,BrowserLanguage"/>
    <n v="90"/>
    <n v="0"/>
    <s v="Yes"/>
    <s v="Unlimited"/>
    <n v="12505"/>
    <n v="716"/>
    <n v="5.7257100000000003"/>
    <n v="0"/>
    <n v="7.11"/>
    <n v="0.56899999999999995"/>
    <n v="0.01"/>
    <n v="0"/>
    <n v="1"/>
    <n v="0"/>
    <s v="Yes"/>
    <n v="12505"/>
    <n v="10930"/>
    <n v="1141"/>
    <s v="Threesome"/>
    <s v="CP"/>
    <x v="3"/>
    <x v="0"/>
  </r>
  <r>
    <s v="PAUSED"/>
    <n v="1012925052"/>
    <s v="CPA - Threesome - Video-IS - iOS - Aus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s v="CP"/>
    <x v="1"/>
    <x v="0"/>
  </r>
  <r>
    <s v="PAUSED"/>
    <n v="1012927522"/>
    <s v="CPA - Global - Video-IS - excl. iOS - OTH2"/>
    <s v="nsfw"/>
    <d v="1899-12-30T16:09:00"/>
    <s v="In-Stream Video"/>
    <s v="TJX"/>
    <s v="mobile"/>
    <s v="GEO,Frequency,Keyword,OS,BrowserLanguage"/>
    <n v="490"/>
    <n v="0"/>
    <s v="No"/>
    <n v="250"/>
    <n v="0"/>
    <n v="0"/>
    <n v="0"/>
    <m/>
    <n v="0"/>
    <n v="0"/>
    <n v="0"/>
    <n v="0"/>
    <n v="1"/>
    <n v="0"/>
    <s v="Yes"/>
    <m/>
    <m/>
    <m/>
    <s v="Global"/>
    <s v="CP"/>
    <x v="20"/>
    <x v="0"/>
  </r>
  <r>
    <s v="RUNNING"/>
    <n v="1012927532"/>
    <s v="CPA - Global - Video-IS - iOS - OTH2"/>
    <s v="nsfw"/>
    <d v="1899-12-30T16:09:00"/>
    <s v="In-Stream Video"/>
    <s v="TJX"/>
    <s v="mobile"/>
    <s v="GEO,Frequency,Keyword,OS"/>
    <n v="539"/>
    <n v="0"/>
    <s v="No"/>
    <n v="250"/>
    <n v="3272319"/>
    <n v="223505"/>
    <n v="6.8301699999999999"/>
    <n v="15"/>
    <n v="1493.51"/>
    <n v="0.45600000000000002"/>
    <n v="7.0000000000000001E-3"/>
    <n v="99.566999999999993"/>
    <n v="1"/>
    <n v="0"/>
    <s v="No"/>
    <n v="3272068"/>
    <n v="2796268"/>
    <n v="311857"/>
    <s v="Global"/>
    <s v="CP"/>
    <x v="20"/>
    <x v="0"/>
  </r>
  <r>
    <s v="RUNNING"/>
    <n v="1012927542"/>
    <s v="CPA - Global - Video-IS - Desktop - OTH2"/>
    <s v="nsfw"/>
    <d v="1899-12-30T16:09:00"/>
    <s v="In-Stream Video"/>
    <s v="TJX"/>
    <s v="desktop"/>
    <s v="GEO,Frequency,Keyword,BrowserLanguage"/>
    <n v="252"/>
    <n v="0"/>
    <s v="Yes"/>
    <s v="Unlimited"/>
    <n v="615430"/>
    <n v="36981"/>
    <n v="6.0089699999999997"/>
    <n v="12"/>
    <n v="433.98"/>
    <n v="0.70499999999999996"/>
    <n v="1.2E-2"/>
    <n v="36.164999999999999"/>
    <n v="1"/>
    <n v="0"/>
    <s v="Yes"/>
    <n v="615428"/>
    <n v="467616"/>
    <n v="84827"/>
    <s v="Global"/>
    <s v="CP"/>
    <x v="20"/>
    <x v="0"/>
  </r>
  <r>
    <s v="RUNNING"/>
    <n v="1012927552"/>
    <s v="CPA - Global - Video-IS - Desktop - OTH3"/>
    <s v="nsfw"/>
    <d v="1899-12-30T16:09:00"/>
    <s v="In-Stream Video"/>
    <s v="TJX"/>
    <s v="desktop"/>
    <s v="GEO,Frequency,Keyword"/>
    <n v="360"/>
    <n v="0"/>
    <s v="Yes"/>
    <s v="Unlimited"/>
    <n v="2247602"/>
    <n v="119121"/>
    <n v="5.2999200000000002"/>
    <n v="35"/>
    <n v="2684.56"/>
    <n v="1.194"/>
    <n v="2.3E-2"/>
    <n v="76.701999999999998"/>
    <n v="1"/>
    <n v="0"/>
    <s v="Yes"/>
    <n v="2247608"/>
    <n v="1721960"/>
    <n v="297173"/>
    <s v="Global"/>
    <s v="CP"/>
    <x v="20"/>
    <x v="0"/>
  </r>
  <r>
    <s v="PAUSED"/>
    <n v="1012927562"/>
    <s v="CPA - Global - Video-IS - iOS - OTH3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s v="CP"/>
    <x v="20"/>
    <x v="0"/>
  </r>
  <r>
    <s v="PAUSED"/>
    <n v="1012927582"/>
    <s v="CPA - Global - Video-IS - excl. iOS - OTH3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s v="CP"/>
    <x v="20"/>
    <x v="0"/>
  </r>
  <r>
    <s v="PAUSED"/>
    <n v="1012927592"/>
    <s v="CPA - Global - Video-IS - iOS - OTH4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s v="CP"/>
    <x v="20"/>
    <x v="0"/>
  </r>
  <r>
    <s v="RUNNING"/>
    <n v="1012927602"/>
    <s v="CPA - Global - Video-IS - Desktop - OTH4"/>
    <s v="nsfw"/>
    <d v="1899-12-30T16:09:00"/>
    <s v="In-Stream Video"/>
    <s v="TJX"/>
    <s v="desktop"/>
    <s v="GEO,Frequency,Keyword,BrowserLanguage"/>
    <n v="360"/>
    <n v="0"/>
    <s v="Yes"/>
    <s v="Unlimited"/>
    <n v="709764"/>
    <n v="39495"/>
    <n v="5.5645300000000004"/>
    <n v="13"/>
    <n v="820.24"/>
    <n v="1.1559999999999999"/>
    <n v="2.1000000000000001E-2"/>
    <n v="63.095999999999997"/>
    <n v="1"/>
    <n v="0"/>
    <s v="Yes"/>
    <n v="709764"/>
    <n v="547370"/>
    <n v="91910"/>
    <s v="Global"/>
    <s v="CP"/>
    <x v="20"/>
    <x v="0"/>
  </r>
  <r>
    <s v="PAUSED"/>
    <n v="1012927612"/>
    <s v="CPA - Global - Video-IS - excl. iOS - OTH4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s v="CP"/>
    <x v="20"/>
    <x v="0"/>
  </r>
  <r>
    <s v="PAUSED"/>
    <n v="1012927622"/>
    <s v="CPA - Global - Video-IS - iOS - OTH5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s v="CP"/>
    <x v="20"/>
    <x v="0"/>
  </r>
  <r>
    <s v="RUNNING"/>
    <n v="1012927642"/>
    <s v="CPA - Global - Video-IS - Desktop - OTH5"/>
    <s v="nsfw"/>
    <d v="1899-12-30T16:09:00"/>
    <s v="In-Stream Video"/>
    <s v="TJX"/>
    <s v="desktop"/>
    <s v="GEO,Frequency,Keyword,BrowserLanguage"/>
    <n v="360"/>
    <n v="0"/>
    <s v="No"/>
    <n v="250"/>
    <n v="713523"/>
    <n v="39972"/>
    <n v="5.6020599999999998"/>
    <n v="4"/>
    <n v="946.55"/>
    <n v="1.327"/>
    <n v="2.4E-2"/>
    <n v="236.63900000000001"/>
    <n v="1"/>
    <n v="0"/>
    <s v="Yes"/>
    <n v="713515"/>
    <n v="540401"/>
    <n v="102226"/>
    <s v="Global"/>
    <s v="CP"/>
    <x v="20"/>
    <x v="0"/>
  </r>
  <r>
    <s v="RUNNING"/>
    <n v="1012927662"/>
    <s v="CPA - Global - Video-IS - excl. iOS - OTH5"/>
    <s v="nsfw"/>
    <d v="1899-12-30T16:09:00"/>
    <s v="In-Stream Video"/>
    <s v="TJX"/>
    <s v="mobile"/>
    <s v="GEO,Frequency,Keyword,OS"/>
    <n v="700"/>
    <n v="0"/>
    <s v="No"/>
    <n v="250"/>
    <n v="25893792"/>
    <n v="2074685"/>
    <n v="8.0122900000000001"/>
    <n v="38"/>
    <n v="6028.95"/>
    <n v="0.23300000000000001"/>
    <n v="3.0000000000000001E-3"/>
    <n v="158.65700000000001"/>
    <n v="2"/>
    <n v="0"/>
    <s v="No"/>
    <n v="25893622"/>
    <n v="22193755"/>
    <n v="2595500"/>
    <s v="Global"/>
    <s v="CP"/>
    <x v="20"/>
    <x v="0"/>
  </r>
  <r>
    <s v="RUNNING"/>
    <n v="1012927672"/>
    <s v="CPA - Global - Video-IS - Desktop - OTH6"/>
    <s v="nsfw"/>
    <d v="1899-12-30T16:09:00"/>
    <s v="In-Stream Video"/>
    <s v="TJX"/>
    <s v="desktop"/>
    <s v="GEO,Frequency,Keyword,BrowserLanguage"/>
    <n v="360"/>
    <n v="0"/>
    <s v="No"/>
    <n v="250"/>
    <n v="312515"/>
    <n v="17141"/>
    <n v="5.4848600000000003"/>
    <n v="2"/>
    <n v="262.24"/>
    <n v="0.83899999999999997"/>
    <n v="1.4999999999999999E-2"/>
    <n v="131.11799999999999"/>
    <n v="1"/>
    <n v="0"/>
    <s v="Yes"/>
    <n v="312513"/>
    <n v="239681"/>
    <n v="42699"/>
    <s v="Global"/>
    <s v="CP"/>
    <x v="20"/>
    <x v="0"/>
  </r>
  <r>
    <s v="PAUSED"/>
    <n v="1012927682"/>
    <s v="CPA - Global - Video-IS - excl. iOS - OTH6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s v="CP"/>
    <x v="20"/>
    <x v="0"/>
  </r>
  <r>
    <s v="RUNNING"/>
    <n v="1012927692"/>
    <s v="CPA - Global - Video-IS - iOS - OTH6"/>
    <s v="nsfw"/>
    <d v="1899-12-30T16:09:00"/>
    <s v="In-Stream Video"/>
    <s v="TJX"/>
    <s v="mobile"/>
    <s v="GEO,Frequency,Keyword,OS,BrowserLanguage"/>
    <n v="700"/>
    <n v="0"/>
    <s v="No"/>
    <n v="250"/>
    <n v="740492"/>
    <n v="54204"/>
    <n v="7.32"/>
    <n v="3"/>
    <n v="342.88"/>
    <n v="0.46300000000000002"/>
    <n v="6.0000000000000001E-3"/>
    <n v="114.29300000000001"/>
    <n v="1"/>
    <n v="0"/>
    <s v="Yes"/>
    <n v="740488"/>
    <n v="635163"/>
    <n v="66466"/>
    <s v="Global"/>
    <s v="CP"/>
    <x v="20"/>
    <x v="0"/>
  </r>
  <r>
    <s v="RUNNING"/>
    <n v="1012929922"/>
    <s v="OLD_CPA_Batch-1_Native-Homepage_excl-iOS_USA_SD"/>
    <s v="nsfw"/>
    <s v="640 x 360"/>
    <s v="Display"/>
    <s v="TJX"/>
    <s v="mobile"/>
    <s v="GEO,Frequency,OS,BrowserLanguage"/>
    <n v="37"/>
    <n v="0"/>
    <s v="Yes"/>
    <s v="Unlimited"/>
    <n v="9444837"/>
    <n v="18509"/>
    <n v="0.19597000000000001"/>
    <n v="40"/>
    <n v="3003.46"/>
    <n v="0.318"/>
    <n v="0.16200000000000001"/>
    <n v="75.085999999999999"/>
    <n v="2"/>
    <n v="0"/>
    <s v="Yes"/>
    <n v="0"/>
    <n v="0"/>
    <n v="0"/>
    <s v="General"/>
    <s v="OL"/>
    <x v="22"/>
    <x v="0"/>
  </r>
  <r>
    <s v="RUNNING"/>
    <n v="1012929942"/>
    <s v="OLD_CPA_Batch-1_Native-Homepage_USA_SD"/>
    <s v="nsfw"/>
    <s v="640 x 360"/>
    <s v="Display"/>
    <s v="TJX"/>
    <s v="mobile"/>
    <s v="GEO,Frequency,BrowserLanguage"/>
    <n v="37"/>
    <n v="0"/>
    <s v="No"/>
    <n v="2000"/>
    <n v="8641597"/>
    <n v="13028"/>
    <n v="0.15076000000000001"/>
    <n v="21"/>
    <n v="1985.27"/>
    <n v="0.23"/>
    <n v="0.152"/>
    <n v="94.537000000000006"/>
    <n v="2"/>
    <n v="0"/>
    <s v="Yes"/>
    <n v="0"/>
    <n v="0"/>
    <n v="0"/>
    <s v="General"/>
    <s v="OL"/>
    <x v="22"/>
    <x v="0"/>
  </r>
  <r>
    <s v="RUNNING"/>
    <n v="1012946891"/>
    <s v="OLD_CPA_Indian_NativeVideo_Desktop_USA_SD"/>
    <s v="nsfw"/>
    <s v="640 x 360"/>
    <s v="Display"/>
    <s v="TJX"/>
    <s v="desktop"/>
    <s v="GEO,Frequency,Keyword,BrowserLanguage"/>
    <n v="264"/>
    <n v="0"/>
    <s v="Yes"/>
    <s v="Unlimited"/>
    <n v="1386728"/>
    <n v="3099"/>
    <n v="0.22348000000000001"/>
    <n v="4"/>
    <n v="123.52"/>
    <n v="8.8999999999999996E-2"/>
    <n v="0.04"/>
    <n v="30.88"/>
    <n v="2"/>
    <n v="0"/>
    <s v="Yes"/>
    <n v="0"/>
    <n v="0"/>
    <n v="0"/>
    <s v="Indian"/>
    <s v="OL"/>
    <x v="23"/>
    <x v="0"/>
  </r>
  <r>
    <s v="PAUSED"/>
    <n v="1012946931"/>
    <s v="CPA - Indian - NativeVideo - excl. iOS - USA"/>
    <s v="nsfw"/>
    <s v="640 x 360"/>
    <s v="Display"/>
    <s v="TJX"/>
    <s v="mobile"/>
    <s v="GEO,Frequency,Keyword,OS,BrowserLanguage"/>
    <n v="286"/>
    <n v="0"/>
    <s v="No"/>
    <n v="250"/>
    <n v="0"/>
    <n v="0"/>
    <n v="0"/>
    <m/>
    <n v="0"/>
    <n v="0"/>
    <n v="0"/>
    <n v="0"/>
    <n v="1"/>
    <n v="0"/>
    <s v="Yes"/>
    <m/>
    <m/>
    <m/>
    <s v="Indian"/>
    <s v="CP"/>
    <x v="23"/>
    <x v="0"/>
  </r>
  <r>
    <s v="PAUSED"/>
    <n v="1012946971"/>
    <s v="CPA - Indian - NativeVideo - iOS - USA"/>
    <s v="nsfw"/>
    <s v="640 x 360"/>
    <s v="Display"/>
    <s v="TJX"/>
    <s v="mobile"/>
    <s v="GEO,Frequency,Keyword,OS,BrowserLanguage"/>
    <n v="286"/>
    <n v="0"/>
    <s v="No"/>
    <n v="250"/>
    <n v="0"/>
    <n v="0"/>
    <n v="0"/>
    <m/>
    <n v="0"/>
    <n v="0"/>
    <n v="0"/>
    <n v="0"/>
    <n v="1"/>
    <n v="0"/>
    <s v="Yes"/>
    <m/>
    <m/>
    <m/>
    <s v="Indian"/>
    <s v="CP"/>
    <x v="23"/>
    <x v="0"/>
  </r>
  <r>
    <s v="RUNNING"/>
    <n v="1012947151"/>
    <s v="CPA - BigTits - NATIVEVIDEO - Desktop - USA"/>
    <s v="nsfw"/>
    <s v="640 x 360"/>
    <s v="Display"/>
    <s v="TJX"/>
    <s v="desktop"/>
    <s v="GEO,Frequency,Keyword,BrowserLanguage"/>
    <n v="144"/>
    <n v="0"/>
    <s v="Yes"/>
    <s v="Unlimited"/>
    <n v="239891"/>
    <n v="268"/>
    <n v="0.11172"/>
    <n v="2"/>
    <n v="21.61"/>
    <n v="0.09"/>
    <n v="8.1000000000000003E-2"/>
    <n v="10.805999999999999"/>
    <n v="2"/>
    <n v="0"/>
    <s v="Yes"/>
    <n v="0"/>
    <n v="0"/>
    <n v="0"/>
    <s v="Big Tits"/>
    <s v="CP"/>
    <x v="3"/>
    <x v="0"/>
  </r>
  <r>
    <s v="RUNNING"/>
    <n v="1012947181"/>
    <s v="CPA - BigTits - NativeVideo - excl. iOS - USA"/>
    <s v="nsfw"/>
    <s v="640 x 360"/>
    <s v="Display"/>
    <s v="TJX"/>
    <s v="mobile"/>
    <s v="GEO,Frequency,Keyword,OS,BrowserLanguage"/>
    <n v="156"/>
    <n v="0"/>
    <s v="Yes"/>
    <s v="Unlimited"/>
    <n v="400098"/>
    <n v="1086"/>
    <n v="0.27143"/>
    <n v="4"/>
    <n v="41.43"/>
    <n v="0.104"/>
    <n v="3.7999999999999999E-2"/>
    <n v="10.358000000000001"/>
    <n v="2"/>
    <n v="0"/>
    <s v="Yes"/>
    <n v="0"/>
    <n v="0"/>
    <n v="0"/>
    <s v="Big Tits"/>
    <s v="CP"/>
    <x v="3"/>
    <x v="0"/>
  </r>
  <r>
    <s v="PAUSED"/>
    <n v="1012947191"/>
    <s v="CPA - BigTits - NativeVideo - iOS - USA"/>
    <s v="nsfw"/>
    <s v="640 x 360"/>
    <s v="Display"/>
    <s v="TJX"/>
    <s v="mobile"/>
    <s v="GEO,Frequency,Keyword,OS,BrowserLanguage"/>
    <n v="156"/>
    <n v="0"/>
    <s v="No"/>
    <n v="250"/>
    <n v="0"/>
    <n v="0"/>
    <n v="0"/>
    <m/>
    <n v="0"/>
    <n v="0"/>
    <n v="0"/>
    <n v="0"/>
    <n v="1"/>
    <n v="0"/>
    <s v="Yes"/>
    <m/>
    <m/>
    <m/>
    <s v="Big Tits"/>
    <s v="CP"/>
    <x v="24"/>
    <x v="0"/>
  </r>
  <r>
    <s v="PAUSED"/>
    <n v="1012950521"/>
    <s v="CPA - General 300Header - 300x100 - Mobile - USA"/>
    <s v="nsfw"/>
    <s v="300 x 100"/>
    <s v="Display"/>
    <s v="TJX"/>
    <s v="mobile"/>
    <s v="GEO,Frequency,BrowserLanguage"/>
    <n v="8"/>
    <n v="0"/>
    <s v="No"/>
    <n v="250"/>
    <n v="0"/>
    <n v="0"/>
    <n v="0"/>
    <m/>
    <n v="0"/>
    <n v="0"/>
    <n v="0"/>
    <n v="0"/>
    <n v="1"/>
    <n v="0"/>
    <s v="Yes"/>
    <m/>
    <m/>
    <m/>
    <s v="General"/>
    <s v="CP"/>
    <x v="13"/>
    <x v="0"/>
  </r>
  <r>
    <s v="RUNNING"/>
    <n v="1012999511"/>
    <s v="CPA-INDIAN-NATIVEVIDEO-DESKTOP-USA-RT_TEST"/>
    <s v="nsfw"/>
    <s v="640 x 360"/>
    <s v="Display"/>
    <s v="TJX"/>
    <s v="desktop"/>
    <s v="GEO,Frequency,Keyword,BrowserLanguage"/>
    <n v="264"/>
    <n v="0"/>
    <s v="Yes"/>
    <s v="Unlimited"/>
    <n v="1383920"/>
    <n v="3377"/>
    <n v="0.24401999999999999"/>
    <n v="2"/>
    <n v="123.26"/>
    <n v="8.8999999999999996E-2"/>
    <n v="3.6999999999999998E-2"/>
    <n v="61.631"/>
    <n v="2"/>
    <n v="0"/>
    <s v="Yes"/>
    <n v="0"/>
    <n v="0"/>
    <n v="0"/>
    <s v="Indian"/>
    <s v="CP"/>
    <x v="23"/>
    <x v="0"/>
  </r>
  <r>
    <s v="PAUSED"/>
    <n v="1013003481"/>
    <s v="CPA _Shorties_iOS_USA"/>
    <s v="nsfw"/>
    <d v="1899-12-30T09:16:00"/>
    <s v="In-Stream Video"/>
    <s v="TJX"/>
    <s v="mobile"/>
    <s v="GEO,Frequency"/>
    <n v="5"/>
    <n v="0"/>
    <s v="No"/>
    <n v="500"/>
    <n v="0"/>
    <n v="0"/>
    <n v="0"/>
    <m/>
    <n v="0"/>
    <n v="0"/>
    <n v="0"/>
    <n v="0"/>
    <n v="2"/>
    <n v="0"/>
    <s v="Yes"/>
    <m/>
    <m/>
    <m/>
    <s v="Shorties"/>
    <s v="CP"/>
    <x v="2"/>
    <x v="0"/>
  </r>
  <r>
    <s v="RUNNING"/>
    <n v="1013012751"/>
    <s v="US_EN_NATIVE_CPM_PH_ALL-MOB_HENTAI_SEGMENT_ALL_TJ"/>
    <s v="nsfw"/>
    <s v="640 x 360"/>
    <s v="Display"/>
    <s v="TJX"/>
    <s v="mobile"/>
    <s v="GEO,Frequency,OS,Segment"/>
    <n v="57"/>
    <n v="0"/>
    <s v="Yes"/>
    <s v="Unlimited"/>
    <n v="10872185"/>
    <n v="18881"/>
    <n v="0.17366000000000001"/>
    <n v="31"/>
    <n v="2475.5500000000002"/>
    <n v="0.22800000000000001"/>
    <n v="0.13100000000000001"/>
    <n v="79.855999999999995"/>
    <n v="2"/>
    <n v="0"/>
    <s v="No"/>
    <n v="0"/>
    <n v="0"/>
    <n v="0"/>
    <s v="Hentai"/>
    <s v="US"/>
    <x v="12"/>
    <x v="1"/>
  </r>
  <r>
    <s v="RUNNING"/>
    <n v="1013012981"/>
    <s v="US_EN_NATIVE_CPM_PH_HOMEPAGE_iOS_ALL_TJ"/>
    <s v="nsfw"/>
    <s v="640 x 360"/>
    <s v="Display"/>
    <s v="TJX"/>
    <s v="mobile"/>
    <s v="GEO,Frequency,OS,BrowserLanguage"/>
    <n v="1"/>
    <n v="17"/>
    <s v="Yes"/>
    <s v="Unlimited"/>
    <n v="20747282"/>
    <n v="19873"/>
    <n v="9.579E-2"/>
    <n v="52"/>
    <n v="6626.33"/>
    <n v="0.31900000000000001"/>
    <n v="0.33300000000000002"/>
    <n v="127.429"/>
    <n v="2"/>
    <n v="0"/>
    <s v="Yes"/>
    <n v="0"/>
    <n v="0"/>
    <n v="0"/>
    <s v="General"/>
    <s v="US"/>
    <x v="22"/>
    <x v="1"/>
  </r>
  <r>
    <s v="RUNNING"/>
    <n v="1013012991"/>
    <s v="CA_EN_NATIVE_CPM_PH_HOMEPAGE_ALL-MOB_ALL_TJ"/>
    <s v="nsfw"/>
    <s v="640 x 360"/>
    <s v="Display"/>
    <s v="TJX"/>
    <s v="mobile"/>
    <s v="GEO,Frequency,OS,BrowserLanguage"/>
    <n v="18"/>
    <n v="0"/>
    <s v="Yes"/>
    <s v="Unlimited"/>
    <n v="7693171"/>
    <n v="8621"/>
    <n v="0.11206000000000001"/>
    <n v="23"/>
    <n v="1838.67"/>
    <n v="0.23899999999999999"/>
    <n v="0.21299999999999999"/>
    <n v="79.941999999999993"/>
    <n v="2"/>
    <n v="0"/>
    <s v="No"/>
    <n v="0"/>
    <n v="0"/>
    <n v="0"/>
    <s v="General"/>
    <s v="CA"/>
    <x v="22"/>
    <x v="1"/>
  </r>
  <r>
    <s v="RUNNING"/>
    <n v="1013013261"/>
    <s v="US_EN_PREROLL_CPA_ALL_KEY-INDIAN_ALL_M_JB"/>
    <s v="nsfw"/>
    <d v="1899-12-30T16:09:00"/>
    <s v="In-Stream Video"/>
    <s v="TJX"/>
    <s v="mobile"/>
    <s v="GEO,Frequency,Keyword,OS,BrowserLanguage"/>
    <n v="30"/>
    <n v="50"/>
    <s v="No"/>
    <n v="250"/>
    <n v="382711"/>
    <n v="23668"/>
    <n v="6.1843000000000004"/>
    <n v="2"/>
    <n v="764.22"/>
    <n v="1.9970000000000001"/>
    <n v="3.2000000000000001E-2"/>
    <n v="382.11200000000002"/>
    <n v="2"/>
    <n v="0"/>
    <s v="Yes"/>
    <n v="382708"/>
    <n v="337654"/>
    <n v="29339"/>
    <s v="Indian"/>
    <s v="US"/>
    <x v="3"/>
    <x v="2"/>
  </r>
  <r>
    <s v="RUNNING"/>
    <n v="1013013541"/>
    <s v="US_EN_PREROLL_CPA_ALL_KEY-Blonde_AND_M_JB"/>
    <s v="nsfw"/>
    <d v="1899-12-30T16:09:00"/>
    <s v="In-Stream Video"/>
    <s v="TJX"/>
    <s v="mobile"/>
    <s v="GEO,Frequency,Keyword,OS,BrowserLanguage"/>
    <n v="133"/>
    <n v="0"/>
    <s v="No"/>
    <n v="250"/>
    <n v="820293"/>
    <n v="61148"/>
    <n v="7.4544100000000002"/>
    <n v="6"/>
    <n v="1629.76"/>
    <n v="1.9870000000000001"/>
    <n v="2.7E-2"/>
    <n v="271.62700000000001"/>
    <n v="2"/>
    <n v="0"/>
    <s v="Yes"/>
    <n v="820284"/>
    <n v="731531"/>
    <n v="56849"/>
    <s v="Blonde"/>
    <s v="US"/>
    <x v="3"/>
    <x v="2"/>
  </r>
  <r>
    <s v="RUNNING"/>
    <n v="1013013551"/>
    <s v="US_EN_PREROLL_CPA_ALL_KEY-Blonde_iOS_M_JB"/>
    <s v="nsfw"/>
    <d v="1899-12-30T16:09:00"/>
    <s v="In-Stream Video"/>
    <s v="TJX"/>
    <s v="mobile"/>
    <s v="GEO,Frequency,Keyword,OS,BrowserLanguage"/>
    <n v="133"/>
    <n v="0"/>
    <s v="No"/>
    <n v="250"/>
    <n v="475661"/>
    <n v="24766"/>
    <n v="5.2066499999999998"/>
    <n v="4"/>
    <n v="896.52"/>
    <n v="1.885"/>
    <n v="3.5999999999999997E-2"/>
    <n v="224.131"/>
    <n v="2"/>
    <n v="0"/>
    <s v="Yes"/>
    <n v="475665"/>
    <n v="436752"/>
    <n v="22378"/>
    <s v="Blonde"/>
    <s v="US"/>
    <x v="3"/>
    <x v="2"/>
  </r>
  <r>
    <s v="RUNNING"/>
    <n v="1013013561"/>
    <s v="US_EN_PREROLL_CPA_ALL_KEY-Blonde_DESK_M_JB"/>
    <s v="nsfw"/>
    <d v="1899-12-30T16:09:00"/>
    <s v="In-Stream Video"/>
    <s v="TJX"/>
    <s v="desktop"/>
    <s v="GEO,Frequency,Keyword,BrowserLanguage"/>
    <n v="56"/>
    <n v="0"/>
    <s v="No"/>
    <n v="500"/>
    <n v="506139"/>
    <n v="20926"/>
    <n v="4.13443"/>
    <n v="7"/>
    <n v="869.13"/>
    <n v="1.7170000000000001"/>
    <n v="4.2000000000000003E-2"/>
    <n v="124.16200000000001"/>
    <n v="2"/>
    <n v="0"/>
    <s v="Yes"/>
    <n v="506137"/>
    <n v="378379"/>
    <n v="61942"/>
    <s v="Blonde"/>
    <s v="US"/>
    <x v="3"/>
    <x v="2"/>
  </r>
  <r>
    <s v="RUNNING"/>
    <n v="1013013571"/>
    <s v="CA_EN_PREROLL_CPA_ALL_KEY-Hentai-Cartoon_AND_M_JB"/>
    <s v="nsfw"/>
    <d v="1899-12-30T16:09:00"/>
    <s v="In-Stream Video"/>
    <s v="TJX"/>
    <s v="mobile"/>
    <s v="GEO,Frequency,Keyword,OS,BrowserLanguage"/>
    <n v="183"/>
    <n v="0"/>
    <s v="No"/>
    <n v="250"/>
    <n v="538580"/>
    <n v="34226"/>
    <n v="6.3548600000000004"/>
    <n v="13"/>
    <n v="1068.28"/>
    <n v="1.984"/>
    <n v="3.1E-2"/>
    <n v="82.176000000000002"/>
    <n v="2"/>
    <n v="0"/>
    <s v="Yes"/>
    <n v="538562"/>
    <n v="480609"/>
    <n v="37595"/>
    <s v="Hentai"/>
    <s v="CA"/>
    <x v="12"/>
    <x v="2"/>
  </r>
  <r>
    <s v="RUNNING"/>
    <n v="1013013591"/>
    <s v="CA_EN_PREROLL_CPA_ALL_KEY-Hentai-Cartoon_iOS_M_JB"/>
    <s v="nsfw"/>
    <d v="1899-12-30T16:09:00"/>
    <s v="In-Stream Video"/>
    <s v="TJX"/>
    <s v="mobile"/>
    <s v="GEO,Frequency,Keyword,OS,BrowserLanguage"/>
    <n v="173"/>
    <n v="0"/>
    <s v="No"/>
    <n v="250"/>
    <n v="884157"/>
    <n v="44371"/>
    <n v="5.01844"/>
    <n v="14"/>
    <n v="1804.2"/>
    <n v="2.0409999999999999"/>
    <n v="4.1000000000000002E-2"/>
    <n v="128.87200000000001"/>
    <n v="2"/>
    <n v="0"/>
    <s v="Yes"/>
    <n v="884125"/>
    <n v="797809"/>
    <n v="55194"/>
    <s v="Hentai"/>
    <s v="CA"/>
    <x v="12"/>
    <x v="2"/>
  </r>
  <r>
    <s v="RUNNING"/>
    <n v="1013013601"/>
    <s v="CA_EN_PREROLL_CPA_ALL_KEY-Hentai-Cartoon_DESK_M_JB"/>
    <s v="nsfw"/>
    <d v="1899-12-30T16:09:00"/>
    <s v="In-Stream Video"/>
    <s v="TJX"/>
    <s v="desktop"/>
    <s v="GEO,Frequency,Keyword,BrowserLanguage"/>
    <n v="68"/>
    <n v="0"/>
    <s v="No"/>
    <n v="250"/>
    <n v="83968"/>
    <n v="4505"/>
    <n v="5.3651400000000002"/>
    <n v="0"/>
    <n v="216.05"/>
    <n v="2.573"/>
    <n v="4.8000000000000001E-2"/>
    <n v="0"/>
    <n v="2"/>
    <n v="0"/>
    <s v="Yes"/>
    <n v="83964"/>
    <n v="63083"/>
    <n v="7183"/>
    <s v="Hentai"/>
    <s v="CA"/>
    <x v="12"/>
    <x v="2"/>
  </r>
  <r>
    <s v="RUNNING"/>
    <n v="1013013621"/>
    <s v="US_EN_PREROLL_CPA_ALL_KEY-Hentai-Cartoon_AND_M_JB"/>
    <s v="nsfw"/>
    <d v="1899-12-30T16:09:00"/>
    <s v="In-Stream Video"/>
    <s v="TJX"/>
    <s v="mobile"/>
    <s v="GEO,Frequency,Keyword,OS,BrowserLanguage"/>
    <n v="173"/>
    <n v="0"/>
    <s v="No"/>
    <n v="250"/>
    <n v="751212"/>
    <n v="63192"/>
    <n v="8.4120100000000004"/>
    <n v="7"/>
    <n v="1535.48"/>
    <n v="2.044"/>
    <n v="2.4E-2"/>
    <n v="219.35499999999999"/>
    <n v="2"/>
    <n v="0"/>
    <s v="Yes"/>
    <n v="751191"/>
    <n v="675176"/>
    <n v="48141"/>
    <s v="Hentai"/>
    <s v="US"/>
    <x v="12"/>
    <x v="2"/>
  </r>
  <r>
    <s v="RUNNING"/>
    <n v="1013013631"/>
    <s v="US_EN_PREROLL_CPA_ALL_KEY-Hentai-Cartoon_iOS_M_JB"/>
    <s v="nsfw"/>
    <d v="1899-12-30T16:09:00"/>
    <s v="In-Stream Video"/>
    <s v="TJX"/>
    <s v="mobile"/>
    <s v="GEO,Frequency,Keyword,OS,BrowserLanguage"/>
    <n v="173"/>
    <n v="0"/>
    <s v="No"/>
    <n v="250"/>
    <n v="1066426"/>
    <n v="57053"/>
    <n v="5.3499299999999996"/>
    <n v="20"/>
    <n v="2396.11"/>
    <n v="2.2469999999999999"/>
    <n v="4.2000000000000003E-2"/>
    <n v="119.806"/>
    <n v="2"/>
    <n v="0"/>
    <s v="Yes"/>
    <n v="1066407"/>
    <n v="958015"/>
    <n v="66007"/>
    <s v="Hentai"/>
    <s v="US"/>
    <x v="12"/>
    <x v="2"/>
  </r>
  <r>
    <s v="RUNNING"/>
    <n v="1013013641"/>
    <s v="US_EN_PREROLL_CPA_ALL_KEY-Hentai-Cartoon_DESK_M_JB"/>
    <s v="nsfw"/>
    <d v="1899-12-30T16:09:00"/>
    <s v="In-Stream Video"/>
    <s v="TJX"/>
    <s v="desktop"/>
    <s v="GEO,Frequency,Keyword,BrowserLanguage"/>
    <n v="52"/>
    <n v="0"/>
    <s v="Yes"/>
    <s v="Unlimited"/>
    <n v="3552"/>
    <n v="211"/>
    <n v="5.9403199999999998"/>
    <n v="2"/>
    <n v="10.72"/>
    <n v="3.0179999999999998"/>
    <n v="5.0999999999999997E-2"/>
    <n v="5.36"/>
    <n v="2"/>
    <n v="0"/>
    <s v="Yes"/>
    <n v="3551"/>
    <n v="2583"/>
    <n v="387"/>
    <s v="Hentai"/>
    <s v="US"/>
    <x v="12"/>
    <x v="2"/>
  </r>
  <r>
    <s v="RUNNING"/>
    <n v="1013013651"/>
    <s v="AUS_EN_PREROLL_CPA_ALL_KEY-Hentai-Cartoon_AND_M_JB"/>
    <s v="nsfw"/>
    <d v="1899-12-30T16:09:00"/>
    <s v="In-Stream Video"/>
    <s v="TJX"/>
    <s v="mobile"/>
    <s v="GEO,Frequency,Keyword,OS,BrowserLanguage"/>
    <n v="173"/>
    <n v="0"/>
    <s v="No"/>
    <n v="250"/>
    <n v="1498"/>
    <n v="80"/>
    <n v="5.3404499999999997"/>
    <n v="0"/>
    <n v="2.3199999999999998"/>
    <n v="1.552"/>
    <n v="2.9000000000000001E-2"/>
    <n v="0"/>
    <n v="2"/>
    <n v="0"/>
    <s v="Yes"/>
    <n v="1498"/>
    <n v="1358"/>
    <n v="76"/>
    <s v="Hentai"/>
    <s v="AU"/>
    <x v="12"/>
    <x v="2"/>
  </r>
  <r>
    <s v="RUNNING"/>
    <n v="1013013701"/>
    <s v="AUS_EN_PREROLL_CPA_ALL_KEY-Hentai-Cartoon_iOS_M_JB"/>
    <s v="nsfw"/>
    <d v="1899-12-30T16:09:00"/>
    <s v="In-Stream Video"/>
    <s v="TJX"/>
    <s v="mobile"/>
    <s v="GEO,Frequency,Keyword,OS,BrowserLanguage"/>
    <n v="173"/>
    <n v="0"/>
    <s v="No"/>
    <n v="250"/>
    <n v="3295"/>
    <n v="187"/>
    <n v="5.6752700000000003"/>
    <n v="0"/>
    <n v="3.01"/>
    <n v="0.91400000000000003"/>
    <n v="1.6E-2"/>
    <n v="0"/>
    <n v="2"/>
    <n v="0"/>
    <s v="Yes"/>
    <n v="3295"/>
    <n v="2969"/>
    <n v="163"/>
    <s v="Hentai"/>
    <s v="AU"/>
    <x v="12"/>
    <x v="2"/>
  </r>
  <r>
    <s v="RUNNING"/>
    <n v="1013013731"/>
    <s v="AUS_EN_PREROLL_CPA_ALL_KEY-Hentai-Cartoon_DESK_M_JB"/>
    <s v="nsfw"/>
    <d v="1899-12-30T16:09:00"/>
    <s v="In-Stream Video"/>
    <s v="TJX"/>
    <s v="desktop"/>
    <s v="GEO,Frequency,Keyword,BrowserLanguage"/>
    <n v="64"/>
    <n v="0"/>
    <s v="No"/>
    <n v="250"/>
    <n v="140350"/>
    <n v="8690"/>
    <n v="6.1916599999999997"/>
    <n v="2"/>
    <n v="348.76"/>
    <n v="2.4849999999999999"/>
    <n v="0.04"/>
    <n v="174.37899999999999"/>
    <n v="2"/>
    <n v="0"/>
    <s v="Yes"/>
    <n v="140353"/>
    <n v="110458"/>
    <n v="14654"/>
    <s v="Hentai"/>
    <s v="AU"/>
    <x v="3"/>
    <x v="2"/>
  </r>
  <r>
    <s v="NOT RUNNING"/>
    <n v="1013013741"/>
    <s v="UK_EN_PREROLL_CPA_ALL_KEY-Hentai-Cartoon_AND_M_JB"/>
    <s v="nsfw"/>
    <d v="1899-12-30T16:09:00"/>
    <s v="In-Stream Video"/>
    <s v="TJX"/>
    <s v="mobile"/>
    <s v="GEO,Frequency,Keyword,OS,BrowserLanguage"/>
    <n v="140"/>
    <n v="0"/>
    <s v="No"/>
    <n v="250"/>
    <n v="175"/>
    <n v="10"/>
    <n v="5.7142900000000001"/>
    <n v="0"/>
    <n v="0.1"/>
    <n v="0.58699999999999997"/>
    <n v="0.01"/>
    <n v="0"/>
    <n v="2"/>
    <n v="0"/>
    <s v="Yes"/>
    <n v="175"/>
    <n v="161"/>
    <n v="9"/>
    <s v="Hentai"/>
    <s v="UK"/>
    <x v="12"/>
    <x v="2"/>
  </r>
  <r>
    <s v="NOT RUNNING"/>
    <n v="1013013761"/>
    <s v="UK_EN_PREROLL_CPA_ALL_KEY-Hentai-Cartoon_iOS_M_JB"/>
    <s v="nsfw"/>
    <d v="1899-12-30T16:09:00"/>
    <s v="In-Stream Video"/>
    <s v="TJX"/>
    <s v="mobile"/>
    <s v="GEO,Frequency,Keyword,OS,BrowserLanguage"/>
    <n v="130"/>
    <n v="0"/>
    <s v="No"/>
    <n v="250"/>
    <n v="0"/>
    <n v="0"/>
    <n v="0"/>
    <m/>
    <n v="0"/>
    <n v="0"/>
    <n v="0"/>
    <n v="0"/>
    <n v="2"/>
    <n v="0"/>
    <s v="Yes"/>
    <m/>
    <m/>
    <m/>
    <s v="Hentai"/>
    <s v="UK"/>
    <x v="12"/>
    <x v="2"/>
  </r>
  <r>
    <s v="RUNNING"/>
    <n v="1013013771"/>
    <s v="UK_EN_PREROLL_CPA_ALL_KEY-Hentai-Cartoon_DESK_M_JB"/>
    <s v="nsfw"/>
    <d v="1899-12-30T16:09:00"/>
    <s v="In-Stream Video"/>
    <s v="TJX"/>
    <s v="desktop"/>
    <s v="GEO,Frequency,Keyword,BrowserLanguage"/>
    <n v="68"/>
    <n v="0"/>
    <s v="No"/>
    <n v="250"/>
    <n v="6911"/>
    <n v="245"/>
    <n v="3.5450699999999999"/>
    <n v="0"/>
    <n v="19.239999999999998"/>
    <n v="2.7839999999999998"/>
    <n v="7.9000000000000001E-2"/>
    <n v="0"/>
    <n v="2"/>
    <n v="0"/>
    <s v="Yes"/>
    <n v="6911"/>
    <n v="4859"/>
    <n v="871"/>
    <s v="Hentai"/>
    <s v="UK"/>
    <x v="12"/>
    <x v="2"/>
  </r>
  <r>
    <s v="RUNNING"/>
    <n v="1013013791"/>
    <s v="T2_EN_PREROLL_CPA_ALL_KEY-Hentai-Cartoon_AND_M_JB"/>
    <s v="nsfw"/>
    <d v="1899-12-30T16:09:00"/>
    <s v="In-Stream Video"/>
    <s v="TJX"/>
    <s v="mobile"/>
    <s v="GEO,Frequency,Keyword,OS,BrowserLanguage"/>
    <n v="1730"/>
    <n v="0"/>
    <s v="Yes"/>
    <s v="Unlimited"/>
    <n v="106971"/>
    <n v="8409"/>
    <n v="7.8610100000000003"/>
    <n v="5"/>
    <n v="130.09"/>
    <n v="1.216"/>
    <n v="1.4999999999999999E-2"/>
    <n v="26.018000000000001"/>
    <n v="2"/>
    <n v="0"/>
    <s v="Yes"/>
    <n v="106973"/>
    <n v="94260"/>
    <n v="7597"/>
    <s v="Hentai"/>
    <s v="T2"/>
    <x v="12"/>
    <x v="2"/>
  </r>
  <r>
    <s v="RUNNING"/>
    <n v="1013013811"/>
    <s v="T2_EN_PREROLL_CPA_ALL_KEY-Hentai-Cartoon_iOS_M_JB"/>
    <s v="nsfw"/>
    <d v="1899-12-30T16:09:00"/>
    <s v="In-Stream Video"/>
    <s v="TJX"/>
    <s v="mobile"/>
    <s v="GEO,Frequency,Keyword,OS,BrowserLanguage"/>
    <n v="1730"/>
    <n v="0"/>
    <s v="No"/>
    <n v="250"/>
    <n v="76858"/>
    <n v="5047"/>
    <n v="6.5666599999999997"/>
    <n v="1"/>
    <n v="122.16"/>
    <n v="1.59"/>
    <n v="2.4E-2"/>
    <n v="122.163"/>
    <n v="2"/>
    <n v="0"/>
    <s v="Yes"/>
    <n v="76859"/>
    <n v="67938"/>
    <n v="5282"/>
    <s v="Hentai"/>
    <s v="T2"/>
    <x v="12"/>
    <x v="2"/>
  </r>
  <r>
    <s v="RUNNING"/>
    <n v="1013013831"/>
    <s v="T2_EN_PREROLL_CPA_ALL_KEY-Hentai-Cartoon_DESK_M_JB"/>
    <s v="nsfw"/>
    <d v="1899-12-30T16:09:00"/>
    <s v="In-Stream Video"/>
    <s v="TJX"/>
    <s v="desktop"/>
    <s v="GEO,Frequency,Keyword,BrowserLanguage"/>
    <n v="680"/>
    <n v="0"/>
    <s v="Yes"/>
    <s v="Unlimited"/>
    <n v="55873"/>
    <n v="3592"/>
    <n v="6.4288699999999999"/>
    <n v="2"/>
    <n v="102.12"/>
    <n v="1.8280000000000001"/>
    <n v="2.8000000000000001E-2"/>
    <n v="51.058"/>
    <n v="2"/>
    <n v="0"/>
    <s v="Yes"/>
    <n v="55873"/>
    <n v="43479"/>
    <n v="5355"/>
    <s v="Hentai"/>
    <s v="T2"/>
    <x v="12"/>
    <x v="2"/>
  </r>
  <r>
    <s v="PAUSED"/>
    <n v="1013013851"/>
    <s v="US_EN_PREROLL_CPA_ALL_Broad_AND_MF_JB"/>
    <s v="nsfw"/>
    <d v="1899-12-30T16:09:00"/>
    <s v="In-Stream Video"/>
    <s v="TJX"/>
    <s v="mobile"/>
    <s v="GEO,Frequency,OS,BrowserLanguage"/>
    <n v="200"/>
    <n v="0"/>
    <s v="No"/>
    <n v="250"/>
    <n v="244141"/>
    <n v="19216"/>
    <n v="7.8708600000000004"/>
    <n v="1"/>
    <n v="471.67"/>
    <n v="1.9319999999999999"/>
    <n v="2.5000000000000001E-2"/>
    <n v="471.666"/>
    <n v="2"/>
    <n v="0"/>
    <s v="Yes"/>
    <n v="244141"/>
    <n v="216683"/>
    <n v="19773"/>
    <s v="Broad"/>
    <s v="US"/>
    <x v="25"/>
    <x v="2"/>
  </r>
  <r>
    <s v="RUNNING"/>
    <n v="1013013861"/>
    <s v="US_EN_PREROLL_CPA_ALL_Broad_iOS_MF_JB"/>
    <s v="nsfw"/>
    <d v="1899-12-30T16:09:00"/>
    <s v="In-Stream Video"/>
    <s v="TJX"/>
    <s v="mobile"/>
    <s v="GEO,Frequency,OS,BrowserLanguage"/>
    <n v="243"/>
    <n v="0"/>
    <s v="No"/>
    <n v="250"/>
    <n v="1244313"/>
    <n v="62802"/>
    <n v="5.04711"/>
    <n v="16"/>
    <n v="2433.5700000000002"/>
    <n v="1.956"/>
    <n v="3.9E-2"/>
    <n v="152.09800000000001"/>
    <n v="2"/>
    <n v="0"/>
    <s v="No"/>
    <n v="1244310"/>
    <n v="1132199"/>
    <n v="67561"/>
    <s v="Broad"/>
    <s v="US"/>
    <x v="26"/>
    <x v="2"/>
  </r>
  <r>
    <s v="RUNNING"/>
    <n v="1013013881"/>
    <s v="US_EN_PREROLL_CPA_ALL_Broad_DESK_MF_JB"/>
    <s v="nsfw"/>
    <d v="1899-12-30T16:09:00"/>
    <s v="In-Stream Video"/>
    <s v="TJX"/>
    <s v="desktop"/>
    <s v="GEO,Frequency,BrowserLanguage"/>
    <n v="100"/>
    <n v="0"/>
    <s v="No"/>
    <n v="250"/>
    <n v="988713"/>
    <n v="48853"/>
    <n v="4.9410699999999999"/>
    <n v="12"/>
    <n v="3227.23"/>
    <n v="3.2639999999999998"/>
    <n v="6.6000000000000003E-2"/>
    <n v="268.93599999999998"/>
    <n v="2"/>
    <n v="0"/>
    <s v="Yes"/>
    <n v="988633"/>
    <n v="782967"/>
    <n v="108357"/>
    <s v="Broad"/>
    <s v="US"/>
    <x v="25"/>
    <x v="2"/>
  </r>
  <r>
    <s v="RUNNING"/>
    <n v="1013013911"/>
    <s v="US_EN_PREROLL_CPA_PH_KEY-Blowjob_iOS_M_JB"/>
    <s v="nsfw"/>
    <d v="1899-12-30T16:09:00"/>
    <s v="In-Stream Video"/>
    <s v="TJX"/>
    <s v="mobile"/>
    <s v="GEO,Frequency,Keyword,OS,BrowserLanguage"/>
    <n v="32"/>
    <n v="0"/>
    <s v="No"/>
    <n v="250"/>
    <n v="73441"/>
    <n v="3052"/>
    <n v="4.15571"/>
    <n v="1"/>
    <n v="86.65"/>
    <n v="1.18"/>
    <n v="2.8000000000000001E-2"/>
    <n v="86.650999999999996"/>
    <n v="2"/>
    <n v="0"/>
    <s v="Yes"/>
    <n v="73441"/>
    <n v="64195"/>
    <n v="6427"/>
    <s v="Blowjob"/>
    <s v="US"/>
    <x v="3"/>
    <x v="2"/>
  </r>
  <r>
    <s v="RUNNING"/>
    <n v="1013013931"/>
    <s v="US_EN_PREROLL_CPA_PH_KEY-Blowjob_AND_M_JB"/>
    <s v="nsfw"/>
    <d v="1899-12-30T16:09:00"/>
    <s v="In-Stream Video"/>
    <s v="TJX"/>
    <s v="mobile"/>
    <s v="GEO,Frequency,Keyword,OS,BrowserLanguage"/>
    <n v="32"/>
    <n v="0"/>
    <s v="No"/>
    <n v="250"/>
    <n v="154724"/>
    <n v="7818"/>
    <n v="5.0528700000000004"/>
    <n v="0"/>
    <n v="181.27"/>
    <n v="1.1719999999999999"/>
    <n v="2.3E-2"/>
    <n v="0"/>
    <n v="2"/>
    <n v="0"/>
    <s v="Yes"/>
    <n v="154724"/>
    <n v="134120"/>
    <n v="13705"/>
    <s v="Blowjob"/>
    <s v="US"/>
    <x v="3"/>
    <x v="2"/>
  </r>
  <r>
    <s v="RUNNING"/>
    <n v="1013013941"/>
    <s v="US_EN_PREROLL_CPA_PH_KEY-Blowjob_DESK_M_JB"/>
    <s v="nsfw"/>
    <d v="1899-12-30T16:09:00"/>
    <s v="In-Stream Video"/>
    <s v="TJX"/>
    <s v="desktop"/>
    <s v="GEO,Frequency,Keyword,BrowserLanguage"/>
    <n v="64"/>
    <n v="0"/>
    <s v="No"/>
    <n v="250"/>
    <n v="22294"/>
    <n v="869"/>
    <n v="3.89791"/>
    <n v="0"/>
    <n v="19.91"/>
    <n v="0.89300000000000002"/>
    <n v="2.3E-2"/>
    <n v="0"/>
    <n v="2"/>
    <n v="0"/>
    <s v="Yes"/>
    <n v="22294"/>
    <n v="16065"/>
    <n v="3160"/>
    <s v="Blowjob"/>
    <s v="US"/>
    <x v="3"/>
    <x v="2"/>
  </r>
  <r>
    <s v="PAUSED"/>
    <n v="1013013951"/>
    <s v="US_EN_PREROLL_CPA_ALL_KEY-Cowgirl_AND_M_JB"/>
    <s v="nsfw"/>
    <d v="1899-12-30T16:09:00"/>
    <s v="In-Stream Video"/>
    <s v="TJX"/>
    <s v="mobile"/>
    <s v="GEO,Frequency,Keyword,OS,BrowserLanguage"/>
    <n v="100"/>
    <n v="0"/>
    <s v="No"/>
    <n v="250"/>
    <n v="324964"/>
    <n v="23834"/>
    <n v="7.3343499999999997"/>
    <n v="2"/>
    <n v="466.44"/>
    <n v="1.4350000000000001"/>
    <n v="0.02"/>
    <n v="233.21899999999999"/>
    <n v="2"/>
    <n v="0"/>
    <s v="Yes"/>
    <n v="324964"/>
    <n v="288687"/>
    <n v="25807"/>
    <s v="Cowgirl"/>
    <s v="US"/>
    <x v="3"/>
    <x v="2"/>
  </r>
  <r>
    <s v="RUNNING"/>
    <n v="1013013961"/>
    <s v="US_EN_PREROLL_CPA_ALL_KEY-Cowgirl_iOS_M_JB"/>
    <s v="nsfw"/>
    <d v="1899-12-30T16:09:00"/>
    <s v="In-Stream Video"/>
    <s v="TJX"/>
    <s v="mobile"/>
    <s v="GEO,Frequency,Keyword,OS,BrowserLanguage"/>
    <n v="140"/>
    <n v="0"/>
    <s v="No"/>
    <n v="250"/>
    <n v="1097124"/>
    <n v="54261"/>
    <n v="4.9457500000000003"/>
    <n v="9"/>
    <n v="1906.98"/>
    <n v="1.738"/>
    <n v="3.5000000000000003E-2"/>
    <n v="211.887"/>
    <n v="2"/>
    <n v="0"/>
    <s v="Yes"/>
    <n v="1097123"/>
    <n v="988928"/>
    <n v="69159"/>
    <s v="Cowgirl"/>
    <s v="US"/>
    <x v="3"/>
    <x v="2"/>
  </r>
  <r>
    <s v="RUNNING"/>
    <n v="1013013971"/>
    <s v="US_EN_PREROLL_CPA_ALL_KEY-Cowgirl_DESK_M_JB"/>
    <s v="nsfw"/>
    <d v="1899-12-30T16:09:00"/>
    <s v="In-Stream Video"/>
    <s v="TJX"/>
    <s v="desktop"/>
    <s v="GEO,Frequency,Keyword,Browser,BrowserLanguage"/>
    <n v="52"/>
    <n v="0"/>
    <s v="No"/>
    <n v="250"/>
    <n v="830609"/>
    <n v="36437"/>
    <n v="4.3867799999999999"/>
    <n v="16"/>
    <n v="1591.8"/>
    <n v="1.9159999999999999"/>
    <n v="4.3999999999999997E-2"/>
    <n v="99.488"/>
    <n v="2"/>
    <n v="0"/>
    <s v="Yes"/>
    <n v="830607"/>
    <n v="639216"/>
    <n v="98537"/>
    <s v="Cowgirl"/>
    <s v="US"/>
    <x v="3"/>
    <x v="2"/>
  </r>
  <r>
    <s v="RUNNING"/>
    <n v="1013013981"/>
    <s v="US_EN_PREROLL_CPA_ALL_KEY-Missionary_DESK_M_JB"/>
    <s v="nsfw"/>
    <d v="1899-12-30T16:09:00"/>
    <s v="In-Stream Video"/>
    <s v="TJX"/>
    <s v="desktop"/>
    <s v="GEO,Frequency,Keyword,BrowserLanguage"/>
    <n v="60"/>
    <n v="0"/>
    <s v="No"/>
    <n v="250"/>
    <n v="393787"/>
    <n v="14870"/>
    <n v="3.7761499999999999"/>
    <n v="2"/>
    <n v="478.45"/>
    <n v="1.2150000000000001"/>
    <n v="3.2000000000000001E-2"/>
    <n v="239.22300000000001"/>
    <n v="2"/>
    <n v="0"/>
    <s v="Yes"/>
    <n v="393786"/>
    <n v="292520"/>
    <n v="41527"/>
    <s v="Missionary"/>
    <s v="US"/>
    <x v="3"/>
    <x v="2"/>
  </r>
  <r>
    <s v="RUNNING"/>
    <n v="1013014001"/>
    <s v="US_EN_PREROLL_CPA_PH-RT_KEY-Missionary_iOS_M_JB"/>
    <s v="nsfw"/>
    <d v="1899-12-30T16:09:00"/>
    <s v="In-Stream Video"/>
    <s v="TJX"/>
    <s v="mobile"/>
    <s v="GEO,Frequency,Keyword,OS,BrowserLanguage"/>
    <n v="65"/>
    <n v="0"/>
    <s v="No"/>
    <n v="250"/>
    <n v="263662"/>
    <n v="12446"/>
    <n v="4.72044"/>
    <n v="2"/>
    <n v="485.6"/>
    <n v="1.8420000000000001"/>
    <n v="3.9E-2"/>
    <n v="242.80099999999999"/>
    <n v="2"/>
    <n v="0"/>
    <s v="Yes"/>
    <n v="263654"/>
    <n v="239101"/>
    <n v="14516"/>
    <s v="Missionary"/>
    <s v="US"/>
    <x v="3"/>
    <x v="2"/>
  </r>
  <r>
    <s v="PAUSED"/>
    <n v="1013014101"/>
    <s v="UK_EN_PREROLL_CPA_ALL_KEY-Missionary_DESK_M_JB"/>
    <s v="nsfw"/>
    <d v="1899-12-30T16:09:00"/>
    <s v="In-Stream Video"/>
    <s v="TJX"/>
    <s v="desktop"/>
    <s v="GEO,Frequency,Keyword,BrowserLanguage"/>
    <n v="44"/>
    <n v="0"/>
    <s v="No"/>
    <n v="250"/>
    <n v="41177"/>
    <n v="1849"/>
    <n v="4.4903700000000004"/>
    <n v="0"/>
    <n v="115.9"/>
    <n v="2.8149999999999999"/>
    <n v="6.3E-2"/>
    <n v="0"/>
    <n v="2"/>
    <n v="0"/>
    <s v="Yes"/>
    <n v="41177"/>
    <n v="31564"/>
    <n v="4928"/>
    <s v="Missionary"/>
    <s v="UK"/>
    <x v="3"/>
    <x v="2"/>
  </r>
  <r>
    <s v="RUNNING"/>
    <n v="1013014111"/>
    <s v="US_EN_PREROLL_CPA_PH-RT_KEY-Missionary_AND_M_JB"/>
    <s v="nsfw"/>
    <d v="1899-12-30T16:09:00"/>
    <s v="In-Stream Video"/>
    <s v="TJX"/>
    <s v="mobile"/>
    <s v="GEO,Frequency,Keyword,OS,BrowserLanguage"/>
    <n v="65"/>
    <n v="0"/>
    <s v="No"/>
    <n v="250"/>
    <n v="3265566"/>
    <n v="199316"/>
    <n v="6.1035700000000004"/>
    <n v="26"/>
    <n v="5794.67"/>
    <n v="1.7749999999999999"/>
    <n v="2.9000000000000001E-2"/>
    <n v="222.87200000000001"/>
    <n v="2"/>
    <n v="0"/>
    <s v="Yes"/>
    <n v="3264919"/>
    <n v="2900107"/>
    <n v="261773"/>
    <s v="Missionary"/>
    <s v="US"/>
    <x v="3"/>
    <x v="2"/>
  </r>
  <r>
    <s v="RUNNING"/>
    <n v="1013014221"/>
    <s v="US_EN_PREROLL_CPA_ALL_KEY-Cumshot_AND_M_JB"/>
    <s v="nsfw"/>
    <d v="1899-12-30T16:09:00"/>
    <s v="In-Stream Video"/>
    <s v="TJX"/>
    <s v="mobile"/>
    <s v="GEO,Frequency,Keyword,OS,BrowserLanguage"/>
    <n v="153"/>
    <n v="0"/>
    <s v="No"/>
    <n v="250"/>
    <n v="1244985"/>
    <n v="95495"/>
    <n v="7.6703700000000001"/>
    <n v="7"/>
    <n v="1983.37"/>
    <n v="1.593"/>
    <n v="2.1000000000000001E-2"/>
    <n v="283.33800000000002"/>
    <n v="2"/>
    <n v="0"/>
    <s v="Yes"/>
    <n v="1244959"/>
    <n v="1112297"/>
    <n v="91474"/>
    <s v="Cumshot"/>
    <s v="US"/>
    <x v="3"/>
    <x v="2"/>
  </r>
  <r>
    <s v="RUNNING"/>
    <n v="1013014271"/>
    <s v="US_EN_PREROLL_CPA_ALL_KEY-Cumshot_iOS_M_JB"/>
    <s v="nsfw"/>
    <d v="1899-12-30T16:09:00"/>
    <s v="In-Stream Video"/>
    <s v="TJX"/>
    <s v="mobile"/>
    <s v="GEO,Frequency,Keyword,OS,BrowserLanguage"/>
    <n v="163"/>
    <n v="0"/>
    <s v="No"/>
    <n v="250"/>
    <n v="577204"/>
    <n v="27560"/>
    <n v="4.7747400000000004"/>
    <n v="0"/>
    <n v="1129.73"/>
    <n v="1.9570000000000001"/>
    <n v="4.1000000000000002E-2"/>
    <n v="0"/>
    <n v="2"/>
    <n v="0"/>
    <s v="Yes"/>
    <n v="577183"/>
    <n v="529366"/>
    <n v="27406"/>
    <s v="Cumshot"/>
    <s v="US"/>
    <x v="3"/>
    <x v="2"/>
  </r>
  <r>
    <s v="RUNNING"/>
    <n v="1013014281"/>
    <s v="US_EN_PREROLL_CPA_ALL_KEY-Cumshot_DESK_M_JB"/>
    <s v="nsfw"/>
    <d v="1899-12-30T16:09:00"/>
    <s v="In-Stream Video"/>
    <s v="TJX"/>
    <s v="desktop"/>
    <s v="GEO,Frequency,Keyword,BrowserLanguage"/>
    <n v="68"/>
    <n v="0"/>
    <s v="Yes"/>
    <s v="Unlimited"/>
    <n v="562398"/>
    <n v="21596"/>
    <n v="3.8399899999999998"/>
    <n v="9"/>
    <n v="693.57"/>
    <n v="1.2330000000000001"/>
    <n v="3.2000000000000001E-2"/>
    <n v="77.063999999999993"/>
    <n v="2"/>
    <n v="0"/>
    <s v="Yes"/>
    <n v="562396"/>
    <n v="413438"/>
    <n v="71222"/>
    <s v="Cumshot"/>
    <s v="US"/>
    <x v="3"/>
    <x v="2"/>
  </r>
  <r>
    <s v="RUNNING"/>
    <n v="1013014311"/>
    <s v="US_EN_PREROLL_CPA_T8-YP_KEY-Handjob_DESK_M_JB"/>
    <s v="nsfw"/>
    <d v="1899-12-30T16:09:00"/>
    <s v="In-Stream Video"/>
    <s v="TJX"/>
    <s v="desktop"/>
    <s v="GEO,Frequency,Keyword,BrowserLanguage"/>
    <n v="96"/>
    <n v="0"/>
    <s v="No"/>
    <n v="250"/>
    <n v="89753"/>
    <n v="3892"/>
    <n v="4.3363500000000004"/>
    <n v="0"/>
    <n v="230.7"/>
    <n v="2.57"/>
    <n v="5.8999999999999997E-2"/>
    <n v="0"/>
    <n v="1"/>
    <n v="0"/>
    <s v="Yes"/>
    <n v="89753"/>
    <n v="70791"/>
    <n v="9376"/>
    <s v="Handjob"/>
    <s v="US"/>
    <x v="3"/>
    <x v="2"/>
  </r>
  <r>
    <s v="PAUSED"/>
    <n v="1013014461"/>
    <s v="US_EN_PREROLL_CPA_T8-PH-YP_KEY-Handjob_AND_M_JB"/>
    <s v="nsfw"/>
    <d v="1899-12-30T16:09:00"/>
    <s v="In-Stream Video"/>
    <s v="TJX"/>
    <s v="mobile"/>
    <s v="GEO,Frequency,Keyword,OS,BrowserLanguage"/>
    <n v="90"/>
    <n v="0"/>
    <s v="No"/>
    <n v="250"/>
    <n v="107901"/>
    <n v="7972"/>
    <n v="7.3882500000000002"/>
    <n v="1"/>
    <n v="186.98"/>
    <n v="1.7330000000000001"/>
    <n v="2.3E-2"/>
    <n v="186.97900000000001"/>
    <n v="2"/>
    <n v="0"/>
    <s v="Yes"/>
    <n v="107901"/>
    <n v="95073"/>
    <n v="8407"/>
    <s v="Handjob"/>
    <s v="US"/>
    <x v="3"/>
    <x v="2"/>
  </r>
  <r>
    <s v="RUNNING"/>
    <n v="1013014511"/>
    <s v="US_EN_PREROLL_CPA_T8-PH-YP_KEY-Handjob_iOS_M_JB"/>
    <s v="nsfw"/>
    <d v="1899-12-30T16:09:00"/>
    <s v="In-Stream Video"/>
    <s v="TJX"/>
    <s v="mobile"/>
    <s v="GEO,Frequency,Keyword,OS,BrowserLanguage"/>
    <n v="114"/>
    <n v="0"/>
    <s v="No"/>
    <n v="250"/>
    <n v="207843"/>
    <n v="9489"/>
    <n v="4.5654700000000004"/>
    <n v="1"/>
    <n v="370.85"/>
    <n v="1.784"/>
    <n v="3.9E-2"/>
    <n v="370.84800000000001"/>
    <n v="2"/>
    <n v="0"/>
    <s v="Yes"/>
    <n v="207840"/>
    <n v="184940"/>
    <n v="13338"/>
    <s v="Handjob"/>
    <s v="US"/>
    <x v="3"/>
    <x v="2"/>
  </r>
  <r>
    <s v="RUNNING"/>
    <n v="1013016311"/>
    <s v="NZ_EN_PREROLL_CPA_T8-YP_KEY-Handjob_DESK_M_JB"/>
    <s v="nsfw"/>
    <d v="1899-12-30T16:09:00"/>
    <s v="In-Stream Video"/>
    <s v="TJX"/>
    <s v="desktop"/>
    <s v="GEO,Frequency,Keyword,BrowserLanguage"/>
    <n v="80"/>
    <n v="0"/>
    <s v="No"/>
    <n v="250"/>
    <n v="200879"/>
    <n v="10698"/>
    <n v="5.32559"/>
    <n v="2"/>
    <n v="271.92"/>
    <n v="1.3540000000000001"/>
    <n v="2.5000000000000001E-2"/>
    <n v="135.96100000000001"/>
    <n v="2"/>
    <n v="0"/>
    <s v="Yes"/>
    <n v="200879"/>
    <n v="157683"/>
    <n v="21583"/>
    <s v="Handjob"/>
    <s v="NZ"/>
    <x v="3"/>
    <x v="2"/>
  </r>
  <r>
    <s v="RUNNING"/>
    <n v="1013017191"/>
    <s v="US_EN_SHORTIES_CPM_PH_MOB_MF_TJ"/>
    <s v="nsfw"/>
    <d v="1899-12-30T09:16:00"/>
    <s v="In-Stream Video"/>
    <s v="TJX"/>
    <s v="mobile"/>
    <s v="GEO"/>
    <n v="3"/>
    <n v="2"/>
    <s v="Yes"/>
    <s v="Unlimited"/>
    <n v="2211253"/>
    <n v="13737"/>
    <n v="0.62121999999999999"/>
    <n v="23"/>
    <n v="1676.54"/>
    <n v="0.75800000000000001"/>
    <n v="0.122"/>
    <n v="72.893000000000001"/>
    <n v="2"/>
    <n v="0"/>
    <s v="No"/>
    <n v="2211220"/>
    <n v="0"/>
    <n v="7670"/>
    <s v="Shorties"/>
    <s v="US"/>
    <x v="2"/>
    <x v="1"/>
  </r>
  <r>
    <s v="RUNNING"/>
    <n v="1013017281"/>
    <s v="US_EN_PREROLL_CPM_PH_KEY-AI_DESK_MF_TJ"/>
    <s v="nsfw"/>
    <d v="1899-12-30T16:09:00"/>
    <s v="In-Stream Video"/>
    <s v="TJX"/>
    <s v="desktop"/>
    <s v="GEO,Frequency,Keyword,Browser,BrowserLanguage"/>
    <n v="7"/>
    <n v="0"/>
    <s v="Yes"/>
    <s v="Unlimited"/>
    <n v="228626"/>
    <n v="9594"/>
    <n v="4.1963699999999999"/>
    <n v="8"/>
    <n v="690.45"/>
    <n v="3.02"/>
    <n v="7.1999999999999995E-2"/>
    <n v="86.305999999999997"/>
    <n v="2"/>
    <n v="0"/>
    <s v="No"/>
    <n v="228621"/>
    <n v="176242"/>
    <n v="23506"/>
    <s v="AI"/>
    <s v="US"/>
    <x v="0"/>
    <x v="1"/>
  </r>
  <r>
    <s v="RUNNING"/>
    <n v="1013017291"/>
    <s v="UK_EN_PREROLL_CPM_PH_KEY-AI_DESK_MF_TJ"/>
    <s v="nsfw"/>
    <d v="1899-12-30T16:09:00"/>
    <s v="In-Stream Video"/>
    <s v="TJX"/>
    <s v="desktop"/>
    <s v="GEO,Frequency,Keyword,Browser,BrowserLanguage"/>
    <n v="7"/>
    <n v="0"/>
    <s v="No"/>
    <n v="500"/>
    <n v="4219"/>
    <n v="132"/>
    <n v="3.1286999999999998"/>
    <n v="0"/>
    <n v="10.7"/>
    <n v="2.536"/>
    <n v="8.1000000000000003E-2"/>
    <n v="0"/>
    <n v="2"/>
    <n v="0"/>
    <s v="No"/>
    <n v="4219"/>
    <n v="3107"/>
    <n v="501"/>
    <s v="AI"/>
    <s v="UK"/>
    <x v="0"/>
    <x v="1"/>
  </r>
  <r>
    <s v="RUNNING"/>
    <n v="1013017301"/>
    <s v="US_EN_PREROLL_CPA_ALL_SOURCE-Gay_AND_MF_JB"/>
    <s v="nsfw"/>
    <d v="1899-12-30T16:09:00"/>
    <s v="In-Stream Video"/>
    <s v="TJX"/>
    <s v="mobile"/>
    <s v="GEO,Frequency,OS,BrowserLanguage"/>
    <n v="50"/>
    <n v="0"/>
    <s v="No"/>
    <n v="250"/>
    <n v="833700"/>
    <n v="50817"/>
    <n v="6.0953600000000003"/>
    <n v="14"/>
    <n v="1821.94"/>
    <n v="2.1850000000000001"/>
    <n v="3.5999999999999997E-2"/>
    <n v="130.13900000000001"/>
    <n v="2"/>
    <n v="0"/>
    <s v="Yes"/>
    <n v="833684"/>
    <n v="751670"/>
    <n v="52790"/>
    <s v="Gay"/>
    <s v="US"/>
    <x v="27"/>
    <x v="2"/>
  </r>
  <r>
    <s v="RUNNING"/>
    <n v="1013017321"/>
    <s v="US_EN_PREROLL_CPM_PH_KEY-Trans_iOS_M_TJ"/>
    <s v="nsfw"/>
    <d v="1899-12-30T16:09:00"/>
    <s v="In-Stream Video"/>
    <s v="TJX"/>
    <s v="mobile"/>
    <s v="GEO,Frequency,Keyword,OS"/>
    <n v="2"/>
    <n v="2"/>
    <s v="No"/>
    <n v="500"/>
    <n v="1137778"/>
    <n v="51425"/>
    <n v="4.5197700000000003"/>
    <n v="23"/>
    <n v="2482.63"/>
    <n v="2.1819999999999999"/>
    <n v="4.8000000000000001E-2"/>
    <n v="107.941"/>
    <n v="2"/>
    <n v="0"/>
    <s v="Yes"/>
    <n v="1137776"/>
    <n v="1011123"/>
    <n v="91231"/>
    <s v="Trans"/>
    <s v="US"/>
    <x v="6"/>
    <x v="1"/>
  </r>
  <r>
    <s v="RUNNING"/>
    <n v="1013017331"/>
    <s v="US_EN_PREROLL_CPM_PH_KEY-Trans_AND_M_TJ"/>
    <s v="nsfw"/>
    <d v="1899-12-30T16:09:00"/>
    <s v="In-Stream Video"/>
    <s v="TJX"/>
    <s v="mobile"/>
    <s v="GEO,Frequency,Keyword,OS"/>
    <n v="2"/>
    <n v="0"/>
    <s v="No"/>
    <n v="500"/>
    <n v="305482"/>
    <n v="18584"/>
    <n v="6.0834999999999999"/>
    <n v="2"/>
    <n v="663.51"/>
    <n v="2.1720000000000002"/>
    <n v="3.5999999999999997E-2"/>
    <n v="331.75299999999999"/>
    <n v="2"/>
    <n v="0"/>
    <s v="No"/>
    <n v="305482"/>
    <n v="267319"/>
    <n v="26747"/>
    <s v="Trans"/>
    <s v="US"/>
    <x v="6"/>
    <x v="1"/>
  </r>
  <r>
    <s v="PAUSED"/>
    <n v="1013017351"/>
    <s v="US_EN_PREROLL_CPA_ALL_SOURCE-Gay_iOS_MF_JB"/>
    <s v="nsfw"/>
    <d v="1899-12-30T16:09:00"/>
    <s v="In-Stream Video"/>
    <s v="TJX"/>
    <s v="mobile"/>
    <s v="GEO,Frequency,OS,BrowserLanguage"/>
    <n v="50"/>
    <n v="0"/>
    <s v="No"/>
    <n v="250"/>
    <n v="127732"/>
    <n v="6935"/>
    <n v="5.4293399999999998"/>
    <n v="1"/>
    <n v="325.19"/>
    <n v="2.5459999999999998"/>
    <n v="4.7E-2"/>
    <n v="325.19200000000001"/>
    <n v="2"/>
    <n v="0"/>
    <s v="Yes"/>
    <n v="127732"/>
    <n v="115651"/>
    <n v="7645"/>
    <s v="Gay"/>
    <s v="US"/>
    <x v="27"/>
    <x v="2"/>
  </r>
  <r>
    <s v="RUNNING"/>
    <n v="1013017371"/>
    <s v="US_EN_PREROLL_CPA_ALL_SOURCE-Gay_DESK_M_JB"/>
    <s v="nsfw"/>
    <d v="1899-12-30T16:09:00"/>
    <s v="In-Stream Video"/>
    <s v="TJX"/>
    <s v="desktop"/>
    <s v="GEO,Frequency,BrowserLanguage"/>
    <n v="20"/>
    <n v="0"/>
    <s v="Yes"/>
    <s v="Unlimited"/>
    <n v="669399"/>
    <n v="35776"/>
    <n v="5.3445"/>
    <n v="25"/>
    <n v="3294.01"/>
    <n v="4.9210000000000003"/>
    <n v="9.1999999999999998E-2"/>
    <n v="131.76"/>
    <n v="2"/>
    <n v="0"/>
    <s v="Yes"/>
    <n v="669405"/>
    <n v="543204"/>
    <n v="63969"/>
    <s v="Gay"/>
    <s v="US"/>
    <x v="27"/>
    <x v="2"/>
  </r>
  <r>
    <s v="RUNNING"/>
    <n v="1013017401"/>
    <s v="AUS_EN_PREROLL_CPA_ALL_SOURCE-Gay_DESK_M_JB"/>
    <s v="nsfw"/>
    <d v="1899-12-30T16:09:00"/>
    <s v="In-Stream Video"/>
    <s v="TJX"/>
    <s v="desktop"/>
    <s v="GEO,Frequency,BrowserLanguage"/>
    <n v="20"/>
    <n v="0"/>
    <s v="Yes"/>
    <s v="Unlimited"/>
    <n v="35471"/>
    <n v="1780"/>
    <n v="5.0181800000000001"/>
    <n v="1"/>
    <n v="82.89"/>
    <n v="2.3370000000000002"/>
    <n v="4.7E-2"/>
    <n v="82.89"/>
    <n v="2"/>
    <n v="0"/>
    <s v="Yes"/>
    <n v="35471"/>
    <n v="28362"/>
    <n v="3825"/>
    <s v="Gay"/>
    <s v="AU"/>
    <x v="27"/>
    <x v="2"/>
  </r>
  <r>
    <s v="RUNNING"/>
    <n v="1013017411"/>
    <s v="CA_EN_PREROLL_CPA_ALL_SOURCE-Gay_DESK_M_JB"/>
    <s v="nsfw"/>
    <d v="1899-12-30T16:09:00"/>
    <s v="In-Stream Video"/>
    <s v="TJX"/>
    <s v="desktop"/>
    <s v="GEO,Frequency,BrowserLanguage"/>
    <n v="20"/>
    <n v="0"/>
    <s v="Yes"/>
    <s v="Unlimited"/>
    <n v="167123"/>
    <n v="8149"/>
    <n v="4.8760500000000002"/>
    <n v="3"/>
    <n v="273.26"/>
    <n v="1.635"/>
    <n v="3.4000000000000002E-2"/>
    <n v="91.087000000000003"/>
    <n v="2"/>
    <n v="0"/>
    <s v="Yes"/>
    <n v="167116"/>
    <n v="136126"/>
    <n v="15539"/>
    <s v="Gay"/>
    <s v="CA"/>
    <x v="27"/>
    <x v="2"/>
  </r>
  <r>
    <s v="PAUSED"/>
    <n v="1013022481"/>
    <s v="TEST_EN_PREROLL_CPA_PH_KEY-Blowjob_DESK_M_JB_AUTOTEST1"/>
    <s v="nsfw"/>
    <d v="1899-12-30T16:09:00"/>
    <s v="In-Stream Video"/>
    <s v="TJX"/>
    <s v="desktop"/>
    <s v="GEO,Frequency,Keyword,BrowserLanguage"/>
    <n v="2"/>
    <n v="0"/>
    <s v="No"/>
    <n v="25"/>
    <n v="23"/>
    <n v="3"/>
    <n v="13.043480000000001"/>
    <n v="0"/>
    <n v="0.02"/>
    <n v="0.89300000000000002"/>
    <n v="7.0000000000000001E-3"/>
    <n v="0"/>
    <n v="2"/>
    <n v="0"/>
    <s v="Yes"/>
    <n v="23"/>
    <n v="21"/>
    <n v="1"/>
    <s v="JB-Testing"/>
    <s v="TE"/>
    <x v="28"/>
    <x v="2"/>
  </r>
  <r>
    <s v="PAUSED"/>
    <n v="1013022491"/>
    <s v="TEST_EN_PREROLL_CPA_PH_KEY-Blowjob_DESK_M_JB_AUTOTEST2"/>
    <s v="nsfw"/>
    <d v="1899-12-30T16:09:00"/>
    <s v="In-Stream Video"/>
    <s v="TJX"/>
    <s v="desktop"/>
    <s v="GEO,Frequency,Keyword,BrowserLanguage"/>
    <n v="11"/>
    <n v="0"/>
    <s v="No"/>
    <n v="25"/>
    <n v="1"/>
    <n v="0"/>
    <n v="0"/>
    <n v="0"/>
    <n v="0"/>
    <n v="0.89300000000000002"/>
    <n v="0"/>
    <n v="0"/>
    <n v="2"/>
    <n v="0"/>
    <s v="Yes"/>
    <n v="1"/>
    <n v="1"/>
    <n v="0"/>
    <s v="JB-Testing"/>
    <s v="TE"/>
    <x v="28"/>
    <x v="2"/>
  </r>
  <r>
    <s v="PAUSED"/>
    <n v="1013022501"/>
    <s v="TEST_EN_PREROLL_CPA_PH_KEY-Blowjob_DESK_M_JB_AUTOTEST3"/>
    <s v="nsfw"/>
    <d v="1899-12-30T16:09:00"/>
    <s v="In-Stream Video"/>
    <s v="TJX"/>
    <s v="desktop"/>
    <s v="GEO,Frequency,Keyword,Cookie,BrowserLanguage"/>
    <n v="24"/>
    <n v="0"/>
    <s v="No"/>
    <n v="25"/>
    <n v="20"/>
    <n v="3"/>
    <n v="15"/>
    <n v="0"/>
    <n v="0.02"/>
    <n v="0.89300000000000002"/>
    <n v="6.0000000000000001E-3"/>
    <n v="0"/>
    <n v="2"/>
    <n v="0"/>
    <s v="Yes"/>
    <n v="20"/>
    <n v="13"/>
    <n v="2"/>
    <s v="Remarketing"/>
    <s v="TE"/>
    <x v="14"/>
    <x v="2"/>
  </r>
  <r>
    <s v="RUNNING"/>
    <n v="1013024831"/>
    <s v="CA_EN_PREROLL_CPM_PH_KEY-AI_DESK_MF_TJ"/>
    <s v="nsfw"/>
    <d v="1899-12-30T16:09:00"/>
    <s v="In-Stream Video"/>
    <s v="TJX"/>
    <s v="desktop"/>
    <s v="GEO,Frequency,Keyword,Browser,BrowserLanguage"/>
    <n v="7"/>
    <n v="0"/>
    <s v="No"/>
    <n v="500"/>
    <n v="20076"/>
    <n v="716"/>
    <n v="3.5664500000000001"/>
    <n v="0"/>
    <n v="21.08"/>
    <n v="1.05"/>
    <n v="2.9000000000000001E-2"/>
    <n v="0"/>
    <n v="2"/>
    <n v="0"/>
    <s v="No"/>
    <n v="20076"/>
    <n v="15068"/>
    <n v="2168"/>
    <s v="AI"/>
    <s v="CA"/>
    <x v="0"/>
    <x v="1"/>
  </r>
  <r>
    <s v="RUNNING"/>
    <n v="1013024841"/>
    <s v="AU_EN_PREROLL_CPM_PH_KEY-AI_DESK_MF_TJ"/>
    <s v="nsfw"/>
    <d v="1899-12-30T16:09:00"/>
    <s v="In-Stream Video"/>
    <s v="TJX"/>
    <s v="desktop"/>
    <s v="GEO,Frequency,Keyword,Browser,BrowserLanguage"/>
    <n v="7"/>
    <n v="0"/>
    <s v="No"/>
    <n v="500"/>
    <n v="12353"/>
    <n v="528"/>
    <n v="4.2742599999999999"/>
    <n v="0"/>
    <n v="17.829999999999998"/>
    <n v="1.4430000000000001"/>
    <n v="3.4000000000000002E-2"/>
    <n v="0"/>
    <n v="2"/>
    <n v="0"/>
    <s v="No"/>
    <n v="12354"/>
    <n v="9313"/>
    <n v="1444"/>
    <s v="AI"/>
    <s v="AU"/>
    <x v="0"/>
    <x v="1"/>
  </r>
  <r>
    <s v="RUNNING"/>
    <n v="1013024861"/>
    <s v="UK_EN_PREROLL_CPM_PH_KEY-AI_DESK_MF_TJ"/>
    <s v="nsfw"/>
    <d v="1899-12-30T16:09:00"/>
    <s v="In-Stream Video"/>
    <s v="TJX"/>
    <s v="desktop"/>
    <s v="GEO,Frequency,Keyword,Browser,BrowserLanguage"/>
    <n v="7"/>
    <n v="0"/>
    <s v="No"/>
    <n v="500"/>
    <n v="1478"/>
    <n v="32"/>
    <n v="2.1650900000000002"/>
    <n v="0"/>
    <n v="3.65"/>
    <n v="2.472"/>
    <n v="0.114"/>
    <n v="0"/>
    <n v="2"/>
    <n v="0"/>
    <s v="No"/>
    <n v="1479"/>
    <n v="958"/>
    <n v="169"/>
    <s v="AI"/>
    <s v="UK"/>
    <x v="0"/>
    <x v="1"/>
  </r>
  <r>
    <s v="RUNNING"/>
    <n v="1013024881"/>
    <s v="NZ_EN_PREROLL_CPM_PH_KEY-AI_DESK_MF_TJ"/>
    <s v="nsfw"/>
    <d v="1899-12-30T16:09:00"/>
    <s v="In-Stream Video"/>
    <s v="TJX"/>
    <s v="desktop"/>
    <s v="GEO,Frequency,Keyword,Browser,BrowserLanguage"/>
    <n v="7"/>
    <n v="0"/>
    <s v="No"/>
    <n v="500"/>
    <n v="1133"/>
    <n v="38"/>
    <n v="3.3539300000000001"/>
    <n v="0"/>
    <n v="1.04"/>
    <n v="0.91500000000000004"/>
    <n v="2.7E-2"/>
    <n v="0"/>
    <n v="2"/>
    <n v="0"/>
    <s v="No"/>
    <n v="1133"/>
    <n v="794"/>
    <n v="165"/>
    <s v="AI"/>
    <s v="NZ"/>
    <x v="0"/>
    <x v="1"/>
  </r>
  <r>
    <s v="RUNNING"/>
    <n v="1013024901"/>
    <s v="US_EN_NATIVE_CPM_PH_HOMEPAGE_ALL-MOB_ALL_TJ"/>
    <s v="nsfw"/>
    <s v="640 x 360"/>
    <s v="Display"/>
    <s v="TJX"/>
    <s v="mobile"/>
    <s v="GEO,Frequency,OS,BrowserLanguage"/>
    <n v="15"/>
    <n v="3"/>
    <s v="Yes"/>
    <s v="Unlimited"/>
    <n v="17623903"/>
    <n v="21401"/>
    <n v="0.12143"/>
    <n v="47"/>
    <n v="5741.07"/>
    <n v="0.32600000000000001"/>
    <n v="0.26800000000000002"/>
    <n v="122.15"/>
    <n v="2"/>
    <n v="0"/>
    <s v="No"/>
    <n v="0"/>
    <n v="0"/>
    <n v="0"/>
    <s v="General"/>
    <s v="US"/>
    <x v="22"/>
    <x v="1"/>
  </r>
  <r>
    <s v="RUNNING"/>
    <n v="1013025091"/>
    <s v="AU_EN_NATIVE_CPM_PH_HOMEPAGE_ALL-MOB_ALL_TJ"/>
    <s v="nsfw"/>
    <s v="640 x 360"/>
    <s v="Display"/>
    <s v="TJX"/>
    <s v="mobile"/>
    <s v="GEO,Frequency,OS,BrowserLanguage"/>
    <n v="18"/>
    <n v="0"/>
    <s v="Yes"/>
    <s v="Unlimited"/>
    <n v="4273872"/>
    <n v="4381"/>
    <n v="0.10251"/>
    <n v="18"/>
    <n v="1376.19"/>
    <n v="0.32200000000000001"/>
    <n v="0.314"/>
    <n v="76.454999999999998"/>
    <n v="2"/>
    <n v="0"/>
    <s v="No"/>
    <n v="0"/>
    <n v="0"/>
    <n v="0"/>
    <s v="General"/>
    <s v="AU"/>
    <x v="22"/>
    <x v="1"/>
  </r>
  <r>
    <s v="RUNNING"/>
    <n v="1013025101"/>
    <s v="UK_EN_NATIVE_CPM_PH_HOMEPAGE_ALL-MOB_ALL_TJ"/>
    <s v="nsfw"/>
    <s v="640 x 360"/>
    <s v="Display"/>
    <s v="TJX"/>
    <s v="mobile"/>
    <s v="GEO,Frequency,OS,BrowserLanguage"/>
    <n v="18"/>
    <n v="0"/>
    <s v="No"/>
    <n v="500"/>
    <n v="3340200"/>
    <n v="4678"/>
    <n v="0.14005000000000001"/>
    <n v="7"/>
    <n v="1422.93"/>
    <n v="0.42599999999999999"/>
    <n v="0.30399999999999999"/>
    <n v="203.27500000000001"/>
    <n v="2"/>
    <n v="0"/>
    <s v="No"/>
    <n v="0"/>
    <n v="0"/>
    <n v="0"/>
    <s v="General"/>
    <s v="UK"/>
    <x v="22"/>
    <x v="1"/>
  </r>
  <r>
    <s v="RUNNING"/>
    <n v="1013025111"/>
    <s v="NZ_EN_NATIVE_CPM_PH_HOMEPAGE_ALL-MOB_ALL_TJ"/>
    <s v="nsfw"/>
    <s v="640 x 360"/>
    <s v="Display"/>
    <s v="TJX"/>
    <s v="mobile"/>
    <s v="GEO,Frequency,OS,BrowserLanguage"/>
    <n v="4"/>
    <n v="0"/>
    <s v="Yes"/>
    <s v="Unlimited"/>
    <n v="395168"/>
    <n v="484"/>
    <n v="0.12248000000000001"/>
    <n v="3"/>
    <n v="63.64"/>
    <n v="0.161"/>
    <n v="0.13100000000000001"/>
    <n v="21.212"/>
    <n v="2"/>
    <n v="0"/>
    <s v="No"/>
    <n v="0"/>
    <n v="0"/>
    <n v="0"/>
    <s v="General"/>
    <s v="NZ"/>
    <x v="22"/>
    <x v="1"/>
  </r>
  <r>
    <s v="RUNNING"/>
    <n v="1013025121"/>
    <s v="US_EN_PREROLL_CPA_ALL_KEY-Hentai-Cartoon_DESK_M_JB"/>
    <s v="nsfw"/>
    <d v="1899-12-30T16:09:00"/>
    <s v="In-Stream Video"/>
    <s v="TJX"/>
    <s v="desktop"/>
    <s v="GEO,Frequency,Keyword,BrowserLanguage"/>
    <n v="68"/>
    <n v="0"/>
    <s v="No"/>
    <n v="250"/>
    <n v="439562"/>
    <n v="27377"/>
    <n v="6.2282500000000001"/>
    <n v="11"/>
    <n v="1670.67"/>
    <n v="3.8010000000000002"/>
    <n v="6.0999999999999999E-2"/>
    <n v="151.87899999999999"/>
    <n v="2"/>
    <n v="0"/>
    <s v="Yes"/>
    <n v="439540"/>
    <n v="346695"/>
    <n v="44720"/>
    <s v="Hentai"/>
    <s v="US"/>
    <x v="12"/>
    <x v="2"/>
  </r>
  <r>
    <s v="RUNNING"/>
    <n v="1013025171"/>
    <s v="CA_EN_PREROLL_CPA_ALL_KEY-Hentai-Cartoon_DESK_M_JB"/>
    <s v="nsfw"/>
    <d v="1899-12-30T16:09:00"/>
    <s v="In-Stream Video"/>
    <s v="TJX"/>
    <s v="desktop"/>
    <s v="GEO,Frequency,Keyword,BrowserLanguage"/>
    <n v="68"/>
    <n v="0"/>
    <s v="Yes"/>
    <s v="Unlimited"/>
    <n v="442155"/>
    <n v="27837"/>
    <n v="6.2957599999999996"/>
    <n v="20"/>
    <n v="1680.48"/>
    <n v="3.8010000000000002"/>
    <n v="0.06"/>
    <n v="84.024000000000001"/>
    <n v="2"/>
    <n v="0"/>
    <s v="Yes"/>
    <n v="442131"/>
    <n v="348702"/>
    <n v="45047"/>
    <s v="Hentai"/>
    <s v="CA"/>
    <x v="12"/>
    <x v="2"/>
  </r>
  <r>
    <s v="RUNNING"/>
    <n v="1013025221"/>
    <s v="US_EN_PREROLL_CPA_ALL_KEY-Hentai-Cartoon_AND_M_JB"/>
    <s v="nsfw"/>
    <d v="1899-12-30T16:09:00"/>
    <s v="In-Stream Video"/>
    <s v="TJX"/>
    <s v="mobile"/>
    <s v="GEO,Frequency,Keyword,OS,BrowserLanguage"/>
    <n v="173"/>
    <n v="0"/>
    <s v="No"/>
    <n v="250"/>
    <n v="374149"/>
    <n v="31242"/>
    <n v="8.3501399999999997"/>
    <n v="4"/>
    <n v="764.42"/>
    <n v="2.0430000000000001"/>
    <n v="2.4E-2"/>
    <n v="191.10599999999999"/>
    <n v="2"/>
    <n v="0"/>
    <s v="Yes"/>
    <n v="374133"/>
    <n v="335110"/>
    <n v="25634"/>
    <s v="Hentai"/>
    <s v="US"/>
    <x v="12"/>
    <x v="2"/>
  </r>
  <r>
    <s v="PAUSED"/>
    <n v="1013025241"/>
    <s v="CA_EN_PREROLL_CPA_ALL_KEY-Hentai-Cartoon_AND_M_JB"/>
    <s v="nsfw"/>
    <d v="1899-12-30T16:09:00"/>
    <s v="In-Stream Video"/>
    <s v="TJX"/>
    <s v="mobile"/>
    <s v="GEO,Frequency,Keyword,OS,BrowserLanguage"/>
    <n v="140"/>
    <n v="0"/>
    <s v="No"/>
    <n v="250"/>
    <n v="0"/>
    <n v="0"/>
    <n v="0"/>
    <m/>
    <n v="0"/>
    <n v="0"/>
    <n v="0"/>
    <n v="0"/>
    <n v="2"/>
    <n v="0"/>
    <s v="Yes"/>
    <m/>
    <m/>
    <m/>
    <s v="Hentai"/>
    <s v="CA"/>
    <x v="12"/>
    <x v="2"/>
  </r>
  <r>
    <s v="PAUSED"/>
    <n v="1013025281"/>
    <s v="CA_EN_PREROLL_CPA_PH_KEY-Blowjob_iOS_M_JB"/>
    <s v="nsfw"/>
    <d v="1899-12-30T16:09:00"/>
    <s v="In-Stream Video"/>
    <s v="TJX"/>
    <s v="mobile"/>
    <s v="GEO,Frequency,Keyword,OS,BrowserLanguage"/>
    <n v="26"/>
    <n v="0"/>
    <s v="No"/>
    <n v="250"/>
    <n v="0"/>
    <n v="0"/>
    <n v="0"/>
    <m/>
    <n v="0"/>
    <n v="0"/>
    <n v="0"/>
    <n v="0"/>
    <n v="2"/>
    <n v="0"/>
    <s v="Yes"/>
    <m/>
    <m/>
    <m/>
    <s v="Blowjob"/>
    <s v="CA"/>
    <x v="15"/>
    <x v="2"/>
  </r>
  <r>
    <s v="RUNNING"/>
    <n v="1013028391"/>
    <s v="PH_EN_PREROLL_CPM_PH_MOB_ALL-MOB_ALL_TJ"/>
    <s v="nsfw"/>
    <d v="1899-12-30T16:09:00"/>
    <s v="In-Stream Video"/>
    <s v="TJX"/>
    <s v="all"/>
    <s v="GEO,Frequency"/>
    <n v="5"/>
    <n v="0"/>
    <s v="No"/>
    <n v="250"/>
    <n v="40852755"/>
    <n v="2316269"/>
    <n v="5.6698000000000004"/>
    <n v="4"/>
    <n v="2870.98"/>
    <n v="7.0000000000000007E-2"/>
    <n v="1E-3"/>
    <n v="717.74599999999998"/>
    <n v="2"/>
    <n v="0"/>
    <s v="No"/>
    <n v="40851548"/>
    <n v="36104929"/>
    <n v="2575251"/>
    <s v="General"/>
    <s v="PH"/>
    <x v="25"/>
    <x v="1"/>
  </r>
  <r>
    <s v="RUNNING"/>
    <n v="1013028421"/>
    <s v="CO_EN_PREROLL_CPM_PH_MOB_ALL-MOB_ALL_TJ"/>
    <s v="nsfw"/>
    <d v="1899-12-30T16:09:00"/>
    <s v="In-Stream Video"/>
    <s v="TJX"/>
    <s v="all"/>
    <s v="GEO"/>
    <n v="5"/>
    <n v="0"/>
    <s v="Yes"/>
    <s v="Unlimited"/>
    <n v="7571267"/>
    <n v="530447"/>
    <n v="7.0060500000000001"/>
    <n v="3"/>
    <n v="757.13"/>
    <n v="0.1"/>
    <n v="1E-3"/>
    <n v="252.376"/>
    <n v="2"/>
    <n v="0"/>
    <s v="No"/>
    <n v="7570981"/>
    <n v="6608278"/>
    <n v="610121"/>
    <s v="General"/>
    <s v="CO"/>
    <x v="26"/>
    <x v="1"/>
  </r>
  <r>
    <s v="RUNNING"/>
    <n v="1013028441"/>
    <s v="MX_EN_NATIVE_CPM_PH_WATCH_ALL-MOB_ALL_TJ"/>
    <s v="nsfw"/>
    <s v="640 x 360"/>
    <s v="Display"/>
    <s v="TJX"/>
    <s v="mobile"/>
    <s v="GEO"/>
    <n v="18"/>
    <n v="0"/>
    <s v="Yes"/>
    <s v="Unlimited"/>
    <n v="178043534"/>
    <n v="191983"/>
    <n v="0.10783"/>
    <n v="4"/>
    <n v="1780.44"/>
    <n v="0.01"/>
    <n v="8.9999999999999993E-3"/>
    <n v="445.10899999999998"/>
    <n v="2"/>
    <n v="0"/>
    <s v="No"/>
    <n v="0"/>
    <n v="0"/>
    <n v="0"/>
    <s v="General"/>
    <s v="MX"/>
    <x v="29"/>
    <x v="1"/>
  </r>
  <r>
    <s v="RUNNING"/>
    <n v="1013028451"/>
    <s v="PH_EN_NATIVE_CPM_PH_WATCH_ALL-MOB_ALL_TJ"/>
    <s v="nsfw"/>
    <s v="640 x 360"/>
    <s v="Display"/>
    <s v="TJX"/>
    <s v="mobile"/>
    <s v="GEO"/>
    <n v="4"/>
    <n v="0"/>
    <s v="Yes"/>
    <s v="Unlimited"/>
    <n v="86906502"/>
    <n v="163495"/>
    <n v="0.18812999999999999"/>
    <n v="2"/>
    <n v="869.07"/>
    <n v="0.01"/>
    <n v="5.0000000000000001E-3"/>
    <n v="434.53300000000002"/>
    <n v="2"/>
    <n v="0"/>
    <s v="No"/>
    <n v="0"/>
    <n v="0"/>
    <n v="0"/>
    <s v="General"/>
    <s v="PH"/>
    <x v="29"/>
    <x v="1"/>
  </r>
  <r>
    <s v="RUNNING"/>
    <n v="1013028461"/>
    <s v="MA_EN_PREROLL_CPM_PH_MOB_ALL-MOB_ALL_TJ"/>
    <s v="nsfw"/>
    <d v="1899-12-30T16:09:00"/>
    <s v="In-Stream Video"/>
    <s v="TJX"/>
    <s v="all"/>
    <s v="GEO"/>
    <n v="5"/>
    <n v="0"/>
    <s v="No"/>
    <n v="250"/>
    <n v="13924321"/>
    <n v="1049131"/>
    <n v="7.5345199999999997"/>
    <n v="2"/>
    <n v="1392.43"/>
    <n v="0.1"/>
    <n v="1E-3"/>
    <n v="696.21600000000001"/>
    <n v="2"/>
    <n v="0"/>
    <s v="No"/>
    <n v="13924731"/>
    <n v="11924775"/>
    <n v="1210849"/>
    <s v="General"/>
    <s v="MA"/>
    <x v="26"/>
    <x v="1"/>
  </r>
  <r>
    <s v="RUNNING"/>
    <n v="1013028471"/>
    <s v="BR_EN_NATIVE_CPM_PH_WATCH_ALL-MOB_ALL_TJ"/>
    <s v="nsfw"/>
    <s v="640 x 360"/>
    <s v="Display"/>
    <s v="TJX"/>
    <s v="mobile"/>
    <s v="GEO"/>
    <n v="4"/>
    <n v="0"/>
    <s v="Yes"/>
    <s v="Unlimited"/>
    <n v="86885483"/>
    <n v="163915"/>
    <n v="0.18865999999999999"/>
    <n v="2"/>
    <n v="868.85"/>
    <n v="0.01"/>
    <n v="5.0000000000000001E-3"/>
    <n v="434.42700000000002"/>
    <n v="2"/>
    <n v="0"/>
    <s v="No"/>
    <n v="0"/>
    <n v="0"/>
    <n v="0"/>
    <s v="General"/>
    <s v="BR"/>
    <x v="29"/>
    <x v="1"/>
  </r>
  <r>
    <s v="RUNNING"/>
    <n v="1013028481"/>
    <s v="EG_EN_PREROLL_CPM_PH_MOB_ALL-MOB_ALL_TJ"/>
    <s v="nsfw"/>
    <d v="1899-12-30T16:09:00"/>
    <s v="In-Stream Video"/>
    <s v="TJX"/>
    <s v="all"/>
    <s v="GEO"/>
    <n v="5"/>
    <n v="0"/>
    <s v="No"/>
    <n v="250"/>
    <n v="14281581"/>
    <n v="1146933"/>
    <n v="8.0308399999999995"/>
    <n v="2"/>
    <n v="1428.16"/>
    <n v="0.1"/>
    <n v="1E-3"/>
    <n v="714.07899999999995"/>
    <n v="2"/>
    <n v="0"/>
    <s v="No"/>
    <n v="14282089"/>
    <n v="12391997"/>
    <n v="1157926"/>
    <s v="General"/>
    <s v="EG"/>
    <x v="26"/>
    <x v="1"/>
  </r>
  <r>
    <s v="RUNNING"/>
    <n v="1013028491"/>
    <s v="PE_EN_PREROLL_CPM_PH_MOB_ALL-MOB_ALL_TJ"/>
    <s v="nsfw"/>
    <d v="1899-12-30T16:09:00"/>
    <s v="In-Stream Video"/>
    <s v="TJX"/>
    <s v="all"/>
    <s v="GEO"/>
    <n v="5"/>
    <n v="0"/>
    <s v="No"/>
    <n v="250"/>
    <n v="11572781"/>
    <n v="1017071"/>
    <n v="8.7884799999999998"/>
    <n v="1"/>
    <n v="1157.28"/>
    <n v="0.1"/>
    <n v="1E-3"/>
    <n v="1157.278"/>
    <n v="2"/>
    <n v="0"/>
    <s v="No"/>
    <n v="11571971"/>
    <n v="10188831"/>
    <n v="864342"/>
    <s v="General"/>
    <s v="PE"/>
    <x v="26"/>
    <x v="1"/>
  </r>
  <r>
    <s v="RUNNING"/>
    <n v="1013028501"/>
    <s v="DE_EN_NATIVE_CPM_PH_WATCH_ALL-MOB_ALL_TJ"/>
    <s v="nsfw"/>
    <s v="640 x 360"/>
    <s v="Display"/>
    <s v="TJX"/>
    <s v="mobile"/>
    <s v="GEO"/>
    <n v="17"/>
    <n v="1"/>
    <s v="Yes"/>
    <s v="Unlimited"/>
    <n v="99659466"/>
    <n v="98092"/>
    <n v="9.8430000000000004E-2"/>
    <n v="27"/>
    <n v="2989.78"/>
    <n v="0.03"/>
    <n v="0.03"/>
    <n v="110.733"/>
    <n v="2"/>
    <n v="0"/>
    <s v="Yes"/>
    <n v="0"/>
    <n v="0"/>
    <n v="0"/>
    <s v="General"/>
    <s v="DE"/>
    <x v="29"/>
    <x v="1"/>
  </r>
  <r>
    <s v="RUNNING"/>
    <n v="1013028511"/>
    <s v="NL_EN_PREROLL_CPM_PH_MOB_ALL-MOB_ALL_TJ"/>
    <s v="nsfw"/>
    <d v="1899-12-30T16:09:00"/>
    <s v="In-Stream Video"/>
    <s v="TJX"/>
    <s v="all"/>
    <s v="GEO"/>
    <n v="5"/>
    <n v="0"/>
    <s v="Yes"/>
    <s v="Unlimited"/>
    <n v="3550441"/>
    <n v="181811"/>
    <n v="5.1208"/>
    <n v="6"/>
    <n v="355.04"/>
    <n v="0.1"/>
    <n v="2E-3"/>
    <n v="59.173999999999999"/>
    <n v="2"/>
    <n v="0"/>
    <s v="No"/>
    <n v="3550494"/>
    <n v="3044014"/>
    <n v="324278"/>
    <s v="General"/>
    <s v="NL"/>
    <x v="26"/>
    <x v="1"/>
  </r>
  <r>
    <s v="RUNNING"/>
    <n v="1013028521"/>
    <s v="AR_EN_NATIVE_CPM_PH_WATCH_ALL-MOB_ALL_TJ"/>
    <s v="nsfw"/>
    <s v="640 x 360"/>
    <s v="Display"/>
    <s v="TJX"/>
    <s v="mobile"/>
    <s v="GEO"/>
    <n v="18"/>
    <n v="0"/>
    <s v="Yes"/>
    <s v="Unlimited"/>
    <n v="133547204"/>
    <n v="223616"/>
    <n v="0.16744000000000001"/>
    <n v="7"/>
    <n v="1335.47"/>
    <n v="0.01"/>
    <n v="6.0000000000000001E-3"/>
    <n v="190.78200000000001"/>
    <n v="2"/>
    <n v="0"/>
    <s v="No"/>
    <n v="0"/>
    <n v="0"/>
    <n v="0"/>
    <s v="General"/>
    <s v="AR"/>
    <x v="29"/>
    <x v="1"/>
  </r>
  <r>
    <s v="RUNNING"/>
    <n v="1013028531"/>
    <s v="EC_EN_PREROLL_CPM_PH_MOB_ALL-MOB_ALL_TJ"/>
    <s v="nsfw"/>
    <d v="1899-12-30T16:09:00"/>
    <s v="In-Stream Video"/>
    <s v="TJX"/>
    <s v="all"/>
    <s v="GEO"/>
    <n v="5"/>
    <n v="0"/>
    <s v="Yes"/>
    <s v="Unlimited"/>
    <n v="7932610"/>
    <n v="622090"/>
    <n v="7.8421900000000004"/>
    <n v="1"/>
    <n v="793.26"/>
    <n v="0.1"/>
    <n v="1E-3"/>
    <n v="793.26099999999997"/>
    <n v="2"/>
    <n v="0"/>
    <s v="No"/>
    <n v="7932152"/>
    <n v="6946053"/>
    <n v="631814"/>
    <s v="General"/>
    <s v="EC"/>
    <x v="26"/>
    <x v="1"/>
  </r>
  <r>
    <s v="RUNNING"/>
    <n v="1013028541"/>
    <s v="ES_EN_PREROLL_CPM_PH_MOB_ALL-MOB_ALL_TJ"/>
    <s v="nsfw"/>
    <d v="1899-12-30T16:09:00"/>
    <s v="In-Stream Video"/>
    <s v="TJX"/>
    <s v="all"/>
    <s v="GEO"/>
    <n v="5"/>
    <n v="0"/>
    <s v="Yes"/>
    <s v="Unlimited"/>
    <n v="1458630"/>
    <n v="83600"/>
    <n v="5.7314100000000003"/>
    <n v="2"/>
    <n v="145.86000000000001"/>
    <n v="0.1"/>
    <n v="2E-3"/>
    <n v="72.930999999999997"/>
    <n v="2"/>
    <n v="0"/>
    <s v="No"/>
    <n v="1458644"/>
    <n v="1295001"/>
    <n v="112980"/>
    <s v="General"/>
    <s v="ES"/>
    <x v="13"/>
    <x v="1"/>
  </r>
  <r>
    <s v="RUNNING"/>
    <n v="1013028551"/>
    <s v="CO_EN_NATIVE_CPM_PH_WATCH_ALL-MOB_ALL_TJ"/>
    <s v="nsfw"/>
    <s v="640 x 360"/>
    <s v="Display"/>
    <s v="TJX"/>
    <s v="mobile"/>
    <s v="GEO"/>
    <n v="18"/>
    <n v="0"/>
    <s v="Yes"/>
    <s v="Unlimited"/>
    <n v="109184113"/>
    <n v="240380"/>
    <n v="0.22015999999999999"/>
    <n v="4"/>
    <n v="1091.8399999999999"/>
    <n v="0.01"/>
    <n v="5.0000000000000001E-3"/>
    <n v="272.95999999999998"/>
    <n v="2"/>
    <n v="0"/>
    <s v="No"/>
    <n v="0"/>
    <n v="0"/>
    <n v="0"/>
    <s v="General"/>
    <s v="CO"/>
    <x v="29"/>
    <x v="1"/>
  </r>
  <r>
    <s v="RUNNING"/>
    <n v="1013028561"/>
    <s v="LK_EN_PREROLL_CPM_PH_MOB_ALL-MOB_ALL_TJ"/>
    <s v="nsfw"/>
    <d v="1899-12-30T16:09:00"/>
    <s v="In-Stream Video"/>
    <s v="TJX"/>
    <s v="all"/>
    <s v="GEO"/>
    <n v="5"/>
    <n v="0"/>
    <s v="Yes"/>
    <s v="Unlimited"/>
    <n v="5356044"/>
    <n v="383126"/>
    <n v="7.1531500000000001"/>
    <n v="1"/>
    <n v="535.6"/>
    <n v="0.1"/>
    <n v="1E-3"/>
    <n v="535.60400000000004"/>
    <n v="2"/>
    <n v="0"/>
    <s v="No"/>
    <n v="5356144"/>
    <n v="4531471"/>
    <n v="524631"/>
    <s v="General"/>
    <s v="LK"/>
    <x v="26"/>
    <x v="1"/>
  </r>
  <r>
    <s v="RUNNING"/>
    <n v="1013028571"/>
    <s v="BR_EN_PREROLL_CPM_PH_MOB_ALL-MOB_ALL_TJ"/>
    <s v="nsfw"/>
    <d v="1899-12-30T16:09:00"/>
    <s v="In-Stream Video"/>
    <s v="TJX"/>
    <s v="all"/>
    <s v="GEO"/>
    <n v="5"/>
    <n v="0"/>
    <s v="Yes"/>
    <s v="Unlimited"/>
    <n v="4252011"/>
    <n v="334270"/>
    <n v="7.8614600000000001"/>
    <n v="1"/>
    <n v="425.2"/>
    <n v="0.1"/>
    <n v="1E-3"/>
    <n v="425.20100000000002"/>
    <n v="2"/>
    <n v="0"/>
    <s v="No"/>
    <n v="4251868"/>
    <n v="3671668"/>
    <n v="369843"/>
    <s v="General"/>
    <s v="BR"/>
    <x v="26"/>
    <x v="1"/>
  </r>
  <r>
    <s v="RUNNING"/>
    <n v="1013028581"/>
    <s v="BO_EN_PREROLL_CPM_PH_MOB_ALL-MOB_ALL_TJ"/>
    <s v="nsfw"/>
    <d v="1899-12-30T16:09:00"/>
    <s v="In-Stream Video"/>
    <s v="TJX"/>
    <s v="all"/>
    <s v="GEO"/>
    <n v="5"/>
    <n v="0"/>
    <s v="Yes"/>
    <s v="Unlimited"/>
    <n v="4620059"/>
    <n v="381517"/>
    <n v="8.2578399999999998"/>
    <n v="0"/>
    <n v="462.01"/>
    <n v="0.1"/>
    <n v="1E-3"/>
    <n v="0"/>
    <n v="2"/>
    <n v="0"/>
    <s v="No"/>
    <n v="4619837"/>
    <n v="4042235"/>
    <n v="355882"/>
    <s v="General"/>
    <s v="BO"/>
    <x v="26"/>
    <x v="1"/>
  </r>
  <r>
    <s v="RUNNING"/>
    <n v="1013028591"/>
    <s v="NL_EN_NATIVE_CPM_PH_WATCH_ALL-MOB_ALL_TJ"/>
    <s v="nsfw"/>
    <s v="640 x 360"/>
    <s v="Display"/>
    <s v="TJX"/>
    <s v="mobile"/>
    <s v="GEO"/>
    <n v="4"/>
    <n v="0"/>
    <s v="Yes"/>
    <s v="Unlimited"/>
    <n v="72751684"/>
    <n v="70266"/>
    <n v="9.6579999999999999E-2"/>
    <n v="7"/>
    <n v="727.52"/>
    <n v="0.01"/>
    <n v="0.01"/>
    <n v="103.931"/>
    <n v="2"/>
    <n v="0"/>
    <s v="No"/>
    <n v="0"/>
    <n v="0"/>
    <n v="0"/>
    <s v="General"/>
    <s v="NL"/>
    <x v="29"/>
    <x v="1"/>
  </r>
  <r>
    <s v="RUNNING"/>
    <n v="1013028601"/>
    <s v="SG_EN_PREROLL_CPM_PH_MOB_ALL-MOB_ALL_TJ"/>
    <s v="nsfw"/>
    <d v="1899-12-30T16:09:00"/>
    <s v="In-Stream Video"/>
    <s v="TJX"/>
    <s v="all"/>
    <s v="GEO"/>
    <n v="5"/>
    <n v="0"/>
    <s v="Yes"/>
    <s v="Unlimited"/>
    <n v="6182624"/>
    <n v="504783"/>
    <n v="8.1645400000000006"/>
    <n v="4"/>
    <n v="618.26"/>
    <n v="0.1"/>
    <n v="1E-3"/>
    <n v="154.566"/>
    <n v="2"/>
    <n v="0"/>
    <s v="No"/>
    <n v="6182602"/>
    <n v="5079600"/>
    <n v="574300"/>
    <s v="General"/>
    <s v="SG"/>
    <x v="26"/>
    <x v="1"/>
  </r>
  <r>
    <s v="RUNNING"/>
    <n v="1013028611"/>
    <s v="TN_EN_PREROLL_CPM_PH_MOB_ALL-MOB_ALL_TJ"/>
    <s v="nsfw"/>
    <d v="1899-12-30T16:09:00"/>
    <s v="In-Stream Video"/>
    <s v="TJX"/>
    <s v="all"/>
    <s v="GEO"/>
    <n v="5"/>
    <n v="0"/>
    <s v="Yes"/>
    <s v="Unlimited"/>
    <n v="4925314"/>
    <n v="376517"/>
    <n v="7.6445299999999996"/>
    <n v="0"/>
    <n v="492.53"/>
    <n v="0.1"/>
    <n v="1E-3"/>
    <n v="0"/>
    <n v="2"/>
    <n v="0"/>
    <s v="No"/>
    <n v="4925404"/>
    <n v="4257599"/>
    <n v="400152"/>
    <s v="General"/>
    <s v="TN"/>
    <x v="26"/>
    <x v="1"/>
  </r>
  <r>
    <s v="RUNNING"/>
    <n v="1013028621"/>
    <s v="AZ_EN_PREROLL_CPM_PH_MOB_ALL-MOB_ALL_TJ"/>
    <s v="nsfw"/>
    <d v="1899-12-30T16:09:00"/>
    <s v="In-Stream Video"/>
    <s v="TJX"/>
    <s v="all"/>
    <s v="GEO"/>
    <n v="5"/>
    <n v="0"/>
    <s v="Yes"/>
    <s v="Unlimited"/>
    <n v="4935809"/>
    <n v="306196"/>
    <n v="6.2035600000000004"/>
    <n v="2"/>
    <n v="493.58"/>
    <n v="0.1"/>
    <n v="2E-3"/>
    <n v="246.79"/>
    <n v="2"/>
    <n v="0"/>
    <s v="No"/>
    <n v="4935843"/>
    <n v="4309746"/>
    <n v="420948"/>
    <s v="General"/>
    <s v="AZ"/>
    <x v="26"/>
    <x v="1"/>
  </r>
  <r>
    <s v="RUNNING"/>
    <n v="1013028631"/>
    <s v="HN_EN_PREROLL_CPM_PH_MOB_ALL-MOB_ALL_TJ"/>
    <s v="nsfw"/>
    <d v="1899-12-30T16:09:00"/>
    <s v="In-Stream Video"/>
    <s v="TJX"/>
    <s v="all"/>
    <s v="GEO"/>
    <n v="5"/>
    <n v="0"/>
    <s v="Yes"/>
    <s v="Unlimited"/>
    <n v="3147428"/>
    <n v="259890"/>
    <n v="8.2572200000000002"/>
    <n v="1"/>
    <n v="314.74"/>
    <n v="0.1"/>
    <n v="1E-3"/>
    <n v="314.74299999999999"/>
    <n v="2"/>
    <n v="0"/>
    <s v="No"/>
    <n v="3147232"/>
    <n v="2736456"/>
    <n v="249515"/>
    <s v="General"/>
    <s v="HN"/>
    <x v="13"/>
    <x v="1"/>
  </r>
  <r>
    <s v="RUNNING"/>
    <n v="1013028641"/>
    <s v="PY_EN_PREROLL_CPM_PH_MOB_ALL-MOB_ALL_TJ"/>
    <s v="nsfw"/>
    <d v="1899-12-30T16:09:00"/>
    <s v="In-Stream Video"/>
    <s v="TJX"/>
    <s v="all"/>
    <s v="GEO"/>
    <n v="5"/>
    <n v="0"/>
    <s v="Yes"/>
    <s v="Unlimited"/>
    <n v="1431878"/>
    <n v="109792"/>
    <n v="7.6676900000000003"/>
    <n v="1"/>
    <n v="143.19"/>
    <n v="0.1"/>
    <n v="1E-3"/>
    <n v="143.18799999999999"/>
    <n v="2"/>
    <n v="0"/>
    <s v="No"/>
    <n v="1431825"/>
    <n v="1252969"/>
    <n v="113586"/>
    <s v="General"/>
    <s v="PY"/>
    <x v="13"/>
    <x v="1"/>
  </r>
  <r>
    <s v="RUNNING"/>
    <n v="1013028651"/>
    <s v="SV_EN_PREROLL_CPM_PH_MOB_ALL-MOB_ALL_TJ"/>
    <s v="nsfw"/>
    <d v="1899-12-30T16:09:00"/>
    <s v="In-Stream Video"/>
    <s v="TJX"/>
    <s v="all"/>
    <s v="GEO"/>
    <n v="5"/>
    <n v="0"/>
    <s v="Yes"/>
    <s v="Unlimited"/>
    <n v="3009455"/>
    <n v="231135"/>
    <n v="7.6802900000000003"/>
    <n v="3"/>
    <n v="300.95"/>
    <n v="0.1"/>
    <n v="1E-3"/>
    <n v="100.315"/>
    <n v="2"/>
    <n v="0"/>
    <s v="No"/>
    <n v="3009422"/>
    <n v="2628075"/>
    <n v="244747"/>
    <s v="General"/>
    <s v="SV"/>
    <x v="13"/>
    <x v="1"/>
  </r>
  <r>
    <s v="RUNNING"/>
    <n v="1013028661"/>
    <s v="UA_EN_NATIVE_CPM_PH_WATCH_ALL-MOB_ALL_TJ"/>
    <s v="nsfw"/>
    <s v="640 x 360"/>
    <s v="Display"/>
    <s v="TJX"/>
    <s v="mobile"/>
    <s v="GEO"/>
    <n v="4"/>
    <n v="0"/>
    <s v="Yes"/>
    <s v="Unlimited"/>
    <n v="65980440"/>
    <n v="162430"/>
    <n v="0.24618000000000001"/>
    <n v="14"/>
    <n v="659.8"/>
    <n v="0.01"/>
    <n v="4.0000000000000001E-3"/>
    <n v="47.128999999999998"/>
    <n v="2"/>
    <n v="0"/>
    <s v="No"/>
    <n v="0"/>
    <n v="0"/>
    <n v="0"/>
    <s v="General"/>
    <s v="UA"/>
    <x v="29"/>
    <x v="1"/>
  </r>
  <r>
    <s v="RUNNING"/>
    <n v="1013028681"/>
    <s v="EG_EN_NATIVE_CPM_PH_WATCH_ALL-MOB_ALL_TJ"/>
    <s v="nsfw"/>
    <s v="640 x 360"/>
    <s v="Display"/>
    <s v="TJX"/>
    <s v="mobile"/>
    <s v="GEO"/>
    <n v="4"/>
    <n v="0"/>
    <s v="Yes"/>
    <s v="Unlimited"/>
    <n v="36160360"/>
    <n v="26732"/>
    <n v="7.3929999999999996E-2"/>
    <n v="1"/>
    <n v="361.6"/>
    <n v="0.01"/>
    <n v="1.4E-2"/>
    <n v="361.60399999999998"/>
    <n v="2"/>
    <n v="0"/>
    <s v="No"/>
    <n v="0"/>
    <n v="0"/>
    <n v="0"/>
    <s v="General"/>
    <s v="EG"/>
    <x v="29"/>
    <x v="1"/>
  </r>
  <r>
    <s v="RUNNING"/>
    <n v="1013028691"/>
    <s v="MA_EN_NATIVE_CPM_PH_WATCH_ALL-MOB_ALL_TJ"/>
    <s v="nsfw"/>
    <s v="640 x 360"/>
    <s v="Display"/>
    <s v="TJX"/>
    <s v="mobile"/>
    <s v="GEO"/>
    <n v="4"/>
    <n v="0"/>
    <s v="Yes"/>
    <s v="Unlimited"/>
    <n v="66747863"/>
    <n v="84710"/>
    <n v="0.12691"/>
    <n v="2"/>
    <n v="667.48"/>
    <n v="0.01"/>
    <n v="8.0000000000000002E-3"/>
    <n v="333.73899999999998"/>
    <n v="2"/>
    <n v="0"/>
    <s v="No"/>
    <n v="0"/>
    <n v="0"/>
    <n v="0"/>
    <s v="General"/>
    <s v="MA"/>
    <x v="29"/>
    <x v="1"/>
  </r>
  <r>
    <s v="RUNNING"/>
    <n v="1013028701"/>
    <s v="PE_EN_NATIVE_CPM_PH_WATCH_ALL-MOB_ALL_TJ"/>
    <s v="nsfw"/>
    <s v="640 x 360"/>
    <s v="Display"/>
    <s v="TJX"/>
    <s v="mobile"/>
    <s v="GEO"/>
    <n v="4"/>
    <n v="0"/>
    <s v="Yes"/>
    <s v="Unlimited"/>
    <n v="55622195"/>
    <n v="90156"/>
    <n v="0.16209000000000001"/>
    <n v="1"/>
    <n v="556.22"/>
    <n v="0.01"/>
    <n v="6.0000000000000001E-3"/>
    <n v="556.22199999999998"/>
    <n v="2"/>
    <n v="0"/>
    <s v="No"/>
    <n v="0"/>
    <n v="0"/>
    <n v="0"/>
    <s v="General"/>
    <s v="PE"/>
    <x v="29"/>
    <x v="1"/>
  </r>
  <r>
    <s v="RUNNING"/>
    <n v="1013028711"/>
    <s v="PO_EN_NATIVE_CPM_PH_WATCH_ALL-MOB_ALL_TJ"/>
    <s v="nsfw"/>
    <s v="640 x 360"/>
    <s v="Display"/>
    <s v="TJX"/>
    <s v="mobile"/>
    <s v="GEO"/>
    <n v="4"/>
    <n v="0"/>
    <s v="Yes"/>
    <s v="Unlimited"/>
    <n v="62720854"/>
    <n v="98779"/>
    <n v="0.15748999999999999"/>
    <n v="21"/>
    <n v="627.21"/>
    <n v="0.01"/>
    <n v="6.0000000000000001E-3"/>
    <n v="29.867000000000001"/>
    <n v="2"/>
    <n v="0"/>
    <s v="No"/>
    <n v="0"/>
    <n v="0"/>
    <n v="0"/>
    <s v="General"/>
    <s v="PO"/>
    <x v="29"/>
    <x v="1"/>
  </r>
  <r>
    <s v="RUNNING"/>
    <n v="1013028731"/>
    <s v="AU_EN_NATIVE_CPM_PH_WATCH_ALL-MOB_ALL_TJ"/>
    <s v="nsfw"/>
    <s v="640 x 360"/>
    <s v="Display"/>
    <s v="TJX"/>
    <s v="mobile"/>
    <s v="GEO"/>
    <n v="4"/>
    <n v="0"/>
    <s v="Yes"/>
    <s v="Unlimited"/>
    <n v="31630645"/>
    <n v="24952"/>
    <n v="7.8890000000000002E-2"/>
    <n v="20"/>
    <n v="632.61"/>
    <n v="0.02"/>
    <n v="2.5000000000000001E-2"/>
    <n v="31.631"/>
    <n v="2"/>
    <n v="0"/>
    <s v="No"/>
    <n v="0"/>
    <n v="0"/>
    <n v="0"/>
    <s v="General"/>
    <s v="AU"/>
    <x v="29"/>
    <x v="1"/>
  </r>
  <r>
    <s v="RUNNING"/>
    <n v="1013028741"/>
    <s v="ES_EN_NATIVE_CPM_PH_WATCH_ALL-MOB_ALL_TJ"/>
    <s v="nsfw"/>
    <s v="640 x 360"/>
    <s v="Display"/>
    <s v="TJX"/>
    <s v="mobile"/>
    <s v="GEO"/>
    <n v="4"/>
    <n v="0"/>
    <s v="Yes"/>
    <s v="Unlimited"/>
    <n v="85624226"/>
    <n v="156974"/>
    <n v="0.18332999999999999"/>
    <n v="9"/>
    <n v="856.24"/>
    <n v="0.01"/>
    <n v="5.0000000000000001E-3"/>
    <n v="95.138000000000005"/>
    <n v="2"/>
    <n v="0"/>
    <s v="No"/>
    <n v="0"/>
    <n v="0"/>
    <n v="0"/>
    <s v="General"/>
    <s v="ES"/>
    <x v="29"/>
    <x v="1"/>
  </r>
  <r>
    <s v="RUNNING"/>
    <n v="1013028761"/>
    <s v="ZA_EN_NATIVE_CPM_PH_WATCH_ALL-MOB_ALL_TJ"/>
    <s v="nsfw"/>
    <s v="640 x 360"/>
    <s v="Display"/>
    <s v="TJX"/>
    <s v="mobile"/>
    <s v="GEO"/>
    <n v="4"/>
    <n v="0"/>
    <s v="Yes"/>
    <s v="Unlimited"/>
    <n v="31792391"/>
    <n v="80801"/>
    <n v="0.25414999999999999"/>
    <n v="4"/>
    <n v="317.92"/>
    <n v="0.01"/>
    <n v="4.0000000000000001E-3"/>
    <n v="79.480999999999995"/>
    <n v="2"/>
    <n v="0"/>
    <s v="No"/>
    <n v="0"/>
    <n v="0"/>
    <n v="0"/>
    <s v="General"/>
    <s v="ZA"/>
    <x v="29"/>
    <x v="1"/>
  </r>
  <r>
    <s v="RUNNING"/>
    <n v="1013028771"/>
    <s v="SG_EN_NATIVE_CPM_PH_WATCH_ALL-MOB_ALL_TJ"/>
    <s v="nsfw"/>
    <s v="640 x 360"/>
    <s v="Display"/>
    <s v="TJX"/>
    <s v="mobile"/>
    <s v="GEO"/>
    <n v="4"/>
    <n v="0"/>
    <s v="Yes"/>
    <s v="Unlimited"/>
    <n v="44358841"/>
    <n v="34684"/>
    <n v="7.8189999999999996E-2"/>
    <n v="1"/>
    <n v="443.59"/>
    <n v="0.01"/>
    <n v="1.2999999999999999E-2"/>
    <n v="443.58800000000002"/>
    <n v="2"/>
    <n v="0"/>
    <s v="No"/>
    <n v="0"/>
    <n v="0"/>
    <n v="0"/>
    <s v="General"/>
    <s v="SG"/>
    <x v="29"/>
    <x v="1"/>
  </r>
  <r>
    <s v="RUNNING"/>
    <n v="1013028781"/>
    <s v="EC_EN_NATIVE_CPM_PH_WATCH_ALL-MOB_ALL_TJ"/>
    <s v="nsfw"/>
    <s v="640 x 360"/>
    <s v="Display"/>
    <s v="TJX"/>
    <s v="mobile"/>
    <s v="GEO"/>
    <n v="4"/>
    <n v="0"/>
    <s v="Yes"/>
    <s v="Unlimited"/>
    <n v="34729848"/>
    <n v="46677"/>
    <n v="0.13439999999999999"/>
    <n v="1"/>
    <n v="347.3"/>
    <n v="0.01"/>
    <n v="7.0000000000000001E-3"/>
    <n v="347.298"/>
    <n v="2"/>
    <n v="0"/>
    <s v="No"/>
    <n v="0"/>
    <n v="0"/>
    <n v="0"/>
    <s v="General"/>
    <s v="EC"/>
    <x v="29"/>
    <x v="1"/>
  </r>
  <r>
    <s v="RUNNING"/>
    <n v="1013028791"/>
    <s v="JP_EN_NATIVE_CPM_PH_WATCH_ALL-MOB_ALL_TJ"/>
    <s v="nsfw"/>
    <s v="640 x 360"/>
    <s v="Display"/>
    <s v="TJX"/>
    <s v="mobile"/>
    <s v="GEO"/>
    <n v="4"/>
    <n v="0"/>
    <s v="Yes"/>
    <s v="Unlimited"/>
    <n v="24416343"/>
    <n v="43389"/>
    <n v="0.1777"/>
    <n v="3"/>
    <n v="244.16"/>
    <n v="0.01"/>
    <n v="6.0000000000000001E-3"/>
    <n v="81.388000000000005"/>
    <n v="2"/>
    <n v="0"/>
    <s v="No"/>
    <n v="0"/>
    <n v="0"/>
    <n v="0"/>
    <s v="General"/>
    <s v="JP"/>
    <x v="29"/>
    <x v="1"/>
  </r>
  <r>
    <s v="RUNNING"/>
    <n v="1013028801"/>
    <s v="ES_EN_PREROLL_CPM_PH_DESK_ALL-DESK_ALL_TJ"/>
    <s v="nsfw"/>
    <d v="1899-12-30T16:09:00"/>
    <s v="In-Stream Video"/>
    <s v="TJX"/>
    <s v="all"/>
    <s v="GEO"/>
    <n v="8"/>
    <n v="0"/>
    <s v="Yes"/>
    <s v="Unlimited"/>
    <n v="524575"/>
    <n v="18517"/>
    <n v="3.5299100000000001"/>
    <n v="0"/>
    <n v="52.46"/>
    <n v="0.1"/>
    <n v="3.0000000000000001E-3"/>
    <n v="0"/>
    <n v="2"/>
    <n v="0"/>
    <s v="No"/>
    <n v="524590"/>
    <n v="384265"/>
    <n v="73196"/>
    <s v="General"/>
    <s v="ES"/>
    <x v="13"/>
    <x v="1"/>
  </r>
  <r>
    <s v="RUNNING"/>
    <n v="1013028811"/>
    <s v="LK_EN_NATIVE_CPM_PH_WATCH_ALL-MOB_ALL_TJ"/>
    <s v="nsfw"/>
    <s v="640 x 360"/>
    <s v="Display"/>
    <s v="TJX"/>
    <s v="mobile"/>
    <s v="GEO"/>
    <n v="4"/>
    <n v="0"/>
    <s v="Yes"/>
    <s v="Unlimited"/>
    <n v="36579916"/>
    <n v="71727"/>
    <n v="0.19608"/>
    <n v="0"/>
    <n v="365.8"/>
    <n v="0.01"/>
    <n v="5.0000000000000001E-3"/>
    <n v="0"/>
    <n v="2"/>
    <n v="0"/>
    <s v="No"/>
    <n v="0"/>
    <n v="0"/>
    <n v="0"/>
    <s v="General"/>
    <s v="LK"/>
    <x v="29"/>
    <x v="1"/>
  </r>
  <r>
    <s v="RUNNING"/>
    <n v="1013028831"/>
    <s v="GT_EN_NATIVE_CPM_PH_WATCH_ALL-MOB_ALL_TJ"/>
    <s v="nsfw"/>
    <s v="640 x 360"/>
    <s v="Display"/>
    <s v="TJX"/>
    <s v="mobile"/>
    <s v="GEO"/>
    <n v="4"/>
    <n v="0"/>
    <s v="Yes"/>
    <s v="Unlimited"/>
    <n v="30009915"/>
    <n v="44384"/>
    <n v="0.1479"/>
    <n v="3"/>
    <n v="300.10000000000002"/>
    <n v="0.01"/>
    <n v="7.0000000000000001E-3"/>
    <n v="100.033"/>
    <n v="2"/>
    <n v="0"/>
    <s v="No"/>
    <n v="0"/>
    <n v="0"/>
    <n v="0"/>
    <s v="General"/>
    <s v="GT"/>
    <x v="29"/>
    <x v="1"/>
  </r>
  <r>
    <s v="RUNNING"/>
    <n v="1013028841"/>
    <s v="DE_EN_PREROLL_CPM_PH_DESK_ALL-DESK_ALL_TJ"/>
    <s v="nsfw"/>
    <d v="1899-12-30T16:09:00"/>
    <s v="In-Stream Video"/>
    <s v="TJX"/>
    <s v="all"/>
    <s v="GEO"/>
    <n v="5"/>
    <n v="0"/>
    <s v="Yes"/>
    <s v="Unlimited"/>
    <n v="468386"/>
    <n v="24226"/>
    <n v="5.1722299999999999"/>
    <n v="0"/>
    <n v="46.84"/>
    <n v="0.1"/>
    <n v="2E-3"/>
    <n v="0"/>
    <n v="2"/>
    <n v="0"/>
    <s v="No"/>
    <n v="468393"/>
    <n v="337255"/>
    <n v="57563"/>
    <s v="General"/>
    <s v="DE"/>
    <x v="13"/>
    <x v="1"/>
  </r>
  <r>
    <s v="RUNNING"/>
    <n v="1013028851"/>
    <s v="CO_EN_PREROLL_CPM_PH_DESK_ALL-DESK_ALL_TJ"/>
    <s v="nsfw"/>
    <d v="1899-12-30T16:09:00"/>
    <s v="In-Stream Video"/>
    <s v="TJX"/>
    <s v="all"/>
    <s v="GEO"/>
    <n v="5"/>
    <n v="0"/>
    <s v="Yes"/>
    <s v="Unlimited"/>
    <n v="949974"/>
    <n v="34718"/>
    <n v="3.65463"/>
    <n v="1"/>
    <n v="95"/>
    <n v="0.1"/>
    <n v="3.0000000000000001E-3"/>
    <n v="94.997"/>
    <n v="2"/>
    <n v="0"/>
    <s v="No"/>
    <n v="949885"/>
    <n v="528965"/>
    <n v="322069"/>
    <s v="General"/>
    <s v="CO"/>
    <x v="13"/>
    <x v="1"/>
  </r>
  <r>
    <s v="RUNNING"/>
    <n v="1013028861"/>
    <s v="IT_EN_PREROLL_CPM_PH_DESK_ALL-DESK_ALL_TJ"/>
    <s v="nsfw"/>
    <d v="1899-12-30T16:09:00"/>
    <s v="In-Stream Video"/>
    <s v="TJX"/>
    <s v="all"/>
    <s v="GEO"/>
    <n v="5"/>
    <n v="0"/>
    <s v="Yes"/>
    <s v="Unlimited"/>
    <n v="1701096"/>
    <n v="68017"/>
    <n v="3.9984199999999999"/>
    <n v="10"/>
    <n v="170.11"/>
    <n v="0.1"/>
    <n v="3.0000000000000001E-3"/>
    <n v="17.010999999999999"/>
    <n v="2"/>
    <n v="0"/>
    <s v="No"/>
    <n v="1701114"/>
    <n v="1289074"/>
    <n v="186008"/>
    <s v="General"/>
    <s v="IT"/>
    <x v="13"/>
    <x v="1"/>
  </r>
  <r>
    <s v="RUNNING"/>
    <n v="1013028881"/>
    <s v="PH_EN_NATIVE_CPM_PH_SEARCH_ALL-MOB_ALL_TJ"/>
    <s v="nsfw"/>
    <s v="640 x 360"/>
    <s v="Display"/>
    <s v="TJX"/>
    <s v="mobile"/>
    <s v="GEO"/>
    <n v="4"/>
    <n v="0"/>
    <s v="Yes"/>
    <s v="Unlimited"/>
    <n v="86904134"/>
    <n v="164885"/>
    <n v="0.18973000000000001"/>
    <n v="1"/>
    <n v="869.04"/>
    <n v="0.01"/>
    <n v="5.0000000000000001E-3"/>
    <n v="869.04100000000005"/>
    <n v="2"/>
    <n v="0"/>
    <s v="No"/>
    <n v="0"/>
    <n v="0"/>
    <n v="0"/>
    <s v="General"/>
    <s v="PH"/>
    <x v="30"/>
    <x v="1"/>
  </r>
  <r>
    <s v="RUNNING"/>
    <n v="1013028891"/>
    <s v="IN_EN_PREROLL_CPM_TZ_MOB_ALL-MOB_ALL_TJ"/>
    <s v="nsfw"/>
    <d v="1899-12-30T16:09:00"/>
    <s v="In-Stream Video"/>
    <s v="TJX"/>
    <s v="all"/>
    <s v="GEO"/>
    <n v="10"/>
    <n v="0"/>
    <s v="Yes"/>
    <s v="Unlimited"/>
    <n v="4038053"/>
    <n v="284599"/>
    <n v="7.04793"/>
    <n v="0"/>
    <n v="403.81"/>
    <n v="0.1"/>
    <n v="1E-3"/>
    <n v="0"/>
    <n v="2"/>
    <n v="0"/>
    <s v="No"/>
    <n v="4038104"/>
    <n v="3334116"/>
    <n v="280660"/>
    <s v="General"/>
    <s v="IN"/>
    <x v="26"/>
    <x v="1"/>
  </r>
  <r>
    <s v="RUNNING"/>
    <n v="1013028901"/>
    <s v="MX_EN_NATIVE_CPM_PH_SEARCH_ALL-MOB_ALL_TJ"/>
    <s v="nsfw"/>
    <s v="640 x 360"/>
    <s v="Display"/>
    <s v="TJX"/>
    <s v="mobile"/>
    <s v="GEO"/>
    <n v="18"/>
    <n v="0"/>
    <s v="Yes"/>
    <s v="Unlimited"/>
    <n v="178063110"/>
    <n v="192654"/>
    <n v="0.10818999999999999"/>
    <n v="7"/>
    <n v="1780.63"/>
    <n v="0.01"/>
    <n v="8.9999999999999993E-3"/>
    <n v="254.376"/>
    <n v="2"/>
    <n v="0"/>
    <s v="No"/>
    <n v="0"/>
    <n v="0"/>
    <n v="0"/>
    <s v="General"/>
    <s v="MX"/>
    <x v="30"/>
    <x v="1"/>
  </r>
  <r>
    <s v="RUNNING"/>
    <n v="1013028921"/>
    <s v="EG_EN_NATIVE_CPM_PH_SEARCH_ALL-MOB_ALL_TJ"/>
    <s v="nsfw"/>
    <s v="640 x 360"/>
    <s v="Display"/>
    <s v="TJX"/>
    <s v="mobile"/>
    <s v="GEO"/>
    <n v="4"/>
    <n v="0"/>
    <s v="Yes"/>
    <s v="Unlimited"/>
    <n v="36170807"/>
    <n v="26730"/>
    <n v="7.3889999999999997E-2"/>
    <n v="0"/>
    <n v="361.71"/>
    <n v="0.01"/>
    <n v="1.4E-2"/>
    <n v="0"/>
    <n v="2"/>
    <n v="0"/>
    <s v="No"/>
    <n v="0"/>
    <n v="0"/>
    <n v="0"/>
    <s v="General"/>
    <s v="EG"/>
    <x v="30"/>
    <x v="1"/>
  </r>
  <r>
    <s v="RUNNING"/>
    <n v="1013028931"/>
    <s v="DE_EN_NATIVE_CPM_PH_SEARCH_ALL_MOB_ALL_TJ"/>
    <s v="nsfw"/>
    <s v="640 x 360"/>
    <s v="Display"/>
    <s v="TJX"/>
    <s v="mobile"/>
    <s v="GEO"/>
    <n v="15"/>
    <n v="3"/>
    <s v="Yes"/>
    <s v="Unlimited"/>
    <n v="99673946"/>
    <n v="97940"/>
    <n v="9.826E-2"/>
    <n v="24"/>
    <n v="2990.22"/>
    <n v="0.03"/>
    <n v="3.1E-2"/>
    <n v="124.592"/>
    <n v="2"/>
    <n v="0"/>
    <s v="No"/>
    <n v="0"/>
    <n v="0"/>
    <n v="0"/>
    <s v="General"/>
    <s v="DE"/>
    <x v="30"/>
    <x v="1"/>
  </r>
  <r>
    <s v="RUNNING"/>
    <n v="1013028951"/>
    <s v="PH_EN_PREROLL_CPM_PH_TAB_ALL-TAB_ALL_TJ"/>
    <s v="nsfw"/>
    <d v="1899-12-30T16:09:00"/>
    <s v="In-Stream Video"/>
    <s v="TJX"/>
    <s v="all"/>
    <s v="GEO"/>
    <n v="10"/>
    <n v="0"/>
    <s v="Yes"/>
    <s v="Unlimited"/>
    <n v="1418567"/>
    <n v="137577"/>
    <n v="9.6982999999999997"/>
    <n v="0"/>
    <n v="141.86000000000001"/>
    <n v="0.1"/>
    <n v="1E-3"/>
    <n v="0"/>
    <n v="2"/>
    <n v="0"/>
    <s v="No"/>
    <n v="1418569"/>
    <n v="1264052"/>
    <n v="86021"/>
    <s v="General"/>
    <s v="PH"/>
    <x v="13"/>
    <x v="1"/>
  </r>
  <r>
    <s v="RUNNING"/>
    <n v="1013028991"/>
    <s v="PH_EN_NATIVE_CPM_PH_HOMEPAGE_ALL-MOB_ALL_TJ"/>
    <s v="nsfw"/>
    <s v="640 x 360"/>
    <s v="Display"/>
    <s v="TJX"/>
    <s v="mobile"/>
    <s v="GEO"/>
    <n v="4"/>
    <n v="0"/>
    <s v="Yes"/>
    <s v="Unlimited"/>
    <n v="86903899"/>
    <n v="162823"/>
    <n v="0.18736"/>
    <n v="3"/>
    <n v="869.04"/>
    <n v="0.01"/>
    <n v="5.0000000000000001E-3"/>
    <n v="289.68"/>
    <n v="2"/>
    <n v="0"/>
    <s v="No"/>
    <n v="0"/>
    <n v="0"/>
    <n v="0"/>
    <s v="General"/>
    <s v="PH"/>
    <x v="22"/>
    <x v="1"/>
  </r>
  <r>
    <s v="RUNNING"/>
    <n v="1013040421"/>
    <s v="US_EN_PREROLL_CPM_PH_ALL_DESK_RETARGETING_ALL_TJ"/>
    <s v="nsfw"/>
    <d v="1899-12-30T16:09:00"/>
    <s v="In-Stream Video"/>
    <s v="TJX"/>
    <s v="desktop"/>
    <s v="GEO,Frequency,Cookie"/>
    <n v="28"/>
    <n v="0"/>
    <s v="Yes"/>
    <s v="Unlimited"/>
    <n v="73559"/>
    <n v="5383"/>
    <n v="7.3179400000000001"/>
    <n v="0"/>
    <n v="179.9"/>
    <n v="2.4460000000000002"/>
    <n v="3.3000000000000002E-2"/>
    <n v="0"/>
    <n v="2"/>
    <n v="0"/>
    <s v="No"/>
    <n v="73558"/>
    <n v="57954"/>
    <n v="6952"/>
    <s v="Remarketing"/>
    <s v="US"/>
    <x v="14"/>
    <x v="1"/>
  </r>
  <r>
    <s v="RUNNING"/>
    <n v="1013040451"/>
    <s v="MX_EN_PREROLL_CPM_PH_ALL_DESK_RETARGETING_ALL_TJ"/>
    <s v="nsfw"/>
    <d v="1899-12-30T16:09:00"/>
    <s v="In-Stream Video"/>
    <s v="TJX"/>
    <s v="desktop"/>
    <s v="GEO,Frequency,Cookie"/>
    <n v="28"/>
    <n v="0"/>
    <s v="Yes"/>
    <s v="Unlimited"/>
    <n v="3519"/>
    <n v="390"/>
    <n v="11.082689999999999"/>
    <n v="0"/>
    <n v="1.32"/>
    <n v="0.375"/>
    <n v="3.0000000000000001E-3"/>
    <n v="0"/>
    <n v="2"/>
    <n v="0"/>
    <s v="No"/>
    <n v="3519"/>
    <n v="2574"/>
    <n v="447"/>
    <s v="Remarketing"/>
    <s v="MX"/>
    <x v="14"/>
    <x v="1"/>
  </r>
  <r>
    <s v="RUNNING"/>
    <n v="1013040531"/>
    <s v="CA_EN_PREROLL_CPM_PH_ALL_DESK_RETARGETING_ALL_TJ"/>
    <s v="nsfw"/>
    <d v="1899-12-30T16:09:00"/>
    <s v="In-Stream Video"/>
    <s v="TJX"/>
    <s v="desktop"/>
    <s v="GEO,Frequency,Cookie"/>
    <n v="28"/>
    <n v="0"/>
    <s v="Yes"/>
    <s v="Unlimited"/>
    <n v="20775"/>
    <n v="1596"/>
    <n v="7.6823100000000002"/>
    <n v="1"/>
    <n v="21.84"/>
    <n v="1.0509999999999999"/>
    <n v="1.4E-2"/>
    <n v="21.835999999999999"/>
    <n v="2"/>
    <n v="0"/>
    <s v="No"/>
    <n v="20773"/>
    <n v="16174"/>
    <n v="1991"/>
    <s v="Remarketing"/>
    <s v="CA"/>
    <x v="14"/>
    <x v="1"/>
  </r>
  <r>
    <s v="RUNNING"/>
    <n v="1013040561"/>
    <s v="AU_EN_PREROLL_CPM_PH_ALL_DESK_RETARGETING_ALL_TJ"/>
    <s v="nsfw"/>
    <d v="1899-12-30T16:09:00"/>
    <s v="In-Stream Video"/>
    <s v="TJX"/>
    <s v="desktop"/>
    <s v="GEO,Frequency,Cookie"/>
    <n v="28"/>
    <n v="0"/>
    <s v="Yes"/>
    <s v="Unlimited"/>
    <n v="6811"/>
    <n v="494"/>
    <n v="7.2529700000000004"/>
    <n v="0"/>
    <n v="8.5299999999999994"/>
    <n v="1.252"/>
    <n v="1.7000000000000001E-2"/>
    <n v="0"/>
    <n v="2"/>
    <n v="0"/>
    <s v="No"/>
    <n v="6811"/>
    <n v="5258"/>
    <n v="704"/>
    <s v="Remarketing"/>
    <s v="AU"/>
    <x v="14"/>
    <x v="1"/>
  </r>
  <r>
    <s v="RUNNING"/>
    <n v="1013040581"/>
    <s v="UK_EN_PREROLL_CPM_PH_ALL_DESK_RETARGETING_ALL_TJ"/>
    <s v="nsfw"/>
    <d v="1899-12-30T16:09:00"/>
    <s v="In-Stream Video"/>
    <s v="TJX"/>
    <s v="desktop"/>
    <s v="GEO,Frequency,Cookie"/>
    <n v="28"/>
    <n v="0"/>
    <s v="Yes"/>
    <s v="Unlimited"/>
    <n v="4551"/>
    <n v="326"/>
    <n v="7.1632600000000002"/>
    <n v="1"/>
    <n v="11.49"/>
    <n v="2.524"/>
    <n v="3.5000000000000003E-2"/>
    <n v="11.484999999999999"/>
    <n v="2"/>
    <n v="0"/>
    <s v="No"/>
    <n v="4551"/>
    <n v="3652"/>
    <n v="396"/>
    <s v="Remarketing"/>
    <s v="UK"/>
    <x v="14"/>
    <x v="1"/>
  </r>
  <r>
    <s v="RUNNING"/>
    <n v="1013040591"/>
    <s v="NZ_EN_PREROLL_CPM_PH_ALL_DESK_RETARGETING_ALL_TJ"/>
    <s v="nsfw"/>
    <d v="1899-12-30T16:09:00"/>
    <s v="In-Stream Video"/>
    <s v="TJX"/>
    <s v="desktop"/>
    <s v="GEO,Frequency,Cookie"/>
    <n v="28"/>
    <n v="0"/>
    <s v="Yes"/>
    <s v="Unlimited"/>
    <n v="897"/>
    <n v="54"/>
    <n v="6.0200699999999996"/>
    <n v="1"/>
    <n v="0.94"/>
    <n v="1.0469999999999999"/>
    <n v="1.7000000000000001E-2"/>
    <n v="0.93899999999999995"/>
    <n v="2"/>
    <n v="0"/>
    <s v="No"/>
    <n v="897"/>
    <n v="694"/>
    <n v="91"/>
    <s v="Remarketing"/>
    <s v="NZ"/>
    <x v="14"/>
    <x v="1"/>
  </r>
  <r>
    <s v="RUNNING"/>
    <n v="1013046201"/>
    <s v="US_EN_PREROLL_CPM_PH_ALL_MOB_RETARGETING_ALL_TJ"/>
    <s v="nsfw"/>
    <d v="1899-12-30T16:09:00"/>
    <s v="In-Stream Video"/>
    <s v="TJX"/>
    <s v="mobile"/>
    <s v="GEO,Frequency,Cookie"/>
    <n v="28"/>
    <n v="0"/>
    <s v="Yes"/>
    <s v="Unlimited"/>
    <n v="3887990"/>
    <n v="163487"/>
    <n v="4.2049200000000004"/>
    <n v="33"/>
    <n v="8209.7999999999993"/>
    <n v="2.1120000000000001"/>
    <n v="0.05"/>
    <n v="248.78200000000001"/>
    <n v="2"/>
    <n v="0"/>
    <s v="Yes"/>
    <n v="3887931"/>
    <n v="3421837"/>
    <n v="325746"/>
    <s v="Remarketing"/>
    <s v="US"/>
    <x v="14"/>
    <x v="1"/>
  </r>
  <r>
    <s v="RUNNING"/>
    <n v="1013046221"/>
    <s v="CA_EN_PREROLL_CPM_PH_ALL_MOB_RETARGETING_ALL_TJ"/>
    <s v="nsfw"/>
    <d v="1899-12-30T16:09:00"/>
    <s v="In-Stream Video"/>
    <s v="TJX"/>
    <s v="mobile"/>
    <s v="GEO,Cookie"/>
    <n v="28"/>
    <n v="0"/>
    <s v="Yes"/>
    <s v="Unlimited"/>
    <n v="107574"/>
    <n v="5388"/>
    <n v="5.0086500000000003"/>
    <n v="1"/>
    <n v="120.2"/>
    <n v="1.117"/>
    <n v="2.1999999999999999E-2"/>
    <n v="120.202"/>
    <n v="2"/>
    <n v="0"/>
    <s v="No"/>
    <n v="107568"/>
    <n v="95683"/>
    <n v="7245"/>
    <s v="Remarketing"/>
    <s v="CA"/>
    <x v="14"/>
    <x v="1"/>
  </r>
  <r>
    <s v="RUNNING"/>
    <n v="1013046231"/>
    <s v="UK_EN_PREROLL_CPM_PH_ALL_MOB_RETARGETING_ALL_TJ"/>
    <s v="nsfw"/>
    <d v="1899-12-30T16:09:00"/>
    <s v="In-Stream Video"/>
    <s v="TJX"/>
    <s v="mobile"/>
    <s v="GEO,Cookie"/>
    <n v="28"/>
    <n v="0"/>
    <s v="Yes"/>
    <s v="Unlimited"/>
    <n v="63289"/>
    <n v="3447"/>
    <n v="5.4464399999999999"/>
    <n v="1"/>
    <n v="163.59"/>
    <n v="2.585"/>
    <n v="4.7E-2"/>
    <n v="163.59200000000001"/>
    <n v="2"/>
    <n v="0"/>
    <s v="No"/>
    <n v="63303"/>
    <n v="56298"/>
    <n v="4547"/>
    <s v="Remarketing"/>
    <s v="UK"/>
    <x v="14"/>
    <x v="1"/>
  </r>
  <r>
    <s v="RUNNING"/>
    <n v="1013046251"/>
    <s v="AU_EN_PREROLL_CPM_PH_ALL_MOB_RETARGETING_ALL_TJ"/>
    <s v="nsfw"/>
    <d v="1899-12-30T16:09:00"/>
    <s v="In-Stream Video"/>
    <s v="TJX"/>
    <s v="mobile"/>
    <s v="GEO,Cookie"/>
    <n v="28"/>
    <n v="0"/>
    <s v="Yes"/>
    <s v="Unlimited"/>
    <n v="114045"/>
    <n v="4653"/>
    <n v="4.0799700000000003"/>
    <n v="2"/>
    <n v="210.46"/>
    <n v="1.845"/>
    <n v="4.4999999999999998E-2"/>
    <n v="105.23099999999999"/>
    <n v="2"/>
    <n v="0"/>
    <s v="No"/>
    <n v="114045"/>
    <n v="100302"/>
    <n v="9988"/>
    <s v="Remarketing"/>
    <s v="AU"/>
    <x v="14"/>
    <x v="1"/>
  </r>
  <r>
    <s v="RUNNING"/>
    <n v="1013046271"/>
    <s v="NZ_EN_PREROLL_CPM_PH_ALL_MOB_RETARGETING_ALL_TJ"/>
    <s v="nsfw"/>
    <d v="1899-12-30T16:09:00"/>
    <s v="In-Stream Video"/>
    <s v="TJX"/>
    <s v="mobile"/>
    <s v="GEO,Cookie"/>
    <n v="28"/>
    <n v="0"/>
    <s v="Yes"/>
    <s v="Unlimited"/>
    <n v="34411"/>
    <n v="2138"/>
    <n v="6.2131299999999996"/>
    <n v="1"/>
    <n v="40.549999999999997"/>
    <n v="1.1779999999999999"/>
    <n v="1.9E-2"/>
    <n v="40.549999999999997"/>
    <n v="2"/>
    <n v="0"/>
    <s v="No"/>
    <n v="34412"/>
    <n v="28799"/>
    <n v="2776"/>
    <s v="Remarketing"/>
    <s v="NZ"/>
    <x v="14"/>
    <x v="1"/>
  </r>
  <r>
    <s v="RUNNING"/>
    <n v="1013046321"/>
    <s v="MX_EN_PREROLL_CPM_PH_ALL_MOB_RETARGETING_ALL_TJ"/>
    <s v="nsfw"/>
    <d v="1899-12-30T16:09:00"/>
    <s v="In-Stream Video"/>
    <s v="TJX"/>
    <s v="mobile"/>
    <s v="GEO,Cookie"/>
    <n v="28"/>
    <n v="0"/>
    <s v="Yes"/>
    <s v="Unlimited"/>
    <n v="485027"/>
    <n v="43288"/>
    <n v="8.9248600000000007"/>
    <n v="0"/>
    <n v="114.52"/>
    <n v="0.23599999999999999"/>
    <n v="3.0000000000000001E-3"/>
    <n v="0"/>
    <n v="2"/>
    <n v="0"/>
    <s v="No"/>
    <n v="484951"/>
    <n v="405657"/>
    <n v="48843"/>
    <s v="Remarketing"/>
    <s v="MX"/>
    <x v="14"/>
    <x v="1"/>
  </r>
  <r>
    <s v="RUNNING"/>
    <n v="1013046531"/>
    <s v="LATAM_ES_NATIVE_CPM_PH_ALL_MOB_ALL_TJ"/>
    <s v="nsfw"/>
    <s v="640 x 360"/>
    <s v="Display"/>
    <s v="TJX"/>
    <s v="mobile"/>
    <s v="GEO,Frequency"/>
    <n v="60"/>
    <n v="0"/>
    <s v="Yes"/>
    <s v="Unlimited"/>
    <n v="37214335"/>
    <n v="100527"/>
    <n v="0.27012000000000003"/>
    <n v="2"/>
    <n v="690.21"/>
    <n v="1.9E-2"/>
    <n v="7.0000000000000001E-3"/>
    <n v="345.10300000000001"/>
    <n v="2"/>
    <n v="0"/>
    <s v="No"/>
    <n v="0"/>
    <n v="0"/>
    <n v="0"/>
    <s v="General"/>
    <s v="LA"/>
    <x v="26"/>
    <x v="1"/>
  </r>
  <r>
    <s v="RUNNING"/>
    <n v="1013046601"/>
    <s v="LATAM_ES_NATIVE_CPM_PH_ALL_DESK_ALL_TJ"/>
    <s v="nsfw"/>
    <s v="640 x 360"/>
    <s v="Display"/>
    <s v="TJX"/>
    <s v="desktop"/>
    <s v="GEO,Frequency"/>
    <n v="60"/>
    <n v="0"/>
    <s v="Yes"/>
    <s v="Unlimited"/>
    <n v="2058801"/>
    <n v="6536"/>
    <n v="0.31746000000000002"/>
    <n v="0"/>
    <n v="39.9"/>
    <n v="1.9E-2"/>
    <n v="6.0000000000000001E-3"/>
    <n v="0"/>
    <n v="2"/>
    <n v="0"/>
    <s v="No"/>
    <n v="0"/>
    <n v="0"/>
    <n v="0"/>
    <s v="General"/>
    <s v="LA"/>
    <x v="13"/>
    <x v="1"/>
  </r>
  <r>
    <s v="RUNNING"/>
    <n v="1013046671"/>
    <s v="AU_EN_NATIVE_CPM_PH_ALL_MOB_RETARGETING_ALL_TJ"/>
    <s v="nsfw"/>
    <s v="640 x 360"/>
    <s v="Display"/>
    <s v="TJX"/>
    <s v="mobile"/>
    <s v="GEO,Frequency,Cookie,BrowserLanguage"/>
    <n v="35"/>
    <n v="0"/>
    <s v="Yes"/>
    <s v="Unlimited"/>
    <n v="108539"/>
    <n v="229"/>
    <n v="0.21098"/>
    <n v="1"/>
    <n v="24.07"/>
    <n v="0.222"/>
    <n v="0.105"/>
    <n v="24.074999999999999"/>
    <n v="2"/>
    <n v="0"/>
    <s v="No"/>
    <n v="0"/>
    <n v="0"/>
    <n v="0"/>
    <s v="Remarketing"/>
    <s v="AU"/>
    <x v="14"/>
    <x v="1"/>
  </r>
  <r>
    <s v="RUNNING"/>
    <n v="1013046711"/>
    <s v="CA_EN_NATIVE_CPM_PH_ALL_MOB_RETARGETING_ALL_TJ"/>
    <s v="nsfw"/>
    <s v="640 x 360"/>
    <s v="Display"/>
    <s v="TJX"/>
    <s v="mobile"/>
    <s v="GEO,Frequency,Cookie,BrowserLanguage"/>
    <n v="35"/>
    <n v="0"/>
    <s v="Yes"/>
    <s v="Unlimited"/>
    <n v="92454"/>
    <n v="313"/>
    <n v="0.33855000000000002"/>
    <n v="1"/>
    <n v="13.62"/>
    <n v="0.14699999999999999"/>
    <n v="4.3999999999999997E-2"/>
    <n v="13.618"/>
    <n v="2"/>
    <n v="0"/>
    <s v="No"/>
    <n v="0"/>
    <n v="0"/>
    <n v="0"/>
    <s v="Remarketing"/>
    <s v="CA"/>
    <x v="14"/>
    <x v="1"/>
  </r>
  <r>
    <s v="RUNNING"/>
    <n v="1013046731"/>
    <s v="UK_EN_NATIVE_CPM_PH_ALL_MOB_RETARGETING_ALL_TJ"/>
    <s v="nsfw"/>
    <s v="640 x 360"/>
    <s v="Display"/>
    <s v="TJX"/>
    <s v="mobile"/>
    <s v="GEO,Frequency,Cookie,BrowserLanguage"/>
    <n v="35"/>
    <n v="0"/>
    <s v="Yes"/>
    <s v="Unlimited"/>
    <n v="20538"/>
    <n v="96"/>
    <n v="0.46743000000000001"/>
    <n v="0"/>
    <n v="7.95"/>
    <n v="0.38700000000000001"/>
    <n v="8.3000000000000004E-2"/>
    <n v="0"/>
    <n v="2"/>
    <n v="0"/>
    <s v="No"/>
    <n v="0"/>
    <n v="0"/>
    <n v="0"/>
    <s v="Remarketing"/>
    <s v="UK"/>
    <x v="14"/>
    <x v="1"/>
  </r>
  <r>
    <s v="RUNNING"/>
    <n v="1013046741"/>
    <s v="US_EN_NATIVE_CPM_PH_ALL_MOB_RETARGETING_ALL_TJ"/>
    <s v="nsfw"/>
    <s v="640 x 360"/>
    <s v="Display"/>
    <s v="TJX"/>
    <s v="mobile"/>
    <s v="GEO,Frequency,Cookie,BrowserLanguage"/>
    <n v="35"/>
    <n v="0"/>
    <s v="Yes"/>
    <s v="Unlimited"/>
    <n v="465684"/>
    <n v="1531"/>
    <n v="0.32876"/>
    <n v="9"/>
    <n v="121.07"/>
    <n v="0.26"/>
    <n v="7.9000000000000001E-2"/>
    <n v="13.452999999999999"/>
    <n v="2"/>
    <n v="0"/>
    <s v="No"/>
    <n v="0"/>
    <n v="0"/>
    <n v="0"/>
    <s v="Remarketing"/>
    <s v="US"/>
    <x v="14"/>
    <x v="1"/>
  </r>
  <r>
    <s v="RUNNING"/>
    <n v="1013046751"/>
    <s v="MX_EN_NATIVE_CPM_PH_ALL_MOB_RETARGETING_ALL_TJ"/>
    <s v="nsfw"/>
    <s v="640 x 360"/>
    <s v="Display"/>
    <s v="TJX"/>
    <s v="mobile"/>
    <s v="GEO,Frequency,Cookie,BrowserLanguage"/>
    <n v="35"/>
    <n v="0"/>
    <s v="Yes"/>
    <s v="Unlimited"/>
    <n v="4962"/>
    <n v="10"/>
    <n v="0.20152999999999999"/>
    <n v="1"/>
    <n v="0.08"/>
    <n v="1.7000000000000001E-2"/>
    <n v="8.0000000000000002E-3"/>
    <n v="8.4000000000000005E-2"/>
    <n v="2"/>
    <n v="0"/>
    <s v="No"/>
    <n v="0"/>
    <n v="0"/>
    <n v="0"/>
    <s v="Remarketing"/>
    <s v="MX"/>
    <x v="14"/>
    <x v="1"/>
  </r>
  <r>
    <s v="RUNNING"/>
    <n v="1013046761"/>
    <s v="NZ_EN_NATIVE_CPM_PH_ALL_MOB_RETARGETING_ALL_TJ"/>
    <s v="nsfw"/>
    <s v="640 x 360"/>
    <s v="Display"/>
    <s v="TJX"/>
    <s v="mobile"/>
    <s v="GEO,Frequency,Cookie,BrowserLanguage"/>
    <n v="35"/>
    <n v="0"/>
    <s v="Yes"/>
    <s v="Unlimited"/>
    <n v="4623"/>
    <n v="31"/>
    <n v="0.67056000000000004"/>
    <n v="0"/>
    <n v="0.47"/>
    <n v="0.10299999999999999"/>
    <n v="1.4999999999999999E-2"/>
    <n v="0"/>
    <n v="2"/>
    <n v="0"/>
    <s v="No"/>
    <n v="0"/>
    <n v="0"/>
    <n v="0"/>
    <s v="Remarketing"/>
    <s v="NZ"/>
    <x v="14"/>
    <x v="1"/>
  </r>
  <r>
    <s v="PAUSED"/>
    <n v="1013047181"/>
    <s v="JB_NATIVE_TEST"/>
    <s v="nsfw"/>
    <s v="640 x 360"/>
    <s v="Display"/>
    <s v="TJX"/>
    <s v="mobile"/>
    <s v="GEO,Frequency,Cookie,BrowserLanguage"/>
    <n v="45"/>
    <n v="0"/>
    <s v="No"/>
    <n v="25"/>
    <n v="85"/>
    <n v="0"/>
    <n v="0"/>
    <n v="0"/>
    <n v="0.01"/>
    <n v="0.105"/>
    <n v="0"/>
    <n v="0"/>
    <n v="2"/>
    <n v="0"/>
    <s v="No"/>
    <n v="0"/>
    <n v="0"/>
    <n v="0"/>
    <s v="Remarketing"/>
    <s v="JB"/>
    <x v="14"/>
    <x v="0"/>
  </r>
  <r>
    <s v="RUNNING"/>
    <n v="1013050271"/>
    <s v="UA_EN_SHORTIES_CPM_PH_MOB_ALL_TJ"/>
    <s v="nsfw"/>
    <d v="1899-12-30T09:16:00"/>
    <s v="In-Stream Video"/>
    <s v="TJX"/>
    <s v="mobile"/>
    <s v="GEO"/>
    <n v="5"/>
    <n v="0"/>
    <s v="Yes"/>
    <s v="Unlimited"/>
    <n v="160345"/>
    <n v="1900"/>
    <n v="1.1849400000000001"/>
    <n v="2"/>
    <n v="17.64"/>
    <n v="0.11"/>
    <n v="8.9999999999999993E-3"/>
    <n v="8.8190000000000008"/>
    <n v="2"/>
    <n v="0"/>
    <s v="No"/>
    <n v="160347"/>
    <n v="0"/>
    <n v="1260"/>
    <s v="Shorties"/>
    <s v="UA"/>
    <x v="2"/>
    <x v="1"/>
  </r>
  <r>
    <s v="RUNNING"/>
    <n v="1013050281"/>
    <s v="PL_EN_SHORTIES_CPM_PH_MOB_ALL_TJ"/>
    <s v="nsfw"/>
    <d v="1899-12-30T09:16:00"/>
    <s v="In-Stream Video"/>
    <s v="TJX"/>
    <s v="mobile"/>
    <s v="GEO"/>
    <n v="5"/>
    <n v="0"/>
    <s v="Yes"/>
    <s v="Unlimited"/>
    <n v="179162"/>
    <n v="1573"/>
    <n v="0.87797999999999998"/>
    <n v="1"/>
    <n v="19.71"/>
    <n v="0.11"/>
    <n v="1.2999999999999999E-2"/>
    <n v="19.707999999999998"/>
    <n v="2"/>
    <n v="0"/>
    <s v="No"/>
    <n v="179169"/>
    <n v="0"/>
    <n v="934"/>
    <s v="Shorties"/>
    <s v="PL"/>
    <x v="2"/>
    <x v="1"/>
  </r>
  <r>
    <s v="RUNNING"/>
    <n v="1013050291"/>
    <s v="MX_EN_SHORTIES_CPM_PH_MOB_ALL_TJ"/>
    <s v="nsfw"/>
    <d v="1899-12-30T09:16:00"/>
    <s v="In-Stream Video"/>
    <s v="TJX"/>
    <s v="mobile"/>
    <s v="GEO"/>
    <n v="5"/>
    <n v="0"/>
    <s v="Yes"/>
    <s v="Unlimited"/>
    <n v="278497"/>
    <n v="2094"/>
    <n v="0.75188999999999995"/>
    <n v="0"/>
    <n v="30.63"/>
    <n v="0.11"/>
    <n v="1.4999999999999999E-2"/>
    <n v="0"/>
    <n v="2"/>
    <n v="0"/>
    <s v="No"/>
    <n v="278447"/>
    <n v="0"/>
    <n v="981"/>
    <s v="Shorties"/>
    <s v="MX"/>
    <x v="2"/>
    <x v="1"/>
  </r>
  <r>
    <s v="RUNNING"/>
    <n v="1013050301"/>
    <s v="PH_EN_SHORTIES_CPM_PH_MOB_ALL_TJ"/>
    <s v="nsfw"/>
    <d v="1899-12-30T09:16:00"/>
    <s v="In-Stream Video"/>
    <s v="TJX"/>
    <s v="mobile"/>
    <s v="GEO"/>
    <n v="5"/>
    <n v="0"/>
    <s v="Yes"/>
    <s v="Unlimited"/>
    <n v="180920"/>
    <n v="1682"/>
    <n v="0.92969000000000002"/>
    <n v="0"/>
    <n v="19.899999999999999"/>
    <n v="0.11"/>
    <n v="1.2E-2"/>
    <n v="0"/>
    <n v="2"/>
    <n v="0"/>
    <s v="No"/>
    <n v="180895"/>
    <n v="0"/>
    <n v="1345"/>
    <s v="Shorties"/>
    <s v="PH"/>
    <x v="2"/>
    <x v="1"/>
  </r>
  <r>
    <s v="RUNNING"/>
    <n v="1013050311"/>
    <s v="AR_EN_SHORTIES_CPM_PH_MOB_ALL_TJ"/>
    <s v="nsfw"/>
    <d v="1899-12-30T09:16:00"/>
    <s v="In-Stream Video"/>
    <s v="TJX"/>
    <s v="mobile"/>
    <s v="GEO"/>
    <n v="5"/>
    <n v="0"/>
    <s v="Yes"/>
    <s v="Unlimited"/>
    <n v="129747"/>
    <n v="1150"/>
    <n v="0.88634000000000002"/>
    <n v="1"/>
    <n v="14.27"/>
    <n v="0.11"/>
    <n v="1.2E-2"/>
    <n v="14.272"/>
    <n v="2"/>
    <n v="0"/>
    <s v="No"/>
    <n v="129748"/>
    <n v="0"/>
    <n v="593"/>
    <s v="Shorties"/>
    <s v="AR"/>
    <x v="2"/>
    <x v="1"/>
  </r>
  <r>
    <s v="RUNNING"/>
    <n v="1013050321"/>
    <s v="DE_EN_SHORTIES_CPM_PH_MOB_ALL_TJ"/>
    <s v="nsfw"/>
    <d v="1899-12-30T09:16:00"/>
    <s v="In-Stream Video"/>
    <s v="TJX"/>
    <s v="mobile"/>
    <s v="GEO"/>
    <n v="5"/>
    <n v="0"/>
    <s v="Yes"/>
    <s v="Unlimited"/>
    <n v="139873"/>
    <n v="1265"/>
    <n v="0.90439000000000003"/>
    <n v="3"/>
    <n v="15.39"/>
    <n v="0.11"/>
    <n v="1.2E-2"/>
    <n v="5.1289999999999996"/>
    <n v="2"/>
    <n v="0"/>
    <s v="No"/>
    <n v="139879"/>
    <n v="0"/>
    <n v="856"/>
    <s v="Shorties"/>
    <s v="DE"/>
    <x v="2"/>
    <x v="1"/>
  </r>
  <r>
    <s v="RUNNING"/>
    <n v="1013050331"/>
    <s v="CO_EN_SHORTIES_CPM_PH_MOB_ALL_TJ"/>
    <s v="nsfw"/>
    <d v="1899-12-30T09:16:00"/>
    <s v="In-Stream Video"/>
    <s v="TJX"/>
    <s v="mobile"/>
    <s v="GEO"/>
    <n v="5"/>
    <n v="0"/>
    <s v="Yes"/>
    <s v="Unlimited"/>
    <n v="126127"/>
    <n v="1187"/>
    <n v="0.94111"/>
    <n v="0"/>
    <n v="13.87"/>
    <n v="0.11"/>
    <n v="1.2E-2"/>
    <n v="0"/>
    <n v="2"/>
    <n v="0"/>
    <s v="No"/>
    <n v="126097"/>
    <n v="0"/>
    <n v="650"/>
    <s v="Shorties"/>
    <s v="CO"/>
    <x v="2"/>
    <x v="1"/>
  </r>
  <r>
    <s v="RUNNING"/>
    <n v="1013050341"/>
    <s v="CL_EN_SHORTIES_CPM_PH_MOB_ALL_TJ"/>
    <s v="nsfw"/>
    <d v="1899-12-30T09:16:00"/>
    <s v="In-Stream Video"/>
    <s v="TJX"/>
    <s v="mobile"/>
    <s v="GEO"/>
    <n v="5"/>
    <n v="0"/>
    <s v="Yes"/>
    <s v="Unlimited"/>
    <n v="100652"/>
    <n v="869"/>
    <n v="0.86336999999999997"/>
    <n v="0"/>
    <n v="11.07"/>
    <n v="0.11"/>
    <n v="1.2999999999999999E-2"/>
    <n v="0"/>
    <n v="2"/>
    <n v="0"/>
    <s v="No"/>
    <n v="100625"/>
    <n v="0"/>
    <n v="493"/>
    <s v="Shorties"/>
    <s v="CL"/>
    <x v="2"/>
    <x v="1"/>
  </r>
  <r>
    <s v="RUNNING"/>
    <n v="1013050371"/>
    <s v="AU_EN_SHORTIES_CPM_PH_MOB_ALL_TJ"/>
    <s v="nsfw"/>
    <d v="1899-12-30T09:16:00"/>
    <s v="In-Stream Video"/>
    <s v="TJX"/>
    <s v="mobile"/>
    <s v="GEO"/>
    <n v="5"/>
    <n v="0"/>
    <s v="Yes"/>
    <s v="Unlimited"/>
    <n v="94670"/>
    <n v="443"/>
    <n v="0.46794000000000002"/>
    <n v="0"/>
    <n v="38.81"/>
    <n v="0.41"/>
    <n v="8.7999999999999995E-2"/>
    <n v="0"/>
    <n v="2"/>
    <n v="0"/>
    <s v="No"/>
    <n v="94678"/>
    <n v="0"/>
    <n v="237"/>
    <s v="Shorties"/>
    <s v="AU"/>
    <x v="2"/>
    <x v="1"/>
  </r>
  <r>
    <s v="RUNNING"/>
    <n v="1013050381"/>
    <s v="NL_EN_SHORTIES_CPM_PH_MOB_ALL_TJ"/>
    <s v="nsfw"/>
    <d v="1899-12-30T09:16:00"/>
    <s v="In-Stream Video"/>
    <s v="TJX"/>
    <s v="mobile"/>
    <s v="GEO"/>
    <n v="5"/>
    <n v="0"/>
    <s v="Yes"/>
    <s v="Unlimited"/>
    <n v="128646"/>
    <n v="1264"/>
    <n v="0.98253999999999997"/>
    <n v="0"/>
    <n v="16.72"/>
    <n v="0.13"/>
    <n v="1.2999999999999999E-2"/>
    <n v="0"/>
    <n v="2"/>
    <n v="0"/>
    <s v="No"/>
    <n v="128648"/>
    <n v="0"/>
    <n v="722"/>
    <s v="Shorties"/>
    <s v="NL"/>
    <x v="2"/>
    <x v="1"/>
  </r>
  <r>
    <s v="RUNNING"/>
    <n v="1013054421"/>
    <s v="US_EN_NATIVE_CPM_PH_ALL_DESK_RETARGETING_ALL_TJ"/>
    <s v="nsfw"/>
    <s v="640 x 360"/>
    <s v="Display"/>
    <s v="TJX"/>
    <s v="desktop"/>
    <s v="GEO,Frequency,Cookie,BrowserLanguage"/>
    <n v="42"/>
    <n v="0"/>
    <s v="Yes"/>
    <s v="Unlimited"/>
    <n v="26595"/>
    <n v="95"/>
    <n v="0.35721000000000003"/>
    <n v="0"/>
    <n v="2.76"/>
    <n v="0.104"/>
    <n v="2.9000000000000001E-2"/>
    <n v="0"/>
    <n v="2"/>
    <n v="0"/>
    <s v="No"/>
    <n v="0"/>
    <n v="0"/>
    <n v="0"/>
    <s v="Remarketing"/>
    <s v="US"/>
    <x v="14"/>
    <x v="1"/>
  </r>
  <r>
    <s v="RUNNING"/>
    <n v="1013054431"/>
    <s v="CA_EN_NATIVE_CPM_PH_ALL_DESK_RETARGETING_ALL_TJ"/>
    <s v="nsfw"/>
    <s v="640 x 360"/>
    <s v="Display"/>
    <s v="TJX"/>
    <s v="desktop"/>
    <s v="GEO,Frequency,Cookie,BrowserLanguage"/>
    <n v="42"/>
    <n v="0"/>
    <s v="Yes"/>
    <s v="Unlimited"/>
    <n v="8873"/>
    <n v="20"/>
    <n v="0.22539999999999999"/>
    <n v="0"/>
    <n v="0.76"/>
    <n v="8.5000000000000006E-2"/>
    <n v="3.7999999999999999E-2"/>
    <n v="0"/>
    <n v="2"/>
    <n v="0"/>
    <s v="No"/>
    <n v="0"/>
    <n v="0"/>
    <n v="0"/>
    <s v="Remarketing"/>
    <s v="CA"/>
    <x v="14"/>
    <x v="1"/>
  </r>
  <r>
    <s v="RUNNING"/>
    <n v="1013054441"/>
    <s v="UK_EN_NATIVE_CPM_PH_ALL_DESK_RETARGETING_ALL_TJ"/>
    <s v="nsfw"/>
    <s v="640 x 360"/>
    <s v="Display"/>
    <s v="TJX"/>
    <s v="desktop"/>
    <s v="GEO,Frequency,Cookie,BrowserLanguage"/>
    <n v="42"/>
    <n v="0"/>
    <s v="Yes"/>
    <s v="Unlimited"/>
    <n v="3215"/>
    <n v="9"/>
    <n v="0.27994000000000002"/>
    <n v="0"/>
    <n v="0.56000000000000005"/>
    <n v="0.17499999999999999"/>
    <n v="6.2E-2"/>
    <n v="0"/>
    <n v="2"/>
    <n v="0"/>
    <s v="No"/>
    <n v="0"/>
    <n v="0"/>
    <n v="0"/>
    <s v="Remarketing"/>
    <s v="UK"/>
    <x v="14"/>
    <x v="1"/>
  </r>
  <r>
    <s v="RUNNING"/>
    <n v="1013054451"/>
    <s v="AU_EN_NATIVE_CPM_PH_ALL_DESK_RETARGETING_ALL_TJ"/>
    <s v="nsfw"/>
    <s v="640 x 360"/>
    <s v="Display"/>
    <s v="TJX"/>
    <s v="desktop"/>
    <s v="GEO,Frequency,Cookie,BrowserLanguage"/>
    <n v="42"/>
    <n v="0"/>
    <s v="Yes"/>
    <s v="Unlimited"/>
    <n v="3722"/>
    <n v="19"/>
    <n v="0.51048000000000004"/>
    <n v="0"/>
    <n v="0.32"/>
    <n v="8.5000000000000006E-2"/>
    <n v="1.7000000000000001E-2"/>
    <n v="0"/>
    <n v="2"/>
    <n v="0"/>
    <s v="No"/>
    <n v="0"/>
    <n v="0"/>
    <n v="0"/>
    <s v="Remarketing"/>
    <s v="AU"/>
    <x v="14"/>
    <x v="1"/>
  </r>
  <r>
    <s v="RUNNING"/>
    <n v="1013054461"/>
    <s v="MX_EN_NATIVE_CPM_PH_ALL_DESK_RETARGETING_ALL_TJ"/>
    <s v="nsfw"/>
    <s v="640 x 360"/>
    <s v="Display"/>
    <s v="TJX"/>
    <s v="desktop"/>
    <s v="GEO,Frequency,Cookie,BrowserLanguage"/>
    <n v="42"/>
    <n v="0"/>
    <s v="Yes"/>
    <s v="Unlimited"/>
    <n v="769"/>
    <n v="2"/>
    <n v="0.26007000000000002"/>
    <n v="0"/>
    <n v="0.01"/>
    <n v="1.6E-2"/>
    <n v="6.0000000000000001E-3"/>
    <n v="0"/>
    <n v="2"/>
    <n v="0"/>
    <s v="No"/>
    <n v="0"/>
    <n v="0"/>
    <n v="0"/>
    <s v="Remarketing"/>
    <s v="MX"/>
    <x v="14"/>
    <x v="1"/>
  </r>
  <r>
    <s v="RUNNING"/>
    <n v="1013054471"/>
    <s v="NZ_EN_NATIVE_CPM_PH_ALL_DESK_RETARGETING_ALL_TJ"/>
    <s v="nsfw"/>
    <s v="640 x 360"/>
    <s v="Display"/>
    <s v="TJX"/>
    <s v="desktop"/>
    <s v="GEO,Frequency,Cookie,BrowserLanguage"/>
    <n v="42"/>
    <n v="0"/>
    <s v="Yes"/>
    <s v="Unlimited"/>
    <n v="676"/>
    <n v="2"/>
    <n v="0.29586000000000001"/>
    <n v="0"/>
    <n v="0.04"/>
    <n v="6.5000000000000002E-2"/>
    <n v="2.1999999999999999E-2"/>
    <n v="0"/>
    <n v="2"/>
    <n v="0"/>
    <s v="No"/>
    <n v="0"/>
    <n v="0"/>
    <n v="0"/>
    <s v="Remarketing"/>
    <s v="NZ"/>
    <x v="14"/>
    <x v="1"/>
  </r>
  <r>
    <s v="RUNNING"/>
    <n v="1013054541"/>
    <s v="US_EN_PREROLL_CPM_PH_KEY-Pokemon_ALL_CLICK RETARGETING_M_TJ"/>
    <s v="nsfw"/>
    <d v="1899-12-30T16:09:00"/>
    <s v="In-Stream Video"/>
    <s v="TJX"/>
    <s v="all"/>
    <s v="GEO,Frequency,Keyword,BrowserLanguage"/>
    <n v="126"/>
    <n v="0"/>
    <s v="Yes"/>
    <s v="Unlimited"/>
    <n v="6500"/>
    <n v="507"/>
    <n v="7.8"/>
    <n v="0"/>
    <n v="14.6"/>
    <n v="2.246"/>
    <n v="2.9000000000000001E-2"/>
    <n v="0"/>
    <n v="2"/>
    <n v="0"/>
    <s v="No"/>
    <n v="6500"/>
    <n v="5791"/>
    <n v="406"/>
    <s v="Remarketing"/>
    <s v="US"/>
    <x v="14"/>
    <x v="1"/>
  </r>
  <r>
    <s v="RUNNING"/>
    <n v="1013054571"/>
    <s v="US_EN_NATIVE_CPM_PH_HOMEPAGE_EXCL-iOS_CLICK RETARGETING_ALL_TJ"/>
    <s v="nsfw"/>
    <s v="640 x 360"/>
    <s v="Display"/>
    <s v="TJX"/>
    <s v="mobile"/>
    <s v="GEO,Frequency,OS,BrowserLanguage"/>
    <n v="23"/>
    <n v="0"/>
    <s v="Yes"/>
    <s v="Unlimited"/>
    <n v="8036"/>
    <n v="77"/>
    <n v="0.95818999999999999"/>
    <n v="0"/>
    <n v="2.56"/>
    <n v="0.318"/>
    <n v="3.3000000000000002E-2"/>
    <n v="0"/>
    <n v="1"/>
    <n v="0"/>
    <s v="Yes"/>
    <n v="0"/>
    <n v="0"/>
    <n v="0"/>
    <s v="Remarketing"/>
    <s v="US"/>
    <x v="14"/>
    <x v="1"/>
  </r>
  <r>
    <s v="PAUSED"/>
    <n v="1013059081"/>
    <s v="US_EN_BANNER_CPM_PH_ALL_DESK_300x250_ALL_TJ"/>
    <s v="nsfw"/>
    <s v="300 x 250"/>
    <s v="Display"/>
    <s v="TJX"/>
    <s v="desktop"/>
    <s v="GEO"/>
    <n v="30"/>
    <n v="0"/>
    <s v="Yes"/>
    <s v="Unlimited"/>
    <n v="0"/>
    <n v="0"/>
    <n v="0"/>
    <m/>
    <n v="0"/>
    <n v="0"/>
    <n v="0"/>
    <n v="0"/>
    <n v="2"/>
    <n v="0"/>
    <s v="No"/>
    <m/>
    <m/>
    <m/>
    <s v="General"/>
    <s v="US"/>
    <x v="13"/>
    <x v="1"/>
  </r>
  <r>
    <s v="PAUSED"/>
    <n v="1013059101"/>
    <s v="MX_EN_BANNER_CPM_PH_ALL_MOB_MIDDLE_ALL_TJ"/>
    <s v="nsfw"/>
    <s v="300 x 250"/>
    <s v="Display"/>
    <s v="TJX"/>
    <s v="mobile"/>
    <s v="GEO"/>
    <n v="6"/>
    <n v="0"/>
    <s v="Yes"/>
    <s v="Unlimited"/>
    <n v="0"/>
    <n v="0"/>
    <n v="0"/>
    <m/>
    <n v="0"/>
    <n v="0"/>
    <n v="0"/>
    <n v="0"/>
    <n v="2"/>
    <n v="0"/>
    <s v="No"/>
    <m/>
    <m/>
    <m/>
    <s v="General"/>
    <s v="MX"/>
    <x v="13"/>
    <x v="1"/>
  </r>
  <r>
    <s v="PAUSED"/>
    <n v="1013059151"/>
    <s v="BR_EN_BANNER_CPM_PH_ALL_MOB_MIDDLE_ALL_TJ"/>
    <s v="nsfw"/>
    <s v="300 x 250"/>
    <s v="Display"/>
    <s v="TJX"/>
    <s v="mobile"/>
    <s v="GEO"/>
    <n v="6"/>
    <n v="0"/>
    <s v="Yes"/>
    <s v="Unlimited"/>
    <n v="0"/>
    <n v="0"/>
    <n v="0"/>
    <m/>
    <n v="0"/>
    <n v="0"/>
    <n v="0"/>
    <n v="0"/>
    <n v="2"/>
    <n v="0"/>
    <s v="No"/>
    <m/>
    <m/>
    <m/>
    <s v="General"/>
    <s v="BR"/>
    <x v="13"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x v="31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7">
  <r>
    <x v="0"/>
    <s v="RUNNING"/>
    <n v="1011737002"/>
    <x v="0"/>
    <s v="nsfw"/>
    <d v="1899-12-30T16:09:00"/>
    <s v="In-Stream Video"/>
    <s v="TJX"/>
    <s v="desktop"/>
    <s v="GEO,Frequency,BrowserLanguage,Segment"/>
    <n v="230"/>
    <n v="0"/>
    <s v="Yes"/>
    <s v="Unlimited"/>
    <n v="3097"/>
    <n v="149"/>
    <n v="4.8111100000000002"/>
    <n v="0"/>
    <n v="13.37"/>
    <n v="4.3159999999999998"/>
    <n v="0.09"/>
    <n v="0"/>
    <n v="1"/>
    <n v="0"/>
    <s v="Yes"/>
    <n v="3097"/>
    <n v="2421"/>
    <n v="391"/>
    <s v="AI"/>
    <x v="0"/>
    <x v="0"/>
    <x v="0"/>
  </r>
  <r>
    <x v="0"/>
    <s v="PAUSED"/>
    <n v="1011737052"/>
    <x v="1"/>
    <s v="nsfw"/>
    <d v="1899-12-30T16:09:00"/>
    <s v="In-Stream Video"/>
    <s v="TJX"/>
    <s v="mobile"/>
    <s v="GEO,Frequency,OS,BrowserLanguage,Segment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737062"/>
    <x v="2"/>
    <s v="nsfw"/>
    <d v="1899-12-30T16:09:00"/>
    <s v="In-Stream Video"/>
    <s v="TJX"/>
    <s v="mobile"/>
    <s v="GEO,Frequency,OS,BrowserLanguage,Segment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1737262"/>
    <x v="3"/>
    <s v="nsfw"/>
    <d v="1899-12-30T16:09:00"/>
    <s v="In-Stream Video"/>
    <s v="TJX"/>
    <s v="desktop"/>
    <s v="GEO,Frequency,BrowserLanguage,Segment"/>
    <n v="215"/>
    <n v="0"/>
    <s v="Yes"/>
    <s v="Unlimited"/>
    <n v="404"/>
    <n v="18"/>
    <n v="4.4554499999999999"/>
    <n v="0"/>
    <n v="1.1000000000000001"/>
    <n v="2.7240000000000002"/>
    <n v="6.0999999999999999E-2"/>
    <n v="0"/>
    <n v="1"/>
    <n v="0"/>
    <s v="Yes"/>
    <n v="404"/>
    <n v="320"/>
    <n v="47"/>
    <s v="AI"/>
    <x v="0"/>
    <x v="0"/>
    <x v="0"/>
  </r>
  <r>
    <x v="0"/>
    <s v="RUNNING"/>
    <n v="1011737272"/>
    <x v="4"/>
    <s v="nsfw"/>
    <d v="1899-12-30T16:09:00"/>
    <s v="In-Stream Video"/>
    <s v="TJX"/>
    <s v="mobile"/>
    <s v="GEO,Frequency,OS,BrowserLanguage,Segment"/>
    <n v="638"/>
    <n v="0"/>
    <s v="Yes"/>
    <s v="Unlimited"/>
    <n v="813"/>
    <n v="51"/>
    <n v="6.2730600000000001"/>
    <n v="1"/>
    <n v="2.84"/>
    <n v="3.4929999999999999"/>
    <n v="5.6000000000000001E-2"/>
    <n v="2.84"/>
    <n v="1"/>
    <n v="0"/>
    <s v="Yes"/>
    <n v="813"/>
    <n v="711"/>
    <n v="81"/>
    <s v="AI"/>
    <x v="0"/>
    <x v="0"/>
    <x v="0"/>
  </r>
  <r>
    <x v="0"/>
    <s v="RUNNING"/>
    <n v="1011737322"/>
    <x v="5"/>
    <s v="nsfw"/>
    <d v="1899-12-30T16:09:00"/>
    <s v="In-Stream Video"/>
    <s v="TJX"/>
    <s v="mobile"/>
    <s v="GEO,Frequency,OS,BrowserLanguage,Segment"/>
    <n v="638"/>
    <n v="0"/>
    <s v="Yes"/>
    <s v="Unlimited"/>
    <n v="776"/>
    <n v="28"/>
    <n v="3.60825"/>
    <n v="0"/>
    <n v="3.1"/>
    <n v="3.996"/>
    <n v="0.111"/>
    <n v="0"/>
    <n v="1"/>
    <n v="0"/>
    <s v="Yes"/>
    <n v="776"/>
    <n v="669"/>
    <n v="91"/>
    <s v="AI"/>
    <x v="0"/>
    <x v="0"/>
    <x v="0"/>
  </r>
  <r>
    <x v="0"/>
    <s v="RUNNING"/>
    <n v="1011744802"/>
    <x v="6"/>
    <s v="nsfw"/>
    <d v="1899-12-30T16:09:00"/>
    <s v="In-Stream Video"/>
    <s v="TJX"/>
    <s v="desktop"/>
    <s v="GEO,Frequency,BrowserLanguage,Segment"/>
    <n v="285"/>
    <n v="0"/>
    <s v="Yes"/>
    <s v="Unlimited"/>
    <n v="1208"/>
    <n v="63"/>
    <n v="5.21523"/>
    <n v="0"/>
    <n v="5.43"/>
    <n v="4.492"/>
    <n v="8.5999999999999993E-2"/>
    <n v="0"/>
    <n v="1"/>
    <n v="0"/>
    <s v="Yes"/>
    <n v="1208"/>
    <n v="948"/>
    <n v="155"/>
    <s v="AI"/>
    <x v="0"/>
    <x v="0"/>
    <x v="0"/>
  </r>
  <r>
    <x v="0"/>
    <s v="PAUSED"/>
    <n v="1011744812"/>
    <x v="7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744822"/>
    <x v="8"/>
    <s v="nsfw"/>
    <d v="1899-12-30T16:09:00"/>
    <s v="In-Stream Video"/>
    <s v="TJX"/>
    <s v="mobile"/>
    <s v="GEO,Frequency,OS,BrowserLanguage,Segment"/>
    <n v="638"/>
    <n v="0"/>
    <s v="Yes"/>
    <s v="Unlimited"/>
    <n v="0"/>
    <n v="0"/>
    <n v="0"/>
    <m/>
    <n v="0"/>
    <n v="0"/>
    <n v="0"/>
    <n v="0"/>
    <n v="1"/>
    <n v="0"/>
    <s v="Yes"/>
    <m/>
    <m/>
    <m/>
    <s v="AI"/>
    <x v="0"/>
    <x v="0"/>
    <x v="0"/>
  </r>
  <r>
    <x v="0"/>
    <s v="RUNNING"/>
    <n v="1011744832"/>
    <x v="9"/>
    <s v="nsfw"/>
    <d v="1899-12-30T16:09:00"/>
    <s v="In-Stream Video"/>
    <s v="TJX"/>
    <s v="desktop"/>
    <s v="GEO,Frequency,BrowserLanguage,Segment"/>
    <n v="215"/>
    <n v="0"/>
    <s v="Yes"/>
    <s v="Unlimited"/>
    <n v="169"/>
    <n v="9"/>
    <n v="5.3254400000000004"/>
    <n v="0"/>
    <n v="0.77"/>
    <n v="4.556"/>
    <n v="8.5999999999999993E-2"/>
    <n v="0"/>
    <n v="1"/>
    <n v="0"/>
    <s v="Yes"/>
    <n v="169"/>
    <n v="138"/>
    <n v="22"/>
    <s v="AI"/>
    <x v="0"/>
    <x v="0"/>
    <x v="0"/>
  </r>
  <r>
    <x v="0"/>
    <s v="PAUSED"/>
    <n v="1011744842"/>
    <x v="10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1744852"/>
    <x v="11"/>
    <s v="nsfw"/>
    <d v="1899-12-30T16:09:00"/>
    <s v="In-Stream Video"/>
    <s v="TJX"/>
    <s v="mobile"/>
    <s v="GEO,Frequency,OS,BrowserLanguage,Segment"/>
    <n v="638"/>
    <n v="0"/>
    <s v="Yes"/>
    <s v="Unlimited"/>
    <n v="495"/>
    <n v="28"/>
    <n v="5.6565700000000003"/>
    <n v="0"/>
    <n v="2.0299999999999998"/>
    <n v="4.101"/>
    <n v="7.1999999999999995E-2"/>
    <n v="0"/>
    <n v="1"/>
    <n v="0"/>
    <s v="Yes"/>
    <n v="495"/>
    <n v="447"/>
    <n v="43"/>
    <s v="AI"/>
    <x v="0"/>
    <x v="0"/>
    <x v="0"/>
  </r>
  <r>
    <x v="0"/>
    <s v="PAUSED"/>
    <n v="1011744862"/>
    <x v="12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744872"/>
    <x v="13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744882"/>
    <x v="14"/>
    <s v="nsfw"/>
    <d v="1899-12-30T16:09:00"/>
    <s v="In-Stream Video"/>
    <s v="TJX"/>
    <s v="desktop"/>
    <s v="GEO,Frequency,BrowserLanguage,Segment"/>
    <n v="2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13152"/>
    <x v="15"/>
    <s v="nsfw"/>
    <d v="1899-12-30T16:09:00"/>
    <s v="In-Stream Video"/>
    <s v="TJX"/>
    <s v="mobile"/>
    <s v="GEO,Frequency,OS,BrowserLanguage"/>
    <n v="35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13182"/>
    <x v="16"/>
    <s v="nsfw"/>
    <d v="1899-12-30T09:16:00"/>
    <s v="In-Stream Video"/>
    <s v="TJX"/>
    <s v="mobile"/>
    <s v="GEO,Frequency,OS,BrowserLanguage"/>
    <n v="11"/>
    <n v="0"/>
    <s v="Yes"/>
    <s v="Unlimited"/>
    <n v="0"/>
    <n v="0"/>
    <n v="0"/>
    <m/>
    <n v="0"/>
    <n v="0"/>
    <n v="0"/>
    <n v="0"/>
    <n v="1"/>
    <n v="0"/>
    <s v="Yes"/>
    <m/>
    <m/>
    <m/>
    <s v="Shorties"/>
    <x v="0"/>
    <x v="2"/>
    <x v="0"/>
  </r>
  <r>
    <x v="0"/>
    <s v="PAUSED"/>
    <n v="1011813292"/>
    <x v="17"/>
    <s v="nsfw"/>
    <d v="1899-12-30T16:09:00"/>
    <s v="In-Stream Video"/>
    <s v="TJX"/>
    <s v="mobile"/>
    <s v="GEO,Frequency,Keyword,OS,BrowserLanguage"/>
    <n v="117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13302"/>
    <x v="18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13312"/>
    <x v="19"/>
    <s v="nsfw"/>
    <d v="1899-12-30T16:09:00"/>
    <s v="In-Stream Video"/>
    <s v="TJX"/>
    <s v="mobile"/>
    <s v="GEO,Frequency,Keyword,OS,BrowserLanguage"/>
    <n v="65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13322"/>
    <x v="20"/>
    <s v="nsfw"/>
    <d v="1899-12-30T16:09:00"/>
    <s v="In-Stream Video"/>
    <s v="TJX"/>
    <s v="mobile"/>
    <s v="GEO,Frequency,Keyword,OS,BrowserLanguage"/>
    <n v="64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13332"/>
    <x v="21"/>
    <s v="nsfw"/>
    <d v="1899-12-30T16:09:00"/>
    <s v="In-Stream Video"/>
    <s v="TJX"/>
    <s v="mobile"/>
    <s v="GEO,Frequency,Keyword,OS,BrowserLanguage"/>
    <n v="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13342"/>
    <x v="22"/>
    <s v="nsfw"/>
    <d v="1899-12-30T16:09:00"/>
    <s v="In-Stream Video"/>
    <s v="TJX"/>
    <s v="mobile"/>
    <s v="GEO,Frequency,Keyword,OS,BrowserLanguage"/>
    <n v="117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13352"/>
    <x v="23"/>
    <s v="nsfw"/>
    <d v="1899-12-30T16:09:00"/>
    <s v="In-Stream Video"/>
    <s v="TJX"/>
    <s v="desktop"/>
    <s v="GEO,Frequency,BrowserLanguage,Segment"/>
    <n v="215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13362"/>
    <x v="24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13372"/>
    <x v="25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1813382"/>
    <x v="26"/>
    <s v="nsfw"/>
    <d v="1899-12-30T16:09:00"/>
    <s v="In-Stream Video"/>
    <s v="TJX"/>
    <s v="mobile"/>
    <s v="GEO,Frequency,OS,BrowserLanguage,Segment"/>
    <n v="539"/>
    <n v="0"/>
    <s v="Yes"/>
    <s v="Unlimited"/>
    <n v="91"/>
    <n v="4"/>
    <n v="4.3956"/>
    <n v="0"/>
    <n v="0.35"/>
    <n v="3.8690000000000002"/>
    <n v="8.7999999999999995E-2"/>
    <n v="0"/>
    <n v="1"/>
    <n v="0"/>
    <s v="Yes"/>
    <n v="91"/>
    <n v="77"/>
    <n v="11"/>
    <s v="Bin"/>
    <x v="0"/>
    <x v="0"/>
    <x v="0"/>
  </r>
  <r>
    <x v="0"/>
    <s v="RUNNING"/>
    <n v="1011813392"/>
    <x v="27"/>
    <s v="nsfw"/>
    <d v="1899-12-30T16:09:00"/>
    <s v="In-Stream Video"/>
    <s v="TJX"/>
    <s v="mobile"/>
    <s v="GEO,Frequency,OS,BrowserLanguage,Segment"/>
    <n v="539"/>
    <n v="0"/>
    <s v="Yes"/>
    <s v="Unlimited"/>
    <n v="51"/>
    <n v="3"/>
    <n v="5.8823499999999997"/>
    <n v="0"/>
    <n v="0.21"/>
    <n v="4.0369999999999999"/>
    <n v="6.9000000000000006E-2"/>
    <n v="0"/>
    <n v="1"/>
    <n v="0"/>
    <s v="Yes"/>
    <n v="51"/>
    <n v="45"/>
    <n v="2"/>
    <s v="Bin"/>
    <x v="0"/>
    <x v="3"/>
    <x v="0"/>
  </r>
  <r>
    <x v="0"/>
    <s v="PAUSED"/>
    <n v="1011813402"/>
    <x v="28"/>
    <s v="nsfw"/>
    <d v="1899-12-30T16:09:00"/>
    <s v="In-Stream Video"/>
    <s v="TJX"/>
    <s v="desktop"/>
    <s v="GEO,Frequency,BrowserLanguage,Segment"/>
    <n v="2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13412"/>
    <x v="29"/>
    <s v="nsfw"/>
    <d v="1899-12-30T16:09:00"/>
    <s v="In-Stream Video"/>
    <s v="TJX"/>
    <s v="desktop"/>
    <s v="GEO,Frequency,BrowserLanguage,Segment"/>
    <n v="215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13422"/>
    <x v="30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13432"/>
    <x v="31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352"/>
    <x v="32"/>
    <s v="nsfw"/>
    <d v="1899-12-30T09:16:00"/>
    <s v="In-Stream Video"/>
    <s v="TJX"/>
    <s v="mobile"/>
    <s v="GEO,Frequency,OS,BrowserLanguage,Segment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362"/>
    <x v="33"/>
    <s v="nsfw"/>
    <d v="1899-12-30T09:16:00"/>
    <s v="In-Stream Video"/>
    <s v="TJX"/>
    <s v="mobile"/>
    <s v="GEO,Frequency,OS,BrowserLanguage,Segment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372"/>
    <x v="34"/>
    <s v="nsfw"/>
    <d v="1899-12-30T09:16:00"/>
    <s v="In-Stream Video"/>
    <s v="TJX"/>
    <s v="mobile"/>
    <s v="GEO,Frequency,OS,BrowserLanguage,Segment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382"/>
    <x v="35"/>
    <s v="nsfw"/>
    <d v="1899-12-30T09:16:00"/>
    <s v="In-Stream Video"/>
    <s v="TJX"/>
    <s v="mobile"/>
    <s v="GEO,Frequency,OS,BrowserLanguage,Segment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392"/>
    <x v="36"/>
    <s v="nsfw"/>
    <d v="1899-12-30T16:09:00"/>
    <s v="In-Stream Video"/>
    <s v="TJX"/>
    <s v="mobile"/>
    <s v="GEO,Frequency,Keyword,OS,BrowserLanguage"/>
    <n v="72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412"/>
    <x v="37"/>
    <s v="nsfw"/>
    <d v="1899-12-30T16:09:00"/>
    <s v="In-Stream Video"/>
    <s v="TJX"/>
    <s v="desktop"/>
    <s v="GEO,Frequency,Keyword,BrowserLanguage"/>
    <n v="1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422"/>
    <x v="38"/>
    <s v="nsfw"/>
    <d v="1899-12-30T16:09:00"/>
    <s v="In-Stream Video"/>
    <s v="TJX"/>
    <s v="mobile"/>
    <s v="GEO,Frequency,Keyword,OS,BrowserLanguage"/>
    <n v="46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432"/>
    <x v="39"/>
    <s v="nsfw"/>
    <d v="1899-12-30T16:09:00"/>
    <s v="In-Stream Video"/>
    <s v="TJX"/>
    <s v="mobile"/>
    <s v="GEO,Frequency,Keyword,BrowserLanguage"/>
    <n v="46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442"/>
    <x v="40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452"/>
    <x v="41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462"/>
    <x v="42"/>
    <s v="nsfw"/>
    <d v="1899-12-30T16:09:00"/>
    <s v="In-Stream Video"/>
    <s v="TJX"/>
    <s v="mobile"/>
    <s v="GEO,Frequency,Keyword,BrowserLanguage"/>
    <n v="72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472"/>
    <x v="43"/>
    <s v="nsfw"/>
    <d v="1899-12-30T16:09:00"/>
    <s v="In-Stream Video"/>
    <s v="TJX"/>
    <s v="mobile"/>
    <s v="GEO,Frequency,Keyword,OS,BrowserLanguage"/>
    <n v="46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482"/>
    <x v="44"/>
    <s v="nsfw"/>
    <d v="1899-12-30T16:09:00"/>
    <s v="In-Stream Video"/>
    <s v="TJX"/>
    <s v="desktop"/>
    <s v="GEO,Frequency,Keyword,BrowserLanguage"/>
    <n v="26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492"/>
    <x v="45"/>
    <s v="nsfw"/>
    <d v="1899-12-30T16:09:00"/>
    <s v="In-Stream Video"/>
    <s v="TJX"/>
    <s v="mobile"/>
    <s v="GEO,Frequency,Keyword,BrowserLanguage"/>
    <n v="7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502"/>
    <x v="46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512"/>
    <x v="47"/>
    <s v="nsfw"/>
    <d v="1899-12-30T16:09:00"/>
    <s v="In-Stream Video"/>
    <s v="TJX"/>
    <s v="mobile"/>
    <s v="GEO,Frequency,Keyword,OS,BrowserLanguage"/>
    <n v="12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  <x v="0"/>
  </r>
  <r>
    <x v="0"/>
    <s v="RUNNING"/>
    <n v="1011822522"/>
    <x v="48"/>
    <s v="nsfw"/>
    <d v="1899-12-30T16:09:00"/>
    <s v="In-Stream Video"/>
    <s v="TJX"/>
    <s v="desktop"/>
    <s v="GEO,Frequency,Keyword,BrowserLanguage"/>
    <n v="65"/>
    <n v="0"/>
    <s v="Yes"/>
    <s v="Unlimited"/>
    <n v="584"/>
    <n v="38"/>
    <n v="6.50685"/>
    <n v="0"/>
    <n v="1.74"/>
    <n v="2.9809999999999999"/>
    <n v="4.5999999999999999E-2"/>
    <n v="0"/>
    <n v="1"/>
    <n v="0"/>
    <s v="Yes"/>
    <n v="584"/>
    <n v="454"/>
    <n v="64"/>
    <s v="Furry"/>
    <x v="0"/>
    <x v="4"/>
    <x v="0"/>
  </r>
  <r>
    <x v="0"/>
    <s v="PAUSED"/>
    <n v="1011822532"/>
    <x v="49"/>
    <s v="nsfw"/>
    <d v="1899-12-30T16:09:00"/>
    <s v="In-Stream Video"/>
    <s v="TJX"/>
    <s v="desktop"/>
    <s v="GEO,Frequency,Keyword,BrowserLanguage"/>
    <n v="273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  <x v="0"/>
  </r>
  <r>
    <x v="0"/>
    <s v="PAUSED"/>
    <n v="1011822542"/>
    <x v="50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552"/>
    <x v="51"/>
    <s v="nsfw"/>
    <d v="1899-12-30T16:09:00"/>
    <s v="In-Stream Video"/>
    <s v="TJX"/>
    <s v="mobile"/>
    <s v="GEO,Frequency,Keyword,OS,BrowserLanguage"/>
    <n v="126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562"/>
    <x v="52"/>
    <s v="nsfw"/>
    <d v="1899-12-30T16:09:00"/>
    <s v="In-Stream Video"/>
    <s v="TJX"/>
    <s v="desktop"/>
    <s v="GEO,Frequency,Keyword,BrowserLanguage"/>
    <n v="273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572"/>
    <x v="53"/>
    <s v="nsfw"/>
    <d v="1899-12-30T16:09:00"/>
    <s v="In-Stream Video"/>
    <s v="TJX"/>
    <s v="mobile"/>
    <s v="GEO,Frequency,Keyword,OS,BrowserLanguage"/>
    <n v="52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  <x v="0"/>
  </r>
  <r>
    <x v="0"/>
    <s v="PAUSED"/>
    <n v="1011822582"/>
    <x v="54"/>
    <s v="nsfw"/>
    <d v="1899-12-30T16:09:00"/>
    <s v="In-Stream Video"/>
    <s v="TJX"/>
    <s v="mobile"/>
    <s v="GEO,Frequency,Keyword,OS,BrowserLanguage"/>
    <n v="126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592"/>
    <x v="55"/>
    <s v="nsfw"/>
    <d v="1899-12-30T16:09:00"/>
    <s v="In-Stream Video"/>
    <s v="TJX"/>
    <s v="desktop"/>
    <s v="GEO,Frequency,Keyword,BrowserLanguage"/>
    <n v="273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  <x v="0"/>
  </r>
  <r>
    <x v="0"/>
    <s v="PAUSED"/>
    <n v="1011822602"/>
    <x v="56"/>
    <s v="nsfw"/>
    <d v="1899-12-30T16:09:00"/>
    <s v="In-Stream Video"/>
    <s v="TJX"/>
    <s v="mobile"/>
    <s v="GEO,Frequency,Keyword,OS,BrowserLanguage"/>
    <n v="52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612"/>
    <x v="57"/>
    <s v="nsfw"/>
    <d v="1899-12-30T16:09:00"/>
    <s v="In-Stream Video"/>
    <s v="TJX"/>
    <s v="mobile"/>
    <s v="GEO,Frequency,Keyword,OS,BrowserLanguage"/>
    <n v="126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642"/>
    <x v="58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652"/>
    <x v="59"/>
    <s v="nsfw"/>
    <d v="1899-12-30T16:09:00"/>
    <s v="In-Stream Video"/>
    <s v="TJX"/>
    <s v="mobile"/>
    <s v="GEO,Frequency,Keyword,OS,BrowserLanguage"/>
    <n v="616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662"/>
    <x v="60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672"/>
    <x v="61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682"/>
    <x v="62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692"/>
    <x v="63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702"/>
    <x v="64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712"/>
    <x v="65"/>
    <s v="nsfw"/>
    <d v="1899-12-30T16:09:00"/>
    <s v="In-Stream Video"/>
    <s v="TJX"/>
    <s v="mobile"/>
    <s v="GEO,Frequency,Keyword,OS,BrowserLanguage"/>
    <n v="74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722"/>
    <x v="66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732"/>
    <x v="67"/>
    <s v="nsfw"/>
    <d v="1899-12-30T16:09:00"/>
    <s v="In-Stream Video"/>
    <s v="TJX"/>
    <s v="mobile"/>
    <s v="GEO,Frequency,Keyword,OS,BrowserLanguage"/>
    <n v="616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742"/>
    <x v="68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762"/>
    <x v="69"/>
    <s v="nsfw"/>
    <d v="1899-12-30T16:09:00"/>
    <s v="In-Stream Video"/>
    <s v="TJX"/>
    <s v="mobile"/>
    <s v="GEO,Frequency,Keyword,OS,BrowserLanguage"/>
    <n v="74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772"/>
    <x v="70"/>
    <s v="nsfw"/>
    <d v="1899-12-30T16:09:00"/>
    <s v="In-Stream Video"/>
    <s v="TJX"/>
    <s v="mobile"/>
    <s v="GEO,Frequency,Keyword,OS,BrowserLanguage"/>
    <n v="99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5"/>
    <x v="0"/>
  </r>
  <r>
    <x v="0"/>
    <s v="PAUSED"/>
    <n v="1011822782"/>
    <x v="71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792"/>
    <x v="72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22812"/>
    <x v="73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8812"/>
    <x v="74"/>
    <s v="nsfw"/>
    <d v="1899-12-30T16:09:00"/>
    <s v="In-Stream Video"/>
    <s v="TJX"/>
    <s v="desktop"/>
    <s v="GEO,Frequency,BrowserLanguage"/>
    <n v="17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6"/>
    <x v="0"/>
  </r>
  <r>
    <x v="0"/>
    <s v="PAUSED"/>
    <n v="1011838822"/>
    <x v="75"/>
    <s v="nsfw"/>
    <d v="1899-12-30T16:09:00"/>
    <s v="In-Stream Video"/>
    <s v="TJX"/>
    <s v="mobile"/>
    <s v="GEO,Frequency,OS,BrowserLanguage"/>
    <n v="242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8832"/>
    <x v="76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6"/>
    <x v="0"/>
  </r>
  <r>
    <x v="0"/>
    <s v="PAUSED"/>
    <n v="1011838852"/>
    <x v="77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8862"/>
    <x v="78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8882"/>
    <x v="79"/>
    <s v="nsfw"/>
    <d v="1899-12-30T16:09:00"/>
    <s v="In-Stream Video"/>
    <s v="TJX"/>
    <s v="desktop"/>
    <s v="GEO,Frequency,BrowserLanguage"/>
    <n v="1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6"/>
    <x v="0"/>
  </r>
  <r>
    <x v="0"/>
    <s v="PAUSED"/>
    <n v="1011838892"/>
    <x v="80"/>
    <s v="nsfw"/>
    <d v="1899-12-30T16:09:00"/>
    <s v="In-Stream Video"/>
    <s v="TJX"/>
    <s v="desktop"/>
    <s v="GEO,Frequency,BrowserLanguage"/>
    <n v="2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6"/>
    <x v="0"/>
  </r>
  <r>
    <x v="0"/>
    <s v="PAUSED"/>
    <n v="1011838902"/>
    <x v="81"/>
    <s v="nsfw"/>
    <d v="1899-12-30T16:09:00"/>
    <s v="In-Stream Video"/>
    <s v="TJX"/>
    <s v="desktop"/>
    <s v="GEO,Frequency,BrowserLanguage"/>
    <n v="17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8912"/>
    <x v="82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6"/>
    <x v="0"/>
  </r>
  <r>
    <x v="0"/>
    <s v="PAUSED"/>
    <n v="1011838922"/>
    <x v="83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8932"/>
    <x v="84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8942"/>
    <x v="85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8952"/>
    <x v="86"/>
    <s v="nsfw"/>
    <d v="1899-12-30T16:09:00"/>
    <s v="In-Stream Video"/>
    <s v="TJX"/>
    <s v="mobile"/>
    <s v="GEO,Frequency,Keyword,OS,BrowserLanguage"/>
    <n v="74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8962"/>
    <x v="87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8972"/>
    <x v="88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8982"/>
    <x v="89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8992"/>
    <x v="90"/>
    <s v="nsfw"/>
    <d v="1899-12-30T16:09:00"/>
    <s v="In-Stream Video"/>
    <s v="TJX"/>
    <s v="mobile"/>
    <s v="GEO,Frequency,Keyword,OS,BrowserLanguage"/>
    <n v="22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002"/>
    <x v="91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012"/>
    <x v="92"/>
    <s v="nsfw"/>
    <d v="1899-12-30T16:09:00"/>
    <s v="In-Stream Video"/>
    <s v="TJX"/>
    <s v="desktop"/>
    <s v="GEO,Frequency,Keyword,BrowserLanguage"/>
    <n v="8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022"/>
    <x v="93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032"/>
    <x v="94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042"/>
    <x v="95"/>
    <s v="nsfw"/>
    <d v="1899-12-30T16:09:00"/>
    <s v="In-Stream Video"/>
    <s v="TJX"/>
    <s v="mobile"/>
    <s v="GEO,Frequency,Keyword,OS,BrowserLanguage"/>
    <n v="130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052"/>
    <x v="96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072"/>
    <x v="97"/>
    <s v="nsfw"/>
    <d v="1899-12-30T16:09:00"/>
    <s v="In-Stream Video"/>
    <s v="TJX"/>
    <s v="mobile"/>
    <s v="GEO,Frequency,Keyword,OS,BrowserLanguage"/>
    <n v="130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082"/>
    <x v="98"/>
    <s v="nsfw"/>
    <d v="1899-12-30T16:09:00"/>
    <s v="In-Stream Video"/>
    <s v="TJX"/>
    <s v="mobile"/>
    <s v="GEO,Frequency,Keyword,OS,BrowserLanguage"/>
    <n v="52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092"/>
    <x v="99"/>
    <s v="nsfw"/>
    <d v="1899-12-30T16:09:00"/>
    <s v="In-Stream Video"/>
    <s v="TJX"/>
    <s v="desktop"/>
    <s v="GEO,Frequency,Keyword,BrowserLanguage"/>
    <n v="26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102"/>
    <x v="100"/>
    <s v="nsfw"/>
    <d v="1899-12-30T16:09:00"/>
    <s v="In-Stream Video"/>
    <s v="TJX"/>
    <s v="desktop"/>
    <s v="GEO,Frequency,Keyword,BrowserLanguage"/>
    <n v="26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112"/>
    <x v="101"/>
    <s v="nsfw"/>
    <d v="1899-12-30T16:09:00"/>
    <s v="In-Stream Video"/>
    <s v="TJX"/>
    <s v="mobile"/>
    <s v="GEO,Frequency,Keyword,OS,BrowserLanguage"/>
    <n v="52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122"/>
    <x v="102"/>
    <s v="nsfw"/>
    <d v="1899-12-30T16:09:00"/>
    <s v="In-Stream Video"/>
    <s v="TJX"/>
    <s v="mobile"/>
    <s v="GEO,Frequency,Keyword,OS,BrowserLanguage"/>
    <n v="130"/>
    <n v="0"/>
    <s v="No"/>
    <n v="1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132"/>
    <x v="103"/>
    <s v="nsfw"/>
    <d v="1899-12-30T16:09:00"/>
    <s v="In-Stream Video"/>
    <s v="TJX"/>
    <s v="mobile"/>
    <s v="GEO,Frequency,Keyword,OS,BrowserLanguage"/>
    <n v="1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142"/>
    <x v="104"/>
    <s v="nsfw"/>
    <d v="1899-12-30T16:09:00"/>
    <s v="In-Stream Video"/>
    <s v="TJX"/>
    <s v="mobile"/>
    <s v="GEO,Frequency,Keyword,OS,BrowserLanguage"/>
    <n v="52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152"/>
    <x v="105"/>
    <s v="nsfw"/>
    <d v="1899-12-30T16:09:00"/>
    <s v="In-Stream Video"/>
    <s v="TJX"/>
    <s v="desktop"/>
    <s v="GEO,Frequency,Keyword,BrowserLanguage"/>
    <n v="26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162"/>
    <x v="106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1839172"/>
    <x v="107"/>
    <s v="nsfw"/>
    <d v="1899-12-30T16:09:00"/>
    <s v="In-Stream Video"/>
    <s v="TJX"/>
    <s v="desktop"/>
    <s v="GEO,Frequency,Keyword,BrowserLanguage"/>
    <n v="45"/>
    <n v="0"/>
    <s v="Yes"/>
    <s v="Unlimited"/>
    <n v="21514"/>
    <n v="945"/>
    <n v="4.3924799999999999"/>
    <n v="0"/>
    <n v="81.16"/>
    <n v="3.7730000000000001"/>
    <n v="8.5999999999999993E-2"/>
    <n v="0"/>
    <n v="1"/>
    <n v="0"/>
    <s v="Yes"/>
    <n v="21500"/>
    <n v="16845"/>
    <n v="2662"/>
    <s v="FinDom"/>
    <x v="0"/>
    <x v="3"/>
    <x v="0"/>
  </r>
  <r>
    <x v="0"/>
    <s v="PAUSED"/>
    <n v="1011839182"/>
    <x v="108"/>
    <s v="nsfw"/>
    <d v="1899-12-30T16:09:00"/>
    <s v="In-Stream Video"/>
    <s v="TJX"/>
    <s v="mobile"/>
    <s v="GEO,Frequency,Keyword,OS,BrowserLanguage"/>
    <n v="9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  <x v="0"/>
  </r>
  <r>
    <x v="0"/>
    <s v="RUNNING"/>
    <n v="1011839192"/>
    <x v="109"/>
    <s v="nsfw"/>
    <d v="1899-12-30T16:09:00"/>
    <s v="In-Stream Video"/>
    <s v="TJX"/>
    <s v="mobile"/>
    <s v="GEO,Frequency,Keyword,OS,BrowserLanguage"/>
    <n v="99"/>
    <n v="0"/>
    <s v="Yes"/>
    <s v="Unlimited"/>
    <n v="828"/>
    <n v="43"/>
    <n v="5.1932400000000003"/>
    <n v="0"/>
    <n v="1.63"/>
    <n v="1.9730000000000001"/>
    <n v="3.7999999999999999E-2"/>
    <n v="0"/>
    <n v="1"/>
    <n v="0"/>
    <s v="Yes"/>
    <n v="829"/>
    <n v="719"/>
    <n v="94"/>
    <s v="FinDom"/>
    <x v="0"/>
    <x v="3"/>
    <x v="0"/>
  </r>
  <r>
    <x v="0"/>
    <s v="PAUSED"/>
    <n v="1011839202"/>
    <x v="110"/>
    <s v="nsfw"/>
    <d v="1899-12-30T16:09:00"/>
    <s v="In-Stream Video"/>
    <s v="TJX"/>
    <s v="desktop"/>
    <s v="GEO,Frequency,Keyword,BrowserLanguage"/>
    <n v="45"/>
    <n v="0"/>
    <s v="Yes"/>
    <s v="Unlimited"/>
    <n v="0"/>
    <n v="0"/>
    <n v="0"/>
    <m/>
    <n v="0"/>
    <n v="0"/>
    <n v="0"/>
    <n v="0"/>
    <n v="1"/>
    <n v="0"/>
    <s v="Yes"/>
    <m/>
    <m/>
    <m/>
    <s v="FinDom"/>
    <x v="0"/>
    <x v="7"/>
    <x v="0"/>
  </r>
  <r>
    <x v="0"/>
    <s v="RUNNING"/>
    <n v="1011839212"/>
    <x v="111"/>
    <s v="nsfw"/>
    <d v="1899-12-30T16:09:00"/>
    <s v="In-Stream Video"/>
    <s v="TJX"/>
    <s v="desktop"/>
    <s v="GEO,Frequency,Keyword,BrowserLanguage"/>
    <n v="45"/>
    <n v="0"/>
    <s v="Yes"/>
    <s v="Unlimited"/>
    <n v="4741"/>
    <n v="196"/>
    <n v="4.13415"/>
    <n v="0"/>
    <n v="12.43"/>
    <n v="2.621"/>
    <n v="6.3E-2"/>
    <n v="0"/>
    <n v="1"/>
    <n v="0"/>
    <s v="Yes"/>
    <n v="4739"/>
    <n v="3687"/>
    <n v="601"/>
    <s v="FinDom"/>
    <x v="0"/>
    <x v="3"/>
    <x v="0"/>
  </r>
  <r>
    <x v="0"/>
    <s v="PAUSED"/>
    <n v="1011839222"/>
    <x v="112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232"/>
    <x v="113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242"/>
    <x v="114"/>
    <s v="nsfw"/>
    <d v="1899-12-30T16:09:00"/>
    <s v="In-Stream Video"/>
    <s v="TJX"/>
    <s v="mobile"/>
    <s v="GEO,Frequency,Keyword,OS,BrowserLanguage"/>
    <n v="9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252"/>
    <x v="115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262"/>
    <x v="116"/>
    <s v="nsfw"/>
    <d v="1899-12-30T16:09:00"/>
    <s v="In-Stream Video"/>
    <s v="TJX"/>
    <s v="desktop"/>
    <s v="GEO,Frequency,Keyword,BrowserLanguage"/>
    <n v="268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3"/>
    <x v="0"/>
  </r>
  <r>
    <x v="0"/>
    <s v="PAUSED"/>
    <n v="1011839272"/>
    <x v="117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282"/>
    <x v="118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292"/>
    <x v="119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302"/>
    <x v="120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Ocean"/>
    <x v="0"/>
    <x v="8"/>
    <x v="0"/>
  </r>
  <r>
    <x v="0"/>
    <s v="PAUSED"/>
    <n v="1011839312"/>
    <x v="121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322"/>
    <x v="122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332"/>
    <x v="123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342"/>
    <x v="124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352"/>
    <x v="125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362"/>
    <x v="126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39372"/>
    <x v="127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43472"/>
    <x v="128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43482"/>
    <x v="129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47032"/>
    <x v="130"/>
    <s v="nsfw"/>
    <d v="1899-12-30T16:09:00"/>
    <s v="In-Stream Video"/>
    <s v="TJX"/>
    <s v="desktop"/>
    <s v="GEO,Frequency,Keyword,BrowserLanguage"/>
    <n v="355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47042"/>
    <x v="131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47052"/>
    <x v="132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47062"/>
    <x v="133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47072"/>
    <x v="134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47082"/>
    <x v="135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47092"/>
    <x v="136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47112"/>
    <x v="137"/>
    <s v="nsfw"/>
    <d v="1899-12-30T16:09:00"/>
    <s v="In-Stream Video"/>
    <s v="TJX"/>
    <s v="desktop"/>
    <s v="GEO,Frequency,Keyword,BrowserLanguage"/>
    <n v="355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47122"/>
    <x v="138"/>
    <s v="nsfw"/>
    <d v="1899-12-30T16:09:00"/>
    <s v="In-Stream Video"/>
    <s v="TJX"/>
    <s v="desktop"/>
    <s v="GEO,Frequency,Keyword,BrowserLanguage"/>
    <n v="355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47132"/>
    <x v="139"/>
    <s v="nsfw"/>
    <d v="1899-12-30T16:09:00"/>
    <s v="In-Stream Video"/>
    <s v="TJX"/>
    <s v="desktop"/>
    <s v="GEO,Frequency,Keyword,BrowserLanguage"/>
    <n v="355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7952"/>
    <x v="140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7962"/>
    <x v="141"/>
    <s v="nsfw"/>
    <d v="1899-12-30T16:09:00"/>
    <s v="In-Stream Video"/>
    <s v="TJX"/>
    <s v="desktop"/>
    <s v="GEO,Frequency,Keyword,BrowserLanguage"/>
    <n v="8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7972"/>
    <x v="142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7982"/>
    <x v="143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7992"/>
    <x v="144"/>
    <s v="nsfw"/>
    <d v="1899-12-30T16:09:00"/>
    <s v="In-Stream Video"/>
    <s v="TJX"/>
    <s v="desktop"/>
    <s v="GEO,Frequency,Keyword,BrowserLanguage"/>
    <n v="8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8002"/>
    <x v="145"/>
    <s v="nsfw"/>
    <d v="1899-12-30T16:09:00"/>
    <s v="In-Stream Video"/>
    <s v="TJX"/>
    <s v="desktop"/>
    <s v="GEO,Frequency,Keyword,BrowserLanguage"/>
    <n v="1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8012"/>
    <x v="146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8022"/>
    <x v="147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8032"/>
    <x v="148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8042"/>
    <x v="149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8052"/>
    <x v="150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8062"/>
    <x v="151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8072"/>
    <x v="152"/>
    <s v="nsfw"/>
    <d v="1899-12-30T16:09:00"/>
    <s v="In-Stream Video"/>
    <s v="TJX"/>
    <s v="mobile"/>
    <s v="GEO,Frequency,Keyword,OS,BrowserLanguage"/>
    <n v="22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8402"/>
    <x v="153"/>
    <s v="nsfw"/>
    <d v="1899-12-30T09:16:00"/>
    <s v="In-Stream Video"/>
    <s v="TJX"/>
    <s v="mobile"/>
    <s v="GEO,Frequency,OS,Browser,BrowserLanguage"/>
    <n v="11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8412"/>
    <x v="154"/>
    <s v="nsfw"/>
    <d v="1899-12-30T09:16:00"/>
    <s v="In-Stream Video"/>
    <s v="TJX"/>
    <s v="mobile"/>
    <s v="GEO,Frequency,OS,BrowserLanguage"/>
    <n v="5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8422"/>
    <x v="155"/>
    <s v="nsfw"/>
    <d v="1899-12-30T09:16:00"/>
    <s v="In-Stream Video"/>
    <s v="TJX"/>
    <s v="mobile"/>
    <s v="GEO,Frequency,OS,BrowserLanguage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8432"/>
    <x v="156"/>
    <s v="nsfw"/>
    <d v="1899-12-30T09:16:00"/>
    <s v="In-Stream Video"/>
    <s v="TJX"/>
    <s v="mobile"/>
    <s v="GEO,Frequency,OS,BrowserLanguage"/>
    <n v="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8442"/>
    <x v="157"/>
    <s v="nsfw"/>
    <d v="1899-12-30T09:16:00"/>
    <s v="In-Stream Video"/>
    <s v="TJX"/>
    <s v="mobile"/>
    <s v="GEO,Frequency,OS,BrowserLanguage"/>
    <n v="11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8452"/>
    <x v="158"/>
    <s v="nsfw"/>
    <d v="1899-12-30T09:16:00"/>
    <s v="In-Stream Video"/>
    <s v="TJX"/>
    <s v="mobile"/>
    <s v="GEO,Frequency,OS,BrowserLanguage"/>
    <n v="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8462"/>
    <x v="159"/>
    <s v="nsfw"/>
    <d v="1899-12-30T09:16:00"/>
    <s v="In-Stream Video"/>
    <s v="TJX"/>
    <s v="mobile"/>
    <s v="GEO,Frequency,OS,BrowserLanguage"/>
    <n v="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9612"/>
    <x v="160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9622"/>
    <x v="161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9632"/>
    <x v="162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9642"/>
    <x v="163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9652"/>
    <x v="164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9662"/>
    <x v="165"/>
    <s v="nsfw"/>
    <d v="1899-12-30T16:09:00"/>
    <s v="In-Stream Video"/>
    <s v="TJX"/>
    <s v="mobile"/>
    <s v="GEO,Frequency,Keyword,OS,BrowserLanguage"/>
    <n v="616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59672"/>
    <x v="166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812"/>
    <x v="167"/>
    <s v="nsfw"/>
    <d v="1899-12-30T16:09:00"/>
    <s v="In-Stream Video"/>
    <s v="TJX"/>
    <s v="mobile"/>
    <s v="GEO,Frequency,Keyword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822"/>
    <x v="168"/>
    <s v="nsfw"/>
    <d v="1899-12-30T16:09:00"/>
    <s v="In-Stream Video"/>
    <s v="TJX"/>
    <s v="mobile"/>
    <s v="GEO,Frequency,Keyword,BrowserLanguage"/>
    <n v="22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832"/>
    <x v="169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842"/>
    <x v="170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852"/>
    <x v="171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862"/>
    <x v="172"/>
    <s v="nsfw"/>
    <d v="1899-12-30T16:09:00"/>
    <s v="In-Stream Video"/>
    <s v="TJX"/>
    <s v="mobile"/>
    <s v="GEO,Frequency,Keyword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872"/>
    <x v="173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882"/>
    <x v="174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892"/>
    <x v="175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902"/>
    <x v="176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912"/>
    <x v="177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922"/>
    <x v="178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932"/>
    <x v="179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942"/>
    <x v="180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952"/>
    <x v="181"/>
    <s v="nsfw"/>
    <d v="1899-12-30T16:09:00"/>
    <s v="In-Stream Video"/>
    <s v="TJX"/>
    <s v="mobile"/>
    <s v="GEO,Frequency,Keyword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962"/>
    <x v="182"/>
    <s v="nsfw"/>
    <d v="1899-12-30T16:09:00"/>
    <s v="In-Stream Video"/>
    <s v="TJX"/>
    <s v="mobile"/>
    <s v="GEO,Frequency,Keyword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972"/>
    <x v="183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982"/>
    <x v="184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0992"/>
    <x v="185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1002"/>
    <x v="186"/>
    <s v="nsfw"/>
    <d v="1899-12-30T16:09:00"/>
    <s v="In-Stream Video"/>
    <s v="TJX"/>
    <s v="mobile"/>
    <s v="GEO,Frequency,BrowserLanguage,Segment"/>
    <n v="616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1012"/>
    <x v="187"/>
    <s v="nsfw"/>
    <d v="1899-12-30T16:09:00"/>
    <s v="In-Stream Video"/>
    <s v="TJX"/>
    <s v="mobile"/>
    <s v="GEO,Frequency,BrowserLanguage,Segment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1022"/>
    <x v="188"/>
    <s v="nsfw"/>
    <d v="1899-12-30T16:09:00"/>
    <s v="In-Stream Video"/>
    <s v="TJX"/>
    <s v="mobile"/>
    <s v="GEO,Frequency,BrowserLanguage,Segment"/>
    <n v="2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1032"/>
    <x v="189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1382"/>
    <x v="190"/>
    <s v="nsfw"/>
    <d v="1899-12-30T16:09:00"/>
    <s v="In-Stream Video"/>
    <s v="TJX"/>
    <s v="mobile"/>
    <s v="GEO,Frequency,Keyword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61402"/>
    <x v="191"/>
    <s v="nsfw"/>
    <d v="1899-12-30T16:09:00"/>
    <s v="In-Stream Video"/>
    <s v="TJX"/>
    <s v="mobile"/>
    <s v="GEO,Frequency,Keyword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83592"/>
    <x v="192"/>
    <s v="nsfw"/>
    <s v="640 x 360"/>
    <s v="Display"/>
    <s v="TJX"/>
    <s v="mobile"/>
    <s v="GEO,Frequency,Keyword,BrowserLanguage"/>
    <n v="44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1884752"/>
    <x v="193"/>
    <s v="nsfw"/>
    <d v="1899-12-30T16:09:00"/>
    <s v="In-Stream Video"/>
    <s v="TJX"/>
    <s v="mobile"/>
    <s v="GEO,Frequency,BrowserLanguage"/>
    <n v="99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374472"/>
    <x v="194"/>
    <s v="nsfw"/>
    <d v="1899-12-30T16:09:00"/>
    <s v="In-Stream Video"/>
    <s v="TJX"/>
    <s v="mobile"/>
    <s v="GEO,Frequency,Keyword,BrowserLanguage"/>
    <n v="33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374482"/>
    <x v="195"/>
    <s v="nsfw"/>
    <d v="1899-12-30T16:09:00"/>
    <s v="In-Stream Video"/>
    <s v="TJX"/>
    <s v="mobile"/>
    <s v="GEO,Frequency,Keyword,BrowserLanguage"/>
    <n v="33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374492"/>
    <x v="196"/>
    <s v="nsfw"/>
    <d v="1899-12-30T16:09:00"/>
    <s v="In-Stream Video"/>
    <s v="TJX"/>
    <s v="mobile"/>
    <s v="GEO,Frequency,Keyword,BrowserLanguage"/>
    <n v="33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374502"/>
    <x v="197"/>
    <s v="nsfw"/>
    <d v="1899-12-30T16:09:00"/>
    <s v="In-Stream Video"/>
    <s v="TJX"/>
    <s v="mobile"/>
    <s v="GEO,Frequency,Keyword,BrowserLanguage"/>
    <n v="33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374512"/>
    <x v="198"/>
    <s v="nsfw"/>
    <d v="1899-12-30T16:09:00"/>
    <s v="In-Stream Video"/>
    <s v="TJX"/>
    <s v="mobile"/>
    <s v="GEO,Frequency,Keyword,BrowserLanguage"/>
    <n v="3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374522"/>
    <x v="199"/>
    <s v="nsfw"/>
    <d v="1899-12-30T16:09:00"/>
    <s v="In-Stream Video"/>
    <s v="TJX"/>
    <s v="mobile"/>
    <s v="GEO,Frequency,Keyword,OS,Browser,BrowserLanguage"/>
    <n v="33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572"/>
    <x v="200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582"/>
    <x v="201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602"/>
    <x v="202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612"/>
    <x v="203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622"/>
    <x v="204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632"/>
    <x v="205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652"/>
    <x v="206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662"/>
    <x v="207"/>
    <s v="nsfw"/>
    <d v="1899-12-30T16:09:00"/>
    <s v="In-Stream Video"/>
    <s v="TJX"/>
    <s v="desktop"/>
    <s v="GEO,Frequency,Keyword,BrowserLanguage"/>
    <n v="404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672"/>
    <x v="20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682"/>
    <x v="209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702"/>
    <x v="210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712"/>
    <x v="211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722"/>
    <x v="212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732"/>
    <x v="213"/>
    <s v="nsfw"/>
    <d v="1899-12-30T16:09:00"/>
    <s v="In-Stream Video"/>
    <s v="TJX"/>
    <s v="mobile"/>
    <s v="GEO,Frequency,Keyword,OS,BrowserLanguage"/>
    <n v="1010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5"/>
    <x v="0"/>
  </r>
  <r>
    <x v="0"/>
    <s v="PAUSED"/>
    <n v="1012702742"/>
    <x v="214"/>
    <s v="nsfw"/>
    <d v="1899-12-30T16:09:00"/>
    <s v="In-Stream Video"/>
    <s v="TJX"/>
    <s v="desktop"/>
    <s v="GEO,Frequency,Keyword,BrowserLanguage"/>
    <n v="35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752"/>
    <x v="215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762"/>
    <x v="216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772"/>
    <x v="217"/>
    <s v="nsfw"/>
    <d v="1899-12-30T16:09:00"/>
    <s v="In-Stream Video"/>
    <s v="TJX"/>
    <s v="desktop"/>
    <s v="GEO,Frequency,Keyword,BrowserLanguage"/>
    <n v="35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792"/>
    <x v="218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802"/>
    <x v="219"/>
    <s v="nsfw"/>
    <d v="1899-12-30T16:09:00"/>
    <s v="In-Stream Video"/>
    <s v="TJX"/>
    <s v="desktop"/>
    <s v="GEO,Frequency,Keyword,BrowserLanguage"/>
    <n v="35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812"/>
    <x v="220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822"/>
    <x v="221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832"/>
    <x v="222"/>
    <s v="nsfw"/>
    <d v="1899-12-30T16:09:00"/>
    <s v="In-Stream Video"/>
    <s v="TJX"/>
    <s v="desktop"/>
    <s v="GEO,Frequency,Keyword,BrowserLanguage"/>
    <n v="356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842"/>
    <x v="22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2872"/>
    <x v="224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162"/>
    <x v="225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182"/>
    <x v="226"/>
    <s v="nsfw"/>
    <d v="1899-12-30T16:09:00"/>
    <s v="In-Stream Video"/>
    <s v="TJX"/>
    <s v="desktop"/>
    <s v="GEO,Frequency,BrowserLanguage"/>
    <n v="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202"/>
    <x v="227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212"/>
    <x v="228"/>
    <s v="nsfw"/>
    <d v="1899-12-30T16:09:00"/>
    <s v="In-Stream Video"/>
    <s v="TJX"/>
    <s v="mobile"/>
    <s v="GEO,Frequency,OS,BrowserLanguage"/>
    <n v="4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222"/>
    <x v="229"/>
    <s v="nsfw"/>
    <d v="1899-12-30T16:09:00"/>
    <s v="In-Stream Video"/>
    <s v="TJX"/>
    <s v="desktop"/>
    <s v="GEO,Frequency,BrowserLanguage"/>
    <n v="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242"/>
    <x v="230"/>
    <s v="nsfw"/>
    <d v="1899-12-30T16:09:00"/>
    <s v="In-Stream Video"/>
    <s v="TJX"/>
    <s v="desktop"/>
    <s v="GEO,Frequency,BrowserLanguage"/>
    <n v="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252"/>
    <x v="231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262"/>
    <x v="232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292"/>
    <x v="233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302"/>
    <x v="234"/>
    <s v="nsfw"/>
    <d v="1899-12-30T16:09:00"/>
    <s v="In-Stream Video"/>
    <s v="TJX"/>
    <s v="mobile"/>
    <s v="GEO,Frequency,OS,BrowserLanguage"/>
    <n v="4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312"/>
    <x v="235"/>
    <s v="nsfw"/>
    <d v="1899-12-30T16:09:00"/>
    <s v="In-Stream Video"/>
    <s v="TJX"/>
    <s v="desktop"/>
    <s v="GEO,Frequency,BrowserLanguage"/>
    <n v="16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5"/>
    <x v="0"/>
  </r>
  <r>
    <x v="0"/>
    <s v="PAUSED"/>
    <n v="1012703332"/>
    <x v="236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342"/>
    <x v="237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352"/>
    <x v="238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362"/>
    <x v="239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372"/>
    <x v="240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382"/>
    <x v="241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392"/>
    <x v="242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402"/>
    <x v="243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412"/>
    <x v="244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422"/>
    <x v="245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432"/>
    <x v="246"/>
    <s v="nsfw"/>
    <d v="1899-12-30T16:09:00"/>
    <s v="In-Stream Video"/>
    <s v="TJX"/>
    <s v="desktop"/>
    <s v="GEO,Frequency,Keyword,BrowserLanguage"/>
    <n v="404"/>
    <n v="0"/>
    <s v="Yes"/>
    <s v="Unlimited"/>
    <n v="0"/>
    <n v="0"/>
    <n v="0"/>
    <m/>
    <n v="0"/>
    <n v="0"/>
    <n v="0"/>
    <n v="0"/>
    <n v="1"/>
    <n v="0"/>
    <s v="Yes"/>
    <m/>
    <m/>
    <m/>
    <s v="Tests"/>
    <x v="0"/>
    <x v="9"/>
    <x v="0"/>
  </r>
  <r>
    <x v="0"/>
    <s v="PAUSED"/>
    <n v="1012703442"/>
    <x v="247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452"/>
    <x v="248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462"/>
    <x v="249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5"/>
    <x v="0"/>
  </r>
  <r>
    <x v="0"/>
    <s v="PAUSED"/>
    <n v="1012703472"/>
    <x v="250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482"/>
    <x v="251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492"/>
    <x v="252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502"/>
    <x v="253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512"/>
    <x v="254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522"/>
    <x v="255"/>
    <s v="nsfw"/>
    <d v="1899-12-30T16:09:00"/>
    <s v="In-Stream Video"/>
    <s v="TJX"/>
    <s v="desktop"/>
    <s v="GEO,Frequency,Keyword,BrowserLanguage"/>
    <n v="404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532"/>
    <x v="256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542"/>
    <x v="257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552"/>
    <x v="258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562"/>
    <x v="259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572"/>
    <x v="260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582"/>
    <x v="261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592"/>
    <x v="262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602"/>
    <x v="263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612"/>
    <x v="264"/>
    <s v="nsfw"/>
    <d v="1899-12-30T16:09:00"/>
    <s v="In-Stream Video"/>
    <s v="TJX"/>
    <s v="desktop"/>
    <s v="GEO,Frequency,Keyword,BrowserLanguage"/>
    <n v="212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622"/>
    <x v="265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632"/>
    <x v="266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642"/>
    <x v="267"/>
    <s v="nsfw"/>
    <d v="1899-12-30T16:09:00"/>
    <s v="In-Stream Video"/>
    <s v="TJX"/>
    <s v="desktop"/>
    <s v="GEO,Frequency,Keyword,BrowserLanguage"/>
    <n v="404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652"/>
    <x v="268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662"/>
    <x v="269"/>
    <s v="nsfw"/>
    <d v="1899-12-30T16:09:00"/>
    <s v="In-Stream Video"/>
    <s v="TJX"/>
    <s v="mobile"/>
    <s v="GEO,Frequency,Keyword,OS,BrowserLanguage"/>
    <n v="101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672"/>
    <x v="270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3682"/>
    <x v="271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7882"/>
    <x v="199"/>
    <s v="nsfw"/>
    <d v="1899-12-30T16:09:00"/>
    <s v="In-Stream Video"/>
    <s v="TJX"/>
    <s v="mobile"/>
    <s v="GEO,Frequency,Keyword,BrowserLanguage"/>
    <n v="298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7892"/>
    <x v="272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7912"/>
    <x v="273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7922"/>
    <x v="274"/>
    <s v="nsfw"/>
    <d v="1899-12-30T16:09:00"/>
    <s v="In-Stream Video"/>
    <s v="TJX"/>
    <s v="mobile"/>
    <s v="GEO,Frequency,Keyword,BrowserLanguage"/>
    <n v="598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07932"/>
    <x v="275"/>
    <s v="nsfw"/>
    <d v="1899-12-30T16:09:00"/>
    <s v="In-Stream Video"/>
    <s v="TJX"/>
    <s v="mobile"/>
    <s v="GEO,Frequency,Keyword,BrowserLanguage"/>
    <n v="598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692"/>
    <x v="276"/>
    <s v="nsfw"/>
    <d v="1899-12-30T16:09:00"/>
    <s v="In-Stream Video"/>
    <s v="TJX"/>
    <s v="mobile"/>
    <s v="GEO,Frequency,Keyword,OS,Browser,BrowserLanguage"/>
    <n v="105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702"/>
    <x v="27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722"/>
    <x v="278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732"/>
    <x v="279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742"/>
    <x v="280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752"/>
    <x v="281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762"/>
    <x v="282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772"/>
    <x v="283"/>
    <s v="nsfw"/>
    <d v="1899-12-30T16:09:00"/>
    <s v="In-Stream Video"/>
    <s v="TJX"/>
    <s v="mobile"/>
    <s v="GEO,Frequency,Keyword,OS,BrowserLanguage"/>
    <n v="57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782"/>
    <x v="284"/>
    <s v="nsfw"/>
    <d v="1899-12-30T16:09:00"/>
    <s v="In-Stream Video"/>
    <s v="TJX"/>
    <s v="desktop"/>
    <s v="GEO,Frequency,Keyword,BrowserLanguage"/>
    <n v="22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792"/>
    <x v="285"/>
    <s v="nsfw"/>
    <d v="1899-12-30T16:09:00"/>
    <s v="In-Stream Video"/>
    <s v="TJX"/>
    <s v="mobile"/>
    <s v="GEO,Frequency,Keyword,OS,BrowserLanguage"/>
    <n v="57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802"/>
    <x v="286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5"/>
    <x v="0"/>
  </r>
  <r>
    <x v="0"/>
    <s v="PAUSED"/>
    <n v="1012710812"/>
    <x v="287"/>
    <s v="nsfw"/>
    <d v="1899-12-30T16:09:00"/>
    <s v="In-Stream Video"/>
    <s v="TJX"/>
    <s v="desktop"/>
    <s v="GEO,Frequency,Keyword,BrowserLanguage"/>
    <n v="372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822"/>
    <x v="28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832"/>
    <x v="289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710842"/>
    <x v="290"/>
    <s v="nsfw"/>
    <d v="1899-12-30T16:09:00"/>
    <s v="In-Stream Video"/>
    <s v="TJX"/>
    <s v="desktop"/>
    <s v="GEO,Frequency,Keyword,BrowserLanguage"/>
    <n v="36"/>
    <n v="0"/>
    <s v="Yes"/>
    <s v="Unlimited"/>
    <n v="10741"/>
    <n v="379"/>
    <n v="3.52854"/>
    <n v="0"/>
    <n v="13.37"/>
    <n v="1.2450000000000001"/>
    <n v="3.5000000000000003E-2"/>
    <n v="0"/>
    <n v="1"/>
    <n v="0"/>
    <s v="Yes"/>
    <n v="10741"/>
    <n v="7728"/>
    <n v="1405"/>
    <s v="Missionary"/>
    <x v="0"/>
    <x v="3"/>
    <x v="0"/>
  </r>
  <r>
    <x v="0"/>
    <s v="PAUSED"/>
    <n v="1012710862"/>
    <x v="291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872"/>
    <x v="292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882"/>
    <x v="293"/>
    <s v="nsfw"/>
    <d v="1899-12-30T16:09:00"/>
    <s v="In-Stream Video"/>
    <s v="TJX"/>
    <s v="desktop"/>
    <s v="GEO,Frequency,Keyword,BrowserLanguage"/>
    <n v="22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  <x v="0"/>
  </r>
  <r>
    <x v="0"/>
    <s v="PAUSED"/>
    <n v="1012710892"/>
    <x v="294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902"/>
    <x v="295"/>
    <s v="nsfw"/>
    <d v="1899-12-30T16:09:00"/>
    <s v="In-Stream Video"/>
    <s v="TJX"/>
    <s v="mobile"/>
    <s v="GEO,Frequency,Keyword,OS,BrowserLanguage"/>
    <n v="57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912"/>
    <x v="296"/>
    <s v="nsfw"/>
    <d v="1899-12-30T16:09:00"/>
    <s v="In-Stream Video"/>
    <s v="TJX"/>
    <s v="desktop"/>
    <s v="GEO,Frequency,Keyword,BrowserLanguage"/>
    <n v="22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  <x v="0"/>
  </r>
  <r>
    <x v="0"/>
    <s v="PAUSED"/>
    <n v="1012710922"/>
    <x v="297"/>
    <s v="nsfw"/>
    <d v="1899-12-30T16:09:00"/>
    <s v="In-Stream Video"/>
    <s v="TJX"/>
    <s v="mobile"/>
    <s v="GEO,Frequency,Keyword,OS,BrowserLanguage"/>
    <n v="57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932"/>
    <x v="298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Missionary"/>
    <x v="0"/>
    <x v="10"/>
    <x v="0"/>
  </r>
  <r>
    <x v="0"/>
    <s v="PAUSED"/>
    <n v="1012710942"/>
    <x v="299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962"/>
    <x v="300"/>
    <s v="nsfw"/>
    <d v="1899-12-30T16:09:00"/>
    <s v="In-Stream Video"/>
    <s v="TJX"/>
    <s v="desktop"/>
    <s v="GEO,Frequency,Keyword,BrowserLanguage"/>
    <n v="372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972"/>
    <x v="301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0982"/>
    <x v="302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Ocean"/>
    <x v="0"/>
    <x v="8"/>
    <x v="0"/>
  </r>
  <r>
    <x v="0"/>
    <s v="PAUSED"/>
    <n v="1012710992"/>
    <x v="303"/>
    <s v="nsfw"/>
    <d v="1899-12-30T16:09:00"/>
    <s v="In-Stream Video"/>
    <s v="TJX"/>
    <s v="desktop"/>
    <s v="GEO,Frequency,Keyword,BrowserLanguage"/>
    <n v="37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1002"/>
    <x v="304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711012"/>
    <x v="305"/>
    <s v="nsfw"/>
    <d v="1899-12-30T16:09:00"/>
    <s v="In-Stream Video"/>
    <s v="TJX"/>
    <s v="mobile"/>
    <s v="GEO,Frequency,Keyword,OS,BrowserLanguage"/>
    <n v="810"/>
    <n v="0"/>
    <s v="Yes"/>
    <s v="Unlimited"/>
    <n v="1129"/>
    <n v="55"/>
    <n v="4.8715700000000002"/>
    <n v="0"/>
    <n v="1.61"/>
    <n v="1.4279999999999999"/>
    <n v="2.9000000000000001E-2"/>
    <n v="0"/>
    <n v="1"/>
    <n v="0"/>
    <s v="Yes"/>
    <n v="1130"/>
    <n v="992"/>
    <n v="102"/>
    <s v="Ocean"/>
    <x v="0"/>
    <x v="8"/>
    <x v="0"/>
  </r>
  <r>
    <x v="0"/>
    <s v="PAUSED"/>
    <n v="1012711022"/>
    <x v="306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711032"/>
    <x v="307"/>
    <s v="nsfw"/>
    <d v="1899-12-30T16:09:00"/>
    <s v="In-Stream Video"/>
    <s v="TJX"/>
    <s v="desktop"/>
    <s v="GEO,Frequency,Keyword,BrowserLanguage"/>
    <n v="372"/>
    <n v="0"/>
    <s v="Yes"/>
    <s v="Unlimited"/>
    <n v="2299"/>
    <n v="74"/>
    <n v="3.2187899999999998"/>
    <n v="0"/>
    <n v="7.02"/>
    <n v="3.0529999999999999"/>
    <n v="9.5000000000000001E-2"/>
    <n v="0"/>
    <n v="1"/>
    <n v="0"/>
    <s v="Yes"/>
    <n v="2300"/>
    <n v="1896"/>
    <n v="229"/>
    <s v="Ocean"/>
    <x v="0"/>
    <x v="3"/>
    <x v="0"/>
  </r>
  <r>
    <x v="0"/>
    <s v="PAUSED"/>
    <n v="1012711042"/>
    <x v="308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1052"/>
    <x v="309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1062"/>
    <x v="310"/>
    <s v="nsfw"/>
    <d v="1899-12-30T16:09:00"/>
    <s v="In-Stream Video"/>
    <s v="TJX"/>
    <s v="desktop"/>
    <s v="GEO,Frequency,Keyword,BrowserLanguage"/>
    <n v="37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1072"/>
    <x v="311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1082"/>
    <x v="312"/>
    <s v="nsfw"/>
    <d v="1899-12-30T16:09:00"/>
    <s v="In-Stream Video"/>
    <s v="TJX"/>
    <s v="mobile"/>
    <s v="GEO,Frequency,Keyword,BrowserLanguage"/>
    <n v="558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8322"/>
    <x v="313"/>
    <s v="nsfw"/>
    <d v="1899-12-30T16:09:00"/>
    <s v="In-Stream Video"/>
    <s v="TJX"/>
    <s v="mobile"/>
    <s v="GEO,Frequency,Keyword,BrowserLanguage"/>
    <n v="614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8332"/>
    <x v="314"/>
    <s v="nsfw"/>
    <d v="1899-12-30T16:09:00"/>
    <s v="In-Stream Video"/>
    <s v="TJX"/>
    <s v="mobile"/>
    <s v="GEO,Frequency,Keyword,BrowserLanguage"/>
    <n v="614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8342"/>
    <x v="315"/>
    <s v="nsfw"/>
    <d v="1899-12-30T16:09:00"/>
    <s v="In-Stream Video"/>
    <s v="TJX"/>
    <s v="mobile"/>
    <s v="GEO,Frequency,Keyword,BrowserLanguage"/>
    <n v="254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8362"/>
    <x v="316"/>
    <s v="nsfw"/>
    <d v="1899-12-30T16:09:00"/>
    <s v="In-Stream Video"/>
    <s v="TJX"/>
    <s v="mobile"/>
    <s v="GEO,Frequency,Keyword,BrowserLanguage"/>
    <n v="254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8372"/>
    <x v="317"/>
    <s v="nsfw"/>
    <d v="1899-12-30T16:09:00"/>
    <s v="In-Stream Video"/>
    <s v="TJX"/>
    <s v="mobile"/>
    <s v="GEO,Frequency,Keyword,BrowserLanguage"/>
    <n v="1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8382"/>
    <x v="318"/>
    <s v="nsfw"/>
    <d v="1899-12-30T16:09:00"/>
    <s v="In-Stream Video"/>
    <s v="TJX"/>
    <s v="mobile"/>
    <s v="GEO,Frequency,Keyword,BrowserLanguage"/>
    <n v="254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8502"/>
    <x v="319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8512"/>
    <x v="320"/>
    <s v="nsfw"/>
    <d v="1899-12-30T16:09:00"/>
    <s v="In-Stream Video"/>
    <s v="TJX"/>
    <s v="mobile"/>
    <s v="GEO,Frequency,Keyword,BrowserLanguage"/>
    <n v="254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9952"/>
    <x v="321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9972"/>
    <x v="322"/>
    <s v="nsfw"/>
    <d v="1899-12-30T16:09:00"/>
    <s v="In-Stream Video"/>
    <s v="TJX"/>
    <s v="mobile"/>
    <s v="GEO,Frequency,Keyword,BrowserLanguage"/>
    <n v="644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19982"/>
    <x v="323"/>
    <s v="nsfw"/>
    <d v="1899-12-30T16:09:00"/>
    <s v="In-Stream Video"/>
    <s v="TJX"/>
    <s v="mobile"/>
    <s v="GEO,Frequency,Keyword,BrowserLanguage"/>
    <n v="644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522"/>
    <x v="32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532"/>
    <x v="325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582"/>
    <x v="326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592"/>
    <x v="32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1"/>
    <x v="1"/>
    <x v="0"/>
  </r>
  <r>
    <x v="0"/>
    <s v="PAUSED"/>
    <n v="1012726602"/>
    <x v="32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612"/>
    <x v="32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622"/>
    <x v="330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642"/>
    <x v="33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652"/>
    <x v="332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662"/>
    <x v="333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672"/>
    <x v="33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682"/>
    <x v="335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692"/>
    <x v="336"/>
    <s v="nsfw"/>
    <d v="1899-12-30T16:09:00"/>
    <s v="In-Stream Video"/>
    <s v="TJX"/>
    <s v="desktop"/>
    <s v="GEO,Frequency,Keyword,BrowserLanguage"/>
    <n v="112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702"/>
    <x v="33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712"/>
    <x v="33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722"/>
    <x v="339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  <x v="0"/>
  </r>
  <r>
    <x v="0"/>
    <s v="PAUSED"/>
    <n v="1012726732"/>
    <x v="340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742"/>
    <x v="34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726752"/>
    <x v="342"/>
    <s v="nsfw"/>
    <d v="1899-12-30T16:09:00"/>
    <s v="In-Stream Video"/>
    <s v="TJX"/>
    <s v="desktop"/>
    <s v="GEO,Frequency,Keyword,BrowserLanguage"/>
    <n v="112"/>
    <n v="0"/>
    <s v="Yes"/>
    <s v="Unlimited"/>
    <n v="6559"/>
    <n v="244"/>
    <n v="3.7200799999999998"/>
    <n v="0"/>
    <n v="9.51"/>
    <n v="1.4490000000000001"/>
    <n v="3.9E-2"/>
    <n v="0"/>
    <n v="1"/>
    <n v="0"/>
    <s v="Yes"/>
    <n v="6559"/>
    <n v="4881"/>
    <n v="794"/>
    <s v="Threesome"/>
    <x v="0"/>
    <x v="3"/>
    <x v="0"/>
  </r>
  <r>
    <x v="0"/>
    <s v="PAUSED"/>
    <n v="1012726762"/>
    <x v="34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802"/>
    <x v="34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812"/>
    <x v="345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  <x v="0"/>
  </r>
  <r>
    <x v="0"/>
    <s v="PAUSED"/>
    <n v="1012726822"/>
    <x v="346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842"/>
    <x v="34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852"/>
    <x v="348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  <x v="0"/>
  </r>
  <r>
    <x v="0"/>
    <s v="PAUSED"/>
    <n v="1012726862"/>
    <x v="34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882"/>
    <x v="350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892"/>
    <x v="351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902"/>
    <x v="352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912"/>
    <x v="35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922"/>
    <x v="354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932"/>
    <x v="355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942"/>
    <x v="356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952"/>
    <x v="357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962"/>
    <x v="35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972"/>
    <x v="359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982"/>
    <x v="360"/>
    <s v="nsfw"/>
    <d v="1899-12-30T16:09:00"/>
    <s v="In-Stream Video"/>
    <s v="TJX"/>
    <s v="desktop"/>
    <s v="GEO,Frequency,Keyword,BrowserLanguage"/>
    <n v="112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6992"/>
    <x v="36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7002"/>
    <x v="362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727012"/>
    <x v="363"/>
    <s v="nsfw"/>
    <d v="1899-12-30T16:09:00"/>
    <s v="In-Stream Video"/>
    <s v="TJX"/>
    <s v="desktop"/>
    <s v="GEO,Frequency,Keyword,BrowserLanguage"/>
    <n v="112"/>
    <n v="0"/>
    <s v="No"/>
    <n v="150"/>
    <n v="1845"/>
    <n v="73"/>
    <n v="3.9566400000000002"/>
    <n v="0"/>
    <n v="3.64"/>
    <n v="1.9710000000000001"/>
    <n v="0.05"/>
    <n v="0"/>
    <n v="1"/>
    <n v="0"/>
    <s v="Yes"/>
    <n v="1845"/>
    <n v="1504"/>
    <n v="204"/>
    <s v="TransV2"/>
    <x v="0"/>
    <x v="6"/>
    <x v="0"/>
  </r>
  <r>
    <x v="0"/>
    <s v="PAUSED"/>
    <n v="1012727022"/>
    <x v="36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7032"/>
    <x v="365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727042"/>
    <x v="366"/>
    <s v="nsfw"/>
    <d v="1899-12-30T16:09:00"/>
    <s v="In-Stream Video"/>
    <s v="TJX"/>
    <s v="desktop"/>
    <s v="GEO,Frequency,Keyword,BrowserLanguage"/>
    <n v="160"/>
    <n v="0"/>
    <s v="Yes"/>
    <s v="Unlimited"/>
    <n v="7667"/>
    <n v="271"/>
    <n v="3.5346299999999999"/>
    <n v="0"/>
    <n v="22.88"/>
    <n v="2.984"/>
    <n v="8.4000000000000005E-2"/>
    <n v="0"/>
    <n v="1"/>
    <n v="0"/>
    <s v="Yes"/>
    <n v="7668"/>
    <n v="6230"/>
    <n v="721"/>
    <s v="TransV2"/>
    <x v="0"/>
    <x v="6"/>
    <x v="0"/>
  </r>
  <r>
    <x v="0"/>
    <s v="PAUSED"/>
    <n v="1012727052"/>
    <x v="36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7062"/>
    <x v="36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7072"/>
    <x v="369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7082"/>
    <x v="370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27092"/>
    <x v="37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6"/>
    <x v="0"/>
  </r>
  <r>
    <x v="0"/>
    <s v="RUNNING"/>
    <n v="1012727102"/>
    <x v="372"/>
    <s v="nsfw"/>
    <d v="1899-12-30T16:09:00"/>
    <s v="In-Stream Video"/>
    <s v="TJX"/>
    <s v="desktop"/>
    <s v="GEO,Frequency,Keyword,BrowserLanguage"/>
    <n v="112"/>
    <n v="0"/>
    <s v="Yes"/>
    <s v="Unlimited"/>
    <n v="4967"/>
    <n v="147"/>
    <n v="2.95953"/>
    <n v="0"/>
    <n v="10.66"/>
    <n v="2.1459999999999999"/>
    <n v="7.2999999999999995E-2"/>
    <n v="0"/>
    <n v="1"/>
    <n v="0"/>
    <s v="Yes"/>
    <n v="4967"/>
    <n v="3746"/>
    <n v="548"/>
    <s v="TransV2"/>
    <x v="0"/>
    <x v="6"/>
    <x v="0"/>
  </r>
  <r>
    <x v="0"/>
    <s v="PAUSED"/>
    <n v="1012727112"/>
    <x v="37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752"/>
    <x v="374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782"/>
    <x v="375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732792"/>
    <x v="376"/>
    <s v="nsfw"/>
    <d v="1899-12-30T16:09:00"/>
    <s v="In-Stream Video"/>
    <s v="TJX"/>
    <s v="mobile"/>
    <s v="GEO,Frequency,Keyword,BrowserLanguage"/>
    <n v="280"/>
    <n v="0"/>
    <s v="Yes"/>
    <s v="Unlimited"/>
    <n v="87"/>
    <n v="6"/>
    <n v="6.8965500000000004"/>
    <n v="0"/>
    <n v="0.13"/>
    <n v="1.448"/>
    <n v="2.1000000000000001E-2"/>
    <n v="0"/>
    <n v="1"/>
    <n v="0"/>
    <s v="Yes"/>
    <n v="87"/>
    <n v="74"/>
    <n v="10"/>
    <s v="Tests"/>
    <x v="0"/>
    <x v="3"/>
    <x v="0"/>
  </r>
  <r>
    <x v="0"/>
    <s v="PAUSED"/>
    <n v="1012732802"/>
    <x v="377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812"/>
    <x v="378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822"/>
    <x v="37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832"/>
    <x v="38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842"/>
    <x v="38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852"/>
    <x v="38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862"/>
    <x v="383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872"/>
    <x v="38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882"/>
    <x v="385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892"/>
    <x v="386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902"/>
    <x v="387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912"/>
    <x v="388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922"/>
    <x v="38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932"/>
    <x v="39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942"/>
    <x v="39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962"/>
    <x v="39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972"/>
    <x v="393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982"/>
    <x v="39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2992"/>
    <x v="395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002"/>
    <x v="396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012"/>
    <x v="397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022"/>
    <x v="17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032"/>
    <x v="398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042"/>
    <x v="39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052"/>
    <x v="40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062"/>
    <x v="401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072"/>
    <x v="40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082"/>
    <x v="403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Tests"/>
    <x v="0"/>
    <x v="9"/>
    <x v="0"/>
  </r>
  <r>
    <x v="0"/>
    <s v="PAUSED"/>
    <n v="1012733092"/>
    <x v="40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112"/>
    <x v="405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Tests"/>
    <x v="0"/>
    <x v="9"/>
    <x v="0"/>
  </r>
  <r>
    <x v="0"/>
    <s v="PAUSED"/>
    <n v="1012733122"/>
    <x v="406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132"/>
    <x v="407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142"/>
    <x v="408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152"/>
    <x v="40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172"/>
    <x v="41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182"/>
    <x v="41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192"/>
    <x v="41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212"/>
    <x v="413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Tests"/>
    <x v="0"/>
    <x v="9"/>
    <x v="0"/>
  </r>
  <r>
    <x v="0"/>
    <s v="PAUSED"/>
    <n v="1012733222"/>
    <x v="41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232"/>
    <x v="18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242"/>
    <x v="415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252"/>
    <x v="416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262"/>
    <x v="417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272"/>
    <x v="418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282"/>
    <x v="41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292"/>
    <x v="420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302"/>
    <x v="42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312"/>
    <x v="42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322"/>
    <x v="42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Marvel"/>
    <x v="0"/>
    <x v="11"/>
    <x v="0"/>
  </r>
  <r>
    <x v="0"/>
    <s v="PAUSED"/>
    <n v="1012733332"/>
    <x v="42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342"/>
    <x v="425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352"/>
    <x v="426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522"/>
    <x v="427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532"/>
    <x v="428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542"/>
    <x v="42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33562"/>
    <x v="43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733572"/>
    <x v="431"/>
    <s v="nsfw"/>
    <d v="1899-12-30T16:09:00"/>
    <s v="In-Stream Video"/>
    <s v="TJX"/>
    <s v="mobile"/>
    <s v="GEO,Frequency,Keyword,BrowserLanguage"/>
    <n v="280"/>
    <n v="0"/>
    <s v="Yes"/>
    <s v="Unlimited"/>
    <n v="106"/>
    <n v="3"/>
    <n v="2.83019"/>
    <n v="0"/>
    <n v="0.17"/>
    <n v="1.5840000000000001"/>
    <n v="5.6000000000000001E-2"/>
    <n v="0"/>
    <n v="1"/>
    <n v="0"/>
    <s v="Yes"/>
    <n v="106"/>
    <n v="99"/>
    <n v="3"/>
    <s v="Tests"/>
    <x v="0"/>
    <x v="3"/>
    <x v="0"/>
  </r>
  <r>
    <x v="0"/>
    <s v="PAUSED"/>
    <n v="1012741762"/>
    <x v="60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41772"/>
    <x v="432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41792"/>
    <x v="433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232"/>
    <x v="434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242"/>
    <x v="435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252"/>
    <x v="43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262"/>
    <x v="437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272"/>
    <x v="43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282"/>
    <x v="439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292"/>
    <x v="440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302"/>
    <x v="441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312"/>
    <x v="442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322"/>
    <x v="44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332"/>
    <x v="444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342"/>
    <x v="445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352"/>
    <x v="42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11"/>
    <x v="0"/>
  </r>
  <r>
    <x v="0"/>
    <s v="PAUSED"/>
    <n v="1012750362"/>
    <x v="446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Marvel"/>
    <x v="0"/>
    <x v="11"/>
    <x v="0"/>
  </r>
  <r>
    <x v="0"/>
    <s v="RUNNING"/>
    <n v="1012750372"/>
    <x v="447"/>
    <s v="nsfw"/>
    <d v="1899-12-30T16:09:00"/>
    <s v="In-Stream Video"/>
    <s v="TJX"/>
    <s v="desktop"/>
    <s v="GEO,Frequency,Keyword,BrowserLanguage"/>
    <n v="112"/>
    <n v="0"/>
    <s v="Yes"/>
    <s v="Unlimited"/>
    <n v="5118"/>
    <n v="246"/>
    <n v="4.8065699999999998"/>
    <n v="0"/>
    <n v="15.09"/>
    <n v="2.948"/>
    <n v="6.0999999999999999E-2"/>
    <n v="0"/>
    <n v="1"/>
    <n v="0"/>
    <s v="Yes"/>
    <n v="5117"/>
    <n v="3922"/>
    <n v="492"/>
    <s v="Marvel"/>
    <x v="0"/>
    <x v="3"/>
    <x v="0"/>
  </r>
  <r>
    <x v="0"/>
    <s v="PAUSED"/>
    <n v="1012750382"/>
    <x v="448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Marvel"/>
    <x v="0"/>
    <x v="11"/>
    <x v="0"/>
  </r>
  <r>
    <x v="0"/>
    <s v="RUNNING"/>
    <n v="1012750392"/>
    <x v="449"/>
    <s v="nsfw"/>
    <d v="1899-12-30T16:09:00"/>
    <s v="In-Stream Video"/>
    <s v="TJX"/>
    <s v="mobile"/>
    <s v="GEO,Frequency,Keyword,OS,BrowserLanguage"/>
    <n v="280"/>
    <n v="0"/>
    <s v="Yes"/>
    <s v="Unlimited"/>
    <n v="397"/>
    <n v="18"/>
    <n v="4.5340100000000003"/>
    <n v="0"/>
    <n v="0.75"/>
    <n v="1.8939999999999999"/>
    <n v="4.2000000000000003E-2"/>
    <n v="0"/>
    <n v="1"/>
    <n v="0"/>
    <s v="Yes"/>
    <n v="397"/>
    <n v="364"/>
    <n v="22"/>
    <s v="Marvel"/>
    <x v="0"/>
    <x v="3"/>
    <x v="0"/>
  </r>
  <r>
    <x v="0"/>
    <s v="RUNNING"/>
    <n v="1012750402"/>
    <x v="450"/>
    <s v="nsfw"/>
    <d v="1899-12-30T16:09:00"/>
    <s v="In-Stream Video"/>
    <s v="TJX"/>
    <s v="mobile"/>
    <s v="GEO,Frequency,Keyword,OS,BrowserLanguage"/>
    <n v="280"/>
    <n v="0"/>
    <s v="Yes"/>
    <s v="Unlimited"/>
    <n v="2947"/>
    <n v="230"/>
    <n v="7.8045499999999999"/>
    <n v="0"/>
    <n v="3.45"/>
    <n v="1.17"/>
    <n v="1.4999999999999999E-2"/>
    <n v="0"/>
    <n v="1"/>
    <n v="0"/>
    <s v="Yes"/>
    <n v="2947"/>
    <n v="2642"/>
    <n v="209"/>
    <s v="Marvel"/>
    <x v="0"/>
    <x v="3"/>
    <x v="0"/>
  </r>
  <r>
    <x v="0"/>
    <s v="PAUSED"/>
    <n v="1012750412"/>
    <x v="45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422"/>
    <x v="452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Marvel"/>
    <x v="0"/>
    <x v="11"/>
    <x v="0"/>
  </r>
  <r>
    <x v="0"/>
    <s v="RUNNING"/>
    <n v="1012750432"/>
    <x v="453"/>
    <s v="nsfw"/>
    <d v="1899-12-30T16:09:00"/>
    <s v="In-Stream Video"/>
    <s v="TJX"/>
    <s v="desktop"/>
    <s v="GEO,Frequency,Keyword,BrowserLanguage"/>
    <n v="112"/>
    <n v="0"/>
    <s v="Yes"/>
    <s v="Unlimited"/>
    <n v="3436"/>
    <n v="181"/>
    <n v="5.2677500000000004"/>
    <n v="1"/>
    <n v="10.02"/>
    <n v="2.9159999999999999"/>
    <n v="5.5E-2"/>
    <n v="10.02"/>
    <n v="1"/>
    <n v="0"/>
    <s v="Yes"/>
    <n v="3432"/>
    <n v="2564"/>
    <n v="347"/>
    <s v="Marvel"/>
    <x v="0"/>
    <x v="3"/>
    <x v="0"/>
  </r>
  <r>
    <x v="0"/>
    <s v="RUNNING"/>
    <n v="1012750442"/>
    <x v="454"/>
    <s v="nsfw"/>
    <d v="1899-12-30T16:09:00"/>
    <s v="In-Stream Video"/>
    <s v="TJX"/>
    <s v="desktop"/>
    <s v="GEO,Frequency,Keyword,BrowserLanguage"/>
    <n v="112"/>
    <n v="0"/>
    <s v="Yes"/>
    <s v="Unlimited"/>
    <n v="396"/>
    <n v="15"/>
    <n v="3.7878799999999999"/>
    <n v="0"/>
    <n v="1.1299999999999999"/>
    <n v="2.86"/>
    <n v="7.5999999999999998E-2"/>
    <n v="0"/>
    <n v="1"/>
    <n v="0"/>
    <s v="Yes"/>
    <n v="396"/>
    <n v="291"/>
    <n v="39"/>
    <s v="Marvel"/>
    <x v="0"/>
    <x v="3"/>
    <x v="0"/>
  </r>
  <r>
    <x v="0"/>
    <s v="RUNNING"/>
    <n v="1012750452"/>
    <x v="455"/>
    <s v="nsfw"/>
    <d v="1899-12-30T16:09:00"/>
    <s v="In-Stream Video"/>
    <s v="TJX"/>
    <s v="mobile"/>
    <s v="GEO,Frequency,Keyword,OS,BrowserLanguage"/>
    <n v="280"/>
    <n v="0"/>
    <s v="Yes"/>
    <s v="Unlimited"/>
    <n v="61"/>
    <n v="4"/>
    <n v="6.5573800000000002"/>
    <n v="0"/>
    <n v="0.12"/>
    <n v="1.9159999999999999"/>
    <n v="2.9000000000000001E-2"/>
    <n v="0"/>
    <n v="1"/>
    <n v="0"/>
    <s v="Yes"/>
    <n v="61"/>
    <n v="58"/>
    <n v="2"/>
    <s v="Marvel"/>
    <x v="0"/>
    <x v="3"/>
    <x v="0"/>
  </r>
  <r>
    <x v="0"/>
    <s v="PAUSED"/>
    <n v="1012750462"/>
    <x v="45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472"/>
    <x v="45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482"/>
    <x v="45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Marvel"/>
    <x v="0"/>
    <x v="11"/>
    <x v="0"/>
  </r>
  <r>
    <x v="0"/>
    <s v="PAUSED"/>
    <n v="1012750492"/>
    <x v="459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Marvel"/>
    <x v="0"/>
    <x v="11"/>
    <x v="0"/>
  </r>
  <r>
    <x v="0"/>
    <s v="PAUSED"/>
    <n v="1012750502"/>
    <x v="460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512"/>
    <x v="461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750522"/>
    <x v="462"/>
    <s v="nsfw"/>
    <d v="1899-12-30T16:09:00"/>
    <s v="In-Stream Video"/>
    <s v="TJX"/>
    <s v="mobile"/>
    <s v="GEO,Frequency,Keyword,OS,BrowserLanguage"/>
    <n v="280"/>
    <n v="0"/>
    <s v="Yes"/>
    <s v="Unlimited"/>
    <n v="1165"/>
    <n v="63"/>
    <n v="5.4077299999999999"/>
    <n v="0"/>
    <n v="2.13"/>
    <n v="1.8260000000000001"/>
    <n v="3.4000000000000002E-2"/>
    <n v="0"/>
    <n v="1"/>
    <n v="0"/>
    <s v="Yes"/>
    <n v="1166"/>
    <n v="1041"/>
    <n v="84"/>
    <s v="Ocean"/>
    <x v="0"/>
    <x v="3"/>
    <x v="0"/>
  </r>
  <r>
    <x v="0"/>
    <s v="PAUSED"/>
    <n v="1012750532"/>
    <x v="46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Ocean"/>
    <x v="0"/>
    <x v="8"/>
    <x v="0"/>
  </r>
  <r>
    <x v="0"/>
    <s v="PAUSED"/>
    <n v="1012750542"/>
    <x v="46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Ocean"/>
    <x v="0"/>
    <x v="8"/>
    <x v="0"/>
  </r>
  <r>
    <x v="0"/>
    <s v="PAUSED"/>
    <n v="1012750552"/>
    <x v="465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562"/>
    <x v="466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Ocean"/>
    <x v="0"/>
    <x v="8"/>
    <x v="0"/>
  </r>
  <r>
    <x v="0"/>
    <s v="RUNNING"/>
    <n v="1012750572"/>
    <x v="467"/>
    <s v="nsfw"/>
    <d v="1899-12-30T16:09:00"/>
    <s v="In-Stream Video"/>
    <s v="TJX"/>
    <s v="mobile"/>
    <s v="GEO,Frequency,Keyword,OS,BrowserLanguage"/>
    <n v="280"/>
    <n v="0"/>
    <s v="Yes"/>
    <s v="Unlimited"/>
    <n v="403"/>
    <n v="24"/>
    <n v="5.95533"/>
    <n v="0"/>
    <n v="0.77"/>
    <n v="1.8979999999999999"/>
    <n v="3.2000000000000001E-2"/>
    <n v="0"/>
    <n v="1"/>
    <n v="0"/>
    <s v="Yes"/>
    <n v="403"/>
    <n v="373"/>
    <n v="17"/>
    <s v="Ocean"/>
    <x v="0"/>
    <x v="3"/>
    <x v="0"/>
  </r>
  <r>
    <x v="0"/>
    <s v="PAUSED"/>
    <n v="1012750582"/>
    <x v="46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592"/>
    <x v="469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602"/>
    <x v="470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612"/>
    <x v="471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622"/>
    <x v="472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632"/>
    <x v="47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642"/>
    <x v="47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652"/>
    <x v="475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662"/>
    <x v="47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672"/>
    <x v="477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682"/>
    <x v="478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692"/>
    <x v="47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702"/>
    <x v="480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750712"/>
    <x v="481"/>
    <s v="nsfw"/>
    <d v="1899-12-30T16:09:00"/>
    <s v="In-Stream Video"/>
    <s v="TJX"/>
    <s v="mobile"/>
    <s v="GEO,Frequency,Keyword,OS,BrowserLanguage"/>
    <n v="280"/>
    <n v="0"/>
    <s v="No"/>
    <n v="250"/>
    <n v="735"/>
    <n v="38"/>
    <n v="5.1700699999999999"/>
    <n v="0"/>
    <n v="1.1200000000000001"/>
    <n v="1.5209999999999999"/>
    <n v="2.9000000000000001E-2"/>
    <n v="0"/>
    <n v="1"/>
    <n v="0"/>
    <s v="Yes"/>
    <n v="735"/>
    <n v="655"/>
    <n v="64"/>
    <s v="Ocean"/>
    <x v="0"/>
    <x v="8"/>
    <x v="0"/>
  </r>
  <r>
    <x v="0"/>
    <s v="PAUSED"/>
    <n v="1012750722"/>
    <x v="482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732"/>
    <x v="483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Ocean"/>
    <x v="0"/>
    <x v="8"/>
    <x v="0"/>
  </r>
  <r>
    <x v="0"/>
    <s v="PAUSED"/>
    <n v="1012750742"/>
    <x v="484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752"/>
    <x v="485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762"/>
    <x v="48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782"/>
    <x v="487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792"/>
    <x v="48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750802"/>
    <x v="489"/>
    <s v="nsfw"/>
    <d v="1899-12-30T16:09:00"/>
    <s v="In-Stream Video"/>
    <s v="TJX"/>
    <s v="desktop"/>
    <s v="GEO,Frequency,Keyword,BrowserLanguage"/>
    <n v="112"/>
    <n v="0"/>
    <s v="No"/>
    <n v="250"/>
    <n v="241"/>
    <n v="7"/>
    <n v="2.90456"/>
    <n v="0"/>
    <n v="0.69"/>
    <n v="2.85"/>
    <n v="9.8000000000000004E-2"/>
    <n v="0"/>
    <n v="1"/>
    <n v="0"/>
    <s v="Yes"/>
    <n v="241"/>
    <n v="196"/>
    <n v="27"/>
    <s v="Ocean"/>
    <x v="0"/>
    <x v="3"/>
    <x v="0"/>
  </r>
  <r>
    <x v="0"/>
    <s v="PAUSED"/>
    <n v="1012750812"/>
    <x v="490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822"/>
    <x v="491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832"/>
    <x v="492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842"/>
    <x v="49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852"/>
    <x v="49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862"/>
    <x v="495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882"/>
    <x v="496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892"/>
    <x v="497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902"/>
    <x v="49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912"/>
    <x v="499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922"/>
    <x v="500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932"/>
    <x v="501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942"/>
    <x v="502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952"/>
    <x v="50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0962"/>
    <x v="504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750972"/>
    <x v="505"/>
    <s v="nsfw"/>
    <d v="1899-12-30T16:09:00"/>
    <s v="In-Stream Video"/>
    <s v="TJX"/>
    <s v="desktop"/>
    <s v="GEO,Frequency,Keyword,BrowserLanguage"/>
    <n v="112"/>
    <n v="0"/>
    <s v="Yes"/>
    <s v="Unlimited"/>
    <n v="970"/>
    <n v="28"/>
    <n v="2.8866000000000001"/>
    <n v="0"/>
    <n v="2.76"/>
    <n v="2.8410000000000002"/>
    <n v="9.8000000000000004E-2"/>
    <n v="0"/>
    <n v="1"/>
    <n v="0"/>
    <s v="Yes"/>
    <n v="970"/>
    <n v="789"/>
    <n v="113"/>
    <s v="Ocean"/>
    <x v="0"/>
    <x v="3"/>
    <x v="0"/>
  </r>
  <r>
    <x v="0"/>
    <s v="RUNNING"/>
    <n v="1012750982"/>
    <x v="506"/>
    <s v="nsfw"/>
    <d v="1899-12-30T16:09:00"/>
    <s v="In-Stream Video"/>
    <s v="TJX"/>
    <s v="mobile"/>
    <s v="GEO,Frequency,Keyword,OS,BrowserLanguage"/>
    <n v="280"/>
    <n v="0"/>
    <s v="No"/>
    <n v="250"/>
    <n v="374"/>
    <n v="35"/>
    <n v="9.3582900000000002"/>
    <n v="0"/>
    <n v="0.56999999999999995"/>
    <n v="1.528"/>
    <n v="1.6E-2"/>
    <n v="0"/>
    <n v="1"/>
    <n v="0"/>
    <s v="Yes"/>
    <n v="374"/>
    <n v="322"/>
    <n v="39"/>
    <s v="Ocean"/>
    <x v="0"/>
    <x v="3"/>
    <x v="0"/>
  </r>
  <r>
    <x v="0"/>
    <s v="PAUSED"/>
    <n v="1012750992"/>
    <x v="50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1002"/>
    <x v="50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1012"/>
    <x v="509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751022"/>
    <x v="510"/>
    <s v="nsfw"/>
    <d v="1899-12-30T16:09:00"/>
    <s v="In-Stream Video"/>
    <s v="TJX"/>
    <s v="desktop"/>
    <s v="GEO,Frequency,Keyword,BrowserLanguage"/>
    <n v="112"/>
    <n v="0"/>
    <s v="Yes"/>
    <s v="Unlimited"/>
    <n v="4104"/>
    <n v="173"/>
    <n v="4.2153999999999998"/>
    <n v="0"/>
    <n v="12.06"/>
    <n v="2.9390000000000001"/>
    <n v="7.0000000000000007E-2"/>
    <n v="0"/>
    <n v="1"/>
    <n v="0"/>
    <s v="Yes"/>
    <n v="4103"/>
    <n v="3343"/>
    <n v="360"/>
    <s v="Ocean"/>
    <x v="0"/>
    <x v="3"/>
    <x v="0"/>
  </r>
  <r>
    <x v="0"/>
    <s v="PAUSED"/>
    <n v="1012751032"/>
    <x v="511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751042"/>
    <x v="512"/>
    <s v="nsfw"/>
    <d v="1899-12-30T16:09:00"/>
    <s v="In-Stream Video"/>
    <s v="TJX"/>
    <s v="mobile"/>
    <s v="GEO,Frequency,Keyword,OS,BrowserLanguage"/>
    <n v="280"/>
    <n v="0"/>
    <s v="Yes"/>
    <s v="Unlimited"/>
    <n v="3498"/>
    <n v="157"/>
    <n v="4.48827"/>
    <n v="0"/>
    <n v="6.09"/>
    <n v="1.74"/>
    <n v="3.9E-2"/>
    <n v="0"/>
    <n v="1"/>
    <n v="0"/>
    <s v="Yes"/>
    <n v="3497"/>
    <n v="3140"/>
    <n v="254"/>
    <s v="Ocean"/>
    <x v="0"/>
    <x v="3"/>
    <x v="0"/>
  </r>
  <r>
    <x v="0"/>
    <s v="PAUSED"/>
    <n v="1012751052"/>
    <x v="513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1062"/>
    <x v="514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1072"/>
    <x v="515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1082"/>
    <x v="516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1092"/>
    <x v="517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1102"/>
    <x v="51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1112"/>
    <x v="51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1332"/>
    <x v="520"/>
    <s v="nsfw"/>
    <d v="1899-12-30T09:16:00"/>
    <s v="In-Stream Video"/>
    <s v="TJX"/>
    <s v="mobile"/>
    <s v="GEO,Frequency,OS,BrowserLanguage"/>
    <n v="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51342"/>
    <x v="521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5"/>
    <x v="0"/>
  </r>
  <r>
    <x v="0"/>
    <s v="PAUSED"/>
    <n v="1012751352"/>
    <x v="522"/>
    <s v="nsfw"/>
    <d v="1899-12-30T09:16:00"/>
    <s v="In-Stream Video"/>
    <s v="TJX"/>
    <s v="mobile"/>
    <s v="GEO,Frequency,OS,BrowserLanguage"/>
    <n v="8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69582"/>
    <x v="523"/>
    <s v="nsfw"/>
    <s v="640 x 360"/>
    <s v="Display"/>
    <s v="TJX"/>
    <s v="mobile"/>
    <s v="GEO,Frequency,Keyword,BrowserLanguage"/>
    <n v="416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69592"/>
    <x v="192"/>
    <s v="nsfw"/>
    <s v="640 x 360"/>
    <s v="Display"/>
    <s v="TJX"/>
    <s v="mobile"/>
    <s v="GEO,Frequency,Keyword,BrowserLanguage"/>
    <n v="4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69602"/>
    <x v="524"/>
    <s v="nsfw"/>
    <s v="640 x 360"/>
    <s v="Display"/>
    <s v="TJX"/>
    <s v="mobile"/>
    <s v="GEO,Frequency,Keyword,BrowserLanguage"/>
    <n v="416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69612"/>
    <x v="525"/>
    <s v="nsfw"/>
    <s v="640 x 360"/>
    <s v="Display"/>
    <s v="TJX"/>
    <s v="mobile"/>
    <s v="GEO,Frequency,Keyword,BrowserLanguage"/>
    <n v="4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69622"/>
    <x v="526"/>
    <s v="nsfw"/>
    <s v="640 x 360"/>
    <s v="Display"/>
    <s v="TJX"/>
    <s v="mobile"/>
    <s v="GEO,Frequency,Keyword,BrowserLanguage"/>
    <n v="416"/>
    <n v="0"/>
    <s v="No"/>
    <n v="1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69632"/>
    <x v="527"/>
    <s v="nsfw"/>
    <s v="640 x 360"/>
    <s v="Display"/>
    <s v="TJX"/>
    <s v="mobile"/>
    <s v="GEO,Frequency,Keyword,BrowserLanguage"/>
    <n v="41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722"/>
    <x v="528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732"/>
    <x v="529"/>
    <s v="nsfw"/>
    <d v="1899-12-30T16:09:00"/>
    <s v="In-Stream Video"/>
    <s v="TJX"/>
    <s v="desktop"/>
    <s v="GEO,Frequency,Keyword,BrowserLanguage"/>
    <n v="208"/>
    <n v="0"/>
    <s v="Yes"/>
    <s v="Unlimited"/>
    <n v="0"/>
    <n v="0"/>
    <n v="0"/>
    <m/>
    <n v="0"/>
    <n v="0"/>
    <n v="0"/>
    <n v="0"/>
    <n v="1"/>
    <n v="0"/>
    <s v="Yes"/>
    <m/>
    <m/>
    <m/>
    <s v="TransV2"/>
    <x v="0"/>
    <x v="6"/>
    <x v="0"/>
  </r>
  <r>
    <x v="0"/>
    <s v="PAUSED"/>
    <n v="1012772742"/>
    <x v="530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752"/>
    <x v="531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762"/>
    <x v="53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772"/>
    <x v="533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782"/>
    <x v="534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3"/>
    <x v="0"/>
  </r>
  <r>
    <x v="0"/>
    <s v="PAUSED"/>
    <n v="1012772792"/>
    <x v="535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802"/>
    <x v="53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812"/>
    <x v="537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3"/>
    <x v="0"/>
  </r>
  <r>
    <x v="0"/>
    <s v="PAUSED"/>
    <n v="1012772872"/>
    <x v="538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882"/>
    <x v="539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892"/>
    <x v="54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902"/>
    <x v="54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912"/>
    <x v="542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922"/>
    <x v="543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932"/>
    <x v="544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lowjob"/>
    <x v="0"/>
    <x v="3"/>
    <x v="0"/>
  </r>
  <r>
    <x v="0"/>
    <s v="PAUSED"/>
    <n v="1012772942"/>
    <x v="545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5"/>
    <x v="0"/>
  </r>
  <r>
    <x v="0"/>
    <s v="PAUSED"/>
    <n v="1012772952"/>
    <x v="54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962"/>
    <x v="547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972"/>
    <x v="54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982"/>
    <x v="54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2992"/>
    <x v="550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3002"/>
    <x v="55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3012"/>
    <x v="552"/>
    <s v="nsfw"/>
    <d v="1899-12-30T16:09:00"/>
    <s v="In-Stream Video"/>
    <s v="TJX"/>
    <s v="mobile"/>
    <s v="GEO,Frequency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3022"/>
    <x v="553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3032"/>
    <x v="554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3042"/>
    <x v="555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  <x v="0"/>
  </r>
  <r>
    <x v="0"/>
    <s v="PAUSED"/>
    <n v="1012773052"/>
    <x v="556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773062"/>
    <x v="557"/>
    <s v="nsfw"/>
    <d v="1899-12-30T16:09:00"/>
    <s v="In-Stream Video"/>
    <s v="TJX"/>
    <s v="mobile"/>
    <s v="GEO,Frequency,Keyword,OS,BrowserLanguage"/>
    <n v="280"/>
    <n v="0"/>
    <s v="Yes"/>
    <s v="Unlimited"/>
    <n v="339"/>
    <n v="17"/>
    <n v="5.0147500000000003"/>
    <n v="0"/>
    <n v="0.57999999999999996"/>
    <n v="1.722"/>
    <n v="3.4000000000000002E-2"/>
    <n v="0"/>
    <n v="1"/>
    <n v="0"/>
    <s v="Yes"/>
    <n v="339"/>
    <n v="308"/>
    <n v="14"/>
    <s v="Hentai"/>
    <x v="0"/>
    <x v="12"/>
    <x v="0"/>
  </r>
  <r>
    <x v="0"/>
    <s v="PAUSED"/>
    <n v="1012773072"/>
    <x v="55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3082"/>
    <x v="55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73092"/>
    <x v="560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773102"/>
    <x v="561"/>
    <s v="nsfw"/>
    <d v="1899-12-30T16:09:00"/>
    <s v="In-Stream Video"/>
    <s v="TJX"/>
    <s v="mobile"/>
    <s v="GEO,Frequency,Keyword,OS,BrowserLanguage"/>
    <n v="130"/>
    <n v="0"/>
    <s v="Yes"/>
    <s v="Unlimited"/>
    <n v="9876"/>
    <n v="779"/>
    <n v="7.88781"/>
    <n v="0"/>
    <n v="19.91"/>
    <n v="2.016"/>
    <n v="2.5999999999999999E-2"/>
    <n v="0"/>
    <n v="1"/>
    <n v="0"/>
    <s v="No"/>
    <n v="9869"/>
    <n v="8944"/>
    <n v="637"/>
    <s v="Furry"/>
    <x v="0"/>
    <x v="3"/>
    <x v="0"/>
  </r>
  <r>
    <x v="0"/>
    <s v="RUNNING"/>
    <n v="1012773112"/>
    <x v="562"/>
    <s v="nsfw"/>
    <d v="1899-12-30T16:09:00"/>
    <s v="In-Stream Video"/>
    <s v="TJX"/>
    <s v="mobile"/>
    <s v="GEO,Frequency,OS,BrowserLanguage,Segment"/>
    <n v="370"/>
    <n v="0"/>
    <s v="Yes"/>
    <s v="Unlimited"/>
    <n v="7219"/>
    <n v="348"/>
    <n v="4.8206100000000003"/>
    <n v="2"/>
    <n v="18.399999999999999"/>
    <n v="2.5489999999999999"/>
    <n v="5.2999999999999999E-2"/>
    <n v="9.1999999999999993"/>
    <n v="1"/>
    <n v="0"/>
    <s v="Yes"/>
    <n v="7217"/>
    <n v="6430"/>
    <n v="582"/>
    <s v="AI"/>
    <x v="0"/>
    <x v="0"/>
    <x v="0"/>
  </r>
  <r>
    <x v="0"/>
    <s v="RUNNING"/>
    <n v="1012773122"/>
    <x v="563"/>
    <s v="nsfw"/>
    <d v="1899-12-30T16:09:00"/>
    <s v="In-Stream Video"/>
    <s v="TJX"/>
    <s v="mobile"/>
    <s v="GEO,Frequency,OS,BrowserLanguage,Segment"/>
    <n v="370"/>
    <n v="0"/>
    <s v="Yes"/>
    <s v="Unlimited"/>
    <n v="7669"/>
    <n v="427"/>
    <n v="5.5678700000000001"/>
    <n v="0"/>
    <n v="18.88"/>
    <n v="2.4609999999999999"/>
    <n v="4.3999999999999997E-2"/>
    <n v="0"/>
    <n v="1"/>
    <n v="0"/>
    <s v="Yes"/>
    <n v="7667"/>
    <n v="6758"/>
    <n v="679"/>
    <s v="AI"/>
    <x v="0"/>
    <x v="0"/>
    <x v="0"/>
  </r>
  <r>
    <x v="0"/>
    <s v="PAUSED"/>
    <n v="1012797382"/>
    <x v="564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97402"/>
    <x v="536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97422"/>
    <x v="248"/>
    <s v="nsfw"/>
    <d v="1899-12-30T16:09:00"/>
    <s v="In-Stream Video"/>
    <s v="TJX"/>
    <s v="mobile"/>
    <s v="GEO,Frequency,Keyword,OS,Browser,BrowserLanguage"/>
    <n v="30"/>
    <n v="0"/>
    <s v="No"/>
    <n v="10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97432"/>
    <x v="565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97442"/>
    <x v="269"/>
    <s v="nsfw"/>
    <d v="1899-12-30T16:09:00"/>
    <s v="In-Stream Video"/>
    <s v="TJX"/>
    <s v="mobile"/>
    <s v="GEO,Frequency,Keyword,OS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97452"/>
    <x v="352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797462"/>
    <x v="566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5"/>
    <x v="0"/>
  </r>
  <r>
    <x v="0"/>
    <s v="PAUSED"/>
    <n v="1012797472"/>
    <x v="343"/>
    <s v="nsfw"/>
    <d v="1899-12-30T16:09:00"/>
    <s v="In-Stream Video"/>
    <s v="TJX"/>
    <s v="mobile"/>
    <s v="GEO,Frequency,Keyword,OS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00202"/>
    <x v="567"/>
    <s v="nsfw"/>
    <d v="1899-12-30T16:09:00"/>
    <s v="In-Stream Video"/>
    <s v="TJX"/>
    <s v="mobile"/>
    <s v="GEO,Frequency,Keyword,OS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00212"/>
    <x v="568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Ocean"/>
    <x v="0"/>
    <x v="8"/>
    <x v="0"/>
  </r>
  <r>
    <x v="0"/>
    <s v="PAUSED"/>
    <n v="1012800222"/>
    <x v="569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00232"/>
    <x v="570"/>
    <s v="nsfw"/>
    <d v="1899-12-30T16:09:00"/>
    <s v="In-Stream Video"/>
    <s v="TJX"/>
    <s v="mobile"/>
    <s v="GEO,Frequency,Keyword,OS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00242"/>
    <x v="571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00252"/>
    <x v="572"/>
    <s v="nsfw"/>
    <d v="1899-12-30T16:09:00"/>
    <s v="In-Stream Video"/>
    <s v="TJX"/>
    <s v="mobile"/>
    <s v="GEO,Frequency,Keyword,OS,Browser,BrowserLanguage"/>
    <n v="3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00262"/>
    <x v="573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00272"/>
    <x v="574"/>
    <s v="nsfw"/>
    <d v="1899-12-30T16:09:00"/>
    <s v="In-Stream Video"/>
    <s v="TJX"/>
    <s v="mobile"/>
    <s v="GEO,Frequency,Keyword,OS,Browser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06532"/>
    <x v="36"/>
    <s v="nsfw"/>
    <d v="1899-12-30T16:09:00"/>
    <s v="In-Stream Video"/>
    <s v="TJX"/>
    <s v="mobile"/>
    <s v="GEO,Frequency,Keyword,OS,BrowserLanguage"/>
    <n v="70"/>
    <n v="0"/>
    <s v="No"/>
    <n v="250"/>
    <n v="0"/>
    <n v="0"/>
    <n v="0"/>
    <m/>
    <n v="0"/>
    <n v="0"/>
    <n v="0"/>
    <n v="0"/>
    <n v="1"/>
    <n v="0"/>
    <s v="Yes"/>
    <m/>
    <m/>
    <m/>
    <s v="Ocean"/>
    <x v="0"/>
    <x v="1"/>
    <x v="0"/>
  </r>
  <r>
    <x v="0"/>
    <s v="PAUSED"/>
    <n v="1012806542"/>
    <x v="575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11242"/>
    <x v="576"/>
    <s v="nsfw"/>
    <d v="1899-12-30T16:09:00"/>
    <s v="In-Stream Video"/>
    <s v="TJX"/>
    <s v="mobile"/>
    <s v="GEO,Frequency,OS,BrowserLanguage"/>
    <n v="12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11252"/>
    <x v="371"/>
    <s v="nsfw"/>
    <d v="1899-12-30T16:09:00"/>
    <s v="In-Stream Video"/>
    <s v="TJX"/>
    <s v="mobile"/>
    <s v="GEO,Frequency,Keyword,OS,BrowserLanguage"/>
    <n v="12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6"/>
    <x v="0"/>
  </r>
  <r>
    <x v="0"/>
    <s v="PAUSED"/>
    <n v="1012811262"/>
    <x v="73"/>
    <s v="nsfw"/>
    <d v="1899-12-30T16:09:00"/>
    <s v="In-Stream Video"/>
    <s v="TJX"/>
    <s v="mobile"/>
    <s v="GEO,Frequency,OS,BrowserLanguage"/>
    <n v="12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11272"/>
    <x v="577"/>
    <s v="nsfw"/>
    <d v="1899-12-30T16:09:00"/>
    <s v="In-Stream Video"/>
    <s v="TJX"/>
    <s v="mobile"/>
    <s v="GEO,Frequency,Keyword,OS,BrowserLanguage"/>
    <n v="110"/>
    <n v="0"/>
    <s v="No"/>
    <n v="50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811552"/>
    <x v="578"/>
    <s v="nsfw"/>
    <d v="1899-12-30T16:09:00"/>
    <s v="In-Stream Video"/>
    <s v="TJX"/>
    <s v="mobile"/>
    <s v="GEO,Frequency,Keyword,OS,BrowserLanguage"/>
    <n v="110"/>
    <n v="0"/>
    <s v="Yes"/>
    <s v="Unlimited"/>
    <n v="2577"/>
    <n v="158"/>
    <n v="6.1311600000000004"/>
    <n v="0"/>
    <n v="5.33"/>
    <n v="2.0699999999999998"/>
    <n v="3.4000000000000002E-2"/>
    <n v="0"/>
    <n v="1"/>
    <n v="0"/>
    <s v="Yes"/>
    <n v="2577"/>
    <n v="2290"/>
    <n v="153"/>
    <s v="Hentai"/>
    <x v="0"/>
    <x v="12"/>
    <x v="0"/>
  </r>
  <r>
    <x v="0"/>
    <s v="PAUSED"/>
    <n v="1012811562"/>
    <x v="557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2"/>
    <x v="0"/>
  </r>
  <r>
    <x v="0"/>
    <s v="RUNNING"/>
    <n v="1012811572"/>
    <x v="579"/>
    <s v="nsfw"/>
    <d v="1899-12-30T16:09:00"/>
    <s v="In-Stream Video"/>
    <s v="TJX"/>
    <s v="desktop"/>
    <s v="GEO,Frequency,Keyword,BrowserLanguage"/>
    <n v="56"/>
    <n v="0"/>
    <s v="Yes"/>
    <s v="Unlimited"/>
    <n v="1729"/>
    <n v="117"/>
    <n v="6.7669199999999998"/>
    <n v="0"/>
    <n v="5.15"/>
    <n v="2.9790000000000001"/>
    <n v="4.3999999999999997E-2"/>
    <n v="0"/>
    <n v="1"/>
    <n v="0"/>
    <s v="Yes"/>
    <n v="1729"/>
    <n v="1265"/>
    <n v="190"/>
    <s v="Hentai"/>
    <x v="0"/>
    <x v="12"/>
    <x v="0"/>
  </r>
  <r>
    <x v="0"/>
    <s v="RUNNING"/>
    <n v="1012811582"/>
    <x v="580"/>
    <s v="nsfw"/>
    <d v="1899-12-30T16:09:00"/>
    <s v="In-Stream Video"/>
    <s v="TJX"/>
    <s v="mobile"/>
    <s v="GEO,Frequency,Keyword,OS,BrowserLanguage"/>
    <n v="130"/>
    <n v="0"/>
    <s v="Yes"/>
    <s v="Unlimited"/>
    <n v="21691"/>
    <n v="1189"/>
    <n v="5.4815399999999999"/>
    <n v="0"/>
    <n v="44.36"/>
    <n v="2.0449999999999999"/>
    <n v="3.6999999999999998E-2"/>
    <n v="0"/>
    <n v="1"/>
    <n v="0"/>
    <s v="Yes"/>
    <n v="21695"/>
    <n v="19149"/>
    <n v="1844"/>
    <s v="Hentai"/>
    <x v="0"/>
    <x v="12"/>
    <x v="0"/>
  </r>
  <r>
    <x v="0"/>
    <s v="PAUSED"/>
    <n v="1012811592"/>
    <x v="581"/>
    <s v="nsfw"/>
    <d v="1899-12-30T16:09:00"/>
    <s v="In-Stream Video"/>
    <s v="TJX"/>
    <s v="desktop"/>
    <s v="GEO,Frequency,Keyword,BrowserLanguage"/>
    <n v="36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  <x v="0"/>
  </r>
  <r>
    <x v="0"/>
    <s v="PAUSED"/>
    <n v="1012811602"/>
    <x v="582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  <x v="0"/>
  </r>
  <r>
    <x v="0"/>
    <s v="PAUSED"/>
    <n v="1012811612"/>
    <x v="555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2"/>
    <x v="0"/>
  </r>
  <r>
    <x v="0"/>
    <s v="RUNNING"/>
    <n v="1012811622"/>
    <x v="583"/>
    <s v="nsfw"/>
    <d v="1899-12-30T16:09:00"/>
    <s v="In-Stream Video"/>
    <s v="TJX"/>
    <s v="desktop"/>
    <s v="GEO,Frequency,Keyword,BrowserLanguage"/>
    <n v="64"/>
    <n v="0"/>
    <s v="Yes"/>
    <s v="Unlimited"/>
    <n v="12939"/>
    <n v="738"/>
    <n v="5.7036899999999999"/>
    <n v="1"/>
    <n v="49.01"/>
    <n v="3.7879999999999998"/>
    <n v="6.6000000000000003E-2"/>
    <n v="49.011000000000003"/>
    <n v="1"/>
    <n v="0"/>
    <s v="Yes"/>
    <n v="12931"/>
    <n v="10298"/>
    <n v="1393"/>
    <s v="Hentai"/>
    <x v="0"/>
    <x v="12"/>
    <x v="0"/>
  </r>
  <r>
    <x v="0"/>
    <s v="RUNNING"/>
    <n v="1012811632"/>
    <x v="584"/>
    <s v="nsfw"/>
    <d v="1899-12-30T16:09:00"/>
    <s v="In-Stream Video"/>
    <s v="TJX"/>
    <s v="mobile"/>
    <s v="GEO,Frequency,Keyword,OS,BrowserLanguage"/>
    <n v="120"/>
    <n v="0"/>
    <s v="Yes"/>
    <s v="Unlimited"/>
    <n v="23916"/>
    <n v="1343"/>
    <n v="5.6154900000000003"/>
    <n v="0"/>
    <n v="48.37"/>
    <n v="2.0219999999999998"/>
    <n v="3.5999999999999997E-2"/>
    <n v="0"/>
    <n v="1"/>
    <n v="0"/>
    <s v="Yes"/>
    <n v="23903"/>
    <n v="21243"/>
    <n v="1786"/>
    <s v="Hentai"/>
    <x v="0"/>
    <x v="12"/>
    <x v="0"/>
  </r>
  <r>
    <x v="0"/>
    <s v="PAUSED"/>
    <n v="1012811642"/>
    <x v="585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  <x v="0"/>
  </r>
  <r>
    <x v="0"/>
    <s v="PAUSED"/>
    <n v="1012811652"/>
    <x v="586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  <x v="0"/>
  </r>
  <r>
    <x v="0"/>
    <s v="PAUSED"/>
    <n v="1012811662"/>
    <x v="587"/>
    <s v="nsfw"/>
    <d v="1899-12-30T16:09:00"/>
    <s v="In-Stream Video"/>
    <s v="TJX"/>
    <s v="desktop"/>
    <s v="GEO,Frequency,Keyword,BrowserLanguage"/>
    <n v="36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  <x v="0"/>
  </r>
  <r>
    <x v="0"/>
    <s v="RUNNING"/>
    <n v="1012811672"/>
    <x v="588"/>
    <s v="nsfw"/>
    <d v="1899-12-30T16:09:00"/>
    <s v="In-Stream Video"/>
    <s v="TJX"/>
    <s v="desktop"/>
    <s v="GEO,Frequency,Keyword,BrowserLanguage"/>
    <n v="52"/>
    <n v="0"/>
    <s v="Yes"/>
    <s v="Unlimited"/>
    <n v="3003"/>
    <n v="147"/>
    <n v="4.8951000000000002"/>
    <n v="0"/>
    <n v="11.4"/>
    <n v="3.7970000000000002"/>
    <n v="7.8E-2"/>
    <n v="0"/>
    <n v="1"/>
    <n v="0"/>
    <s v="Yes"/>
    <n v="3003"/>
    <n v="2358"/>
    <n v="349"/>
    <s v="Hentai"/>
    <x v="0"/>
    <x v="12"/>
    <x v="0"/>
  </r>
  <r>
    <x v="0"/>
    <s v="RUNNING"/>
    <n v="1012811682"/>
    <x v="589"/>
    <s v="nsfw"/>
    <d v="1899-12-30T16:09:00"/>
    <s v="In-Stream Video"/>
    <s v="TJX"/>
    <s v="mobile"/>
    <s v="GEO,Frequency,Keyword,OS,BrowserLanguage"/>
    <n v="70"/>
    <n v="0"/>
    <s v="Yes"/>
    <s v="Unlimited"/>
    <n v="541"/>
    <n v="35"/>
    <n v="6.4695"/>
    <n v="0"/>
    <n v="0.81"/>
    <n v="1.504"/>
    <n v="2.3E-2"/>
    <n v="0"/>
    <n v="1"/>
    <n v="0"/>
    <s v="Yes"/>
    <n v="541"/>
    <n v="502"/>
    <n v="29"/>
    <s v="Hentai"/>
    <x v="0"/>
    <x v="12"/>
    <x v="0"/>
  </r>
  <r>
    <x v="0"/>
    <s v="RUNNING"/>
    <n v="1012811692"/>
    <x v="590"/>
    <s v="nsfw"/>
    <d v="1899-12-30T16:09:00"/>
    <s v="In-Stream Video"/>
    <s v="TJX"/>
    <s v="mobile"/>
    <s v="GEO,Frequency,Keyword,OS,BrowserLanguage"/>
    <n v="70"/>
    <n v="0"/>
    <s v="Yes"/>
    <s v="Unlimited"/>
    <n v="184"/>
    <n v="6"/>
    <n v="3.2608700000000002"/>
    <n v="0"/>
    <n v="0.39"/>
    <n v="2.129"/>
    <n v="6.5000000000000002E-2"/>
    <n v="0"/>
    <n v="1"/>
    <n v="0"/>
    <s v="Yes"/>
    <n v="184"/>
    <n v="178"/>
    <n v="2"/>
    <s v="Hentai"/>
    <x v="0"/>
    <x v="12"/>
    <x v="0"/>
  </r>
  <r>
    <x v="0"/>
    <s v="RUNNING"/>
    <n v="1012811702"/>
    <x v="591"/>
    <s v="nsfw"/>
    <s v="640 x 360"/>
    <s v="Display"/>
    <s v="TJX"/>
    <s v="mobile"/>
    <s v="GEO,Frequency,Keyword,OS,BrowserLanguage"/>
    <n v="416"/>
    <n v="0"/>
    <s v="Yes"/>
    <s v="Unlimited"/>
    <n v="336157"/>
    <n v="415"/>
    <n v="0.12345"/>
    <n v="0"/>
    <n v="56.04"/>
    <n v="0.16700000000000001"/>
    <n v="0.13500000000000001"/>
    <n v="0"/>
    <n v="2"/>
    <n v="0"/>
    <s v="Yes"/>
    <n v="0"/>
    <n v="0"/>
    <n v="0"/>
    <s v="Hentai"/>
    <x v="2"/>
    <x v="12"/>
    <x v="0"/>
  </r>
  <r>
    <x v="0"/>
    <s v="RUNNING"/>
    <n v="1012811712"/>
    <x v="592"/>
    <s v="nsfw"/>
    <s v="640 x 360"/>
    <s v="Display"/>
    <s v="TJX"/>
    <s v="mobile"/>
    <s v="GEO,Frequency,Keyword,OS,BrowserLanguage"/>
    <n v="416"/>
    <n v="0"/>
    <s v="Yes"/>
    <s v="Unlimited"/>
    <n v="169803"/>
    <n v="352"/>
    <n v="0.20730000000000001"/>
    <n v="0"/>
    <n v="29.91"/>
    <n v="0.17599999999999999"/>
    <n v="8.5000000000000006E-2"/>
    <n v="0"/>
    <n v="2"/>
    <n v="0"/>
    <s v="Yes"/>
    <n v="0"/>
    <n v="0"/>
    <n v="0"/>
    <s v="Hentai"/>
    <x v="2"/>
    <x v="12"/>
    <x v="0"/>
  </r>
  <r>
    <x v="0"/>
    <s v="PAUSED"/>
    <n v="1012811722"/>
    <x v="593"/>
    <s v="nsfw"/>
    <s v="640 x 360"/>
    <s v="Display"/>
    <s v="TJX"/>
    <s v="desktop"/>
    <s v="GEO,Frequency,Keyword,BrowserLanguage"/>
    <n v="396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  <x v="0"/>
  </r>
  <r>
    <x v="0"/>
    <s v="RUNNING"/>
    <n v="1012811772"/>
    <x v="594"/>
    <s v="nsfw"/>
    <s v="640 x 360"/>
    <s v="Display"/>
    <s v="TJX"/>
    <s v="desktop"/>
    <s v="GEO,Frequency,Keyword,BrowserLanguage"/>
    <n v="396"/>
    <n v="0"/>
    <s v="Yes"/>
    <s v="Unlimited"/>
    <n v="21752"/>
    <n v="30"/>
    <n v="0.13791"/>
    <n v="0"/>
    <n v="3.11"/>
    <n v="0.14299999999999999"/>
    <n v="0.104"/>
    <n v="0"/>
    <n v="2"/>
    <n v="0"/>
    <s v="Yes"/>
    <n v="0"/>
    <n v="0"/>
    <n v="0"/>
    <s v="Hentai"/>
    <x v="2"/>
    <x v="12"/>
    <x v="0"/>
  </r>
  <r>
    <x v="0"/>
    <s v="RUNNING"/>
    <n v="1012811782"/>
    <x v="595"/>
    <s v="nsfw"/>
    <s v="640 x 360"/>
    <s v="Display"/>
    <s v="TJX"/>
    <s v="mobile"/>
    <s v="GEO,Frequency,Keyword,OS,BrowserLanguage"/>
    <n v="416"/>
    <n v="0"/>
    <s v="Yes"/>
    <s v="Unlimited"/>
    <n v="56292"/>
    <n v="103"/>
    <n v="0.18296999999999999"/>
    <n v="0"/>
    <n v="7.64"/>
    <n v="0.13600000000000001"/>
    <n v="7.3999999999999996E-2"/>
    <n v="0"/>
    <n v="2"/>
    <n v="0"/>
    <s v="Yes"/>
    <n v="0"/>
    <n v="0"/>
    <n v="0"/>
    <s v="Hentai"/>
    <x v="2"/>
    <x v="12"/>
    <x v="0"/>
  </r>
  <r>
    <x v="0"/>
    <s v="RUNNING"/>
    <n v="1012811792"/>
    <x v="596"/>
    <s v="nsfw"/>
    <s v="640 x 360"/>
    <s v="Display"/>
    <s v="TJX"/>
    <s v="mobile"/>
    <s v="GEO,Frequency,Keyword,OS,BrowserLanguage"/>
    <n v="416"/>
    <n v="0"/>
    <s v="Yes"/>
    <s v="Unlimited"/>
    <n v="58756"/>
    <n v="82"/>
    <n v="0.13955000000000001"/>
    <n v="0"/>
    <n v="7.92"/>
    <n v="0.13500000000000001"/>
    <n v="9.7000000000000003E-2"/>
    <n v="0"/>
    <n v="2"/>
    <n v="0"/>
    <s v="Yes"/>
    <n v="0"/>
    <n v="0"/>
    <n v="0"/>
    <s v="Hentai"/>
    <x v="2"/>
    <x v="12"/>
    <x v="0"/>
  </r>
  <r>
    <x v="0"/>
    <s v="RUNNING"/>
    <n v="1012811802"/>
    <x v="597"/>
    <s v="nsfw"/>
    <s v="640 x 360"/>
    <s v="Display"/>
    <s v="TJX"/>
    <s v="mobile"/>
    <s v="GEO,Frequency,Keyword,OS,BrowserLanguage"/>
    <n v="416"/>
    <n v="0"/>
    <s v="Yes"/>
    <s v="Unlimited"/>
    <n v="107474"/>
    <n v="157"/>
    <n v="0.14607000000000001"/>
    <n v="0"/>
    <n v="20.84"/>
    <n v="0.19400000000000001"/>
    <n v="0.13300000000000001"/>
    <n v="0"/>
    <n v="1"/>
    <n v="0"/>
    <s v="Yes"/>
    <n v="0"/>
    <n v="0"/>
    <n v="0"/>
    <s v="Hentai"/>
    <x v="0"/>
    <x v="12"/>
    <x v="0"/>
  </r>
  <r>
    <x v="0"/>
    <s v="RUNNING"/>
    <n v="1012811812"/>
    <x v="598"/>
    <s v="nsfw"/>
    <s v="640 x 360"/>
    <s v="Display"/>
    <s v="TJX"/>
    <s v="mobile"/>
    <s v="GEO,Frequency,Keyword,OS,BrowserLanguage"/>
    <n v="416"/>
    <n v="0"/>
    <s v="Yes"/>
    <s v="Unlimited"/>
    <n v="59797"/>
    <n v="123"/>
    <n v="0.20569999999999999"/>
    <n v="0"/>
    <n v="16.489999999999998"/>
    <n v="0.27600000000000002"/>
    <n v="0.13400000000000001"/>
    <n v="0"/>
    <n v="2"/>
    <n v="0"/>
    <s v="Yes"/>
    <n v="0"/>
    <n v="0"/>
    <n v="0"/>
    <s v="Hentai"/>
    <x v="2"/>
    <x v="12"/>
    <x v="0"/>
  </r>
  <r>
    <x v="0"/>
    <s v="RUNNING"/>
    <n v="1012811822"/>
    <x v="599"/>
    <s v="nsfw"/>
    <s v="640 x 360"/>
    <s v="Display"/>
    <s v="TJX"/>
    <s v="desktop"/>
    <s v="GEO,Frequency,Keyword,BrowserLanguage"/>
    <n v="396"/>
    <n v="0"/>
    <s v="Yes"/>
    <s v="Unlimited"/>
    <n v="34278"/>
    <n v="57"/>
    <n v="0.16628999999999999"/>
    <n v="0"/>
    <n v="4.88"/>
    <n v="0.14199999999999999"/>
    <n v="8.5999999999999993E-2"/>
    <n v="0"/>
    <n v="2"/>
    <n v="0"/>
    <s v="Yes"/>
    <n v="0"/>
    <n v="0"/>
    <n v="0"/>
    <s v="Hentai"/>
    <x v="2"/>
    <x v="12"/>
    <x v="0"/>
  </r>
  <r>
    <x v="0"/>
    <s v="RUNNING"/>
    <n v="1012811832"/>
    <x v="600"/>
    <s v="nsfw"/>
    <s v="640 x 360"/>
    <s v="Display"/>
    <s v="TJX"/>
    <s v="desktop"/>
    <s v="GEO,Frequency,Keyword,BrowserLanguage"/>
    <n v="396"/>
    <n v="0"/>
    <s v="Yes"/>
    <s v="Unlimited"/>
    <n v="6541"/>
    <n v="8"/>
    <n v="0.12231"/>
    <n v="0"/>
    <n v="0.93"/>
    <n v="0.14199999999999999"/>
    <n v="0.11600000000000001"/>
    <n v="0"/>
    <n v="2"/>
    <n v="0"/>
    <s v="Yes"/>
    <n v="0"/>
    <n v="0"/>
    <n v="0"/>
    <s v="Hentai"/>
    <x v="2"/>
    <x v="12"/>
    <x v="0"/>
  </r>
  <r>
    <x v="0"/>
    <s v="RUNNING"/>
    <n v="1012811842"/>
    <x v="601"/>
    <s v="nsfw"/>
    <s v="640 x 360"/>
    <s v="Display"/>
    <s v="TJX"/>
    <s v="mobile"/>
    <s v="GEO,Frequency,Keyword,OS,BrowserLanguage"/>
    <n v="416"/>
    <n v="0"/>
    <s v="Yes"/>
    <s v="Unlimited"/>
    <n v="15243"/>
    <n v="52"/>
    <n v="0.34114"/>
    <n v="0"/>
    <n v="2.13"/>
    <n v="0.14000000000000001"/>
    <n v="4.1000000000000002E-2"/>
    <n v="0"/>
    <n v="2"/>
    <n v="0"/>
    <s v="Yes"/>
    <n v="0"/>
    <n v="0"/>
    <n v="0"/>
    <s v="Hentai"/>
    <x v="2"/>
    <x v="12"/>
    <x v="0"/>
  </r>
  <r>
    <x v="0"/>
    <s v="RUNNING"/>
    <n v="1012811852"/>
    <x v="602"/>
    <s v="nsfw"/>
    <s v="640 x 360"/>
    <s v="Display"/>
    <s v="TJX"/>
    <s v="mobile"/>
    <s v="GEO,Frequency,Keyword,OS,BrowserLanguage"/>
    <n v="416"/>
    <n v="0"/>
    <s v="Yes"/>
    <s v="Unlimited"/>
    <n v="10386"/>
    <n v="14"/>
    <n v="0.1348"/>
    <n v="0"/>
    <n v="1.43"/>
    <n v="0.13800000000000001"/>
    <n v="0.10199999999999999"/>
    <n v="0"/>
    <n v="2"/>
    <n v="0"/>
    <s v="Yes"/>
    <n v="0"/>
    <n v="0"/>
    <n v="0"/>
    <s v="Hentai"/>
    <x v="2"/>
    <x v="12"/>
    <x v="0"/>
  </r>
  <r>
    <x v="0"/>
    <s v="RUNNING"/>
    <n v="1012811862"/>
    <x v="603"/>
    <s v="nsfw"/>
    <s v="640 x 360"/>
    <s v="Display"/>
    <s v="TJX"/>
    <s v="mobile"/>
    <s v="GEO,Frequency,Keyword,OS,BrowserLanguage"/>
    <n v="416"/>
    <n v="0"/>
    <s v="Yes"/>
    <s v="Unlimited"/>
    <n v="22853"/>
    <n v="34"/>
    <n v="0.14878"/>
    <n v="0"/>
    <n v="2.82"/>
    <n v="0.123"/>
    <n v="8.3000000000000004E-2"/>
    <n v="0"/>
    <n v="2"/>
    <n v="0"/>
    <s v="Yes"/>
    <n v="0"/>
    <n v="0"/>
    <n v="0"/>
    <s v="Hentai"/>
    <x v="2"/>
    <x v="12"/>
    <x v="0"/>
  </r>
  <r>
    <x v="0"/>
    <s v="RUNNING"/>
    <n v="1012811872"/>
    <x v="604"/>
    <s v="nsfw"/>
    <s v="640 x 360"/>
    <s v="Display"/>
    <s v="TJX"/>
    <s v="mobile"/>
    <s v="GEO,Frequency,Keyword,OS,BrowserLanguage"/>
    <n v="416"/>
    <n v="0"/>
    <s v="Yes"/>
    <s v="Unlimited"/>
    <n v="19856"/>
    <n v="57"/>
    <n v="0.28706999999999999"/>
    <n v="0"/>
    <n v="2.56"/>
    <n v="0.129"/>
    <n v="4.4999999999999998E-2"/>
    <n v="0"/>
    <n v="1"/>
    <n v="0"/>
    <s v="Yes"/>
    <n v="0"/>
    <n v="0"/>
    <n v="0"/>
    <s v="Hentai"/>
    <x v="0"/>
    <x v="12"/>
    <x v="0"/>
  </r>
  <r>
    <x v="0"/>
    <s v="RUNNING"/>
    <n v="1012811882"/>
    <x v="605"/>
    <s v="nsfw"/>
    <s v="640 x 360"/>
    <s v="Display"/>
    <s v="TJX"/>
    <s v="desktop"/>
    <s v="GEO,Frequency,Keyword,BrowserLanguage"/>
    <n v="396"/>
    <n v="0"/>
    <s v="Yes"/>
    <s v="Unlimited"/>
    <n v="7837"/>
    <n v="16"/>
    <n v="0.20416000000000001"/>
    <n v="0"/>
    <n v="1.1499999999999999"/>
    <n v="0.14699999999999999"/>
    <n v="7.1999999999999995E-2"/>
    <n v="0"/>
    <n v="2"/>
    <n v="0"/>
    <s v="Yes"/>
    <n v="0"/>
    <n v="0"/>
    <n v="0"/>
    <s v="Hentai"/>
    <x v="2"/>
    <x v="12"/>
    <x v="0"/>
  </r>
  <r>
    <x v="0"/>
    <s v="PAUSED"/>
    <n v="1012811912"/>
    <x v="606"/>
    <s v="nsfw"/>
    <s v="300 x 250"/>
    <s v="Display"/>
    <s v="TJX"/>
    <s v="mobile"/>
    <s v="GEO,Frequency,Keyword,OS,BrowserLanguage"/>
    <n v="81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  <x v="0"/>
  </r>
  <r>
    <x v="0"/>
    <s v="PAUSED"/>
    <n v="1012811942"/>
    <x v="607"/>
    <s v="nsfw"/>
    <s v="300 x 250"/>
    <s v="Display"/>
    <s v="TJX"/>
    <s v="desktop"/>
    <s v="GEO,Frequency,Keyword,BrowserLanguage"/>
    <n v="48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  <x v="0"/>
  </r>
  <r>
    <x v="0"/>
    <s v="RUNNING"/>
    <n v="1012811972"/>
    <x v="608"/>
    <s v="nsfw"/>
    <s v="300 x 250"/>
    <s v="Display"/>
    <s v="TJX"/>
    <s v="mobile"/>
    <s v="GEO,Frequency,Keyword,OS,BrowserLanguage"/>
    <n v="81"/>
    <n v="0"/>
    <s v="Yes"/>
    <s v="Unlimited"/>
    <n v="402079"/>
    <n v="127"/>
    <n v="3.159E-2"/>
    <n v="1"/>
    <n v="26.42"/>
    <n v="6.6000000000000003E-2"/>
    <n v="0.20799999999999999"/>
    <n v="26.420999999999999"/>
    <n v="2"/>
    <n v="0"/>
    <s v="Yes"/>
    <n v="0"/>
    <n v="0"/>
    <n v="0"/>
    <s v="Hentai"/>
    <x v="2"/>
    <x v="12"/>
    <x v="0"/>
  </r>
  <r>
    <x v="0"/>
    <s v="RUNNING"/>
    <n v="1012811992"/>
    <x v="609"/>
    <s v="nsfw"/>
    <s v="300 x 250"/>
    <s v="Display"/>
    <s v="TJX"/>
    <s v="mobile"/>
    <s v="GEO,Frequency,Keyword,OS,BrowserLanguage"/>
    <n v="81"/>
    <n v="0"/>
    <s v="Yes"/>
    <s v="Unlimited"/>
    <n v="61908"/>
    <n v="24"/>
    <n v="3.8769999999999999E-2"/>
    <n v="0"/>
    <n v="3.99"/>
    <n v="6.5000000000000002E-2"/>
    <n v="0.16600000000000001"/>
    <n v="0"/>
    <n v="2"/>
    <n v="0"/>
    <s v="Yes"/>
    <n v="0"/>
    <n v="0"/>
    <n v="0"/>
    <s v="Hentai"/>
    <x v="2"/>
    <x v="12"/>
    <x v="0"/>
  </r>
  <r>
    <x v="0"/>
    <s v="PAUSED"/>
    <n v="1012812002"/>
    <x v="610"/>
    <s v="nsfw"/>
    <s v="300 x 250"/>
    <s v="Display"/>
    <s v="TJX"/>
    <s v="desktop"/>
    <s v="GEO,Frequency,Keyword,BrowserLanguage"/>
    <n v="48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  <x v="0"/>
  </r>
  <r>
    <x v="0"/>
    <s v="RUNNING"/>
    <n v="1012812012"/>
    <x v="611"/>
    <s v="nsfw"/>
    <s v="300 x 250"/>
    <s v="Display"/>
    <s v="TJX"/>
    <s v="mobile"/>
    <s v="GEO,Frequency,Keyword,OS,BrowserLanguage"/>
    <n v="81"/>
    <n v="0"/>
    <s v="Yes"/>
    <s v="Unlimited"/>
    <n v="58933"/>
    <n v="19"/>
    <n v="3.2239999999999998E-2"/>
    <n v="0"/>
    <n v="3.96"/>
    <n v="6.7000000000000004E-2"/>
    <n v="0.20899999999999999"/>
    <n v="0"/>
    <n v="2"/>
    <n v="0"/>
    <s v="Yes"/>
    <n v="0"/>
    <n v="0"/>
    <n v="0"/>
    <s v="Hentai"/>
    <x v="2"/>
    <x v="12"/>
    <x v="0"/>
  </r>
  <r>
    <x v="0"/>
    <s v="RUNNING"/>
    <n v="1012812022"/>
    <x v="612"/>
    <s v="nsfw"/>
    <s v="300 x 250"/>
    <s v="Display"/>
    <s v="TJX"/>
    <s v="mobile"/>
    <s v="GEO,Frequency,Keyword,OS,BrowserLanguage"/>
    <n v="81"/>
    <n v="0"/>
    <s v="Yes"/>
    <s v="Unlimited"/>
    <n v="26291"/>
    <n v="9"/>
    <n v="3.422E-2"/>
    <n v="0"/>
    <n v="1.78"/>
    <n v="6.8000000000000005E-2"/>
    <n v="0.19700000000000001"/>
    <n v="0"/>
    <n v="2"/>
    <n v="0"/>
    <s v="Yes"/>
    <n v="0"/>
    <n v="0"/>
    <n v="0"/>
    <s v="Hentai"/>
    <x v="2"/>
    <x v="12"/>
    <x v="0"/>
  </r>
  <r>
    <x v="0"/>
    <s v="RUNNING"/>
    <n v="1012812032"/>
    <x v="613"/>
    <s v="nsfw"/>
    <s v="300 x 250"/>
    <s v="Display"/>
    <s v="TJX"/>
    <s v="desktop"/>
    <s v="GEO,Frequency,Keyword,BrowserLanguage"/>
    <n v="48"/>
    <n v="0"/>
    <s v="Yes"/>
    <s v="Unlimited"/>
    <n v="10929"/>
    <n v="11"/>
    <n v="0.10065"/>
    <n v="0"/>
    <n v="2.27"/>
    <n v="0.20799999999999999"/>
    <n v="0.20699999999999999"/>
    <n v="0"/>
    <n v="1"/>
    <n v="0"/>
    <s v="Yes"/>
    <n v="0"/>
    <n v="0"/>
    <n v="0"/>
    <s v="Hentai"/>
    <x v="0"/>
    <x v="12"/>
    <x v="0"/>
  </r>
  <r>
    <x v="0"/>
    <s v="RUNNING"/>
    <n v="1012812042"/>
    <x v="614"/>
    <s v="nsfw"/>
    <s v="300 x 250"/>
    <s v="Display"/>
    <s v="TJX"/>
    <s v="mobile"/>
    <s v="GEO,Frequency,Keyword,OS,BrowserLanguage"/>
    <n v="81"/>
    <n v="0"/>
    <s v="Yes"/>
    <s v="Unlimited"/>
    <n v="27244"/>
    <n v="6"/>
    <n v="2.2020000000000001E-2"/>
    <n v="0"/>
    <n v="1.81"/>
    <n v="6.7000000000000004E-2"/>
    <n v="0.30199999999999999"/>
    <n v="0"/>
    <n v="2"/>
    <n v="0"/>
    <s v="Yes"/>
    <n v="0"/>
    <n v="0"/>
    <n v="0"/>
    <s v="Hentai"/>
    <x v="2"/>
    <x v="12"/>
    <x v="0"/>
  </r>
  <r>
    <x v="0"/>
    <s v="PAUSED"/>
    <n v="1012812062"/>
    <x v="615"/>
    <s v="nsfw"/>
    <s v="300 x 250"/>
    <s v="Display"/>
    <s v="TJX"/>
    <s v="desktop"/>
    <s v="GEO,Frequency,Keyword,BrowserLanguage"/>
    <n v="48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  <x v="0"/>
  </r>
  <r>
    <x v="0"/>
    <s v="PAUSED"/>
    <n v="1012812072"/>
    <x v="616"/>
    <s v="nsfw"/>
    <s v="300 x 250"/>
    <s v="Display"/>
    <s v="TJX"/>
    <s v="mobile"/>
    <s v="GEO,Frequency,Keyword,OS,BrowserLanguage"/>
    <n v="81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  <x v="0"/>
  </r>
  <r>
    <x v="0"/>
    <s v="PAUSED"/>
    <n v="1012812082"/>
    <x v="617"/>
    <s v="nsfw"/>
    <s v="300 x 250"/>
    <s v="Display"/>
    <s v="TJX"/>
    <s v="mobile"/>
    <s v="GEO,Frequency,Keyword,OS,BrowserLanguage"/>
    <n v="81"/>
    <n v="0"/>
    <s v="Yes"/>
    <s v="Unlimited"/>
    <n v="0"/>
    <n v="0"/>
    <n v="0"/>
    <m/>
    <n v="0"/>
    <n v="0"/>
    <n v="0"/>
    <n v="0"/>
    <n v="1"/>
    <n v="0"/>
    <s v="Yes"/>
    <m/>
    <m/>
    <m/>
    <s v="Hentai"/>
    <x v="0"/>
    <x v="12"/>
    <x v="0"/>
  </r>
  <r>
    <x v="0"/>
    <s v="RUNNING"/>
    <n v="1012812092"/>
    <x v="618"/>
    <s v="nsfw"/>
    <s v="300 x 250"/>
    <s v="Display"/>
    <s v="TJX"/>
    <s v="mobile"/>
    <s v="GEO,Frequency,Keyword,OS,BrowserLanguage"/>
    <n v="81"/>
    <n v="0"/>
    <s v="Yes"/>
    <s v="Unlimited"/>
    <n v="17364"/>
    <n v="6"/>
    <n v="3.4540000000000001E-2"/>
    <n v="0"/>
    <n v="1.1599999999999999"/>
    <n v="6.7000000000000004E-2"/>
    <n v="0.193"/>
    <n v="0"/>
    <n v="2"/>
    <n v="0"/>
    <s v="Yes"/>
    <n v="0"/>
    <n v="0"/>
    <n v="0"/>
    <s v="Hentai"/>
    <x v="2"/>
    <x v="12"/>
    <x v="0"/>
  </r>
  <r>
    <x v="0"/>
    <s v="RUNNING"/>
    <n v="1012812102"/>
    <x v="619"/>
    <s v="nsfw"/>
    <s v="300 x 250"/>
    <s v="Display"/>
    <s v="TJX"/>
    <s v="mobile"/>
    <s v="GEO,Frequency,Keyword,OS,BrowserLanguage"/>
    <n v="81"/>
    <n v="0"/>
    <s v="Yes"/>
    <s v="Unlimited"/>
    <n v="11517"/>
    <n v="5"/>
    <n v="4.3409999999999997E-2"/>
    <n v="0"/>
    <n v="0.79"/>
    <n v="6.8000000000000005E-2"/>
    <n v="0.157"/>
    <n v="0"/>
    <n v="2"/>
    <n v="0"/>
    <s v="Yes"/>
    <n v="0"/>
    <n v="0"/>
    <n v="0"/>
    <s v="Hentai"/>
    <x v="2"/>
    <x v="12"/>
    <x v="0"/>
  </r>
  <r>
    <x v="0"/>
    <s v="RUNNING"/>
    <n v="1012812112"/>
    <x v="620"/>
    <s v="nsfw"/>
    <s v="300 x 250"/>
    <s v="Display"/>
    <s v="TJX"/>
    <s v="desktop"/>
    <s v="GEO,Frequency,Keyword,BrowserLanguage"/>
    <n v="48"/>
    <n v="0"/>
    <s v="Yes"/>
    <s v="Unlimited"/>
    <n v="8165"/>
    <n v="16"/>
    <n v="0.19596"/>
    <n v="0"/>
    <n v="1.52"/>
    <n v="0.187"/>
    <n v="9.5000000000000001E-2"/>
    <n v="0"/>
    <n v="2"/>
    <n v="0"/>
    <s v="Yes"/>
    <n v="0"/>
    <n v="0"/>
    <n v="0"/>
    <s v="Hentai"/>
    <x v="2"/>
    <x v="12"/>
    <x v="0"/>
  </r>
  <r>
    <x v="0"/>
    <s v="PAUSED"/>
    <n v="1012820322"/>
    <x v="621"/>
    <s v="nsfw"/>
    <d v="1899-12-30T16:09:00"/>
    <s v="In-Stream Video"/>
    <s v="TJX"/>
    <s v="mobile"/>
    <s v="GEO,Frequency,OS,BrowserLanguage"/>
    <n v="5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3"/>
    <x v="0"/>
  </r>
  <r>
    <x v="0"/>
    <s v="PAUSED"/>
    <n v="1012820332"/>
    <x v="622"/>
    <s v="nsfw"/>
    <d v="1899-12-30T16:09:00"/>
    <s v="In-Stream Video"/>
    <s v="TJX"/>
    <s v="mobile"/>
    <s v="GEO,Frequency,OS,BrowserLanguage"/>
    <n v="5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3"/>
    <x v="0"/>
  </r>
  <r>
    <x v="0"/>
    <s v="PAUSED"/>
    <n v="1012850562"/>
    <x v="623"/>
    <s v="nsfw"/>
    <d v="1899-12-30T16:09:00"/>
    <s v="In-Stream Video"/>
    <s v="TJX"/>
    <s v="desktop"/>
    <s v="GEO,Frequency,BrowserLanguage,Segment"/>
    <n v="45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NOT RUNNING"/>
    <n v="1012853592"/>
    <x v="10"/>
    <s v="nsfw"/>
    <d v="1899-12-30T16:09:00"/>
    <s v="In-Stream Video"/>
    <s v="TJX"/>
    <s v="mobile"/>
    <s v="GEO,Frequency,OS,Segment"/>
    <n v="460"/>
    <n v="0"/>
    <s v="Yes"/>
    <s v="Unlimited"/>
    <n v="0"/>
    <n v="0"/>
    <n v="0"/>
    <m/>
    <n v="0"/>
    <n v="0"/>
    <n v="0"/>
    <n v="0"/>
    <n v="1"/>
    <n v="0"/>
    <s v="Yes"/>
    <m/>
    <m/>
    <m/>
    <s v="AI"/>
    <x v="0"/>
    <x v="1"/>
    <x v="0"/>
  </r>
  <r>
    <x v="0"/>
    <s v="PAUSED"/>
    <n v="1012853732"/>
    <x v="624"/>
    <s v="nsfw"/>
    <d v="1899-12-30T09:16:00"/>
    <s v="In-Stream Video"/>
    <s v="TJX"/>
    <s v="mobile"/>
    <s v="GEO,Frequency,OS,Segment"/>
    <n v="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53752"/>
    <x v="625"/>
    <s v="nsfw"/>
    <d v="1899-12-30T09:16:00"/>
    <s v="In-Stream Video"/>
    <s v="TJX"/>
    <s v="mobile"/>
    <s v="GEO,Frequency,OS,Segment"/>
    <n v="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54242"/>
    <x v="626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54252"/>
    <x v="627"/>
    <s v="nsfw"/>
    <d v="1899-12-30T09:16:00"/>
    <s v="In-Stream Video"/>
    <s v="TJX"/>
    <s v="mobile"/>
    <s v="GEO,Frequency,OS,Segment"/>
    <n v="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54262"/>
    <x v="628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54272"/>
    <x v="629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54282"/>
    <x v="630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54302"/>
    <x v="631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NOT RUNNING"/>
    <n v="1012854322"/>
    <x v="632"/>
    <s v="nsfw"/>
    <d v="1899-12-30T16:09:00"/>
    <s v="In-Stream Video"/>
    <s v="TJX"/>
    <s v="mobile"/>
    <s v="GEO,Frequency,OS,Segment"/>
    <n v="920"/>
    <n v="0"/>
    <s v="Yes"/>
    <s v="Unlimited"/>
    <n v="0"/>
    <n v="0"/>
    <n v="0"/>
    <m/>
    <n v="0"/>
    <n v="0"/>
    <n v="0"/>
    <n v="0"/>
    <n v="1"/>
    <n v="0"/>
    <s v="Yes"/>
    <m/>
    <m/>
    <m/>
    <s v="AI"/>
    <x v="0"/>
    <x v="0"/>
    <x v="0"/>
  </r>
  <r>
    <x v="0"/>
    <s v="PAUSED"/>
    <n v="1012854332"/>
    <x v="633"/>
    <s v="nsfw"/>
    <d v="1899-12-30T16:09:00"/>
    <s v="In-Stream Video"/>
    <s v="TJX"/>
    <s v="mobile"/>
    <s v="GEO,Frequency,OS,Segment"/>
    <n v="9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NOT RUNNING"/>
    <n v="1012854342"/>
    <x v="634"/>
    <s v="nsfw"/>
    <d v="1899-12-30T16:09:00"/>
    <s v="In-Stream Video"/>
    <s v="TJX"/>
    <s v="mobile"/>
    <s v="GEO,Frequency,OS,Segment"/>
    <n v="460"/>
    <n v="0"/>
    <s v="Yes"/>
    <s v="Unlimited"/>
    <n v="0"/>
    <n v="0"/>
    <n v="0"/>
    <m/>
    <n v="0"/>
    <n v="0"/>
    <n v="0"/>
    <n v="0"/>
    <n v="1"/>
    <n v="0"/>
    <s v="Yes"/>
    <m/>
    <m/>
    <m/>
    <s v="AI"/>
    <x v="0"/>
    <x v="0"/>
    <x v="0"/>
  </r>
  <r>
    <x v="0"/>
    <s v="PAUSED"/>
    <n v="1012854352"/>
    <x v="635"/>
    <s v="nsfw"/>
    <d v="1899-12-30T16:09:00"/>
    <s v="In-Stream Video"/>
    <s v="TJX"/>
    <s v="mobile"/>
    <s v="GEO,Frequency,OS,Segment"/>
    <n v="92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NOT RUNNING"/>
    <n v="1012854472"/>
    <x v="636"/>
    <s v="nsfw"/>
    <d v="1899-12-30T16:09:00"/>
    <s v="In-Stream Video"/>
    <s v="TJX"/>
    <s v="desktop"/>
    <s v="GEO,Frequency,BrowserLanguage,Segment"/>
    <n v="252"/>
    <n v="0"/>
    <s v="Yes"/>
    <s v="Unlimited"/>
    <n v="3"/>
    <n v="0"/>
    <n v="0"/>
    <n v="0"/>
    <n v="0"/>
    <n v="0.59"/>
    <n v="0"/>
    <n v="0"/>
    <n v="1"/>
    <n v="0"/>
    <s v="Yes"/>
    <n v="3"/>
    <n v="2"/>
    <n v="1"/>
    <s v="AI"/>
    <x v="0"/>
    <x v="0"/>
    <x v="0"/>
  </r>
  <r>
    <x v="0"/>
    <s v="PAUSED"/>
    <n v="1012854502"/>
    <x v="637"/>
    <s v="nsfw"/>
    <d v="1899-12-30T16:09:00"/>
    <s v="In-Stream Video"/>
    <s v="TJX"/>
    <s v="desktop"/>
    <s v="GEO,Frequency,BrowserLanguage,Segment"/>
    <n v="560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54662"/>
    <x v="638"/>
    <s v="nsfw"/>
    <s v="950 x 250"/>
    <s v="Display"/>
    <s v="TJX"/>
    <s v="desktop"/>
    <s v="GEO,Frequency,BrowserLanguage,Segment"/>
    <n v="6"/>
    <n v="0"/>
    <s v="Yes"/>
    <s v="Unlimited"/>
    <n v="0"/>
    <n v="0"/>
    <n v="0"/>
    <m/>
    <n v="0"/>
    <n v="0"/>
    <n v="0"/>
    <n v="0"/>
    <n v="1"/>
    <n v="0"/>
    <s v="No"/>
    <m/>
    <m/>
    <m/>
    <s v="Bin"/>
    <x v="0"/>
    <x v="1"/>
    <x v="0"/>
  </r>
  <r>
    <x v="0"/>
    <s v="PAUSED"/>
    <n v="1012854692"/>
    <x v="639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Bin"/>
    <x v="0"/>
    <x v="1"/>
    <x v="0"/>
  </r>
  <r>
    <x v="0"/>
    <s v="PAUSED"/>
    <n v="1012854712"/>
    <x v="640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Bin"/>
    <x v="0"/>
    <x v="1"/>
    <x v="0"/>
  </r>
  <r>
    <x v="0"/>
    <s v="PAUSED"/>
    <n v="1012854722"/>
    <x v="641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Bin"/>
    <x v="0"/>
    <x v="1"/>
    <x v="0"/>
  </r>
  <r>
    <x v="0"/>
    <s v="PAUSED"/>
    <n v="1012854732"/>
    <x v="642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Bin"/>
    <x v="0"/>
    <x v="1"/>
    <x v="0"/>
  </r>
  <r>
    <x v="0"/>
    <s v="PAUSED"/>
    <n v="1012854742"/>
    <x v="643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Bin"/>
    <x v="0"/>
    <x v="1"/>
    <x v="0"/>
  </r>
  <r>
    <x v="0"/>
    <s v="PAUSED"/>
    <n v="1012854792"/>
    <x v="644"/>
    <s v="nsfw"/>
    <s v="950 x 250"/>
    <s v="Display"/>
    <s v="TJX"/>
    <s v="mobile"/>
    <s v="GEO,Frequency,OS,Segment"/>
    <n v="4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54842"/>
    <x v="645"/>
    <s v="nsfw"/>
    <s v="950 x 250"/>
    <s v="Display"/>
    <s v="TJX"/>
    <s v="mobile"/>
    <s v="GEO,Frequency,OS,Segment"/>
    <n v="6"/>
    <n v="0"/>
    <s v="Yes"/>
    <s v="Unlimited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58692"/>
    <x v="646"/>
    <s v="nsfw"/>
    <d v="1899-12-30T16:09:00"/>
    <s v="In-Stream Video"/>
    <s v="TJX"/>
    <s v="desktop"/>
    <s v="GEO,Frequency,Keyword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60402"/>
    <x v="647"/>
    <s v="nsfw"/>
    <d v="1899-12-30T16:09:00"/>
    <s v="In-Stream Video"/>
    <s v="TJX"/>
    <s v="desktop"/>
    <s v="GEO,Frequency,Keyword"/>
    <n v="280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PAUSED"/>
    <n v="1012863632"/>
    <x v="648"/>
    <s v="nsfw"/>
    <d v="1899-12-30T16:09:00"/>
    <s v="In-Stream Video"/>
    <s v="TJX"/>
    <s v="desktop"/>
    <s v="GEO,Frequency,Keyword,Segment"/>
    <n v="252"/>
    <n v="0"/>
    <s v="No"/>
    <n v="250"/>
    <n v="0"/>
    <n v="0"/>
    <n v="0"/>
    <m/>
    <n v="0"/>
    <n v="0"/>
    <n v="0"/>
    <n v="0"/>
    <n v="1"/>
    <n v="0"/>
    <s v="Yes"/>
    <m/>
    <m/>
    <m/>
    <s v="Bin"/>
    <x v="0"/>
    <x v="1"/>
    <x v="0"/>
  </r>
  <r>
    <x v="0"/>
    <s v="RUNNING"/>
    <n v="1012865892"/>
    <x v="649"/>
    <s v="nsfw"/>
    <d v="1899-12-30T16:09:00"/>
    <s v="In-Stream Video"/>
    <s v="TJX"/>
    <s v="mobile"/>
    <s v="GEO,Frequency,Keyword,OS,BrowserLanguage"/>
    <n v="560"/>
    <n v="0"/>
    <s v="Yes"/>
    <s v="Unlimited"/>
    <n v="85"/>
    <n v="3"/>
    <n v="3.5294099999999999"/>
    <n v="0"/>
    <n v="0.06"/>
    <n v="0.74399999999999999"/>
    <n v="2.1000000000000001E-2"/>
    <n v="0"/>
    <n v="1"/>
    <n v="0"/>
    <s v="Yes"/>
    <n v="85"/>
    <n v="71"/>
    <n v="9"/>
    <s v="Marvel"/>
    <x v="0"/>
    <x v="3"/>
    <x v="0"/>
  </r>
  <r>
    <x v="0"/>
    <s v="RUNNING"/>
    <n v="1012865902"/>
    <x v="650"/>
    <s v="nsfw"/>
    <d v="1899-12-30T16:09:00"/>
    <s v="In-Stream Video"/>
    <s v="TJX"/>
    <s v="mobile"/>
    <s v="GEO,Frequency,Keyword,OS,BrowserLanguage"/>
    <n v="560"/>
    <n v="0"/>
    <s v="Yes"/>
    <s v="Unlimited"/>
    <n v="2756"/>
    <n v="166"/>
    <n v="6.0232200000000002"/>
    <n v="0"/>
    <n v="3.66"/>
    <n v="1.329"/>
    <n v="2.1999999999999999E-2"/>
    <n v="0"/>
    <n v="1"/>
    <n v="0"/>
    <s v="Yes"/>
    <n v="2752"/>
    <n v="2444"/>
    <n v="208"/>
    <s v="Marvel"/>
    <x v="0"/>
    <x v="3"/>
    <x v="0"/>
  </r>
  <r>
    <x v="0"/>
    <s v="PAUSED"/>
    <n v="1012865912"/>
    <x v="450"/>
    <s v="nsfw"/>
    <d v="1899-12-30T16:09:00"/>
    <s v="In-Stream Video"/>
    <s v="TJX"/>
    <s v="mobile"/>
    <s v="GEO,Frequency,Keyword,OS,BrowserLanguage"/>
    <n v="560"/>
    <n v="0"/>
    <s v="Yes"/>
    <s v="Unlimited"/>
    <n v="0"/>
    <n v="0"/>
    <n v="0"/>
    <m/>
    <n v="0"/>
    <n v="0"/>
    <n v="0"/>
    <n v="0"/>
    <n v="1"/>
    <n v="0"/>
    <s v="Yes"/>
    <m/>
    <m/>
    <m/>
    <s v="Archive"/>
    <x v="0"/>
    <x v="3"/>
    <x v="0"/>
  </r>
  <r>
    <x v="0"/>
    <s v="RUNNING"/>
    <n v="1012865922"/>
    <x v="651"/>
    <s v="nsfw"/>
    <d v="1899-12-30T16:09:00"/>
    <s v="In-Stream Video"/>
    <s v="TJX"/>
    <s v="mobile"/>
    <s v="GEO,Frequency,Keyword,OS,BrowserLanguage"/>
    <n v="560"/>
    <n v="0"/>
    <s v="Yes"/>
    <s v="Unlimited"/>
    <n v="117"/>
    <n v="6"/>
    <n v="5.1282100000000002"/>
    <n v="0"/>
    <n v="0.1"/>
    <n v="0.86"/>
    <n v="1.7000000000000001E-2"/>
    <n v="0"/>
    <n v="1"/>
    <n v="0"/>
    <s v="Yes"/>
    <n v="117"/>
    <n v="105"/>
    <n v="10"/>
    <s v="Marvel"/>
    <x v="0"/>
    <x v="3"/>
    <x v="0"/>
  </r>
  <r>
    <x v="0"/>
    <s v="RUNNING"/>
    <n v="1012866372"/>
    <x v="296"/>
    <s v="nsfw"/>
    <d v="1899-12-30T16:09:00"/>
    <s v="In-Stream Video"/>
    <s v="TJX"/>
    <s v="desktop"/>
    <s v="GEO,Frequency,Keyword,BrowserLanguage"/>
    <n v="72"/>
    <n v="0"/>
    <s v="Yes"/>
    <s v="Unlimited"/>
    <n v="13395"/>
    <n v="534"/>
    <n v="3.9865599999999999"/>
    <n v="0"/>
    <n v="37.409999999999997"/>
    <n v="2.7930000000000001"/>
    <n v="7.0000000000000007E-2"/>
    <n v="0"/>
    <n v="1"/>
    <n v="0"/>
    <s v="Yes"/>
    <n v="13399"/>
    <n v="10441"/>
    <n v="1611"/>
    <s v="Missionary"/>
    <x v="0"/>
    <x v="3"/>
    <x v="0"/>
  </r>
  <r>
    <x v="0"/>
    <s v="RUNNING"/>
    <n v="1012866382"/>
    <x v="293"/>
    <s v="nsfw"/>
    <d v="1899-12-30T16:09:00"/>
    <s v="In-Stream Video"/>
    <s v="TJX"/>
    <s v="desktop"/>
    <s v="GEO,Frequency,Keyword,Browser,BrowserLanguage"/>
    <n v="72"/>
    <n v="0"/>
    <s v="No"/>
    <n v="250"/>
    <n v="30532"/>
    <n v="1313"/>
    <n v="4.3004100000000003"/>
    <n v="0"/>
    <n v="46.6"/>
    <n v="1.526"/>
    <n v="3.5000000000000003E-2"/>
    <n v="0"/>
    <n v="1"/>
    <n v="0"/>
    <s v="Yes"/>
    <n v="30547"/>
    <n v="23553"/>
    <n v="4026"/>
    <s v="Missionary"/>
    <x v="0"/>
    <x v="3"/>
    <x v="0"/>
  </r>
  <r>
    <x v="0"/>
    <s v="RUNNING"/>
    <n v="1012866392"/>
    <x v="652"/>
    <s v="nsfw"/>
    <d v="1899-12-30T16:09:00"/>
    <s v="In-Stream Video"/>
    <s v="TJX"/>
    <s v="desktop"/>
    <s v="GEO,Frequency,Keyword,BrowserLanguage"/>
    <n v="72"/>
    <n v="0"/>
    <s v="No"/>
    <n v="250"/>
    <n v="326"/>
    <n v="17"/>
    <n v="5.2147199999999998"/>
    <n v="0"/>
    <n v="0.41"/>
    <n v="1.2509999999999999"/>
    <n v="2.4E-2"/>
    <n v="0"/>
    <n v="1"/>
    <n v="0"/>
    <s v="Yes"/>
    <n v="326"/>
    <n v="230"/>
    <n v="58"/>
    <s v="Missionary"/>
    <x v="0"/>
    <x v="3"/>
    <x v="0"/>
  </r>
  <r>
    <x v="0"/>
    <s v="RUNNING"/>
    <n v="1012866402"/>
    <x v="534"/>
    <s v="nsfw"/>
    <d v="1899-12-30T16:09:00"/>
    <s v="In-Stream Video"/>
    <s v="TJX"/>
    <s v="desktop"/>
    <s v="GEO,Frequency,Keyword,BrowserLanguage"/>
    <n v="72"/>
    <n v="0"/>
    <s v="Yes"/>
    <s v="Unlimited"/>
    <n v="30264"/>
    <n v="1310"/>
    <n v="4.32857"/>
    <n v="0"/>
    <n v="39"/>
    <n v="1.2889999999999999"/>
    <n v="0.03"/>
    <n v="0"/>
    <n v="1"/>
    <n v="0"/>
    <s v="Yes"/>
    <n v="30259"/>
    <n v="23211"/>
    <n v="3712"/>
    <s v="Missionary"/>
    <x v="0"/>
    <x v="3"/>
    <x v="0"/>
  </r>
  <r>
    <x v="0"/>
    <s v="PAUSED"/>
    <n v="1012866412"/>
    <x v="653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0"/>
    <x v="0"/>
  </r>
  <r>
    <x v="0"/>
    <s v="PAUSED"/>
    <n v="1012866422"/>
    <x v="573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"/>
    <x v="0"/>
  </r>
  <r>
    <x v="0"/>
    <s v="PAUSED"/>
    <n v="1012866432"/>
    <x v="654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0"/>
    <x v="0"/>
  </r>
  <r>
    <x v="0"/>
    <s v="PAUSED"/>
    <n v="1012866442"/>
    <x v="655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0"/>
    <x v="0"/>
  </r>
  <r>
    <x v="0"/>
    <s v="PAUSED"/>
    <n v="1012866452"/>
    <x v="656"/>
    <s v="nsfw"/>
    <d v="1899-12-30T16:09:00"/>
    <s v="In-Stream Video"/>
    <s v="TJX"/>
    <s v="mobile"/>
    <s v="GEO,Frequency,Keyword,OS,BrowserLanguage"/>
    <n v="81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0"/>
    <x v="0"/>
  </r>
  <r>
    <x v="0"/>
    <s v="PAUSED"/>
    <n v="1012866462"/>
    <x v="291"/>
    <s v="nsfw"/>
    <d v="1899-12-30T16:09:00"/>
    <s v="In-Stream Video"/>
    <s v="TJX"/>
    <s v="mobile"/>
    <s v="GEO,Frequency,Keyword,OS,BrowserLanguage"/>
    <n v="81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"/>
    <x v="0"/>
  </r>
  <r>
    <x v="0"/>
    <s v="PAUSED"/>
    <n v="1012866472"/>
    <x v="536"/>
    <s v="nsfw"/>
    <d v="1899-12-30T16:09:00"/>
    <s v="In-Stream Video"/>
    <s v="TJX"/>
    <s v="mobile"/>
    <s v="GEO,Frequency,Keyword,OS,BrowserLanguage"/>
    <n v="81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"/>
    <x v="0"/>
  </r>
  <r>
    <x v="0"/>
    <s v="PAUSED"/>
    <n v="1012866482"/>
    <x v="294"/>
    <s v="nsfw"/>
    <d v="1899-12-30T16:09:00"/>
    <s v="In-Stream Video"/>
    <s v="TJX"/>
    <s v="mobile"/>
    <s v="GEO,Frequency,Keyword,OS,BrowserLanguage"/>
    <n v="81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"/>
    <x v="0"/>
  </r>
  <r>
    <x v="0"/>
    <s v="PAUSED"/>
    <n v="1012866492"/>
    <x v="297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Missionary"/>
    <x v="0"/>
    <x v="1"/>
    <x v="0"/>
  </r>
  <r>
    <x v="0"/>
    <s v="PAUSED"/>
    <n v="1012866502"/>
    <x v="577"/>
    <s v="nsfw"/>
    <d v="1899-12-30T16:09:00"/>
    <s v="In-Stream Video"/>
    <s v="TJX"/>
    <s v="mobile"/>
    <s v="GEO,Frequency,Keyword,OS,BrowserLanguage"/>
    <n v="120"/>
    <n v="0"/>
    <s v="Yes"/>
    <s v="Unlimited"/>
    <n v="0"/>
    <n v="0"/>
    <n v="0"/>
    <m/>
    <n v="0"/>
    <n v="0"/>
    <n v="0"/>
    <n v="0"/>
    <n v="1"/>
    <n v="0"/>
    <s v="Yes"/>
    <m/>
    <m/>
    <m/>
    <s v="TransV2"/>
    <x v="0"/>
    <x v="1"/>
    <x v="0"/>
  </r>
  <r>
    <x v="0"/>
    <s v="PAUSED"/>
    <n v="1012866512"/>
    <x v="371"/>
    <s v="nsfw"/>
    <d v="1899-12-30T16:09:00"/>
    <s v="In-Stream Video"/>
    <s v="TJX"/>
    <s v="mobile"/>
    <s v="GEO,Frequency,Keyword,OS,BrowserLanguage"/>
    <n v="62"/>
    <n v="89"/>
    <s v="Yes"/>
    <s v="Unlimited"/>
    <n v="0"/>
    <n v="0"/>
    <n v="0"/>
    <m/>
    <n v="0"/>
    <n v="0"/>
    <n v="0"/>
    <n v="0"/>
    <n v="1"/>
    <n v="0"/>
    <s v="Yes"/>
    <m/>
    <m/>
    <m/>
    <s v="TransV2"/>
    <x v="0"/>
    <x v="6"/>
    <x v="0"/>
  </r>
  <r>
    <x v="0"/>
    <s v="PAUSED"/>
    <n v="1012866522"/>
    <x v="370"/>
    <s v="nsfw"/>
    <d v="1899-12-30T16:09:00"/>
    <s v="In-Stream Video"/>
    <s v="TJX"/>
    <s v="mobile"/>
    <s v="GEO,Frequency,Keyword,OS,BrowserLanguage"/>
    <n v="240"/>
    <n v="0"/>
    <s v="Yes"/>
    <s v="Unlimited"/>
    <n v="0"/>
    <n v="0"/>
    <n v="0"/>
    <m/>
    <n v="0"/>
    <n v="0"/>
    <n v="0"/>
    <n v="0"/>
    <n v="1"/>
    <n v="0"/>
    <s v="Yes"/>
    <m/>
    <m/>
    <m/>
    <s v="TransV2"/>
    <x v="0"/>
    <x v="1"/>
    <x v="0"/>
  </r>
  <r>
    <x v="0"/>
    <s v="RUNNING"/>
    <n v="1012866532"/>
    <x v="657"/>
    <s v="nsfw"/>
    <d v="1899-12-30T16:09:00"/>
    <s v="In-Stream Video"/>
    <s v="TJX"/>
    <s v="mobile"/>
    <s v="GEO,Frequency,Keyword,OS,BrowserLanguage"/>
    <n v="240"/>
    <n v="0"/>
    <s v="Yes"/>
    <s v="Unlimited"/>
    <n v="171"/>
    <n v="14"/>
    <n v="8.1871299999999998"/>
    <n v="0"/>
    <n v="0.12"/>
    <n v="0.67900000000000005"/>
    <n v="8.0000000000000002E-3"/>
    <n v="0"/>
    <n v="1"/>
    <n v="0"/>
    <s v="Yes"/>
    <n v="171"/>
    <n v="153"/>
    <n v="12"/>
    <s v="TransV2"/>
    <x v="0"/>
    <x v="6"/>
    <x v="0"/>
  </r>
  <r>
    <x v="0"/>
    <s v="NOT RUNNING"/>
    <n v="1012866542"/>
    <x v="365"/>
    <s v="nsfw"/>
    <d v="1899-12-30T16:09:00"/>
    <s v="In-Stream Video"/>
    <s v="TJX"/>
    <s v="mobile"/>
    <s v="GEO,Frequency,Keyword,OS,BrowserLanguage"/>
    <n v="240"/>
    <n v="0"/>
    <s v="Yes"/>
    <s v="Unlimited"/>
    <n v="0"/>
    <n v="0"/>
    <n v="0"/>
    <m/>
    <n v="0"/>
    <n v="0"/>
    <n v="0"/>
    <n v="0"/>
    <n v="1"/>
    <n v="0"/>
    <s v="Yes"/>
    <m/>
    <m/>
    <m/>
    <s v="TransV2"/>
    <x v="0"/>
    <x v="1"/>
    <x v="0"/>
  </r>
  <r>
    <x v="0"/>
    <s v="RUNNING"/>
    <n v="1012866552"/>
    <x v="658"/>
    <s v="nsfw"/>
    <d v="1899-12-30T16:09:00"/>
    <s v="In-Stream Video"/>
    <s v="TJX"/>
    <s v="mobile"/>
    <s v="GEO,Frequency,Keyword,OS,BrowserLanguage"/>
    <n v="240"/>
    <n v="0"/>
    <s v="Yes"/>
    <s v="Unlimited"/>
    <n v="164"/>
    <n v="7"/>
    <n v="4.2682900000000004"/>
    <n v="0"/>
    <n v="0.1"/>
    <n v="0.628"/>
    <n v="1.4999999999999999E-2"/>
    <n v="0"/>
    <n v="1"/>
    <n v="0"/>
    <s v="Yes"/>
    <n v="164"/>
    <n v="147"/>
    <n v="13"/>
    <s v="TransV2"/>
    <x v="0"/>
    <x v="6"/>
    <x v="0"/>
  </r>
  <r>
    <x v="0"/>
    <s v="PAUSED"/>
    <n v="1012866562"/>
    <x v="364"/>
    <s v="nsfw"/>
    <d v="1899-12-30T16:09:00"/>
    <s v="In-Stream Video"/>
    <s v="TJX"/>
    <s v="mobile"/>
    <s v="GEO,Frequency,Keyword,OS,BrowserLanguage"/>
    <n v="240"/>
    <n v="0"/>
    <s v="Yes"/>
    <s v="Unlimited"/>
    <n v="0"/>
    <n v="0"/>
    <n v="0"/>
    <m/>
    <n v="0"/>
    <n v="0"/>
    <n v="0"/>
    <n v="0"/>
    <n v="1"/>
    <n v="0"/>
    <s v="Yes"/>
    <m/>
    <m/>
    <m/>
    <s v="TransV2"/>
    <x v="0"/>
    <x v="1"/>
    <x v="0"/>
  </r>
  <r>
    <x v="0"/>
    <s v="PAUSED"/>
    <n v="1012866572"/>
    <x v="659"/>
    <s v="nsfw"/>
    <d v="1899-12-30T16:09:00"/>
    <s v="In-Stream Video"/>
    <s v="TJX"/>
    <s v="mobile"/>
    <s v="GEO,Frequency,Keyword,OS,BrowserLanguage"/>
    <n v="240"/>
    <n v="0"/>
    <s v="Yes"/>
    <s v="Unlimited"/>
    <n v="0"/>
    <n v="0"/>
    <n v="0"/>
    <m/>
    <n v="0"/>
    <n v="0"/>
    <n v="0"/>
    <n v="0"/>
    <n v="1"/>
    <n v="0"/>
    <s v="Yes"/>
    <m/>
    <m/>
    <m/>
    <s v="TransV2"/>
    <x v="0"/>
    <x v="6"/>
    <x v="0"/>
  </r>
  <r>
    <x v="0"/>
    <s v="RUNNING"/>
    <n v="1012866582"/>
    <x v="660"/>
    <s v="nsfw"/>
    <d v="1899-12-30T16:09:00"/>
    <s v="In-Stream Video"/>
    <s v="TJX"/>
    <s v="mobile"/>
    <s v="GEO,Frequency,Keyword,OS,BrowserLanguage"/>
    <n v="240"/>
    <n v="0"/>
    <s v="Yes"/>
    <s v="Unlimited"/>
    <n v="73"/>
    <n v="7"/>
    <n v="9.5890400000000007"/>
    <n v="0"/>
    <n v="0.03"/>
    <n v="0.39300000000000002"/>
    <n v="4.0000000000000001E-3"/>
    <n v="0"/>
    <n v="1"/>
    <n v="0"/>
    <s v="Yes"/>
    <n v="73"/>
    <n v="67"/>
    <n v="4"/>
    <s v="TransV2"/>
    <x v="0"/>
    <x v="6"/>
    <x v="0"/>
  </r>
  <r>
    <x v="0"/>
    <s v="RUNNING"/>
    <n v="1012866592"/>
    <x v="661"/>
    <s v="nsfw"/>
    <d v="1899-12-30T16:09:00"/>
    <s v="In-Stream Video"/>
    <s v="TJX"/>
    <s v="mobile"/>
    <s v="GEO,Frequency,Keyword,OS,BrowserLanguage"/>
    <n v="240"/>
    <n v="0"/>
    <s v="Yes"/>
    <s v="Unlimited"/>
    <n v="31"/>
    <n v="1"/>
    <n v="3.2258100000000001"/>
    <n v="0"/>
    <n v="0.01"/>
    <n v="0.443"/>
    <n v="1.4E-2"/>
    <n v="0"/>
    <n v="1"/>
    <n v="0"/>
    <s v="Yes"/>
    <n v="31"/>
    <n v="28"/>
    <n v="1"/>
    <s v="TransV2"/>
    <x v="0"/>
    <x v="6"/>
    <x v="0"/>
  </r>
  <r>
    <x v="0"/>
    <s v="RUNNING"/>
    <n v="1012866602"/>
    <x v="662"/>
    <s v="nsfw"/>
    <d v="1899-12-30T16:09:00"/>
    <s v="In-Stream Video"/>
    <s v="TJX"/>
    <s v="desktop"/>
    <s v="GEO,Frequency,Keyword,BrowserLanguage"/>
    <n v="416"/>
    <n v="0"/>
    <s v="Yes"/>
    <s v="Unlimited"/>
    <n v="339"/>
    <n v="15"/>
    <n v="4.4247800000000002"/>
    <n v="0"/>
    <n v="0.35"/>
    <n v="1.0189999999999999"/>
    <n v="2.3E-2"/>
    <n v="0"/>
    <n v="1"/>
    <n v="0"/>
    <s v="Yes"/>
    <n v="339"/>
    <n v="239"/>
    <n v="49"/>
    <s v="TransV2"/>
    <x v="0"/>
    <x v="6"/>
    <x v="0"/>
  </r>
  <r>
    <x v="0"/>
    <s v="PAUSED"/>
    <n v="1012866612"/>
    <x v="663"/>
    <s v="nsfw"/>
    <d v="1899-12-30T16:09:00"/>
    <s v="In-Stream Video"/>
    <s v="TJX"/>
    <s v="all"/>
    <s v="GEO,Frequency,Keyword,BrowserLanguage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x v="0"/>
    <x v="9"/>
    <x v="0"/>
  </r>
  <r>
    <x v="0"/>
    <s v="RUNNING"/>
    <n v="1012866632"/>
    <x v="664"/>
    <s v="nsfw"/>
    <d v="1899-12-30T16:09:00"/>
    <s v="In-Stream Video"/>
    <s v="TJX"/>
    <s v="all"/>
    <s v="GEO,Frequency,Keyword,BrowserLanguage"/>
    <n v="168"/>
    <n v="0"/>
    <s v="No"/>
    <n v="250"/>
    <n v="1016"/>
    <n v="42"/>
    <n v="4.1338600000000003"/>
    <n v="0"/>
    <n v="2.29"/>
    <n v="2.2549999999999999"/>
    <n v="5.5E-2"/>
    <n v="0"/>
    <n v="1"/>
    <n v="0"/>
    <s v="No"/>
    <n v="1016"/>
    <n v="866"/>
    <n v="116"/>
    <s v="Tests"/>
    <x v="0"/>
    <x v="3"/>
    <x v="0"/>
  </r>
  <r>
    <x v="0"/>
    <s v="RUNNING"/>
    <n v="1012866642"/>
    <x v="665"/>
    <s v="nsfw"/>
    <d v="1899-12-30T16:09:00"/>
    <s v="In-Stream Video"/>
    <s v="TJX"/>
    <s v="all"/>
    <s v="GEO,Frequency,Keyword,BrowserLanguage"/>
    <n v="168"/>
    <n v="0"/>
    <s v="Yes"/>
    <s v="Unlimited"/>
    <n v="96155"/>
    <n v="4685"/>
    <n v="4.8723400000000003"/>
    <n v="1"/>
    <n v="217.82"/>
    <n v="2.2650000000000001"/>
    <n v="4.5999999999999999E-2"/>
    <n v="217.822"/>
    <n v="1"/>
    <n v="0"/>
    <s v="No"/>
    <n v="96121"/>
    <n v="85142"/>
    <n v="7586"/>
    <s v="Tests"/>
    <x v="0"/>
    <x v="3"/>
    <x v="0"/>
  </r>
  <r>
    <x v="0"/>
    <s v="PAUSED"/>
    <n v="1012866652"/>
    <x v="666"/>
    <s v="nsfw"/>
    <d v="1899-12-30T16:09:00"/>
    <s v="In-Stream Video"/>
    <s v="TJX"/>
    <s v="all"/>
    <s v="GEO,Frequency,Keyword,BrowserLanguage"/>
    <n v="168"/>
    <n v="0"/>
    <s v="Yes"/>
    <s v="Unlimited"/>
    <n v="0"/>
    <n v="0"/>
    <n v="0"/>
    <m/>
    <n v="0"/>
    <n v="0"/>
    <n v="0"/>
    <n v="0"/>
    <n v="1"/>
    <n v="0"/>
    <s v="No"/>
    <m/>
    <m/>
    <m/>
    <s v="Tests"/>
    <x v="0"/>
    <x v="9"/>
    <x v="0"/>
  </r>
  <r>
    <x v="0"/>
    <s v="PAUSED"/>
    <n v="1012866662"/>
    <x v="667"/>
    <s v="nsfw"/>
    <d v="1899-12-30T16:09:00"/>
    <s v="In-Stream Video"/>
    <s v="TJX"/>
    <s v="all"/>
    <s v="GEO,Frequency,Keyword,BrowserLanguage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x v="0"/>
    <x v="9"/>
    <x v="0"/>
  </r>
  <r>
    <x v="0"/>
    <s v="RUNNING"/>
    <n v="1012866672"/>
    <x v="668"/>
    <s v="nsfw"/>
    <d v="1899-12-30T16:09:00"/>
    <s v="In-Stream Video"/>
    <s v="TJX"/>
    <s v="all"/>
    <s v="GEO,Frequency,Keyword,BrowserLanguage"/>
    <n v="168"/>
    <n v="0"/>
    <s v="No"/>
    <n v="250"/>
    <n v="634"/>
    <n v="22"/>
    <n v="3.4700299999999999"/>
    <n v="0"/>
    <n v="1.44"/>
    <n v="2.2709999999999999"/>
    <n v="6.5000000000000002E-2"/>
    <n v="0"/>
    <n v="1"/>
    <n v="0"/>
    <s v="No"/>
    <n v="634"/>
    <n v="575"/>
    <n v="40"/>
    <s v="Tests"/>
    <x v="0"/>
    <x v="3"/>
    <x v="0"/>
  </r>
  <r>
    <x v="0"/>
    <s v="PAUSED"/>
    <n v="1012867202"/>
    <x v="669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x v="0"/>
    <x v="9"/>
    <x v="0"/>
  </r>
  <r>
    <x v="0"/>
    <s v="PAUSED"/>
    <n v="1012867212"/>
    <x v="670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Bin"/>
    <x v="0"/>
    <x v="1"/>
    <x v="0"/>
  </r>
  <r>
    <x v="0"/>
    <s v="PAUSED"/>
    <n v="1012867222"/>
    <x v="671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x v="0"/>
    <x v="9"/>
    <x v="0"/>
  </r>
  <r>
    <x v="0"/>
    <s v="PAUSED"/>
    <n v="1012867232"/>
    <x v="672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Bin"/>
    <x v="0"/>
    <x v="1"/>
    <x v="0"/>
  </r>
  <r>
    <x v="0"/>
    <s v="PAUSED"/>
    <n v="1012867242"/>
    <x v="673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x v="0"/>
    <x v="9"/>
    <x v="0"/>
  </r>
  <r>
    <x v="0"/>
    <s v="PAUSED"/>
    <n v="1012867252"/>
    <x v="674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Bin"/>
    <x v="0"/>
    <x v="1"/>
    <x v="0"/>
  </r>
  <r>
    <x v="0"/>
    <s v="PAUSED"/>
    <n v="1012867262"/>
    <x v="675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x v="0"/>
    <x v="9"/>
    <x v="0"/>
  </r>
  <r>
    <x v="0"/>
    <s v="PAUSED"/>
    <n v="1012867272"/>
    <x v="676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Tests"/>
    <x v="0"/>
    <x v="9"/>
    <x v="0"/>
  </r>
  <r>
    <x v="0"/>
    <s v="RUNNING"/>
    <n v="1012869782"/>
    <x v="677"/>
    <s v="nsfw"/>
    <d v="1899-12-30T16:09:00"/>
    <s v="In-Stream Video"/>
    <s v="TJX"/>
    <s v="desktop"/>
    <s v="GEO,Frequency,Keyword,BrowserLanguage"/>
    <n v="104"/>
    <n v="0"/>
    <s v="Yes"/>
    <s v="Unlimited"/>
    <n v="2783"/>
    <n v="154"/>
    <n v="5.5335999999999999"/>
    <n v="0"/>
    <n v="6.92"/>
    <n v="2.4849999999999999"/>
    <n v="4.4999999999999998E-2"/>
    <n v="0"/>
    <n v="1"/>
    <n v="0"/>
    <s v="Yes"/>
    <n v="2783"/>
    <n v="2181"/>
    <n v="326"/>
    <s v="Furry"/>
    <x v="0"/>
    <x v="3"/>
    <x v="0"/>
  </r>
  <r>
    <x v="0"/>
    <s v="RUNNING"/>
    <n v="1012869792"/>
    <x v="49"/>
    <s v="nsfw"/>
    <d v="1899-12-30T16:09:00"/>
    <s v="In-Stream Video"/>
    <s v="TJX"/>
    <s v="desktop"/>
    <s v="GEO,Frequency,Keyword,BrowserLanguage"/>
    <n v="104"/>
    <n v="0"/>
    <s v="Yes"/>
    <s v="Unlimited"/>
    <n v="1170"/>
    <n v="56"/>
    <n v="4.7863199999999999"/>
    <n v="0"/>
    <n v="3.01"/>
    <n v="2.577"/>
    <n v="5.3999999999999999E-2"/>
    <n v="0"/>
    <n v="1"/>
    <n v="0"/>
    <s v="Yes"/>
    <n v="1169"/>
    <n v="816"/>
    <n v="142"/>
    <s v="Furry"/>
    <x v="0"/>
    <x v="3"/>
    <x v="0"/>
  </r>
  <r>
    <x v="0"/>
    <s v="RUNNING"/>
    <n v="1012869802"/>
    <x v="55"/>
    <s v="nsfw"/>
    <d v="1899-12-30T16:09:00"/>
    <s v="In-Stream Video"/>
    <s v="TJX"/>
    <s v="desktop"/>
    <s v="GEO,Frequency,Keyword,BrowserLanguage"/>
    <n v="104"/>
    <n v="0"/>
    <s v="Yes"/>
    <s v="Unlimited"/>
    <n v="114"/>
    <n v="5"/>
    <n v="4.3859599999999999"/>
    <n v="0"/>
    <n v="0.31"/>
    <n v="2.7610000000000001"/>
    <n v="6.3E-2"/>
    <n v="0"/>
    <n v="1"/>
    <n v="0"/>
    <s v="Yes"/>
    <n v="114"/>
    <n v="79"/>
    <n v="11"/>
    <s v="Furry"/>
    <x v="0"/>
    <x v="3"/>
    <x v="0"/>
  </r>
  <r>
    <x v="0"/>
    <s v="RUNNING"/>
    <n v="1012869812"/>
    <x v="678"/>
    <s v="nsfw"/>
    <d v="1899-12-30T16:09:00"/>
    <s v="In-Stream Video"/>
    <s v="TJX"/>
    <s v="desktop"/>
    <s v="GEO,Frequency,Keyword,BrowserLanguage"/>
    <n v="104"/>
    <n v="0"/>
    <s v="Yes"/>
    <s v="Unlimited"/>
    <n v="37"/>
    <n v="4"/>
    <n v="10.81081"/>
    <n v="0"/>
    <n v="0.02"/>
    <n v="0.59"/>
    <n v="5.0000000000000001E-3"/>
    <n v="0"/>
    <n v="1"/>
    <n v="0"/>
    <s v="Yes"/>
    <n v="37"/>
    <n v="31"/>
    <n v="3"/>
    <s v="Furry"/>
    <x v="0"/>
    <x v="3"/>
    <x v="0"/>
  </r>
  <r>
    <x v="0"/>
    <s v="NOT RUNNING"/>
    <n v="1012869822"/>
    <x v="679"/>
    <s v="nsfw"/>
    <d v="1899-12-30T16:09:00"/>
    <s v="In-Stream Video"/>
    <s v="TJX"/>
    <s v="mobile"/>
    <s v="GEO,Frequency,Keyword,OS,BrowserLanguage"/>
    <n v="260"/>
    <n v="0"/>
    <s v="Yes"/>
    <s v="Unlimited"/>
    <n v="4"/>
    <n v="0"/>
    <n v="0"/>
    <n v="0"/>
    <n v="0"/>
    <n v="0.66100000000000003"/>
    <n v="0"/>
    <n v="0"/>
    <n v="1"/>
    <n v="0"/>
    <s v="Yes"/>
    <n v="4"/>
    <n v="3"/>
    <n v="0"/>
    <s v="Furry"/>
    <x v="0"/>
    <x v="3"/>
    <x v="0"/>
  </r>
  <r>
    <x v="0"/>
    <s v="NOT RUNNING"/>
    <n v="1012869832"/>
    <x v="680"/>
    <s v="nsfw"/>
    <d v="1899-12-30T16:09:00"/>
    <s v="In-Stream Video"/>
    <s v="TJX"/>
    <s v="mobile"/>
    <s v="GEO,Frequency,Keyword,OS,BrowserLanguage"/>
    <n v="260"/>
    <n v="0"/>
    <s v="Yes"/>
    <s v="Unlimited"/>
    <n v="1"/>
    <n v="0"/>
    <n v="0"/>
    <n v="0"/>
    <n v="0"/>
    <n v="0.32"/>
    <n v="0"/>
    <n v="0"/>
    <n v="1"/>
    <n v="0"/>
    <s v="Yes"/>
    <n v="1"/>
    <n v="1"/>
    <n v="0"/>
    <s v="Furry"/>
    <x v="0"/>
    <x v="3"/>
    <x v="0"/>
  </r>
  <r>
    <x v="0"/>
    <s v="PAUSED"/>
    <n v="1012869842"/>
    <x v="681"/>
    <s v="nsfw"/>
    <d v="1899-12-30T16:09:00"/>
    <s v="In-Stream Video"/>
    <s v="TJX"/>
    <s v="mobile"/>
    <s v="GEO,Frequency,Keyword,OS,BrowserLanguage"/>
    <n v="260"/>
    <n v="0"/>
    <s v="Yes"/>
    <s v="Unlimited"/>
    <n v="0"/>
    <n v="0"/>
    <n v="0"/>
    <m/>
    <n v="0"/>
    <n v="0"/>
    <n v="0"/>
    <n v="0"/>
    <n v="1"/>
    <n v="0"/>
    <s v="Yes"/>
    <m/>
    <m/>
    <m/>
    <s v="Furry"/>
    <x v="0"/>
    <x v="4"/>
    <x v="0"/>
  </r>
  <r>
    <x v="0"/>
    <s v="NOT RUNNING"/>
    <n v="1012869852"/>
    <x v="682"/>
    <s v="nsfw"/>
    <d v="1899-12-30T16:09:00"/>
    <s v="In-Stream Video"/>
    <s v="TJX"/>
    <s v="mobile"/>
    <s v="GEO,Frequency,Keyword,OS,BrowserLanguage"/>
    <n v="260"/>
    <n v="0"/>
    <s v="Yes"/>
    <s v="Unlimited"/>
    <n v="1"/>
    <n v="0"/>
    <n v="0"/>
    <n v="0"/>
    <n v="0"/>
    <n v="0.52500000000000002"/>
    <n v="0"/>
    <n v="0"/>
    <n v="1"/>
    <n v="0"/>
    <s v="Yes"/>
    <n v="1"/>
    <n v="1"/>
    <n v="0"/>
    <s v="Furry"/>
    <x v="0"/>
    <x v="3"/>
    <x v="0"/>
  </r>
  <r>
    <x v="0"/>
    <s v="RUNNING"/>
    <n v="1012869862"/>
    <x v="47"/>
    <s v="nsfw"/>
    <d v="1899-12-30T16:09:00"/>
    <s v="In-Stream Video"/>
    <s v="TJX"/>
    <s v="mobile"/>
    <s v="GEO,Frequency,Keyword,OS,BrowserLanguage"/>
    <n v="130"/>
    <n v="0"/>
    <s v="Yes"/>
    <s v="Unlimited"/>
    <n v="2190"/>
    <n v="137"/>
    <n v="6.2557099999999997"/>
    <n v="0"/>
    <n v="7.25"/>
    <n v="3.31"/>
    <n v="5.2999999999999999E-2"/>
    <n v="0"/>
    <n v="1"/>
    <n v="0"/>
    <s v="Yes"/>
    <n v="2187"/>
    <n v="2014"/>
    <n v="101"/>
    <s v="Furry"/>
    <x v="0"/>
    <x v="3"/>
    <x v="0"/>
  </r>
  <r>
    <x v="0"/>
    <s v="RUNNING"/>
    <n v="1012869872"/>
    <x v="53"/>
    <s v="nsfw"/>
    <d v="1899-12-30T16:09:00"/>
    <s v="In-Stream Video"/>
    <s v="TJX"/>
    <s v="mobile"/>
    <s v="GEO,Frequency,Keyword,OS,BrowserLanguage"/>
    <n v="260"/>
    <n v="0"/>
    <s v="Yes"/>
    <s v="Unlimited"/>
    <n v="7"/>
    <n v="0"/>
    <n v="0"/>
    <n v="0"/>
    <n v="0"/>
    <n v="0.63900000000000001"/>
    <n v="0"/>
    <n v="0"/>
    <n v="1"/>
    <n v="0"/>
    <s v="Yes"/>
    <n v="7"/>
    <n v="6"/>
    <n v="1"/>
    <s v="Furry"/>
    <x v="0"/>
    <x v="3"/>
    <x v="0"/>
  </r>
  <r>
    <x v="0"/>
    <s v="NOT RUNNING"/>
    <n v="1012869882"/>
    <x v="56"/>
    <s v="nsfw"/>
    <d v="1899-12-30T16:09:00"/>
    <s v="In-Stream Video"/>
    <s v="TJX"/>
    <s v="mobile"/>
    <s v="GEO,Frequency,Keyword,OS,BrowserLanguage"/>
    <n v="260"/>
    <n v="0"/>
    <s v="Yes"/>
    <s v="Unlimited"/>
    <n v="0"/>
    <n v="0"/>
    <n v="0"/>
    <m/>
    <n v="0"/>
    <n v="0"/>
    <n v="0"/>
    <n v="0"/>
    <n v="1"/>
    <n v="0"/>
    <s v="Yes"/>
    <m/>
    <m/>
    <m/>
    <s v="Furry"/>
    <x v="0"/>
    <x v="1"/>
    <x v="0"/>
  </r>
  <r>
    <x v="0"/>
    <s v="PAUSED"/>
    <n v="1012869902"/>
    <x v="558"/>
    <s v="nsfw"/>
    <d v="1899-12-30T16:09:00"/>
    <s v="In-Stream Video"/>
    <s v="TJX"/>
    <s v="mobile"/>
    <s v="GEO,Frequency,Keyword,OS,BrowserLanguage"/>
    <n v="260"/>
    <n v="0"/>
    <s v="Yes"/>
    <s v="Unlimited"/>
    <n v="0"/>
    <n v="0"/>
    <n v="0"/>
    <m/>
    <n v="0"/>
    <n v="0"/>
    <n v="0"/>
    <n v="0"/>
    <n v="1"/>
    <n v="0"/>
    <s v="Yes"/>
    <m/>
    <m/>
    <m/>
    <s v="Furry"/>
    <x v="0"/>
    <x v="1"/>
    <x v="0"/>
  </r>
  <r>
    <x v="0"/>
    <s v="RUNNING"/>
    <n v="1012869912"/>
    <x v="683"/>
    <s v="nsfw"/>
    <d v="1899-12-30T16:09:00"/>
    <s v="In-Stream Video"/>
    <s v="TJX"/>
    <s v="mobile"/>
    <s v="GEO,Frequency,Keyword,OS,BrowserLanguage"/>
    <n v="260"/>
    <n v="0"/>
    <s v="Yes"/>
    <s v="Unlimited"/>
    <n v="4"/>
    <n v="0"/>
    <n v="0"/>
    <n v="0"/>
    <n v="0"/>
    <n v="0.42599999999999999"/>
    <n v="0"/>
    <n v="0"/>
    <n v="1"/>
    <n v="0"/>
    <s v="Yes"/>
    <n v="4"/>
    <n v="2"/>
    <n v="1"/>
    <s v="Furry"/>
    <x v="0"/>
    <x v="3"/>
    <x v="0"/>
  </r>
  <r>
    <x v="0"/>
    <s v="RUNNING"/>
    <n v="1012905942"/>
    <x v="684"/>
    <s v="nsfw"/>
    <d v="1899-12-30T16:09:00"/>
    <s v="In-Stream Video"/>
    <s v="TJX"/>
    <s v="mobile"/>
    <s v="GEO,Frequency"/>
    <n v="129"/>
    <n v="0"/>
    <s v="Yes"/>
    <s v="Unlimited"/>
    <n v="86091"/>
    <n v="4148"/>
    <n v="4.8181599999999998"/>
    <n v="0"/>
    <n v="191.83"/>
    <n v="2.2280000000000002"/>
    <n v="4.5999999999999999E-2"/>
    <n v="0"/>
    <n v="1"/>
    <n v="0"/>
    <s v="No"/>
    <n v="86052"/>
    <n v="75145"/>
    <n v="8017"/>
    <s v="Remarketing"/>
    <x v="0"/>
    <x v="14"/>
    <x v="0"/>
  </r>
  <r>
    <x v="0"/>
    <s v="RUNNING"/>
    <n v="1012905952"/>
    <x v="685"/>
    <s v="nsfw"/>
    <d v="1899-12-30T16:09:00"/>
    <s v="In-Stream Video"/>
    <s v="TJX"/>
    <s v="mobile"/>
    <s v="GEO,Frequency"/>
    <n v="129"/>
    <n v="0"/>
    <s v="No"/>
    <n v="250"/>
    <n v="10904"/>
    <n v="510"/>
    <n v="4.6771799999999999"/>
    <n v="1"/>
    <n v="21.73"/>
    <n v="1.9930000000000001"/>
    <n v="4.2999999999999997E-2"/>
    <n v="21.734000000000002"/>
    <n v="1"/>
    <n v="0"/>
    <s v="No"/>
    <n v="10904"/>
    <n v="9488"/>
    <n v="1116"/>
    <s v="Remarketing"/>
    <x v="0"/>
    <x v="14"/>
    <x v="0"/>
  </r>
  <r>
    <x v="0"/>
    <s v="RUNNING"/>
    <n v="1012905962"/>
    <x v="686"/>
    <s v="nsfw"/>
    <d v="1899-12-30T16:09:00"/>
    <s v="In-Stream Video"/>
    <s v="TJX"/>
    <s v="mobile"/>
    <s v="GEO,Frequency"/>
    <n v="129"/>
    <n v="0"/>
    <s v="Yes"/>
    <s v="Unlimited"/>
    <n v="4651"/>
    <n v="284"/>
    <n v="6.1062099999999999"/>
    <n v="0"/>
    <n v="4.07"/>
    <n v="0.874"/>
    <n v="1.4E-2"/>
    <n v="0"/>
    <n v="1"/>
    <n v="0"/>
    <s v="No"/>
    <n v="4650"/>
    <n v="4108"/>
    <n v="338"/>
    <s v="Remarketing"/>
    <x v="0"/>
    <x v="14"/>
    <x v="0"/>
  </r>
  <r>
    <x v="0"/>
    <s v="RUNNING"/>
    <n v="1012905982"/>
    <x v="687"/>
    <s v="nsfw"/>
    <d v="1899-12-30T16:09:00"/>
    <s v="In-Stream Video"/>
    <s v="TJX"/>
    <s v="mobile"/>
    <s v="GEO,Frequency"/>
    <n v="129"/>
    <n v="0"/>
    <s v="No"/>
    <n v="250"/>
    <n v="155"/>
    <n v="7"/>
    <n v="4.5161300000000004"/>
    <n v="0"/>
    <n v="0.08"/>
    <n v="0.53200000000000003"/>
    <n v="1.2E-2"/>
    <n v="0"/>
    <n v="1"/>
    <n v="0"/>
    <s v="No"/>
    <n v="155"/>
    <n v="137"/>
    <n v="11"/>
    <s v="Remarketing"/>
    <x v="0"/>
    <x v="14"/>
    <x v="0"/>
  </r>
  <r>
    <x v="0"/>
    <s v="RUNNING"/>
    <n v="1012905992"/>
    <x v="688"/>
    <s v="nsfw"/>
    <d v="1899-12-30T16:09:00"/>
    <s v="In-Stream Video"/>
    <s v="TJX"/>
    <s v="mobile"/>
    <s v="GEO,Frequency"/>
    <n v="129"/>
    <n v="0"/>
    <s v="No"/>
    <n v="250"/>
    <n v="856"/>
    <n v="47"/>
    <n v="5.4906499999999996"/>
    <n v="0"/>
    <n v="0.95"/>
    <n v="1.1140000000000001"/>
    <n v="0.02"/>
    <n v="0"/>
    <n v="1"/>
    <n v="0"/>
    <s v="No"/>
    <n v="856"/>
    <n v="728"/>
    <n v="82"/>
    <s v="Remarketing"/>
    <x v="0"/>
    <x v="14"/>
    <x v="0"/>
  </r>
  <r>
    <x v="0"/>
    <s v="RUNNING"/>
    <n v="1012906002"/>
    <x v="689"/>
    <s v="nsfw"/>
    <d v="1899-12-30T16:09:00"/>
    <s v="In-Stream Video"/>
    <s v="TJX"/>
    <s v="mobile"/>
    <s v="GEO,Frequency"/>
    <n v="129"/>
    <n v="0"/>
    <s v="No"/>
    <n v="250"/>
    <n v="1888"/>
    <n v="92"/>
    <n v="4.8728800000000003"/>
    <n v="0"/>
    <n v="3.18"/>
    <n v="1.6859999999999999"/>
    <n v="3.5000000000000003E-2"/>
    <n v="0"/>
    <n v="1"/>
    <n v="0"/>
    <s v="No"/>
    <n v="1889"/>
    <n v="1669"/>
    <n v="119"/>
    <s v="Remarketing"/>
    <x v="0"/>
    <x v="14"/>
    <x v="0"/>
  </r>
  <r>
    <x v="0"/>
    <s v="RUNNING"/>
    <n v="1012906012"/>
    <x v="690"/>
    <s v="nsfw"/>
    <d v="1899-12-30T16:09:00"/>
    <s v="In-Stream Video"/>
    <s v="TJX"/>
    <s v="mobile"/>
    <s v="GEO,Frequency"/>
    <n v="129"/>
    <n v="0"/>
    <s v="No"/>
    <n v="250"/>
    <n v="5442"/>
    <n v="248"/>
    <n v="4.55715"/>
    <n v="0"/>
    <n v="13.5"/>
    <n v="2.48"/>
    <n v="5.3999999999999999E-2"/>
    <n v="0"/>
    <n v="1"/>
    <n v="0"/>
    <s v="No"/>
    <n v="5444"/>
    <n v="4856"/>
    <n v="428"/>
    <s v="Remarketing"/>
    <x v="0"/>
    <x v="14"/>
    <x v="0"/>
  </r>
  <r>
    <x v="0"/>
    <s v="PAUSED"/>
    <n v="1012914792"/>
    <x v="249"/>
    <s v="nsfw"/>
    <d v="1899-12-30T16:09:00"/>
    <s v="In-Stream Video"/>
    <s v="TJX"/>
    <s v="desktop"/>
    <s v="GEO,Frequency,Keyword,BrowserLanguage"/>
    <n v="10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5"/>
    <x v="0"/>
  </r>
  <r>
    <x v="0"/>
    <s v="PAUSED"/>
    <n v="1012914802"/>
    <x v="545"/>
    <s v="nsfw"/>
    <d v="1899-12-30T16:09:00"/>
    <s v="In-Stream Video"/>
    <s v="TJX"/>
    <s v="desktop"/>
    <s v="GEO,Frequency,Keyword,BrowserLanguage"/>
    <n v="10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5"/>
    <x v="0"/>
  </r>
  <r>
    <x v="0"/>
    <s v="PAUSED"/>
    <n v="1012914812"/>
    <x v="255"/>
    <s v="nsfw"/>
    <d v="1899-12-30T16:09:00"/>
    <s v="In-Stream Video"/>
    <s v="TJX"/>
    <s v="desktop"/>
    <s v="GEO,Frequency,Keyword,BrowserLanguage"/>
    <n v="10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"/>
    <x v="0"/>
  </r>
  <r>
    <x v="0"/>
    <s v="RUNNING"/>
    <n v="1012914822"/>
    <x v="691"/>
    <s v="nsfw"/>
    <d v="1899-12-30T16:09:00"/>
    <s v="In-Stream Video"/>
    <s v="TJX"/>
    <s v="desktop"/>
    <s v="GEO,Frequency,Keyword,BrowserLanguage"/>
    <n v="100"/>
    <n v="0"/>
    <s v="No"/>
    <n v="250"/>
    <n v="765"/>
    <n v="24"/>
    <n v="3.1372499999999999"/>
    <n v="0"/>
    <n v="0.73"/>
    <n v="0.95299999999999996"/>
    <n v="0.03"/>
    <n v="0"/>
    <n v="1"/>
    <n v="0"/>
    <s v="Yes"/>
    <n v="765"/>
    <n v="541"/>
    <n v="124"/>
    <s v="Blowjob"/>
    <x v="0"/>
    <x v="3"/>
    <x v="0"/>
  </r>
  <r>
    <x v="0"/>
    <s v="PAUSED"/>
    <n v="1012914832"/>
    <x v="248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"/>
    <x v="0"/>
  </r>
  <r>
    <x v="0"/>
    <s v="PAUSED"/>
    <n v="1012914842"/>
    <x v="254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"/>
    <x v="0"/>
  </r>
  <r>
    <x v="0"/>
    <s v="PAUSED"/>
    <n v="1012914852"/>
    <x v="251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"/>
    <x v="0"/>
  </r>
  <r>
    <x v="0"/>
    <s v="PAUSED"/>
    <n v="1012914862"/>
    <x v="259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"/>
    <x v="0"/>
  </r>
  <r>
    <x v="0"/>
    <s v="RUNNING"/>
    <n v="1012914872"/>
    <x v="692"/>
    <s v="nsfw"/>
    <d v="1899-12-30T16:09:00"/>
    <s v="In-Stream Video"/>
    <s v="TJX"/>
    <s v="mobile"/>
    <s v="GEO,Frequency,Keyword,OS,BrowserLanguage"/>
    <n v="90"/>
    <n v="0"/>
    <s v="No"/>
    <n v="250"/>
    <n v="2255"/>
    <n v="131"/>
    <n v="5.80931"/>
    <n v="0"/>
    <n v="2.25"/>
    <n v="0.997"/>
    <n v="1.7000000000000001E-2"/>
    <n v="0"/>
    <n v="1"/>
    <n v="0"/>
    <s v="Yes"/>
    <n v="2256"/>
    <n v="1943"/>
    <n v="220"/>
    <s v="Blowjob"/>
    <x v="0"/>
    <x v="3"/>
    <x v="0"/>
  </r>
  <r>
    <x v="0"/>
    <s v="PAUSED"/>
    <n v="1012914882"/>
    <x v="693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5"/>
    <x v="0"/>
  </r>
  <r>
    <x v="0"/>
    <s v="PAUSED"/>
    <n v="1012914892"/>
    <x v="694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5"/>
    <x v="0"/>
  </r>
  <r>
    <x v="0"/>
    <s v="PAUSED"/>
    <n v="1012914902"/>
    <x v="695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5"/>
    <x v="0"/>
  </r>
  <r>
    <x v="0"/>
    <s v="PAUSED"/>
    <n v="1012914912"/>
    <x v="696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5"/>
    <x v="0"/>
  </r>
  <r>
    <x v="0"/>
    <s v="PAUSED"/>
    <n v="1012914922"/>
    <x v="572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Blowjob"/>
    <x v="0"/>
    <x v="1"/>
    <x v="0"/>
  </r>
  <r>
    <x v="0"/>
    <s v="PAUSED"/>
    <n v="1012914992"/>
    <x v="697"/>
    <s v="nsfw"/>
    <d v="1899-12-30T09:16:00"/>
    <s v="In-Stream Video"/>
    <s v="TJX"/>
    <s v="mobile"/>
    <s v="GEO,Frequency,OS,BrowserLanguage"/>
    <n v="3"/>
    <n v="0"/>
    <s v="Yes"/>
    <s v="Unlimited"/>
    <n v="0"/>
    <n v="0"/>
    <n v="0"/>
    <m/>
    <n v="0"/>
    <n v="0"/>
    <n v="0"/>
    <n v="0"/>
    <n v="1"/>
    <n v="0"/>
    <s v="Yes"/>
    <m/>
    <m/>
    <m/>
    <s v="Shorties"/>
    <x v="0"/>
    <x v="2"/>
    <x v="0"/>
  </r>
  <r>
    <x v="0"/>
    <s v="RUNNING"/>
    <n v="1012915002"/>
    <x v="698"/>
    <s v="nsfw"/>
    <d v="1899-12-30T09:16:00"/>
    <s v="In-Stream Video"/>
    <s v="TJX"/>
    <s v="mobile"/>
    <s v="GEO,Frequency,OS,BrowserLanguage"/>
    <n v="3"/>
    <n v="0"/>
    <s v="Yes"/>
    <s v="Unlimited"/>
    <n v="32677"/>
    <n v="351"/>
    <n v="1.0741499999999999"/>
    <n v="1"/>
    <n v="118.29"/>
    <n v="3.62"/>
    <n v="0.33700000000000002"/>
    <n v="118.291"/>
    <n v="1"/>
    <n v="0"/>
    <s v="Yes"/>
    <n v="32665"/>
    <n v="0"/>
    <n v="414"/>
    <s v="Shorties"/>
    <x v="0"/>
    <x v="2"/>
    <x v="0"/>
  </r>
  <r>
    <x v="0"/>
    <s v="RUNNING"/>
    <n v="1012915022"/>
    <x v="699"/>
    <s v="nsfw"/>
    <d v="1899-12-30T09:16:00"/>
    <s v="In-Stream Video"/>
    <s v="TJX"/>
    <s v="mobile"/>
    <s v="GEO,Frequency,OS,BrowserLanguage"/>
    <n v="3"/>
    <n v="0"/>
    <s v="Yes"/>
    <s v="Unlimited"/>
    <n v="7238"/>
    <n v="81"/>
    <n v="1.1190800000000001"/>
    <n v="0"/>
    <n v="13.19"/>
    <n v="1.823"/>
    <n v="0.16300000000000001"/>
    <n v="0"/>
    <n v="1"/>
    <n v="0"/>
    <s v="Yes"/>
    <n v="7242"/>
    <n v="0"/>
    <n v="104"/>
    <s v="Shorties"/>
    <x v="0"/>
    <x v="2"/>
    <x v="0"/>
  </r>
  <r>
    <x v="0"/>
    <s v="RUNNING"/>
    <n v="1012915032"/>
    <x v="700"/>
    <s v="nsfw"/>
    <d v="1899-12-30T09:16:00"/>
    <s v="In-Stream Video"/>
    <s v="TJX"/>
    <s v="mobile"/>
    <s v="GEO,Frequency,OS,BrowserLanguage"/>
    <n v="3"/>
    <n v="0"/>
    <s v="Yes"/>
    <s v="Unlimited"/>
    <n v="2321"/>
    <n v="32"/>
    <n v="1.3787199999999999"/>
    <n v="1"/>
    <n v="3.18"/>
    <n v="1.3680000000000001"/>
    <n v="9.9000000000000005E-2"/>
    <n v="3.1749999999999998"/>
    <n v="1"/>
    <n v="0"/>
    <s v="Yes"/>
    <n v="2321"/>
    <n v="0"/>
    <n v="37"/>
    <s v="Shorties"/>
    <x v="0"/>
    <x v="2"/>
    <x v="0"/>
  </r>
  <r>
    <x v="0"/>
    <s v="PAUSED"/>
    <n v="1012915042"/>
    <x v="701"/>
    <s v="nsfw"/>
    <d v="1899-12-30T09:16:00"/>
    <s v="In-Stream Video"/>
    <s v="TJX"/>
    <s v="mobile"/>
    <s v="GEO,Frequency,OS,BrowserLanguage"/>
    <n v="3"/>
    <n v="0"/>
    <s v="Yes"/>
    <s v="Unlimited"/>
    <n v="0"/>
    <n v="0"/>
    <n v="0"/>
    <m/>
    <n v="0"/>
    <n v="0"/>
    <n v="0"/>
    <n v="0"/>
    <n v="1"/>
    <n v="0"/>
    <s v="Yes"/>
    <m/>
    <m/>
    <m/>
    <s v="Shorties"/>
    <x v="0"/>
    <x v="2"/>
    <x v="0"/>
  </r>
  <r>
    <x v="0"/>
    <s v="RUNNING"/>
    <n v="1012915052"/>
    <x v="702"/>
    <s v="nsfw"/>
    <d v="1899-12-30T09:16:00"/>
    <s v="In-Stream Video"/>
    <s v="TJX"/>
    <s v="mobile"/>
    <s v="GEO,Frequency,OS,BrowserLanguage"/>
    <n v="3"/>
    <n v="0"/>
    <s v="Yes"/>
    <s v="Unlimited"/>
    <n v="460"/>
    <n v="11"/>
    <n v="2.3913000000000002"/>
    <n v="0"/>
    <n v="0.17"/>
    <n v="0.36499999999999999"/>
    <n v="1.4999999999999999E-2"/>
    <n v="0"/>
    <n v="1"/>
    <n v="0"/>
    <s v="Yes"/>
    <n v="460"/>
    <n v="0"/>
    <n v="3"/>
    <s v="Shorties"/>
    <x v="0"/>
    <x v="2"/>
    <x v="0"/>
  </r>
  <r>
    <x v="0"/>
    <s v="PAUSED"/>
    <n v="1012915072"/>
    <x v="703"/>
    <s v="nsfw"/>
    <d v="1899-12-30T09:16:00"/>
    <s v="In-Stream Video"/>
    <s v="TJX"/>
    <s v="mobile"/>
    <s v="GEO,Frequency,OS,BrowserLanguage"/>
    <n v="3"/>
    <n v="0"/>
    <s v="Yes"/>
    <s v="Unlimited"/>
    <n v="0"/>
    <n v="0"/>
    <n v="0"/>
    <m/>
    <n v="0"/>
    <n v="0"/>
    <n v="0"/>
    <n v="0"/>
    <n v="1"/>
    <n v="0"/>
    <s v="Yes"/>
    <m/>
    <m/>
    <m/>
    <s v="Shorties"/>
    <x v="0"/>
    <x v="2"/>
    <x v="0"/>
  </r>
  <r>
    <x v="0"/>
    <s v="PAUSED"/>
    <n v="1012915082"/>
    <x v="704"/>
    <s v="nsfw"/>
    <d v="1899-12-30T09:16:00"/>
    <s v="In-Stream Video"/>
    <s v="TJX"/>
    <s v="mobile"/>
    <s v="GEO,Frequency,OS,BrowserLanguage"/>
    <n v="3"/>
    <n v="0"/>
    <s v="Yes"/>
    <s v="Unlimited"/>
    <n v="0"/>
    <n v="0"/>
    <n v="0"/>
    <m/>
    <n v="0"/>
    <n v="0"/>
    <n v="0"/>
    <n v="0"/>
    <n v="1"/>
    <n v="0"/>
    <s v="Yes"/>
    <m/>
    <m/>
    <m/>
    <s v="Shorties"/>
    <x v="0"/>
    <x v="2"/>
    <x v="0"/>
  </r>
  <r>
    <x v="0"/>
    <s v="RUNNING"/>
    <n v="1012915092"/>
    <x v="705"/>
    <s v="nsfw"/>
    <d v="1899-12-30T09:16:00"/>
    <s v="In-Stream Video"/>
    <s v="TJX"/>
    <s v="mobile"/>
    <s v="GEO,Frequency,OS,BrowserLanguage"/>
    <n v="3"/>
    <n v="0"/>
    <s v="Yes"/>
    <s v="Unlimited"/>
    <n v="11463"/>
    <n v="90"/>
    <n v="0.78512999999999999"/>
    <n v="0"/>
    <n v="20.9"/>
    <n v="1.823"/>
    <n v="0.23200000000000001"/>
    <n v="0"/>
    <n v="1"/>
    <n v="0"/>
    <s v="Yes"/>
    <n v="11466"/>
    <n v="0"/>
    <n v="110"/>
    <s v="Shorties"/>
    <x v="0"/>
    <x v="2"/>
    <x v="0"/>
  </r>
  <r>
    <x v="0"/>
    <s v="RUNNING"/>
    <n v="1012915102"/>
    <x v="706"/>
    <s v="nsfw"/>
    <d v="1899-12-30T09:16:00"/>
    <s v="In-Stream Video"/>
    <s v="TJX"/>
    <s v="mobile"/>
    <s v="GEO,Frequency,OS,BrowserLanguage"/>
    <n v="3"/>
    <n v="0"/>
    <s v="Yes"/>
    <s v="Unlimited"/>
    <n v="389"/>
    <n v="3"/>
    <n v="0.77120999999999995"/>
    <n v="0"/>
    <n v="0.14000000000000001"/>
    <n v="0.36499999999999999"/>
    <n v="4.7E-2"/>
    <n v="0"/>
    <n v="1"/>
    <n v="0"/>
    <s v="Yes"/>
    <n v="388"/>
    <n v="0"/>
    <n v="0"/>
    <s v="Shorties"/>
    <x v="0"/>
    <x v="2"/>
    <x v="0"/>
  </r>
  <r>
    <x v="0"/>
    <s v="PAUSED"/>
    <n v="1012915132"/>
    <x v="538"/>
    <s v="nsfw"/>
    <d v="1899-12-30T16:09:00"/>
    <s v="In-Stream Video"/>
    <s v="TJX"/>
    <s v="desktop"/>
    <s v="GEO,Frequency,Keyword,BrowserLanguage"/>
    <n v="36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"/>
    <x v="0"/>
  </r>
  <r>
    <x v="0"/>
    <s v="PAUSED"/>
    <n v="1012915142"/>
    <x v="564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"/>
    <x v="0"/>
  </r>
  <r>
    <x v="0"/>
    <s v="PAUSED"/>
    <n v="1012915172"/>
    <x v="282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"/>
    <x v="0"/>
  </r>
  <r>
    <x v="0"/>
    <s v="PAUSED"/>
    <n v="1012915182"/>
    <x v="279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"/>
    <x v="0"/>
  </r>
  <r>
    <x v="0"/>
    <s v="PAUSED"/>
    <n v="1012915192"/>
    <x v="285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"/>
    <x v="0"/>
  </r>
  <r>
    <x v="0"/>
    <s v="PAUSED"/>
    <n v="1012915202"/>
    <x v="707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6"/>
    <x v="0"/>
  </r>
  <r>
    <x v="0"/>
    <s v="PAUSED"/>
    <n v="1012915212"/>
    <x v="574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"/>
    <x v="0"/>
  </r>
  <r>
    <x v="0"/>
    <s v="PAUSED"/>
    <n v="1012915222"/>
    <x v="708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6"/>
    <x v="0"/>
  </r>
  <r>
    <x v="0"/>
    <s v="PAUSED"/>
    <n v="1012915232"/>
    <x v="709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6"/>
    <x v="0"/>
  </r>
  <r>
    <x v="0"/>
    <s v="PAUSED"/>
    <n v="1012915242"/>
    <x v="286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5"/>
    <x v="0"/>
  </r>
  <r>
    <x v="0"/>
    <s v="PAUSED"/>
    <n v="1012915252"/>
    <x v="710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6"/>
    <x v="0"/>
  </r>
  <r>
    <x v="0"/>
    <s v="RUNNING"/>
    <n v="1012915262"/>
    <x v="711"/>
    <s v="nsfw"/>
    <d v="1899-12-30T16:09:00"/>
    <s v="In-Stream Video"/>
    <s v="TJX"/>
    <s v="desktop"/>
    <s v="GEO,Frequency,Keyword,BrowserLanguage"/>
    <n v="36"/>
    <n v="0"/>
    <s v="No"/>
    <n v="250"/>
    <n v="456"/>
    <n v="26"/>
    <n v="5.7017499999999997"/>
    <n v="0"/>
    <n v="0.48"/>
    <n v="1.042"/>
    <n v="1.7999999999999999E-2"/>
    <n v="0"/>
    <n v="1"/>
    <n v="0"/>
    <s v="Yes"/>
    <n v="456"/>
    <n v="304"/>
    <n v="85"/>
    <s v="Cowgirl"/>
    <x v="0"/>
    <x v="3"/>
    <x v="0"/>
  </r>
  <r>
    <x v="0"/>
    <s v="PAUSED"/>
    <n v="1012915272"/>
    <x v="287"/>
    <s v="nsfw"/>
    <d v="1899-12-30T16:09:00"/>
    <s v="In-Stream Video"/>
    <s v="TJX"/>
    <s v="desktop"/>
    <s v="GEO,Frequency,Keyword,BrowserLanguage"/>
    <n v="36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"/>
    <x v="0"/>
  </r>
  <r>
    <x v="0"/>
    <s v="PAUSED"/>
    <n v="1012915282"/>
    <x v="284"/>
    <s v="nsfw"/>
    <d v="1899-12-30T16:09:00"/>
    <s v="In-Stream Video"/>
    <s v="TJX"/>
    <s v="desktop"/>
    <s v="GEO,Frequency,Keyword,BrowserLanguage"/>
    <n v="36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1"/>
    <x v="0"/>
  </r>
  <r>
    <x v="0"/>
    <s v="PAUSED"/>
    <n v="1012915292"/>
    <x v="537"/>
    <s v="nsfw"/>
    <d v="1899-12-30T16:09:00"/>
    <s v="In-Stream Video"/>
    <s v="TJX"/>
    <s v="desktop"/>
    <s v="GEO,Frequency,Keyword,BrowserLanguage"/>
    <n v="36"/>
    <n v="0"/>
    <s v="No"/>
    <n v="250"/>
    <n v="0"/>
    <n v="0"/>
    <n v="0"/>
    <m/>
    <n v="0"/>
    <n v="0"/>
    <n v="0"/>
    <n v="0"/>
    <n v="1"/>
    <n v="0"/>
    <s v="Yes"/>
    <m/>
    <m/>
    <m/>
    <s v="Cowgirl"/>
    <x v="0"/>
    <x v="3"/>
    <x v="0"/>
  </r>
  <r>
    <x v="0"/>
    <s v="PAUSED"/>
    <n v="1012915392"/>
    <x v="73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Trans"/>
    <x v="0"/>
    <x v="1"/>
    <x v="0"/>
  </r>
  <r>
    <x v="0"/>
    <s v="RUNNING"/>
    <n v="1012915402"/>
    <x v="74"/>
    <s v="nsfw"/>
    <d v="1899-12-30T16:09:00"/>
    <s v="In-Stream Video"/>
    <s v="TJX"/>
    <s v="desktop"/>
    <s v="GEO,Frequency,BrowserLanguage"/>
    <n v="16"/>
    <n v="0"/>
    <s v="Yes"/>
    <s v="Unlimited"/>
    <n v="9739"/>
    <n v="427"/>
    <n v="4.38443"/>
    <n v="0"/>
    <n v="27.73"/>
    <n v="2.847"/>
    <n v="6.5000000000000002E-2"/>
    <n v="0"/>
    <n v="1"/>
    <n v="0"/>
    <s v="Yes"/>
    <n v="9731"/>
    <n v="7735"/>
    <n v="1075"/>
    <s v="Trans"/>
    <x v="0"/>
    <x v="6"/>
    <x v="0"/>
  </r>
  <r>
    <x v="0"/>
    <s v="PAUSED"/>
    <n v="1012915422"/>
    <x v="576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Trans"/>
    <x v="0"/>
    <x v="1"/>
    <x v="0"/>
  </r>
  <r>
    <x v="0"/>
    <s v="PAUSED"/>
    <n v="1012915432"/>
    <x v="712"/>
    <s v="nsfw"/>
    <d v="1899-12-30T16:09:00"/>
    <s v="In-Stream Video"/>
    <s v="TJX"/>
    <s v="desktop"/>
    <s v="GEO,Frequency,BrowserLanguage,Segment"/>
    <n v="36"/>
    <n v="0"/>
    <s v="No"/>
    <n v="250"/>
    <n v="0"/>
    <n v="0"/>
    <n v="0"/>
    <m/>
    <n v="0"/>
    <n v="0"/>
    <n v="0"/>
    <n v="0"/>
    <n v="1"/>
    <n v="0"/>
    <s v="Yes"/>
    <m/>
    <m/>
    <m/>
    <s v="Erotica Interest"/>
    <x v="0"/>
    <x v="17"/>
    <x v="0"/>
  </r>
  <r>
    <x v="0"/>
    <s v="PAUSED"/>
    <n v="1012915442"/>
    <x v="713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Erotica Interest"/>
    <x v="0"/>
    <x v="17"/>
    <x v="0"/>
  </r>
  <r>
    <x v="0"/>
    <s v="RUNNING"/>
    <n v="1012915452"/>
    <x v="714"/>
    <s v="nsfw"/>
    <d v="1899-12-30T16:09:00"/>
    <s v="In-Stream Video"/>
    <s v="TJX"/>
    <s v="mobile"/>
    <s v="GEO,Frequency,OS,BrowserLanguage,Segment"/>
    <n v="90"/>
    <n v="0"/>
    <s v="No"/>
    <n v="250"/>
    <n v="7076"/>
    <n v="379"/>
    <n v="5.3561300000000003"/>
    <n v="0"/>
    <n v="22.45"/>
    <n v="3.173"/>
    <n v="5.8999999999999997E-2"/>
    <n v="0"/>
    <n v="1"/>
    <n v="0"/>
    <s v="Yes"/>
    <n v="7071"/>
    <n v="6255"/>
    <n v="560"/>
    <s v="Erotica Interest"/>
    <x v="0"/>
    <x v="3"/>
    <x v="0"/>
  </r>
  <r>
    <x v="0"/>
    <s v="RUNNING"/>
    <n v="1012915462"/>
    <x v="715"/>
    <s v="nsfw"/>
    <d v="1899-12-30T16:09:00"/>
    <s v="In-Stream Video"/>
    <s v="TJX"/>
    <s v="desktop"/>
    <s v="GEO,Frequency,BrowserLanguage,Segment"/>
    <n v="36"/>
    <n v="0"/>
    <s v="Yes"/>
    <s v="Unlimited"/>
    <n v="307"/>
    <n v="16"/>
    <n v="5.2117300000000002"/>
    <n v="0"/>
    <n v="0.77"/>
    <n v="2.4990000000000001"/>
    <n v="4.8000000000000001E-2"/>
    <n v="0"/>
    <n v="1"/>
    <n v="0"/>
    <s v="Yes"/>
    <n v="307"/>
    <n v="240"/>
    <n v="42"/>
    <s v="Erotica Interest"/>
    <x v="0"/>
    <x v="3"/>
    <x v="0"/>
  </r>
  <r>
    <x v="0"/>
    <s v="RUNNING"/>
    <n v="1012915472"/>
    <x v="716"/>
    <s v="nsfw"/>
    <d v="1899-12-30T16:09:00"/>
    <s v="In-Stream Video"/>
    <s v="TJX"/>
    <s v="desktop"/>
    <s v="GEO,Frequency,BrowserLanguage,Segment"/>
    <n v="36"/>
    <n v="0"/>
    <s v="No"/>
    <n v="250"/>
    <n v="80"/>
    <n v="1"/>
    <n v="1.25"/>
    <n v="0"/>
    <n v="0.22"/>
    <n v="2.7949999999999999"/>
    <n v="0.224"/>
    <n v="0"/>
    <n v="1"/>
    <n v="0"/>
    <s v="Yes"/>
    <n v="80"/>
    <n v="63"/>
    <n v="8"/>
    <s v="Erotica Interest"/>
    <x v="0"/>
    <x v="3"/>
    <x v="0"/>
  </r>
  <r>
    <x v="0"/>
    <s v="RUNNING"/>
    <n v="1012915482"/>
    <x v="717"/>
    <s v="nsfw"/>
    <d v="1899-12-30T16:09:00"/>
    <s v="In-Stream Video"/>
    <s v="TJX"/>
    <s v="desktop"/>
    <s v="GEO,Frequency,BrowserLanguage,Segment"/>
    <n v="36"/>
    <n v="0"/>
    <s v="No"/>
    <n v="250"/>
    <n v="482"/>
    <n v="30"/>
    <n v="6.2240700000000002"/>
    <n v="0"/>
    <n v="1.24"/>
    <n v="2.5640000000000001"/>
    <n v="4.1000000000000002E-2"/>
    <n v="0"/>
    <n v="1"/>
    <n v="0"/>
    <s v="Yes"/>
    <n v="482"/>
    <n v="372"/>
    <n v="54"/>
    <s v="Erotica Interest"/>
    <x v="0"/>
    <x v="3"/>
    <x v="0"/>
  </r>
  <r>
    <x v="0"/>
    <s v="NOT RUNNING"/>
    <n v="1012915492"/>
    <x v="718"/>
    <s v="nsfw"/>
    <d v="1899-12-30T16:09:00"/>
    <s v="In-Stream Video"/>
    <s v="TJX"/>
    <s v="desktop"/>
    <s v="GEO,Frequency,BrowserLanguage,Segment"/>
    <n v="36"/>
    <n v="0"/>
    <s v="No"/>
    <n v="250"/>
    <n v="6"/>
    <n v="0"/>
    <n v="0"/>
    <n v="0"/>
    <n v="0"/>
    <n v="0.59"/>
    <n v="0"/>
    <n v="0"/>
    <n v="1"/>
    <n v="0"/>
    <s v="Yes"/>
    <n v="6"/>
    <n v="4"/>
    <n v="1"/>
    <s v="Erotica Interest"/>
    <x v="0"/>
    <x v="3"/>
    <x v="0"/>
  </r>
  <r>
    <x v="0"/>
    <s v="NOT RUNNING"/>
    <n v="1012915502"/>
    <x v="719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Erotica Interest"/>
    <x v="0"/>
    <x v="17"/>
    <x v="0"/>
  </r>
  <r>
    <x v="0"/>
    <s v="RUNNING"/>
    <n v="1012915512"/>
    <x v="720"/>
    <s v="nsfw"/>
    <d v="1899-12-30T16:09:00"/>
    <s v="In-Stream Video"/>
    <s v="TJX"/>
    <s v="mobile"/>
    <s v="GEO,Frequency,OS,BrowserLanguage,Segment"/>
    <n v="90"/>
    <n v="0"/>
    <s v="Yes"/>
    <s v="Unlimited"/>
    <n v="1669"/>
    <n v="53"/>
    <n v="3.1755499999999999"/>
    <n v="0"/>
    <n v="3.59"/>
    <n v="2.1509999999999998"/>
    <n v="6.8000000000000005E-2"/>
    <n v="0"/>
    <n v="1"/>
    <n v="0"/>
    <s v="Yes"/>
    <n v="1669"/>
    <n v="1492"/>
    <n v="127"/>
    <s v="Erotica Interest"/>
    <x v="0"/>
    <x v="3"/>
    <x v="0"/>
  </r>
  <r>
    <x v="0"/>
    <s v="NOT RUNNING"/>
    <n v="1012915522"/>
    <x v="721"/>
    <s v="nsfw"/>
    <d v="1899-12-30T16:09:00"/>
    <s v="In-Stream Video"/>
    <s v="TJX"/>
    <s v="mobile"/>
    <s v="GEO,Frequency,OS,BrowserLanguage,Segment"/>
    <n v="90"/>
    <n v="0"/>
    <s v="No"/>
    <n v="250"/>
    <n v="1"/>
    <n v="0"/>
    <n v="0"/>
    <n v="0"/>
    <n v="0"/>
    <n v="0.83699999999999997"/>
    <n v="0"/>
    <n v="0"/>
    <n v="1"/>
    <n v="0"/>
    <s v="Yes"/>
    <n v="1"/>
    <n v="1"/>
    <n v="0"/>
    <s v="Erotica Interest"/>
    <x v="0"/>
    <x v="3"/>
    <x v="0"/>
  </r>
  <r>
    <x v="0"/>
    <s v="NOT RUNNING"/>
    <n v="1012915532"/>
    <x v="722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Erotica Interest"/>
    <x v="0"/>
    <x v="3"/>
    <x v="0"/>
  </r>
  <r>
    <x v="0"/>
    <s v="NOT RUNNING"/>
    <n v="1012915552"/>
    <x v="723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Erotica Interest"/>
    <x v="0"/>
    <x v="3"/>
    <x v="0"/>
  </r>
  <r>
    <x v="0"/>
    <s v="RUNNING"/>
    <n v="1012915562"/>
    <x v="724"/>
    <s v="nsfw"/>
    <d v="1899-12-30T16:09:00"/>
    <s v="In-Stream Video"/>
    <s v="TJX"/>
    <s v="mobile"/>
    <s v="GEO,Frequency,OS,BrowserLanguage,Segment"/>
    <n v="90"/>
    <n v="0"/>
    <s v="No"/>
    <n v="250"/>
    <n v="1200"/>
    <n v="63"/>
    <n v="5.25"/>
    <n v="0"/>
    <n v="2.39"/>
    <n v="1.9950000000000001"/>
    <n v="3.7999999999999999E-2"/>
    <n v="0"/>
    <n v="1"/>
    <n v="0"/>
    <s v="Yes"/>
    <n v="1200"/>
    <n v="1064"/>
    <n v="108"/>
    <s v="Erotica Interest"/>
    <x v="0"/>
    <x v="3"/>
    <x v="0"/>
  </r>
  <r>
    <x v="0"/>
    <s v="NOT RUNNING"/>
    <n v="1012915572"/>
    <x v="725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Erotica Interest"/>
    <x v="0"/>
    <x v="3"/>
    <x v="0"/>
  </r>
  <r>
    <x v="0"/>
    <s v="NOT RUNNING"/>
    <n v="1012915582"/>
    <x v="726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Erotica Interest"/>
    <x v="0"/>
    <x v="3"/>
    <x v="0"/>
  </r>
  <r>
    <x v="0"/>
    <s v="RUNNING"/>
    <n v="1012915592"/>
    <x v="727"/>
    <s v="nsfw"/>
    <d v="1899-12-30T16:09:00"/>
    <s v="In-Stream Video"/>
    <s v="TJX"/>
    <s v="desktop"/>
    <s v="GEO,Frequency,BrowserLanguage,Segment"/>
    <n v="36"/>
    <n v="0"/>
    <s v="No"/>
    <n v="250"/>
    <n v="397"/>
    <n v="11"/>
    <n v="2.7707799999999998"/>
    <n v="0"/>
    <n v="1.51"/>
    <n v="3.7919999999999998"/>
    <n v="0.13700000000000001"/>
    <n v="0"/>
    <n v="1"/>
    <n v="0"/>
    <s v="Yes"/>
    <n v="396"/>
    <n v="315"/>
    <n v="45"/>
    <s v="VR Intent"/>
    <x v="0"/>
    <x v="3"/>
    <x v="0"/>
  </r>
  <r>
    <x v="0"/>
    <s v="PAUSED"/>
    <n v="1012915602"/>
    <x v="728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R Intent"/>
    <x v="0"/>
    <x v="18"/>
    <x v="0"/>
  </r>
  <r>
    <x v="0"/>
    <s v="RUNNING"/>
    <n v="1012915612"/>
    <x v="729"/>
    <s v="nsfw"/>
    <d v="1899-12-30T16:09:00"/>
    <s v="In-Stream Video"/>
    <s v="TJX"/>
    <s v="mobile"/>
    <s v="GEO,Frequency,OS,BrowserLanguage,Segment"/>
    <n v="90"/>
    <n v="0"/>
    <s v="Yes"/>
    <s v="Unlimited"/>
    <n v="2684"/>
    <n v="103"/>
    <n v="3.8375599999999999"/>
    <n v="0"/>
    <n v="8.61"/>
    <n v="3.21"/>
    <n v="8.4000000000000005E-2"/>
    <n v="0"/>
    <n v="1"/>
    <n v="0"/>
    <s v="Yes"/>
    <n v="2683"/>
    <n v="2338"/>
    <n v="267"/>
    <s v="VR Intent"/>
    <x v="0"/>
    <x v="3"/>
    <x v="0"/>
  </r>
  <r>
    <x v="0"/>
    <s v="RUNNING"/>
    <n v="1012915622"/>
    <x v="730"/>
    <s v="nsfw"/>
    <d v="1899-12-30T16:09:00"/>
    <s v="In-Stream Video"/>
    <s v="TJX"/>
    <s v="desktop"/>
    <s v="GEO,Frequency,BrowserLanguage,Segment"/>
    <n v="36"/>
    <n v="0"/>
    <s v="No"/>
    <n v="250"/>
    <n v="52"/>
    <n v="4"/>
    <n v="7.69231"/>
    <n v="0"/>
    <n v="0.13"/>
    <n v="2.4860000000000002"/>
    <n v="3.2000000000000001E-2"/>
    <n v="0"/>
    <n v="1"/>
    <n v="0"/>
    <s v="Yes"/>
    <n v="52"/>
    <n v="36"/>
    <n v="8"/>
    <s v="VR Intent"/>
    <x v="0"/>
    <x v="3"/>
    <x v="0"/>
  </r>
  <r>
    <x v="0"/>
    <s v="RUNNING"/>
    <n v="1012915652"/>
    <x v="731"/>
    <s v="nsfw"/>
    <d v="1899-12-30T16:09:00"/>
    <s v="In-Stream Video"/>
    <s v="TJX"/>
    <s v="desktop"/>
    <s v="GEO,Frequency,BrowserLanguage,Segment"/>
    <n v="36"/>
    <n v="0"/>
    <s v="No"/>
    <n v="250"/>
    <n v="15"/>
    <n v="2"/>
    <n v="13.33333"/>
    <n v="0"/>
    <n v="0.04"/>
    <n v="2.7949999999999999"/>
    <n v="2.1000000000000001E-2"/>
    <n v="0"/>
    <n v="1"/>
    <n v="0"/>
    <s v="Yes"/>
    <n v="15"/>
    <n v="10"/>
    <n v="4"/>
    <s v="VR Intent"/>
    <x v="0"/>
    <x v="3"/>
    <x v="0"/>
  </r>
  <r>
    <x v="0"/>
    <s v="NOT RUNNING"/>
    <n v="1012915672"/>
    <x v="732"/>
    <s v="nsfw"/>
    <d v="1899-12-30T16:09:00"/>
    <s v="In-Stream Video"/>
    <s v="TJX"/>
    <s v="desktop"/>
    <s v="GEO,Frequency,BrowserLanguage,Segment"/>
    <n v="36"/>
    <n v="0"/>
    <s v="No"/>
    <n v="250"/>
    <n v="0"/>
    <n v="0"/>
    <n v="0"/>
    <m/>
    <n v="0"/>
    <n v="0"/>
    <n v="0"/>
    <n v="0"/>
    <n v="1"/>
    <n v="0"/>
    <s v="Yes"/>
    <m/>
    <m/>
    <m/>
    <s v="VR Intent"/>
    <x v="0"/>
    <x v="3"/>
    <x v="0"/>
  </r>
  <r>
    <x v="0"/>
    <s v="RUNNING"/>
    <n v="1012915682"/>
    <x v="733"/>
    <s v="nsfw"/>
    <d v="1899-12-30T16:09:00"/>
    <s v="In-Stream Video"/>
    <s v="TJX"/>
    <s v="desktop"/>
    <s v="GEO,Frequency,BrowserLanguage,Segment"/>
    <n v="36"/>
    <n v="0"/>
    <s v="No"/>
    <n v="250"/>
    <n v="89"/>
    <n v="5"/>
    <n v="5.6179800000000002"/>
    <n v="0"/>
    <n v="0.23"/>
    <n v="2.552"/>
    <n v="4.4999999999999998E-2"/>
    <n v="0"/>
    <n v="1"/>
    <n v="0"/>
    <s v="Yes"/>
    <n v="89"/>
    <n v="61"/>
    <n v="12"/>
    <s v="VR Intent"/>
    <x v="0"/>
    <x v="3"/>
    <x v="0"/>
  </r>
  <r>
    <x v="0"/>
    <s v="NOT RUNNING"/>
    <n v="1012915692"/>
    <x v="734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R Intent"/>
    <x v="0"/>
    <x v="3"/>
    <x v="0"/>
  </r>
  <r>
    <x v="0"/>
    <s v="NOT RUNNING"/>
    <n v="1012915702"/>
    <x v="735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R Intent"/>
    <x v="0"/>
    <x v="18"/>
    <x v="0"/>
  </r>
  <r>
    <x v="0"/>
    <s v="RUNNING"/>
    <n v="1012915712"/>
    <x v="736"/>
    <s v="nsfw"/>
    <d v="1899-12-30T16:09:00"/>
    <s v="In-Stream Video"/>
    <s v="TJX"/>
    <s v="mobile"/>
    <s v="GEO,Frequency,OS,BrowserLanguage,Segment"/>
    <n v="90"/>
    <n v="0"/>
    <s v="No"/>
    <n v="250"/>
    <n v="1477"/>
    <n v="56"/>
    <n v="3.7914699999999999"/>
    <n v="0"/>
    <n v="3.17"/>
    <n v="2.1440000000000001"/>
    <n v="5.7000000000000002E-2"/>
    <n v="0"/>
    <n v="1"/>
    <n v="0"/>
    <s v="Yes"/>
    <n v="1477"/>
    <n v="1342"/>
    <n v="106"/>
    <s v="VR Intent"/>
    <x v="0"/>
    <x v="3"/>
    <x v="0"/>
  </r>
  <r>
    <x v="0"/>
    <s v="NOT RUNNING"/>
    <n v="1012915722"/>
    <x v="737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R Intent"/>
    <x v="0"/>
    <x v="3"/>
    <x v="0"/>
  </r>
  <r>
    <x v="0"/>
    <s v="NOT RUNNING"/>
    <n v="1012915732"/>
    <x v="738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R Intent"/>
    <x v="0"/>
    <x v="3"/>
    <x v="0"/>
  </r>
  <r>
    <x v="0"/>
    <s v="RUNNING"/>
    <n v="1012915742"/>
    <x v="739"/>
    <s v="nsfw"/>
    <d v="1899-12-30T16:09:00"/>
    <s v="In-Stream Video"/>
    <s v="TJX"/>
    <s v="mobile"/>
    <s v="GEO,Frequency,OS,BrowserLanguage,Segment"/>
    <n v="90"/>
    <n v="0"/>
    <s v="No"/>
    <n v="250"/>
    <n v="784"/>
    <n v="65"/>
    <n v="8.2908200000000001"/>
    <n v="0"/>
    <n v="1.63"/>
    <n v="2.0819999999999999"/>
    <n v="2.5000000000000001E-2"/>
    <n v="0"/>
    <n v="1"/>
    <n v="0"/>
    <s v="Yes"/>
    <n v="782"/>
    <n v="657"/>
    <n v="79"/>
    <s v="VR Intent"/>
    <x v="0"/>
    <x v="3"/>
    <x v="0"/>
  </r>
  <r>
    <x v="0"/>
    <s v="NOT RUNNING"/>
    <n v="1012915752"/>
    <x v="740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R Intent"/>
    <x v="0"/>
    <x v="3"/>
    <x v="0"/>
  </r>
  <r>
    <x v="0"/>
    <s v="NOT RUNNING"/>
    <n v="1012915762"/>
    <x v="741"/>
    <s v="nsfw"/>
    <d v="1899-12-30T16:09:00"/>
    <s v="In-Stream Video"/>
    <s v="TJX"/>
    <s v="mobile"/>
    <s v="GEO,Frequency,OS,BrowserLanguage,Segment"/>
    <n v="90"/>
    <n v="0"/>
    <s v="No"/>
    <n v="250"/>
    <n v="2"/>
    <n v="0"/>
    <n v="0"/>
    <n v="0"/>
    <n v="0"/>
    <n v="0.83699999999999997"/>
    <n v="0"/>
    <n v="0"/>
    <n v="1"/>
    <n v="0"/>
    <s v="Yes"/>
    <n v="2"/>
    <n v="2"/>
    <n v="0"/>
    <s v="VR Intent"/>
    <x v="0"/>
    <x v="3"/>
    <x v="0"/>
  </r>
  <r>
    <x v="0"/>
    <s v="PAUSED"/>
    <n v="1012915772"/>
    <x v="742"/>
    <s v="nsfw"/>
    <d v="1899-12-30T16:09:00"/>
    <s v="In-Stream Video"/>
    <s v="TJX"/>
    <s v="desktop"/>
    <s v="GEO,Frequency,BrowserLanguage,Segment"/>
    <n v="36"/>
    <n v="0"/>
    <s v="No"/>
    <n v="250"/>
    <n v="0"/>
    <n v="0"/>
    <n v="0"/>
    <m/>
    <n v="0"/>
    <n v="0"/>
    <n v="0"/>
    <n v="0"/>
    <n v="1"/>
    <n v="0"/>
    <s v="Yes"/>
    <m/>
    <m/>
    <m/>
    <s v="VOD Hentai Intent"/>
    <x v="0"/>
    <x v="3"/>
    <x v="0"/>
  </r>
  <r>
    <x v="0"/>
    <s v="PAUSED"/>
    <n v="1012915792"/>
    <x v="743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OD Hentai Intent"/>
    <x v="0"/>
    <x v="19"/>
    <x v="0"/>
  </r>
  <r>
    <x v="0"/>
    <s v="PAUSED"/>
    <n v="1012915802"/>
    <x v="744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OD Hentai Intent"/>
    <x v="0"/>
    <x v="19"/>
    <x v="0"/>
  </r>
  <r>
    <x v="0"/>
    <s v="RUNNING"/>
    <n v="1012915832"/>
    <x v="745"/>
    <s v="nsfw"/>
    <d v="1899-12-30T16:09:00"/>
    <s v="In-Stream Video"/>
    <s v="TJX"/>
    <s v="desktop"/>
    <s v="GEO,Frequency,BrowserLanguage,Segment"/>
    <n v="36"/>
    <n v="0"/>
    <s v="No"/>
    <n v="250"/>
    <n v="10"/>
    <n v="0"/>
    <n v="0"/>
    <n v="0"/>
    <n v="0.01"/>
    <n v="0.59"/>
    <n v="0"/>
    <n v="0"/>
    <n v="1"/>
    <n v="0"/>
    <s v="Yes"/>
    <n v="10"/>
    <n v="9"/>
    <n v="0"/>
    <s v="VOD Hentai Intent"/>
    <x v="0"/>
    <x v="3"/>
    <x v="0"/>
  </r>
  <r>
    <x v="0"/>
    <s v="RUNNING"/>
    <n v="1012915842"/>
    <x v="746"/>
    <s v="nsfw"/>
    <d v="1899-12-30T16:09:00"/>
    <s v="In-Stream Video"/>
    <s v="TJX"/>
    <s v="desktop"/>
    <s v="GEO,Frequency,BrowserLanguage,Segment"/>
    <n v="36"/>
    <n v="0"/>
    <s v="No"/>
    <n v="250"/>
    <n v="337"/>
    <n v="21"/>
    <n v="6.2314499999999997"/>
    <n v="0"/>
    <n v="0.85"/>
    <n v="2.512"/>
    <n v="0.04"/>
    <n v="0"/>
    <n v="1"/>
    <n v="0"/>
    <s v="Yes"/>
    <n v="338"/>
    <n v="268"/>
    <n v="25"/>
    <s v="VOD Hentai Intent"/>
    <x v="0"/>
    <x v="3"/>
    <x v="0"/>
  </r>
  <r>
    <x v="0"/>
    <s v="RUNNING"/>
    <n v="1012915852"/>
    <x v="747"/>
    <s v="nsfw"/>
    <d v="1899-12-30T16:09:00"/>
    <s v="In-Stream Video"/>
    <s v="TJX"/>
    <s v="desktop"/>
    <s v="GEO,Frequency,BrowserLanguage,Segment"/>
    <n v="36"/>
    <n v="0"/>
    <s v="No"/>
    <n v="250"/>
    <n v="415"/>
    <n v="18"/>
    <n v="4.3373499999999998"/>
    <n v="0"/>
    <n v="1.07"/>
    <n v="2.5840000000000001"/>
    <n v="0.06"/>
    <n v="0"/>
    <n v="1"/>
    <n v="0"/>
    <s v="Yes"/>
    <n v="414"/>
    <n v="336"/>
    <n v="32"/>
    <s v="VOD Hentai Intent"/>
    <x v="0"/>
    <x v="3"/>
    <x v="0"/>
  </r>
  <r>
    <x v="0"/>
    <s v="RUNNING"/>
    <n v="1012915862"/>
    <x v="748"/>
    <s v="nsfw"/>
    <d v="1899-12-30T16:09:00"/>
    <s v="In-Stream Video"/>
    <s v="TJX"/>
    <s v="desktop"/>
    <s v="GEO,Frequency,BrowserLanguage,Segment"/>
    <n v="36"/>
    <n v="0"/>
    <s v="No"/>
    <n v="250"/>
    <n v="31"/>
    <n v="1"/>
    <n v="3.2258100000000001"/>
    <n v="0"/>
    <n v="0.09"/>
    <n v="2.7949999999999999"/>
    <n v="8.6999999999999994E-2"/>
    <n v="0"/>
    <n v="1"/>
    <n v="0"/>
    <s v="Yes"/>
    <n v="31"/>
    <n v="21"/>
    <n v="3"/>
    <s v="VOD Hentai Intent"/>
    <x v="0"/>
    <x v="3"/>
    <x v="0"/>
  </r>
  <r>
    <x v="0"/>
    <s v="NOT RUNNING"/>
    <n v="1012915872"/>
    <x v="749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OD Hentai Intent"/>
    <x v="0"/>
    <x v="3"/>
    <x v="0"/>
  </r>
  <r>
    <x v="0"/>
    <s v="RUNNING"/>
    <n v="1012915882"/>
    <x v="750"/>
    <s v="nsfw"/>
    <d v="1899-12-30T16:09:00"/>
    <s v="In-Stream Video"/>
    <s v="TJX"/>
    <s v="mobile"/>
    <s v="GEO,Frequency,OS,BrowserLanguage,Segment"/>
    <n v="90"/>
    <n v="0"/>
    <s v="No"/>
    <n v="250"/>
    <n v="1560"/>
    <n v="66"/>
    <n v="4.2307600000000001"/>
    <n v="0"/>
    <n v="3.37"/>
    <n v="2.1619999999999999"/>
    <n v="5.0999999999999997E-2"/>
    <n v="0"/>
    <n v="1"/>
    <n v="0"/>
    <s v="Yes"/>
    <n v="1560"/>
    <n v="1393"/>
    <n v="107"/>
    <s v="VOD Hentai Intent"/>
    <x v="0"/>
    <x v="3"/>
    <x v="0"/>
  </r>
  <r>
    <x v="0"/>
    <s v="NOT RUNNING"/>
    <n v="1012915892"/>
    <x v="751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OD Hentai Intent"/>
    <x v="0"/>
    <x v="19"/>
    <x v="0"/>
  </r>
  <r>
    <x v="0"/>
    <s v="NOT RUNNING"/>
    <n v="1012915902"/>
    <x v="752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OD Hentai Intent"/>
    <x v="0"/>
    <x v="3"/>
    <x v="0"/>
  </r>
  <r>
    <x v="0"/>
    <s v="NOT RUNNING"/>
    <n v="1012915922"/>
    <x v="753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OD Hentai Intent"/>
    <x v="0"/>
    <x v="19"/>
    <x v="0"/>
  </r>
  <r>
    <x v="0"/>
    <s v="NOT RUNNING"/>
    <n v="1012915932"/>
    <x v="754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OD Hentai Intent"/>
    <x v="0"/>
    <x v="19"/>
    <x v="0"/>
  </r>
  <r>
    <x v="0"/>
    <s v="NOT RUNNING"/>
    <n v="1012915942"/>
    <x v="755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VOD Hentai Intent"/>
    <x v="0"/>
    <x v="3"/>
    <x v="0"/>
  </r>
  <r>
    <x v="0"/>
    <s v="RUNNING"/>
    <n v="1012915952"/>
    <x v="756"/>
    <s v="nsfw"/>
    <d v="1899-12-30T16:09:00"/>
    <s v="In-Stream Video"/>
    <s v="TJX"/>
    <s v="mobile"/>
    <s v="GEO,Frequency,OS,BrowserLanguage,Segment"/>
    <n v="90"/>
    <n v="0"/>
    <s v="No"/>
    <n v="250"/>
    <n v="1568"/>
    <n v="74"/>
    <n v="4.7193899999999998"/>
    <n v="0"/>
    <n v="3.22"/>
    <n v="2.0510000000000002"/>
    <n v="4.2999999999999997E-2"/>
    <n v="0"/>
    <n v="1"/>
    <n v="0"/>
    <s v="Yes"/>
    <n v="1566"/>
    <n v="1369"/>
    <n v="136"/>
    <s v="VOD Hentai Intent"/>
    <x v="0"/>
    <x v="3"/>
    <x v="0"/>
  </r>
  <r>
    <x v="0"/>
    <s v="RUNNING"/>
    <n v="1012915962"/>
    <x v="76"/>
    <s v="nsfw"/>
    <d v="1899-12-30T16:09:00"/>
    <s v="In-Stream Video"/>
    <s v="TJX"/>
    <s v="mobile"/>
    <s v="GEO,Frequency,OS,BrowserLanguage"/>
    <n v="20"/>
    <n v="0"/>
    <s v="No"/>
    <n v="250"/>
    <n v="150"/>
    <n v="7"/>
    <n v="4.6666699999999999"/>
    <n v="0"/>
    <n v="0.1"/>
    <n v="0.66300000000000003"/>
    <n v="1.4E-2"/>
    <n v="0"/>
    <n v="1"/>
    <n v="0"/>
    <s v="Yes"/>
    <n v="149"/>
    <n v="137"/>
    <n v="4"/>
    <s v="Trans"/>
    <x v="0"/>
    <x v="6"/>
    <x v="0"/>
  </r>
  <r>
    <x v="0"/>
    <s v="NOT RUNNING"/>
    <n v="1012915972"/>
    <x v="82"/>
    <s v="nsfw"/>
    <d v="1899-12-30T16:09:00"/>
    <s v="In-Stream Video"/>
    <s v="TJX"/>
    <s v="mobile"/>
    <s v="GEO,Frequency,OS,BrowserLanguage"/>
    <n v="20"/>
    <n v="0"/>
    <s v="No"/>
    <n v="250"/>
    <n v="5"/>
    <n v="0"/>
    <n v="0"/>
    <n v="0"/>
    <n v="0"/>
    <n v="0.76400000000000001"/>
    <n v="0"/>
    <n v="0"/>
    <n v="1"/>
    <n v="0"/>
    <s v="Yes"/>
    <n v="5"/>
    <n v="5"/>
    <n v="0"/>
    <s v="Trans"/>
    <x v="0"/>
    <x v="6"/>
    <x v="0"/>
  </r>
  <r>
    <x v="0"/>
    <s v="PAUSED"/>
    <n v="1012915982"/>
    <x v="78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Trans"/>
    <x v="0"/>
    <x v="1"/>
    <x v="0"/>
  </r>
  <r>
    <x v="0"/>
    <s v="NOT RUNNING"/>
    <n v="1012915992"/>
    <x v="757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Trans"/>
    <x v="0"/>
    <x v="6"/>
    <x v="0"/>
  </r>
  <r>
    <x v="0"/>
    <s v="RUNNING"/>
    <n v="1012916002"/>
    <x v="79"/>
    <s v="nsfw"/>
    <d v="1899-12-30T16:09:00"/>
    <s v="In-Stream Video"/>
    <s v="TJX"/>
    <s v="desktop"/>
    <s v="GEO,Frequency,BrowserLanguage"/>
    <n v="8"/>
    <n v="0"/>
    <s v="No"/>
    <n v="250"/>
    <n v="4942"/>
    <n v="221"/>
    <n v="4.47187"/>
    <n v="0"/>
    <n v="12.09"/>
    <n v="2.4460000000000002"/>
    <n v="5.5E-2"/>
    <n v="0"/>
    <n v="1"/>
    <n v="0"/>
    <s v="Yes"/>
    <n v="4943"/>
    <n v="3772"/>
    <n v="657"/>
    <s v="Trans"/>
    <x v="0"/>
    <x v="6"/>
    <x v="0"/>
  </r>
  <r>
    <x v="0"/>
    <s v="RUNNING"/>
    <n v="1012916012"/>
    <x v="80"/>
    <s v="nsfw"/>
    <d v="1899-12-30T16:09:00"/>
    <s v="In-Stream Video"/>
    <s v="TJX"/>
    <s v="desktop"/>
    <s v="GEO,Frequency,BrowserLanguage"/>
    <n v="8"/>
    <n v="0"/>
    <s v="No"/>
    <n v="250"/>
    <n v="1233"/>
    <n v="51"/>
    <n v="4.1362500000000004"/>
    <n v="0"/>
    <n v="3.35"/>
    <n v="2.7170000000000001"/>
    <n v="6.6000000000000003E-2"/>
    <n v="0"/>
    <n v="1"/>
    <n v="0"/>
    <s v="Yes"/>
    <n v="1233"/>
    <n v="951"/>
    <n v="130"/>
    <s v="Trans"/>
    <x v="0"/>
    <x v="6"/>
    <x v="0"/>
  </r>
  <r>
    <x v="0"/>
    <s v="PAUSED"/>
    <n v="1012916022"/>
    <x v="81"/>
    <s v="nsfw"/>
    <d v="1899-12-30T16:09:00"/>
    <s v="In-Stream Video"/>
    <s v="TJX"/>
    <s v="desktop"/>
    <s v="GEO,Frequency,BrowserLanguage"/>
    <n v="8"/>
    <n v="0"/>
    <s v="No"/>
    <n v="250"/>
    <n v="0"/>
    <n v="0"/>
    <n v="0"/>
    <m/>
    <n v="0"/>
    <n v="0"/>
    <n v="0"/>
    <n v="0"/>
    <n v="1"/>
    <n v="0"/>
    <s v="Yes"/>
    <m/>
    <m/>
    <m/>
    <s v="Trans"/>
    <x v="0"/>
    <x v="1"/>
    <x v="0"/>
  </r>
  <r>
    <x v="0"/>
    <s v="RUNNING"/>
    <n v="1012916032"/>
    <x v="758"/>
    <s v="nsfw"/>
    <d v="1899-12-30T16:09:00"/>
    <s v="In-Stream Video"/>
    <s v="TJX"/>
    <s v="desktop"/>
    <s v="GEO,Frequency,BrowserLanguage"/>
    <n v="8"/>
    <n v="0"/>
    <s v="No"/>
    <n v="250"/>
    <n v="26"/>
    <n v="2"/>
    <n v="7.69231"/>
    <n v="0"/>
    <n v="0.01"/>
    <n v="0.56200000000000006"/>
    <n v="7.0000000000000001E-3"/>
    <n v="0"/>
    <n v="1"/>
    <n v="0"/>
    <s v="Yes"/>
    <n v="26"/>
    <n v="15"/>
    <n v="5"/>
    <s v="Trans"/>
    <x v="0"/>
    <x v="6"/>
    <x v="0"/>
  </r>
  <r>
    <x v="0"/>
    <s v="RUNNING"/>
    <n v="1012916052"/>
    <x v="759"/>
    <s v="nsfw"/>
    <d v="1899-12-30T16:09:00"/>
    <s v="In-Stream Video"/>
    <s v="TJX"/>
    <s v="mobile"/>
    <s v="GEO,Frequency,OS,BrowserLanguage"/>
    <n v="20"/>
    <n v="0"/>
    <s v="No"/>
    <n v="250"/>
    <n v="51"/>
    <n v="0"/>
    <n v="0"/>
    <n v="0"/>
    <n v="0.04"/>
    <n v="0.70199999999999996"/>
    <n v="0"/>
    <n v="0"/>
    <n v="1"/>
    <n v="0"/>
    <s v="Yes"/>
    <n v="51"/>
    <n v="46"/>
    <n v="4"/>
    <s v="Trans"/>
    <x v="0"/>
    <x v="6"/>
    <x v="0"/>
  </r>
  <r>
    <x v="0"/>
    <s v="PAUSED"/>
    <n v="1012916062"/>
    <x v="760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Trans"/>
    <x v="0"/>
    <x v="6"/>
    <x v="0"/>
  </r>
  <r>
    <x v="0"/>
    <s v="RUNNING"/>
    <n v="1012916072"/>
    <x v="761"/>
    <s v="nsfw"/>
    <d v="1899-12-30T16:09:00"/>
    <s v="In-Stream Video"/>
    <s v="TJX"/>
    <s v="mobile"/>
    <s v="GEO,Frequency,OS,BrowserLanguage"/>
    <n v="20"/>
    <n v="0"/>
    <s v="No"/>
    <n v="250"/>
    <n v="102"/>
    <n v="2"/>
    <n v="1.96078"/>
    <n v="0"/>
    <n v="7.0000000000000007E-2"/>
    <n v="0.66100000000000003"/>
    <n v="3.4000000000000002E-2"/>
    <n v="0"/>
    <n v="1"/>
    <n v="0"/>
    <s v="Yes"/>
    <n v="102"/>
    <n v="98"/>
    <n v="3"/>
    <s v="Trans"/>
    <x v="0"/>
    <x v="6"/>
    <x v="0"/>
  </r>
  <r>
    <x v="0"/>
    <s v="NOT RUNNING"/>
    <n v="1012916082"/>
    <x v="762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Trans"/>
    <x v="0"/>
    <x v="6"/>
    <x v="0"/>
  </r>
  <r>
    <x v="0"/>
    <s v="PAUSED"/>
    <n v="1012921252"/>
    <x v="763"/>
    <s v="nsfw"/>
    <d v="1899-12-30T16:09:00"/>
    <s v="In-Stream Video"/>
    <s v="TJX"/>
    <s v="mobile"/>
    <s v="GEO,Frequency,Keyword,OS,Browser,BrowserLanguage"/>
    <n v="6"/>
    <n v="0"/>
    <s v="No"/>
    <n v="500"/>
    <n v="0"/>
    <n v="0"/>
    <n v="0"/>
    <m/>
    <n v="0"/>
    <n v="0"/>
    <n v="0"/>
    <n v="0"/>
    <n v="1"/>
    <n v="0"/>
    <s v="Yes"/>
    <m/>
    <m/>
    <m/>
    <s v="Blowjob"/>
    <x v="0"/>
    <x v="15"/>
    <x v="0"/>
  </r>
  <r>
    <x v="0"/>
    <s v="RUNNING"/>
    <n v="1012921942"/>
    <x v="764"/>
    <s v="nsfw"/>
    <d v="1899-12-30T16:09:00"/>
    <s v="In-Stream Video"/>
    <s v="TJX"/>
    <s v="mobile"/>
    <s v="GEO,Frequency,Keyword,OS,BrowserLanguage"/>
    <n v="1100"/>
    <n v="0"/>
    <s v="Yes"/>
    <s v="Unlimited"/>
    <n v="5607"/>
    <n v="397"/>
    <n v="7.0804400000000003"/>
    <n v="0"/>
    <n v="6.97"/>
    <n v="1.244"/>
    <n v="1.7999999999999999E-2"/>
    <n v="0"/>
    <n v="1"/>
    <n v="0"/>
    <s v="Yes"/>
    <n v="5607"/>
    <n v="4927"/>
    <n v="423"/>
    <s v="Hentai"/>
    <x v="0"/>
    <x v="12"/>
    <x v="0"/>
  </r>
  <r>
    <x v="0"/>
    <s v="RUNNING"/>
    <n v="1012921952"/>
    <x v="765"/>
    <s v="nsfw"/>
    <d v="1899-12-30T16:09:00"/>
    <s v="In-Stream Video"/>
    <s v="TJX"/>
    <s v="mobile"/>
    <s v="GEO,Frequency,Keyword,OS,BrowserLanguage"/>
    <n v="1100"/>
    <n v="0"/>
    <s v="No"/>
    <n v="250"/>
    <n v="3722"/>
    <n v="222"/>
    <n v="5.9645400000000004"/>
    <n v="0"/>
    <n v="5.88"/>
    <n v="1.58"/>
    <n v="2.5999999999999999E-2"/>
    <n v="0"/>
    <n v="1"/>
    <n v="0"/>
    <s v="Yes"/>
    <n v="3722"/>
    <n v="3267"/>
    <n v="292"/>
    <s v="Hentai"/>
    <x v="0"/>
    <x v="12"/>
    <x v="0"/>
  </r>
  <r>
    <x v="0"/>
    <s v="RUNNING"/>
    <n v="1012921962"/>
    <x v="766"/>
    <s v="nsfw"/>
    <d v="1899-12-30T16:09:00"/>
    <s v="In-Stream Video"/>
    <s v="TJX"/>
    <s v="desktop"/>
    <s v="GEO,Frequency,Keyword,BrowserLanguage"/>
    <n v="520"/>
    <n v="0"/>
    <s v="Yes"/>
    <s v="Unlimited"/>
    <n v="2703"/>
    <n v="182"/>
    <n v="6.7332599999999996"/>
    <n v="0"/>
    <n v="4.9400000000000004"/>
    <n v="1.827"/>
    <n v="2.7E-2"/>
    <n v="0"/>
    <n v="1"/>
    <n v="0"/>
    <s v="Yes"/>
    <n v="2705"/>
    <n v="2120"/>
    <n v="300"/>
    <s v="Hentai"/>
    <x v="0"/>
    <x v="12"/>
    <x v="0"/>
  </r>
  <r>
    <x v="0"/>
    <s v="RUNNING"/>
    <n v="1012924742"/>
    <x v="767"/>
    <s v="nsfw"/>
    <d v="1899-12-30T16:09:00"/>
    <s v="In-Stream Video"/>
    <s v="TJX"/>
    <s v="desktop"/>
    <s v="GEO,Frequency,Keyword,BrowserLanguage"/>
    <n v="360"/>
    <n v="0"/>
    <s v="Yes"/>
    <s v="Unlimited"/>
    <n v="62031"/>
    <n v="3095"/>
    <n v="4.9894400000000001"/>
    <n v="1"/>
    <n v="115.72"/>
    <n v="1.8660000000000001"/>
    <n v="3.6999999999999998E-2"/>
    <n v="115.72199999999999"/>
    <n v="1"/>
    <n v="0"/>
    <s v="Yes"/>
    <n v="62039"/>
    <n v="47882"/>
    <n v="7886"/>
    <s v="Global"/>
    <x v="0"/>
    <x v="20"/>
    <x v="0"/>
  </r>
  <r>
    <x v="0"/>
    <s v="PAUSED"/>
    <n v="1012924752"/>
    <x v="768"/>
    <s v="nsfw"/>
    <d v="1899-12-30T16:09:00"/>
    <s v="In-Stream Video"/>
    <s v="TJX"/>
    <s v="mobile"/>
    <s v="GEO,Frequency,Keyword,OS,BrowserLanguage"/>
    <n v="700"/>
    <n v="0"/>
    <s v="Yes"/>
    <s v="Unlimited"/>
    <n v="0"/>
    <n v="0"/>
    <n v="0"/>
    <m/>
    <n v="0"/>
    <n v="0"/>
    <n v="0"/>
    <n v="0"/>
    <n v="1"/>
    <n v="0"/>
    <s v="Yes"/>
    <m/>
    <m/>
    <m/>
    <s v="Global"/>
    <x v="0"/>
    <x v="20"/>
    <x v="0"/>
  </r>
  <r>
    <x v="0"/>
    <s v="PAUSED"/>
    <n v="1012924762"/>
    <x v="769"/>
    <s v="nsfw"/>
    <d v="1899-12-30T16:09:00"/>
    <s v="In-Stream Video"/>
    <s v="TJX"/>
    <s v="mobile"/>
    <s v="GEO,Frequency,Keyword,OS,BrowserLanguage"/>
    <n v="700"/>
    <n v="0"/>
    <s v="Yes"/>
    <s v="Unlimited"/>
    <n v="0"/>
    <n v="0"/>
    <n v="0"/>
    <m/>
    <n v="0"/>
    <n v="0"/>
    <n v="0"/>
    <n v="0"/>
    <n v="1"/>
    <n v="0"/>
    <s v="Yes"/>
    <m/>
    <m/>
    <m/>
    <s v="Global"/>
    <x v="0"/>
    <x v="20"/>
    <x v="0"/>
  </r>
  <r>
    <x v="0"/>
    <s v="RUNNING"/>
    <n v="1012924802"/>
    <x v="116"/>
    <s v="nsfw"/>
    <d v="1899-12-30T16:09:00"/>
    <s v="In-Stream Video"/>
    <s v="TJX"/>
    <s v="desktop"/>
    <s v="GEO,Frequency,Keyword,BrowserLanguage"/>
    <n v="36"/>
    <n v="0"/>
    <s v="Yes"/>
    <s v="Unlimited"/>
    <n v="656"/>
    <n v="34"/>
    <n v="5.1829299999999998"/>
    <n v="0"/>
    <n v="1.79"/>
    <n v="2.7330000000000001"/>
    <n v="5.2999999999999999E-2"/>
    <n v="0"/>
    <n v="1"/>
    <n v="0"/>
    <s v="Yes"/>
    <n v="656"/>
    <n v="488"/>
    <n v="81"/>
    <s v="FinDom"/>
    <x v="0"/>
    <x v="3"/>
    <x v="0"/>
  </r>
  <r>
    <x v="0"/>
    <s v="RUNNING"/>
    <n v="1012924812"/>
    <x v="770"/>
    <s v="nsfw"/>
    <d v="1899-12-30T16:09:00"/>
    <s v="In-Stream Video"/>
    <s v="TJX"/>
    <s v="desktop"/>
    <s v="GEO,Frequency,Keyword,BrowserLanguage"/>
    <n v="36"/>
    <n v="0"/>
    <s v="Yes"/>
    <s v="Unlimited"/>
    <n v="43"/>
    <n v="1"/>
    <n v="2.32558"/>
    <n v="0"/>
    <n v="0.02"/>
    <n v="0.57899999999999996"/>
    <n v="2.5000000000000001E-2"/>
    <n v="0"/>
    <n v="1"/>
    <n v="0"/>
    <s v="Yes"/>
    <n v="43"/>
    <n v="31"/>
    <n v="6"/>
    <s v="FinDom"/>
    <x v="0"/>
    <x v="3"/>
    <x v="0"/>
  </r>
  <r>
    <x v="0"/>
    <s v="PAUSED"/>
    <n v="1012924822"/>
    <x v="771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FinDom"/>
    <x v="0"/>
    <x v="7"/>
    <x v="0"/>
  </r>
  <r>
    <x v="0"/>
    <s v="PAUSED"/>
    <n v="1012924832"/>
    <x v="772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FinDom"/>
    <x v="0"/>
    <x v="7"/>
    <x v="0"/>
  </r>
  <r>
    <x v="0"/>
    <s v="RUNNING"/>
    <n v="1012924842"/>
    <x v="773"/>
    <s v="nsfw"/>
    <d v="1899-12-30T16:09:00"/>
    <s v="In-Stream Video"/>
    <s v="TJX"/>
    <s v="mobile"/>
    <s v="GEO,Frequency,Keyword,OS,BrowserLanguage"/>
    <n v="90"/>
    <n v="0"/>
    <s v="Yes"/>
    <s v="Unlimited"/>
    <n v="23"/>
    <n v="2"/>
    <n v="8.6956500000000005"/>
    <n v="0"/>
    <n v="0.02"/>
    <n v="0.65500000000000003"/>
    <n v="8.0000000000000002E-3"/>
    <n v="0"/>
    <n v="1"/>
    <n v="0"/>
    <s v="Yes"/>
    <n v="23"/>
    <n v="23"/>
    <n v="0"/>
    <s v="FinDom"/>
    <x v="0"/>
    <x v="3"/>
    <x v="0"/>
  </r>
  <r>
    <x v="0"/>
    <s v="NOT RUNNING"/>
    <n v="1012924852"/>
    <x v="774"/>
    <s v="nsfw"/>
    <d v="1899-12-30T16:09:00"/>
    <s v="In-Stream Video"/>
    <s v="TJX"/>
    <s v="mobile"/>
    <s v="GEO,Frequency,Keyword,OS,BrowserLanguage"/>
    <n v="90"/>
    <n v="0"/>
    <s v="Yes"/>
    <s v="Unlimited"/>
    <n v="6"/>
    <n v="0"/>
    <n v="0"/>
    <n v="0"/>
    <n v="0"/>
    <n v="0.32800000000000001"/>
    <n v="0"/>
    <n v="0"/>
    <n v="1"/>
    <n v="0"/>
    <s v="Yes"/>
    <n v="6"/>
    <n v="5"/>
    <n v="1"/>
    <s v="FinDom"/>
    <x v="0"/>
    <x v="3"/>
    <x v="0"/>
  </r>
  <r>
    <x v="0"/>
    <s v="PAUSED"/>
    <n v="1012924862"/>
    <x v="70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FinDom"/>
    <x v="0"/>
    <x v="5"/>
    <x v="0"/>
  </r>
  <r>
    <x v="0"/>
    <s v="RUNNING"/>
    <n v="1012924872"/>
    <x v="108"/>
    <s v="nsfw"/>
    <d v="1899-12-30T16:09:00"/>
    <s v="In-Stream Video"/>
    <s v="TJX"/>
    <s v="mobile"/>
    <s v="GEO,Frequency,Keyword,OS,BrowserLanguage"/>
    <n v="90"/>
    <n v="0"/>
    <s v="Yes"/>
    <s v="Unlimited"/>
    <n v="26"/>
    <n v="6"/>
    <n v="23.076920000000001"/>
    <n v="0"/>
    <n v="0.02"/>
    <n v="0.61399999999999999"/>
    <n v="3.0000000000000001E-3"/>
    <n v="0"/>
    <n v="1"/>
    <n v="0"/>
    <s v="Yes"/>
    <n v="26"/>
    <n v="24"/>
    <n v="1"/>
    <s v="FinDom"/>
    <x v="0"/>
    <x v="3"/>
    <x v="0"/>
  </r>
  <r>
    <x v="0"/>
    <s v="PAUSED"/>
    <n v="1012924882"/>
    <x v="113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FinDom"/>
    <x v="0"/>
    <x v="1"/>
    <x v="0"/>
  </r>
  <r>
    <x v="0"/>
    <s v="NOT RUNNING"/>
    <n v="1012924892"/>
    <x v="775"/>
    <s v="nsfw"/>
    <d v="1899-12-30T16:09:00"/>
    <s v="In-Stream Video"/>
    <s v="TJX"/>
    <s v="mobile"/>
    <s v="GEO,Frequency,Keyword,OS,BrowserLanguage"/>
    <n v="90"/>
    <n v="0"/>
    <s v="Yes"/>
    <s v="Unlimited"/>
    <n v="2"/>
    <n v="0"/>
    <n v="0"/>
    <n v="0"/>
    <n v="0"/>
    <n v="0.40600000000000003"/>
    <n v="0"/>
    <n v="0"/>
    <n v="1"/>
    <n v="0"/>
    <s v="Yes"/>
    <n v="2"/>
    <n v="2"/>
    <n v="0"/>
    <s v="FinDom"/>
    <x v="0"/>
    <x v="3"/>
    <x v="0"/>
  </r>
  <r>
    <x v="0"/>
    <s v="NOT RUNNING"/>
    <n v="1012924902"/>
    <x v="776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FinDom"/>
    <x v="0"/>
    <x v="7"/>
    <x v="0"/>
  </r>
  <r>
    <x v="0"/>
    <s v="RUNNING"/>
    <n v="1012924912"/>
    <x v="339"/>
    <s v="nsfw"/>
    <d v="1899-12-30T16:09:00"/>
    <s v="In-Stream Video"/>
    <s v="TJX"/>
    <s v="desktop"/>
    <s v="GEO,Frequency,Keyword,BrowserLanguage"/>
    <n v="100"/>
    <n v="0"/>
    <s v="Yes"/>
    <s v="Unlimited"/>
    <n v="6698"/>
    <n v="232"/>
    <n v="3.4637199999999999"/>
    <n v="0"/>
    <n v="19.170000000000002"/>
    <n v="2.8620000000000001"/>
    <n v="8.3000000000000004E-2"/>
    <n v="0"/>
    <n v="1"/>
    <n v="0"/>
    <s v="Yes"/>
    <n v="6703"/>
    <n v="5385"/>
    <n v="684"/>
    <s v="Threesome"/>
    <x v="0"/>
    <x v="3"/>
    <x v="0"/>
  </r>
  <r>
    <x v="0"/>
    <s v="RUNNING"/>
    <n v="1012924922"/>
    <x v="348"/>
    <s v="nsfw"/>
    <d v="1899-12-30T16:09:00"/>
    <s v="In-Stream Video"/>
    <s v="TJX"/>
    <s v="desktop"/>
    <s v="GEO,Frequency,Keyword,BrowserLanguage"/>
    <n v="100"/>
    <n v="0"/>
    <s v="Yes"/>
    <s v="Unlimited"/>
    <n v="15083"/>
    <n v="565"/>
    <n v="3.74594"/>
    <n v="0"/>
    <n v="22.02"/>
    <n v="1.46"/>
    <n v="3.9E-2"/>
    <n v="0"/>
    <n v="1"/>
    <n v="0"/>
    <s v="Yes"/>
    <n v="15078"/>
    <n v="11920"/>
    <n v="1670"/>
    <s v="Threesome"/>
    <x v="0"/>
    <x v="3"/>
    <x v="0"/>
  </r>
  <r>
    <x v="0"/>
    <s v="RUNNING"/>
    <n v="1012924932"/>
    <x v="777"/>
    <s v="nsfw"/>
    <d v="1899-12-30T16:09:00"/>
    <s v="In-Stream Video"/>
    <s v="TJX"/>
    <s v="desktop"/>
    <s v="GEO,Frequency,Keyword,BrowserLanguage"/>
    <n v="100"/>
    <n v="0"/>
    <s v="Yes"/>
    <s v="Unlimited"/>
    <n v="339"/>
    <n v="17"/>
    <n v="5.0147500000000003"/>
    <n v="0"/>
    <n v="0.35"/>
    <n v="1.024"/>
    <n v="0.02"/>
    <n v="0"/>
    <n v="1"/>
    <n v="0"/>
    <s v="Yes"/>
    <n v="339"/>
    <n v="254"/>
    <n v="48"/>
    <s v="Threesome"/>
    <x v="0"/>
    <x v="3"/>
    <x v="0"/>
  </r>
  <r>
    <x v="0"/>
    <s v="RUNNING"/>
    <n v="1012924942"/>
    <x v="345"/>
    <s v="nsfw"/>
    <d v="1899-12-30T16:09:00"/>
    <s v="In-Stream Video"/>
    <s v="TJX"/>
    <s v="desktop"/>
    <s v="GEO,Frequency,Keyword,BrowserLanguage"/>
    <n v="100"/>
    <n v="0"/>
    <s v="Yes"/>
    <s v="Unlimited"/>
    <n v="10292"/>
    <n v="471"/>
    <n v="4.5763699999999998"/>
    <n v="0"/>
    <n v="15.33"/>
    <n v="1.4890000000000001"/>
    <n v="3.3000000000000002E-2"/>
    <n v="0"/>
    <n v="1"/>
    <n v="0"/>
    <s v="Yes"/>
    <n v="10292"/>
    <n v="7975"/>
    <n v="1333"/>
    <s v="Threesome"/>
    <x v="0"/>
    <x v="3"/>
    <x v="0"/>
  </r>
  <r>
    <x v="0"/>
    <s v="PAUSED"/>
    <n v="1012924952"/>
    <x v="567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x v="0"/>
    <x v="1"/>
    <x v="0"/>
  </r>
  <r>
    <x v="0"/>
    <s v="RUNNING"/>
    <n v="1012924962"/>
    <x v="778"/>
    <s v="nsfw"/>
    <d v="1899-12-30T16:09:00"/>
    <s v="In-Stream Video"/>
    <s v="TJX"/>
    <s v="mobile"/>
    <s v="GEO,Frequency,Keyword,OS,BrowserLanguage"/>
    <n v="90"/>
    <n v="0"/>
    <s v="Yes"/>
    <s v="Unlimited"/>
    <n v="449"/>
    <n v="16"/>
    <n v="3.5634700000000001"/>
    <n v="0"/>
    <n v="0.27"/>
    <n v="0.60799999999999998"/>
    <n v="1.7000000000000001E-2"/>
    <n v="0"/>
    <n v="1"/>
    <n v="0"/>
    <s v="Yes"/>
    <n v="449"/>
    <n v="416"/>
    <n v="23"/>
    <s v="Threesome"/>
    <x v="0"/>
    <x v="3"/>
    <x v="0"/>
  </r>
  <r>
    <x v="0"/>
    <s v="PAUSED"/>
    <n v="1012924972"/>
    <x v="779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x v="0"/>
    <x v="21"/>
    <x v="0"/>
  </r>
  <r>
    <x v="0"/>
    <s v="RUNNING"/>
    <n v="1012924982"/>
    <x v="780"/>
    <s v="nsfw"/>
    <d v="1899-12-30T16:09:00"/>
    <s v="In-Stream Video"/>
    <s v="TJX"/>
    <s v="mobile"/>
    <s v="GEO,Frequency,Keyword,OS,BrowserLanguage"/>
    <n v="90"/>
    <n v="0"/>
    <s v="Yes"/>
    <s v="Unlimited"/>
    <n v="155"/>
    <n v="14"/>
    <n v="9.0322600000000008"/>
    <n v="0"/>
    <n v="0.06"/>
    <n v="0.40200000000000002"/>
    <n v="4.0000000000000001E-3"/>
    <n v="0"/>
    <n v="1"/>
    <n v="0"/>
    <s v="Yes"/>
    <n v="155"/>
    <n v="144"/>
    <n v="6"/>
    <s v="Threesome"/>
    <x v="0"/>
    <x v="3"/>
    <x v="0"/>
  </r>
  <r>
    <x v="0"/>
    <s v="PAUSED"/>
    <n v="1012924992"/>
    <x v="781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x v="0"/>
    <x v="21"/>
    <x v="0"/>
  </r>
  <r>
    <x v="0"/>
    <s v="PAUSED"/>
    <n v="1012925002"/>
    <x v="343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x v="0"/>
    <x v="1"/>
    <x v="0"/>
  </r>
  <r>
    <x v="0"/>
    <s v="NOT RUNNING"/>
    <n v="1012925022"/>
    <x v="338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x v="0"/>
    <x v="1"/>
    <x v="0"/>
  </r>
  <r>
    <x v="0"/>
    <s v="PAUSED"/>
    <n v="1012925032"/>
    <x v="347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x v="0"/>
    <x v="1"/>
    <x v="0"/>
  </r>
  <r>
    <x v="0"/>
    <s v="RUNNING"/>
    <n v="1012925042"/>
    <x v="782"/>
    <s v="nsfw"/>
    <d v="1899-12-30T16:09:00"/>
    <s v="In-Stream Video"/>
    <s v="TJX"/>
    <s v="mobile"/>
    <s v="GEO,Frequency,Keyword,OS,BrowserLanguage"/>
    <n v="90"/>
    <n v="0"/>
    <s v="Yes"/>
    <s v="Unlimited"/>
    <n v="64"/>
    <n v="3"/>
    <n v="4.6875"/>
    <n v="0"/>
    <n v="0.03"/>
    <n v="0.435"/>
    <n v="8.9999999999999993E-3"/>
    <n v="0"/>
    <n v="1"/>
    <n v="0"/>
    <s v="Yes"/>
    <n v="64"/>
    <n v="60"/>
    <n v="1"/>
    <s v="Threesome"/>
    <x v="0"/>
    <x v="3"/>
    <x v="0"/>
  </r>
  <r>
    <x v="0"/>
    <s v="PAUSED"/>
    <n v="1012925052"/>
    <x v="346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Threesome"/>
    <x v="0"/>
    <x v="1"/>
    <x v="0"/>
  </r>
  <r>
    <x v="0"/>
    <s v="PAUSED"/>
    <n v="1012927522"/>
    <x v="783"/>
    <s v="nsfw"/>
    <d v="1899-12-30T16:09:00"/>
    <s v="In-Stream Video"/>
    <s v="TJX"/>
    <s v="mobile"/>
    <s v="GEO,Frequency,Keyword,OS,BrowserLanguage"/>
    <n v="490"/>
    <n v="0"/>
    <s v="No"/>
    <n v="250"/>
    <n v="0"/>
    <n v="0"/>
    <n v="0"/>
    <m/>
    <n v="0"/>
    <n v="0"/>
    <n v="0"/>
    <n v="0"/>
    <n v="1"/>
    <n v="0"/>
    <s v="Yes"/>
    <m/>
    <m/>
    <m/>
    <s v="Global"/>
    <x v="0"/>
    <x v="20"/>
    <x v="0"/>
  </r>
  <r>
    <x v="0"/>
    <s v="RUNNING"/>
    <n v="1012927532"/>
    <x v="784"/>
    <s v="nsfw"/>
    <d v="1899-12-30T16:09:00"/>
    <s v="In-Stream Video"/>
    <s v="TJX"/>
    <s v="mobile"/>
    <s v="GEO,Frequency,Keyword,OS"/>
    <n v="539"/>
    <n v="0"/>
    <s v="No"/>
    <n v="250"/>
    <n v="838645"/>
    <n v="55714"/>
    <n v="6.6433400000000002"/>
    <n v="1"/>
    <n v="333.62"/>
    <n v="0.39800000000000002"/>
    <n v="6.0000000000000001E-3"/>
    <n v="333.61500000000001"/>
    <n v="1"/>
    <n v="0"/>
    <s v="No"/>
    <n v="838394"/>
    <n v="723340"/>
    <n v="76249"/>
    <s v="Global"/>
    <x v="0"/>
    <x v="20"/>
    <x v="0"/>
  </r>
  <r>
    <x v="0"/>
    <s v="RUNNING"/>
    <n v="1012927542"/>
    <x v="785"/>
    <s v="nsfw"/>
    <d v="1899-12-30T16:09:00"/>
    <s v="In-Stream Video"/>
    <s v="TJX"/>
    <s v="desktop"/>
    <s v="GEO,Frequency,Keyword,BrowserLanguage"/>
    <n v="252"/>
    <n v="0"/>
    <s v="Yes"/>
    <s v="Unlimited"/>
    <n v="42157"/>
    <n v="2558"/>
    <n v="6.0677899999999996"/>
    <n v="0"/>
    <n v="31.13"/>
    <n v="0.73899999999999999"/>
    <n v="1.2E-2"/>
    <n v="0"/>
    <n v="1"/>
    <n v="0"/>
    <s v="Yes"/>
    <n v="42152"/>
    <n v="31980"/>
    <n v="5821"/>
    <s v="Global"/>
    <x v="0"/>
    <x v="20"/>
    <x v="0"/>
  </r>
  <r>
    <x v="0"/>
    <s v="RUNNING"/>
    <n v="1012927552"/>
    <x v="786"/>
    <s v="nsfw"/>
    <d v="1899-12-30T16:09:00"/>
    <s v="In-Stream Video"/>
    <s v="TJX"/>
    <s v="desktop"/>
    <s v="GEO,Frequency,Keyword"/>
    <n v="360"/>
    <n v="0"/>
    <s v="Yes"/>
    <s v="Unlimited"/>
    <n v="152292"/>
    <n v="7876"/>
    <n v="5.17164"/>
    <n v="4"/>
    <n v="169.03"/>
    <n v="1.1100000000000001"/>
    <n v="2.1000000000000001E-2"/>
    <n v="42.258000000000003"/>
    <n v="1"/>
    <n v="0"/>
    <s v="Yes"/>
    <n v="152305"/>
    <n v="117184"/>
    <n v="19740"/>
    <s v="Global"/>
    <x v="0"/>
    <x v="20"/>
    <x v="0"/>
  </r>
  <r>
    <x v="0"/>
    <s v="PAUSED"/>
    <n v="1012927562"/>
    <x v="787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x v="0"/>
    <x v="20"/>
    <x v="0"/>
  </r>
  <r>
    <x v="0"/>
    <s v="PAUSED"/>
    <n v="1012927582"/>
    <x v="788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x v="0"/>
    <x v="20"/>
    <x v="0"/>
  </r>
  <r>
    <x v="0"/>
    <s v="PAUSED"/>
    <n v="1012927592"/>
    <x v="789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x v="0"/>
    <x v="20"/>
    <x v="0"/>
  </r>
  <r>
    <x v="0"/>
    <s v="RUNNING"/>
    <n v="1012927602"/>
    <x v="790"/>
    <s v="nsfw"/>
    <d v="1899-12-30T16:09:00"/>
    <s v="In-Stream Video"/>
    <s v="TJX"/>
    <s v="desktop"/>
    <s v="GEO,Frequency,Keyword,BrowserLanguage"/>
    <n v="360"/>
    <n v="0"/>
    <s v="Yes"/>
    <s v="Unlimited"/>
    <n v="50553"/>
    <n v="2736"/>
    <n v="5.41214"/>
    <n v="1"/>
    <n v="57.76"/>
    <n v="1.143"/>
    <n v="2.1000000000000001E-2"/>
    <n v="57.762999999999998"/>
    <n v="1"/>
    <n v="0"/>
    <s v="Yes"/>
    <n v="50556"/>
    <n v="39033"/>
    <n v="6579"/>
    <s v="Global"/>
    <x v="0"/>
    <x v="20"/>
    <x v="0"/>
  </r>
  <r>
    <x v="0"/>
    <s v="PAUSED"/>
    <n v="1012927612"/>
    <x v="791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x v="0"/>
    <x v="20"/>
    <x v="0"/>
  </r>
  <r>
    <x v="0"/>
    <s v="PAUSED"/>
    <n v="1012927622"/>
    <x v="792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x v="0"/>
    <x v="20"/>
    <x v="0"/>
  </r>
  <r>
    <x v="0"/>
    <s v="RUNNING"/>
    <n v="1012927642"/>
    <x v="793"/>
    <s v="nsfw"/>
    <d v="1899-12-30T16:09:00"/>
    <s v="In-Stream Video"/>
    <s v="TJX"/>
    <s v="desktop"/>
    <s v="GEO,Frequency,Keyword,BrowserLanguage"/>
    <n v="360"/>
    <n v="0"/>
    <s v="No"/>
    <n v="250"/>
    <n v="51347"/>
    <n v="2743"/>
    <n v="5.3420800000000002"/>
    <n v="0"/>
    <n v="69.23"/>
    <n v="1.3480000000000001"/>
    <n v="2.5000000000000001E-2"/>
    <n v="0"/>
    <n v="1"/>
    <n v="0"/>
    <s v="Yes"/>
    <n v="51341"/>
    <n v="38987"/>
    <n v="7392"/>
    <s v="Global"/>
    <x v="0"/>
    <x v="20"/>
    <x v="0"/>
  </r>
  <r>
    <x v="0"/>
    <s v="RUNNING"/>
    <n v="1012927662"/>
    <x v="794"/>
    <s v="nsfw"/>
    <d v="1899-12-30T16:09:00"/>
    <s v="In-Stream Video"/>
    <s v="TJX"/>
    <s v="mobile"/>
    <s v="GEO,Frequency,Keyword,OS"/>
    <n v="700"/>
    <n v="0"/>
    <s v="No"/>
    <n v="250"/>
    <n v="1854597"/>
    <n v="132701"/>
    <n v="7.1552499999999997"/>
    <n v="2"/>
    <n v="387.15"/>
    <n v="0.20899999999999999"/>
    <n v="3.0000000000000001E-3"/>
    <n v="193.57599999999999"/>
    <n v="2"/>
    <n v="0"/>
    <s v="No"/>
    <n v="1854427"/>
    <n v="1589569"/>
    <n v="191388"/>
    <s v="Global"/>
    <x v="0"/>
    <x v="20"/>
    <x v="0"/>
  </r>
  <r>
    <x v="0"/>
    <s v="RUNNING"/>
    <n v="1012927672"/>
    <x v="795"/>
    <s v="nsfw"/>
    <d v="1899-12-30T16:09:00"/>
    <s v="In-Stream Video"/>
    <s v="TJX"/>
    <s v="desktop"/>
    <s v="GEO,Frequency,Keyword,BrowserLanguage"/>
    <n v="360"/>
    <n v="0"/>
    <s v="No"/>
    <n v="250"/>
    <n v="24183"/>
    <n v="1315"/>
    <n v="5.4377000000000004"/>
    <n v="0"/>
    <n v="23.75"/>
    <n v="0.98199999999999998"/>
    <n v="1.7999999999999999E-2"/>
    <n v="0"/>
    <n v="1"/>
    <n v="0"/>
    <s v="Yes"/>
    <n v="24180"/>
    <n v="18682"/>
    <n v="3260"/>
    <s v="Global"/>
    <x v="0"/>
    <x v="20"/>
    <x v="0"/>
  </r>
  <r>
    <x v="0"/>
    <s v="PAUSED"/>
    <n v="1012927682"/>
    <x v="796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lobal"/>
    <x v="0"/>
    <x v="20"/>
    <x v="0"/>
  </r>
  <r>
    <x v="0"/>
    <s v="RUNNING"/>
    <n v="1012927692"/>
    <x v="797"/>
    <s v="nsfw"/>
    <d v="1899-12-30T16:09:00"/>
    <s v="In-Stream Video"/>
    <s v="TJX"/>
    <s v="mobile"/>
    <s v="GEO,Frequency,Keyword,OS,BrowserLanguage"/>
    <n v="700"/>
    <n v="0"/>
    <s v="No"/>
    <n v="250"/>
    <n v="36729"/>
    <n v="2717"/>
    <n v="7.3974200000000003"/>
    <n v="1"/>
    <n v="23.19"/>
    <n v="0.63200000000000001"/>
    <n v="8.9999999999999993E-3"/>
    <n v="23.193999999999999"/>
    <n v="1"/>
    <n v="0"/>
    <s v="Yes"/>
    <n v="36728"/>
    <n v="31775"/>
    <n v="2961"/>
    <s v="Global"/>
    <x v="0"/>
    <x v="20"/>
    <x v="0"/>
  </r>
  <r>
    <x v="0"/>
    <s v="RUNNING"/>
    <n v="1012929922"/>
    <x v="798"/>
    <s v="nsfw"/>
    <s v="640 x 360"/>
    <s v="Display"/>
    <s v="TJX"/>
    <s v="mobile"/>
    <s v="GEO,Frequency,OS,BrowserLanguage"/>
    <n v="37"/>
    <n v="0"/>
    <s v="Yes"/>
    <s v="Unlimited"/>
    <n v="162905"/>
    <n v="400"/>
    <n v="0.24554000000000001"/>
    <n v="0"/>
    <n v="51.8"/>
    <n v="0.318"/>
    <n v="0.13"/>
    <n v="0"/>
    <n v="2"/>
    <n v="0"/>
    <s v="Yes"/>
    <n v="0"/>
    <n v="0"/>
    <n v="0"/>
    <s v="General"/>
    <x v="2"/>
    <x v="22"/>
    <x v="0"/>
  </r>
  <r>
    <x v="0"/>
    <s v="RUNNING"/>
    <n v="1012929942"/>
    <x v="799"/>
    <s v="nsfw"/>
    <s v="640 x 360"/>
    <s v="Display"/>
    <s v="TJX"/>
    <s v="mobile"/>
    <s v="GEO,Frequency,BrowserLanguage"/>
    <n v="37"/>
    <n v="0"/>
    <s v="No"/>
    <n v="2000"/>
    <n v="519074"/>
    <n v="884"/>
    <n v="0.17030000000000001"/>
    <n v="2"/>
    <n v="105.89"/>
    <n v="0.20399999999999999"/>
    <n v="0.12"/>
    <n v="52.945999999999998"/>
    <n v="2"/>
    <n v="0"/>
    <s v="Yes"/>
    <n v="0"/>
    <n v="0"/>
    <n v="0"/>
    <s v="General"/>
    <x v="2"/>
    <x v="22"/>
    <x v="0"/>
  </r>
  <r>
    <x v="0"/>
    <s v="RUNNING"/>
    <n v="1012946891"/>
    <x v="800"/>
    <s v="nsfw"/>
    <s v="640 x 360"/>
    <s v="Display"/>
    <s v="TJX"/>
    <s v="desktop"/>
    <s v="GEO,Frequency,Keyword,BrowserLanguage"/>
    <n v="264"/>
    <n v="0"/>
    <s v="Yes"/>
    <s v="Unlimited"/>
    <n v="77914"/>
    <n v="144"/>
    <n v="0.18482000000000001"/>
    <n v="0"/>
    <n v="6.9"/>
    <n v="8.8999999999999996E-2"/>
    <n v="4.8000000000000001E-2"/>
    <n v="0"/>
    <n v="2"/>
    <n v="0"/>
    <s v="Yes"/>
    <n v="0"/>
    <n v="0"/>
    <n v="0"/>
    <s v="Indian"/>
    <x v="2"/>
    <x v="23"/>
    <x v="0"/>
  </r>
  <r>
    <x v="0"/>
    <s v="PAUSED"/>
    <n v="1012946931"/>
    <x v="801"/>
    <s v="nsfw"/>
    <s v="640 x 360"/>
    <s v="Display"/>
    <s v="TJX"/>
    <s v="mobile"/>
    <s v="GEO,Frequency,Keyword,OS,BrowserLanguage"/>
    <n v="286"/>
    <n v="0"/>
    <s v="No"/>
    <n v="250"/>
    <n v="0"/>
    <n v="0"/>
    <n v="0"/>
    <m/>
    <n v="0"/>
    <n v="0"/>
    <n v="0"/>
    <n v="0"/>
    <n v="1"/>
    <n v="0"/>
    <s v="Yes"/>
    <m/>
    <m/>
    <m/>
    <s v="Indian"/>
    <x v="0"/>
    <x v="23"/>
    <x v="0"/>
  </r>
  <r>
    <x v="0"/>
    <s v="PAUSED"/>
    <n v="1012946971"/>
    <x v="802"/>
    <s v="nsfw"/>
    <s v="640 x 360"/>
    <s v="Display"/>
    <s v="TJX"/>
    <s v="mobile"/>
    <s v="GEO,Frequency,Keyword,OS,BrowserLanguage"/>
    <n v="286"/>
    <n v="0"/>
    <s v="No"/>
    <n v="250"/>
    <n v="0"/>
    <n v="0"/>
    <n v="0"/>
    <m/>
    <n v="0"/>
    <n v="0"/>
    <n v="0"/>
    <n v="0"/>
    <n v="1"/>
    <n v="0"/>
    <s v="Yes"/>
    <m/>
    <m/>
    <m/>
    <s v="Indian"/>
    <x v="0"/>
    <x v="23"/>
    <x v="0"/>
  </r>
  <r>
    <x v="0"/>
    <s v="RUNNING"/>
    <n v="1012947151"/>
    <x v="803"/>
    <s v="nsfw"/>
    <s v="640 x 360"/>
    <s v="Display"/>
    <s v="TJX"/>
    <s v="desktop"/>
    <s v="GEO,Frequency,Keyword,BrowserLanguage"/>
    <n v="144"/>
    <n v="0"/>
    <s v="Yes"/>
    <s v="Unlimited"/>
    <n v="265498"/>
    <n v="293"/>
    <n v="0.11036"/>
    <n v="0"/>
    <n v="23.92"/>
    <n v="0.09"/>
    <n v="8.2000000000000003E-2"/>
    <n v="0"/>
    <n v="2"/>
    <n v="0"/>
    <s v="Yes"/>
    <n v="0"/>
    <n v="0"/>
    <n v="0"/>
    <s v="Big Tits"/>
    <x v="0"/>
    <x v="3"/>
    <x v="0"/>
  </r>
  <r>
    <x v="0"/>
    <s v="RUNNING"/>
    <n v="1012947181"/>
    <x v="804"/>
    <s v="nsfw"/>
    <s v="640 x 360"/>
    <s v="Display"/>
    <s v="TJX"/>
    <s v="mobile"/>
    <s v="GEO,Frequency,Keyword,OS,BrowserLanguage"/>
    <n v="156"/>
    <n v="0"/>
    <s v="Yes"/>
    <s v="Unlimited"/>
    <n v="439613"/>
    <n v="1169"/>
    <n v="0.26591999999999999"/>
    <n v="0"/>
    <n v="45.63"/>
    <n v="0.104"/>
    <n v="3.9E-2"/>
    <n v="0"/>
    <n v="2"/>
    <n v="0"/>
    <s v="Yes"/>
    <n v="0"/>
    <n v="0"/>
    <n v="0"/>
    <s v="Big Tits"/>
    <x v="0"/>
    <x v="3"/>
    <x v="0"/>
  </r>
  <r>
    <x v="0"/>
    <s v="PAUSED"/>
    <n v="1012947191"/>
    <x v="805"/>
    <s v="nsfw"/>
    <s v="640 x 360"/>
    <s v="Display"/>
    <s v="TJX"/>
    <s v="mobile"/>
    <s v="GEO,Frequency,Keyword,OS,BrowserLanguage"/>
    <n v="156"/>
    <n v="0"/>
    <s v="No"/>
    <n v="250"/>
    <n v="0"/>
    <n v="0"/>
    <n v="0"/>
    <m/>
    <n v="0"/>
    <n v="0"/>
    <n v="0"/>
    <n v="0"/>
    <n v="1"/>
    <n v="0"/>
    <s v="Yes"/>
    <m/>
    <m/>
    <m/>
    <s v="Big Tits"/>
    <x v="0"/>
    <x v="24"/>
    <x v="0"/>
  </r>
  <r>
    <x v="0"/>
    <s v="PAUSED"/>
    <n v="1012950521"/>
    <x v="806"/>
    <s v="nsfw"/>
    <s v="300 x 100"/>
    <s v="Display"/>
    <s v="TJX"/>
    <s v="mobile"/>
    <s v="GEO,Frequency,BrowserLanguage"/>
    <n v="8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3"/>
    <x v="0"/>
  </r>
  <r>
    <x v="0"/>
    <s v="RUNNING"/>
    <n v="1012999511"/>
    <x v="807"/>
    <s v="nsfw"/>
    <s v="640 x 360"/>
    <s v="Display"/>
    <s v="TJX"/>
    <s v="desktop"/>
    <s v="GEO,Frequency,Keyword,BrowserLanguage"/>
    <n v="264"/>
    <n v="0"/>
    <s v="Yes"/>
    <s v="Unlimited"/>
    <n v="77511"/>
    <n v="202"/>
    <n v="0.26061000000000001"/>
    <n v="0"/>
    <n v="6.87"/>
    <n v="8.8999999999999996E-2"/>
    <n v="3.4000000000000002E-2"/>
    <n v="0"/>
    <n v="2"/>
    <n v="0"/>
    <s v="Yes"/>
    <n v="0"/>
    <n v="0"/>
    <n v="0"/>
    <s v="Indian"/>
    <x v="0"/>
    <x v="23"/>
    <x v="0"/>
  </r>
  <r>
    <x v="0"/>
    <s v="PAUSED"/>
    <n v="1013003481"/>
    <x v="808"/>
    <s v="nsfw"/>
    <d v="1899-12-30T09:16:00"/>
    <s v="In-Stream Video"/>
    <s v="TJX"/>
    <s v="mobile"/>
    <s v="GEO,Frequency"/>
    <n v="5"/>
    <n v="0"/>
    <s v="No"/>
    <n v="500"/>
    <n v="0"/>
    <n v="0"/>
    <n v="0"/>
    <m/>
    <n v="0"/>
    <n v="0"/>
    <n v="0"/>
    <n v="0"/>
    <n v="2"/>
    <n v="0"/>
    <s v="Yes"/>
    <m/>
    <m/>
    <m/>
    <s v="Shorties"/>
    <x v="0"/>
    <x v="2"/>
    <x v="0"/>
  </r>
  <r>
    <x v="0"/>
    <s v="RUNNING"/>
    <n v="1013012751"/>
    <x v="809"/>
    <s v="nsfw"/>
    <s v="640 x 360"/>
    <s v="Display"/>
    <s v="TJX"/>
    <s v="mobile"/>
    <s v="GEO,Frequency,OS,Segment"/>
    <n v="57"/>
    <n v="0"/>
    <s v="Yes"/>
    <s v="Unlimited"/>
    <n v="629945"/>
    <n v="1316"/>
    <n v="0.20891000000000001"/>
    <n v="0"/>
    <n v="139.44"/>
    <n v="0.221"/>
    <n v="0.106"/>
    <n v="0"/>
    <n v="2"/>
    <n v="0"/>
    <s v="No"/>
    <n v="0"/>
    <n v="0"/>
    <n v="0"/>
    <s v="Hentai"/>
    <x v="3"/>
    <x v="12"/>
    <x v="1"/>
  </r>
  <r>
    <x v="0"/>
    <s v="RUNNING"/>
    <n v="1013012981"/>
    <x v="810"/>
    <s v="nsfw"/>
    <s v="640 x 360"/>
    <s v="Display"/>
    <s v="TJX"/>
    <s v="mobile"/>
    <s v="GEO,Frequency,OS,BrowserLanguage"/>
    <n v="1"/>
    <n v="17"/>
    <s v="Yes"/>
    <s v="Unlimited"/>
    <n v="387205"/>
    <n v="344"/>
    <n v="8.8840000000000002E-2"/>
    <n v="0"/>
    <n v="125.07"/>
    <n v="0.32300000000000001"/>
    <n v="0.36399999999999999"/>
    <n v="0"/>
    <n v="2"/>
    <n v="0"/>
    <s v="Yes"/>
    <n v="0"/>
    <n v="0"/>
    <n v="0"/>
    <s v="General"/>
    <x v="3"/>
    <x v="22"/>
    <x v="1"/>
  </r>
  <r>
    <x v="0"/>
    <s v="RUNNING"/>
    <n v="1013012991"/>
    <x v="811"/>
    <s v="nsfw"/>
    <s v="640 x 360"/>
    <s v="Display"/>
    <s v="TJX"/>
    <s v="mobile"/>
    <s v="GEO,Frequency,OS,BrowserLanguage"/>
    <n v="18"/>
    <n v="0"/>
    <s v="Yes"/>
    <s v="Unlimited"/>
    <n v="662002"/>
    <n v="742"/>
    <n v="0.11208"/>
    <n v="1"/>
    <n v="158.22"/>
    <n v="0.23899999999999999"/>
    <n v="0.21299999999999999"/>
    <n v="158.21799999999999"/>
    <n v="2"/>
    <n v="0"/>
    <s v="No"/>
    <n v="0"/>
    <n v="0"/>
    <n v="0"/>
    <s v="General"/>
    <x v="4"/>
    <x v="22"/>
    <x v="1"/>
  </r>
  <r>
    <x v="0"/>
    <s v="RUNNING"/>
    <n v="1013013261"/>
    <x v="812"/>
    <s v="nsfw"/>
    <d v="1899-12-30T16:09:00"/>
    <s v="In-Stream Video"/>
    <s v="TJX"/>
    <s v="mobile"/>
    <s v="GEO,Frequency,Keyword,OS,BrowserLanguage"/>
    <n v="30"/>
    <n v="50"/>
    <s v="No"/>
    <n v="250"/>
    <n v="30211"/>
    <n v="1909"/>
    <n v="6.3188899999999997"/>
    <n v="0"/>
    <n v="63.16"/>
    <n v="2.0910000000000002"/>
    <n v="3.3000000000000002E-2"/>
    <n v="0"/>
    <n v="2"/>
    <n v="0"/>
    <s v="Yes"/>
    <n v="30205"/>
    <n v="26714"/>
    <n v="2267"/>
    <s v="Indian"/>
    <x v="3"/>
    <x v="3"/>
    <x v="2"/>
  </r>
  <r>
    <x v="0"/>
    <s v="RUNNING"/>
    <n v="1013013541"/>
    <x v="813"/>
    <s v="nsfw"/>
    <d v="1899-12-30T16:09:00"/>
    <s v="In-Stream Video"/>
    <s v="TJX"/>
    <s v="mobile"/>
    <s v="GEO,Frequency,Keyword,OS,BrowserLanguage"/>
    <n v="133"/>
    <n v="0"/>
    <s v="No"/>
    <n v="250"/>
    <n v="73011"/>
    <n v="5377"/>
    <n v="7.3646399999999996"/>
    <n v="0"/>
    <n v="141"/>
    <n v="1.931"/>
    <n v="2.5999999999999999E-2"/>
    <n v="0"/>
    <n v="2"/>
    <n v="0"/>
    <s v="Yes"/>
    <n v="72998"/>
    <n v="64911"/>
    <n v="5160"/>
    <s v="Blonde"/>
    <x v="3"/>
    <x v="3"/>
    <x v="2"/>
  </r>
  <r>
    <x v="0"/>
    <s v="RUNNING"/>
    <n v="1013013551"/>
    <x v="814"/>
    <s v="nsfw"/>
    <d v="1899-12-30T16:09:00"/>
    <s v="In-Stream Video"/>
    <s v="TJX"/>
    <s v="mobile"/>
    <s v="GEO,Frequency,Keyword,OS,BrowserLanguage"/>
    <n v="133"/>
    <n v="0"/>
    <s v="No"/>
    <n v="250"/>
    <n v="48439"/>
    <n v="2570"/>
    <n v="5.3056400000000004"/>
    <n v="1"/>
    <n v="91.59"/>
    <n v="1.891"/>
    <n v="3.5999999999999997E-2"/>
    <n v="91.590999999999994"/>
    <n v="2"/>
    <n v="0"/>
    <s v="Yes"/>
    <n v="48432"/>
    <n v="44550"/>
    <n v="2324"/>
    <s v="Blonde"/>
    <x v="3"/>
    <x v="3"/>
    <x v="2"/>
  </r>
  <r>
    <x v="0"/>
    <s v="RUNNING"/>
    <n v="1013013561"/>
    <x v="815"/>
    <s v="nsfw"/>
    <d v="1899-12-30T16:09:00"/>
    <s v="In-Stream Video"/>
    <s v="TJX"/>
    <s v="desktop"/>
    <s v="GEO,Frequency,Keyword,BrowserLanguage"/>
    <n v="56"/>
    <n v="0"/>
    <s v="No"/>
    <n v="500"/>
    <n v="21056"/>
    <n v="820"/>
    <n v="3.89438"/>
    <n v="0"/>
    <n v="37.72"/>
    <n v="1.7909999999999999"/>
    <n v="4.5999999999999999E-2"/>
    <n v="0"/>
    <n v="2"/>
    <n v="0"/>
    <s v="Yes"/>
    <n v="21056"/>
    <n v="15787"/>
    <n v="2518"/>
    <s v="Blonde"/>
    <x v="3"/>
    <x v="3"/>
    <x v="2"/>
  </r>
  <r>
    <x v="0"/>
    <s v="RUNNING"/>
    <n v="1013013571"/>
    <x v="816"/>
    <s v="nsfw"/>
    <d v="1899-12-30T16:09:00"/>
    <s v="In-Stream Video"/>
    <s v="TJX"/>
    <s v="mobile"/>
    <s v="GEO,Frequency,Keyword,OS,BrowserLanguage"/>
    <n v="183"/>
    <n v="0"/>
    <s v="No"/>
    <n v="250"/>
    <n v="32692"/>
    <n v="1881"/>
    <n v="5.7537000000000003"/>
    <n v="0"/>
    <n v="65.53"/>
    <n v="2.004"/>
    <n v="3.5000000000000003E-2"/>
    <n v="0"/>
    <n v="2"/>
    <n v="0"/>
    <s v="Yes"/>
    <n v="32677"/>
    <n v="29163"/>
    <n v="2310"/>
    <s v="Hentai"/>
    <x v="4"/>
    <x v="12"/>
    <x v="2"/>
  </r>
  <r>
    <x v="0"/>
    <s v="RUNNING"/>
    <n v="1013013591"/>
    <x v="817"/>
    <s v="nsfw"/>
    <d v="1899-12-30T16:09:00"/>
    <s v="In-Stream Video"/>
    <s v="TJX"/>
    <s v="mobile"/>
    <s v="GEO,Frequency,Keyword,OS,BrowserLanguage"/>
    <n v="173"/>
    <n v="0"/>
    <s v="No"/>
    <n v="250"/>
    <n v="51208"/>
    <n v="2523"/>
    <n v="4.9269600000000002"/>
    <n v="0"/>
    <n v="96.12"/>
    <n v="1.877"/>
    <n v="3.7999999999999999E-2"/>
    <n v="0"/>
    <n v="2"/>
    <n v="0"/>
    <s v="Yes"/>
    <n v="51185"/>
    <n v="46243"/>
    <n v="3215"/>
    <s v="Hentai"/>
    <x v="4"/>
    <x v="12"/>
    <x v="2"/>
  </r>
  <r>
    <x v="0"/>
    <s v="RUNNING"/>
    <n v="1013013601"/>
    <x v="818"/>
    <s v="nsfw"/>
    <d v="1899-12-30T16:09:00"/>
    <s v="In-Stream Video"/>
    <s v="TJX"/>
    <s v="desktop"/>
    <s v="GEO,Frequency,Keyword,BrowserLanguage"/>
    <n v="68"/>
    <n v="0"/>
    <s v="No"/>
    <n v="250"/>
    <n v="4805"/>
    <n v="241"/>
    <n v="5.0156000000000001"/>
    <n v="0"/>
    <n v="12.37"/>
    <n v="2.573"/>
    <n v="5.0999999999999997E-2"/>
    <n v="0"/>
    <n v="2"/>
    <n v="0"/>
    <s v="Yes"/>
    <n v="4802"/>
    <n v="3659"/>
    <n v="410"/>
    <s v="Hentai"/>
    <x v="4"/>
    <x v="12"/>
    <x v="2"/>
  </r>
  <r>
    <x v="0"/>
    <s v="RUNNING"/>
    <n v="1013013621"/>
    <x v="819"/>
    <s v="nsfw"/>
    <d v="1899-12-30T16:09:00"/>
    <s v="In-Stream Video"/>
    <s v="TJX"/>
    <s v="mobile"/>
    <s v="GEO,Frequency,Keyword,OS,BrowserLanguage"/>
    <n v="173"/>
    <n v="0"/>
    <s v="No"/>
    <n v="250"/>
    <n v="32683"/>
    <n v="2581"/>
    <n v="7.8970700000000003"/>
    <n v="1"/>
    <n v="66.12"/>
    <n v="2.0230000000000001"/>
    <n v="2.5999999999999999E-2"/>
    <n v="66.123000000000005"/>
    <n v="2"/>
    <n v="0"/>
    <s v="Yes"/>
    <n v="32662"/>
    <n v="29235"/>
    <n v="2241"/>
    <s v="Hentai"/>
    <x v="3"/>
    <x v="12"/>
    <x v="2"/>
  </r>
  <r>
    <x v="0"/>
    <s v="RUNNING"/>
    <n v="1013013631"/>
    <x v="820"/>
    <s v="nsfw"/>
    <d v="1899-12-30T16:09:00"/>
    <s v="In-Stream Video"/>
    <s v="TJX"/>
    <s v="mobile"/>
    <s v="GEO,Frequency,Keyword,OS,BrowserLanguage"/>
    <n v="173"/>
    <n v="0"/>
    <s v="No"/>
    <n v="250"/>
    <n v="58563"/>
    <n v="2931"/>
    <n v="5.0048700000000004"/>
    <n v="1"/>
    <n v="131.66999999999999"/>
    <n v="2.2480000000000002"/>
    <n v="4.4999999999999998E-2"/>
    <n v="131.67099999999999"/>
    <n v="2"/>
    <n v="0"/>
    <s v="Yes"/>
    <n v="58546"/>
    <n v="52548"/>
    <n v="3825"/>
    <s v="Hentai"/>
    <x v="3"/>
    <x v="12"/>
    <x v="2"/>
  </r>
  <r>
    <x v="0"/>
    <s v="RUNNING"/>
    <n v="1013013641"/>
    <x v="821"/>
    <s v="nsfw"/>
    <d v="1899-12-30T16:09:00"/>
    <s v="In-Stream Video"/>
    <s v="TJX"/>
    <s v="desktop"/>
    <s v="GEO,Frequency,Keyword,BrowserLanguage"/>
    <n v="52"/>
    <n v="0"/>
    <s v="Yes"/>
    <s v="Unlimited"/>
    <n v="1282"/>
    <n v="62"/>
    <n v="4.8361900000000002"/>
    <n v="0"/>
    <n v="3.89"/>
    <n v="3.036"/>
    <n v="6.3E-2"/>
    <n v="0"/>
    <n v="2"/>
    <n v="0"/>
    <s v="Yes"/>
    <n v="1281"/>
    <n v="954"/>
    <n v="146"/>
    <s v="Hentai"/>
    <x v="3"/>
    <x v="12"/>
    <x v="2"/>
  </r>
  <r>
    <x v="0"/>
    <s v="RUNNING"/>
    <n v="1013013651"/>
    <x v="822"/>
    <s v="nsfw"/>
    <d v="1899-12-30T16:09:00"/>
    <s v="In-Stream Video"/>
    <s v="TJX"/>
    <s v="mobile"/>
    <s v="GEO,Frequency,Keyword,OS,BrowserLanguage"/>
    <n v="173"/>
    <n v="0"/>
    <s v="No"/>
    <n v="250"/>
    <n v="151"/>
    <n v="6"/>
    <n v="3.9735100000000001"/>
    <n v="0"/>
    <n v="0.26"/>
    <n v="1.7010000000000001"/>
    <n v="4.2999999999999997E-2"/>
    <n v="0"/>
    <n v="2"/>
    <n v="0"/>
    <s v="Yes"/>
    <n v="151"/>
    <n v="136"/>
    <n v="8"/>
    <s v="Hentai"/>
    <x v="5"/>
    <x v="12"/>
    <x v="2"/>
  </r>
  <r>
    <x v="0"/>
    <s v="RUNNING"/>
    <n v="1013013701"/>
    <x v="823"/>
    <s v="nsfw"/>
    <d v="1899-12-30T16:09:00"/>
    <s v="In-Stream Video"/>
    <s v="TJX"/>
    <s v="mobile"/>
    <s v="GEO,Frequency,Keyword,OS,BrowserLanguage"/>
    <n v="173"/>
    <n v="0"/>
    <s v="No"/>
    <n v="250"/>
    <n v="143"/>
    <n v="6"/>
    <n v="4.1958000000000002"/>
    <n v="0"/>
    <n v="0.17"/>
    <n v="1.1719999999999999"/>
    <n v="2.8000000000000001E-2"/>
    <n v="0"/>
    <n v="2"/>
    <n v="0"/>
    <s v="Yes"/>
    <n v="143"/>
    <n v="130"/>
    <n v="7"/>
    <s v="Hentai"/>
    <x v="5"/>
    <x v="12"/>
    <x v="2"/>
  </r>
  <r>
    <x v="0"/>
    <s v="RUNNING"/>
    <n v="1013013731"/>
    <x v="824"/>
    <s v="nsfw"/>
    <d v="1899-12-30T16:09:00"/>
    <s v="In-Stream Video"/>
    <s v="TJX"/>
    <s v="desktop"/>
    <s v="GEO,Frequency,Keyword,BrowserLanguage"/>
    <n v="64"/>
    <n v="0"/>
    <s v="No"/>
    <n v="250"/>
    <n v="8820"/>
    <n v="862"/>
    <n v="9.7732399999999995"/>
    <n v="0"/>
    <n v="21.93"/>
    <n v="2.4860000000000002"/>
    <n v="2.5000000000000001E-2"/>
    <n v="0"/>
    <n v="2"/>
    <n v="0"/>
    <s v="Yes"/>
    <n v="8823"/>
    <n v="6871"/>
    <n v="967"/>
    <s v="Hentai"/>
    <x v="5"/>
    <x v="3"/>
    <x v="2"/>
  </r>
  <r>
    <x v="0"/>
    <s v="NOT RUNNING"/>
    <n v="1013013741"/>
    <x v="825"/>
    <s v="nsfw"/>
    <d v="1899-12-30T16:09:00"/>
    <s v="In-Stream Video"/>
    <s v="TJX"/>
    <s v="mobile"/>
    <s v="GEO,Frequency,Keyword,OS,BrowserLanguage"/>
    <n v="140"/>
    <n v="0"/>
    <s v="No"/>
    <n v="250"/>
    <n v="10"/>
    <n v="0"/>
    <n v="0"/>
    <n v="0"/>
    <n v="0"/>
    <n v="0.44400000000000001"/>
    <n v="0"/>
    <n v="0"/>
    <n v="2"/>
    <n v="0"/>
    <s v="Yes"/>
    <n v="10"/>
    <n v="10"/>
    <n v="0"/>
    <s v="Hentai"/>
    <x v="6"/>
    <x v="12"/>
    <x v="2"/>
  </r>
  <r>
    <x v="0"/>
    <s v="NOT RUNNING"/>
    <n v="1013013761"/>
    <x v="826"/>
    <s v="nsfw"/>
    <d v="1899-12-30T16:09:00"/>
    <s v="In-Stream Video"/>
    <s v="TJX"/>
    <s v="mobile"/>
    <s v="GEO,Frequency,Keyword,OS,BrowserLanguage"/>
    <n v="130"/>
    <n v="0"/>
    <s v="No"/>
    <n v="250"/>
    <n v="0"/>
    <n v="0"/>
    <n v="0"/>
    <m/>
    <n v="0"/>
    <n v="0"/>
    <n v="0"/>
    <n v="0"/>
    <n v="2"/>
    <n v="0"/>
    <s v="Yes"/>
    <m/>
    <m/>
    <m/>
    <s v="Hentai"/>
    <x v="6"/>
    <x v="12"/>
    <x v="2"/>
  </r>
  <r>
    <x v="0"/>
    <s v="RUNNING"/>
    <n v="1013013771"/>
    <x v="827"/>
    <s v="nsfw"/>
    <d v="1899-12-30T16:09:00"/>
    <s v="In-Stream Video"/>
    <s v="TJX"/>
    <s v="desktop"/>
    <s v="GEO,Frequency,Keyword,BrowserLanguage"/>
    <n v="68"/>
    <n v="0"/>
    <s v="No"/>
    <n v="250"/>
    <n v="429"/>
    <n v="13"/>
    <n v="3.0303"/>
    <n v="0"/>
    <n v="1.19"/>
    <n v="2.782"/>
    <n v="9.1999999999999998E-2"/>
    <n v="0"/>
    <n v="2"/>
    <n v="0"/>
    <s v="Yes"/>
    <n v="429"/>
    <n v="309"/>
    <n v="52"/>
    <s v="Hentai"/>
    <x v="6"/>
    <x v="12"/>
    <x v="2"/>
  </r>
  <r>
    <x v="0"/>
    <s v="RUNNING"/>
    <n v="1013013791"/>
    <x v="828"/>
    <s v="nsfw"/>
    <d v="1899-12-30T16:09:00"/>
    <s v="In-Stream Video"/>
    <s v="TJX"/>
    <s v="mobile"/>
    <s v="GEO,Frequency,Keyword,OS,BrowserLanguage"/>
    <n v="1730"/>
    <n v="0"/>
    <s v="Yes"/>
    <s v="Unlimited"/>
    <n v="7351"/>
    <n v="541"/>
    <n v="7.35954"/>
    <n v="0"/>
    <n v="8.9"/>
    <n v="1.2110000000000001"/>
    <n v="1.6E-2"/>
    <n v="0"/>
    <n v="2"/>
    <n v="0"/>
    <s v="Yes"/>
    <n v="7354"/>
    <n v="6516"/>
    <n v="499"/>
    <s v="Hentai"/>
    <x v="7"/>
    <x v="12"/>
    <x v="2"/>
  </r>
  <r>
    <x v="0"/>
    <s v="RUNNING"/>
    <n v="1013013811"/>
    <x v="829"/>
    <s v="nsfw"/>
    <d v="1899-12-30T16:09:00"/>
    <s v="In-Stream Video"/>
    <s v="TJX"/>
    <s v="mobile"/>
    <s v="GEO,Frequency,Keyword,OS,BrowserLanguage"/>
    <n v="1730"/>
    <n v="0"/>
    <s v="No"/>
    <n v="250"/>
    <n v="5026"/>
    <n v="312"/>
    <n v="6.2077200000000001"/>
    <n v="1"/>
    <n v="8"/>
    <n v="1.591"/>
    <n v="2.5999999999999999E-2"/>
    <n v="7.9950000000000001"/>
    <n v="2"/>
    <n v="0"/>
    <s v="Yes"/>
    <n v="5026"/>
    <n v="4428"/>
    <n v="352"/>
    <s v="Hentai"/>
    <x v="7"/>
    <x v="12"/>
    <x v="2"/>
  </r>
  <r>
    <x v="0"/>
    <s v="RUNNING"/>
    <n v="1013013831"/>
    <x v="830"/>
    <s v="nsfw"/>
    <d v="1899-12-30T16:09:00"/>
    <s v="In-Stream Video"/>
    <s v="TJX"/>
    <s v="desktop"/>
    <s v="GEO,Frequency,Keyword,BrowserLanguage"/>
    <n v="680"/>
    <n v="0"/>
    <s v="Yes"/>
    <s v="Unlimited"/>
    <n v="3778"/>
    <n v="248"/>
    <n v="6.5643200000000004"/>
    <n v="0"/>
    <n v="6.88"/>
    <n v="1.8220000000000001"/>
    <n v="2.8000000000000001E-2"/>
    <n v="0"/>
    <n v="2"/>
    <n v="0"/>
    <s v="Yes"/>
    <n v="3779"/>
    <n v="2940"/>
    <n v="381"/>
    <s v="Hentai"/>
    <x v="7"/>
    <x v="12"/>
    <x v="2"/>
  </r>
  <r>
    <x v="0"/>
    <s v="PAUSED"/>
    <n v="1013013851"/>
    <x v="831"/>
    <s v="nsfw"/>
    <d v="1899-12-30T16:09:00"/>
    <s v="In-Stream Video"/>
    <s v="TJX"/>
    <s v="mobile"/>
    <s v="GEO,Frequency,OS,BrowserLanguage"/>
    <n v="200"/>
    <n v="0"/>
    <s v="No"/>
    <n v="250"/>
    <n v="0"/>
    <n v="0"/>
    <n v="0"/>
    <m/>
    <n v="0"/>
    <n v="0"/>
    <n v="0"/>
    <n v="0"/>
    <n v="2"/>
    <n v="0"/>
    <s v="Yes"/>
    <m/>
    <m/>
    <m/>
    <s v="Broad"/>
    <x v="3"/>
    <x v="25"/>
    <x v="2"/>
  </r>
  <r>
    <x v="0"/>
    <s v="RUNNING"/>
    <n v="1013013861"/>
    <x v="832"/>
    <s v="nsfw"/>
    <d v="1899-12-30T16:09:00"/>
    <s v="In-Stream Video"/>
    <s v="TJX"/>
    <s v="mobile"/>
    <s v="GEO,Frequency,OS,BrowserLanguage"/>
    <n v="243"/>
    <n v="0"/>
    <s v="No"/>
    <n v="250"/>
    <n v="87055"/>
    <n v="3892"/>
    <n v="4.4707400000000002"/>
    <n v="0"/>
    <n v="162.68"/>
    <n v="1.869"/>
    <n v="4.2000000000000003E-2"/>
    <n v="0"/>
    <n v="2"/>
    <n v="0"/>
    <s v="No"/>
    <n v="87053"/>
    <n v="79316"/>
    <n v="5026"/>
    <s v="Broad"/>
    <x v="3"/>
    <x v="26"/>
    <x v="2"/>
  </r>
  <r>
    <x v="0"/>
    <s v="RUNNING"/>
    <n v="1013013881"/>
    <x v="833"/>
    <s v="nsfw"/>
    <d v="1899-12-30T16:09:00"/>
    <s v="In-Stream Video"/>
    <s v="TJX"/>
    <s v="desktop"/>
    <s v="GEO,Frequency,BrowserLanguage"/>
    <n v="100"/>
    <n v="0"/>
    <s v="No"/>
    <n v="250"/>
    <n v="68466"/>
    <n v="3496"/>
    <n v="5.1061800000000002"/>
    <n v="1"/>
    <n v="221.39"/>
    <n v="3.234"/>
    <n v="6.3E-2"/>
    <n v="221.392"/>
    <n v="2"/>
    <n v="0"/>
    <s v="Yes"/>
    <n v="68387"/>
    <n v="55590"/>
    <n v="7012"/>
    <s v="Broad"/>
    <x v="3"/>
    <x v="25"/>
    <x v="2"/>
  </r>
  <r>
    <x v="0"/>
    <s v="RUNNING"/>
    <n v="1013013911"/>
    <x v="834"/>
    <s v="nsfw"/>
    <d v="1899-12-30T16:09:00"/>
    <s v="In-Stream Video"/>
    <s v="TJX"/>
    <s v="mobile"/>
    <s v="GEO,Frequency,Keyword,OS,BrowserLanguage"/>
    <n v="32"/>
    <n v="0"/>
    <s v="No"/>
    <n v="250"/>
    <n v="409"/>
    <n v="11"/>
    <n v="2.6894900000000002"/>
    <n v="0"/>
    <n v="0.47"/>
    <n v="1.1479999999999999"/>
    <n v="4.2999999999999997E-2"/>
    <n v="0"/>
    <n v="2"/>
    <n v="0"/>
    <s v="Yes"/>
    <n v="409"/>
    <n v="362"/>
    <n v="24"/>
    <s v="Blowjob"/>
    <x v="3"/>
    <x v="3"/>
    <x v="2"/>
  </r>
  <r>
    <x v="0"/>
    <s v="RUNNING"/>
    <n v="1013013931"/>
    <x v="835"/>
    <s v="nsfw"/>
    <d v="1899-12-30T16:09:00"/>
    <s v="In-Stream Video"/>
    <s v="TJX"/>
    <s v="mobile"/>
    <s v="GEO,Frequency,Keyword,OS,BrowserLanguage"/>
    <n v="32"/>
    <n v="0"/>
    <s v="No"/>
    <n v="250"/>
    <n v="1130"/>
    <n v="46"/>
    <n v="4.0708000000000002"/>
    <n v="0"/>
    <n v="1.3"/>
    <n v="1.1459999999999999"/>
    <n v="2.8000000000000001E-2"/>
    <n v="0"/>
    <n v="2"/>
    <n v="0"/>
    <s v="Yes"/>
    <n v="1130"/>
    <n v="1020"/>
    <n v="54"/>
    <s v="Blowjob"/>
    <x v="3"/>
    <x v="3"/>
    <x v="2"/>
  </r>
  <r>
    <x v="0"/>
    <s v="RUNNING"/>
    <n v="1013013941"/>
    <x v="836"/>
    <s v="nsfw"/>
    <d v="1899-12-30T16:09:00"/>
    <s v="In-Stream Video"/>
    <s v="TJX"/>
    <s v="desktop"/>
    <s v="GEO,Frequency,Keyword,BrowserLanguage"/>
    <n v="64"/>
    <n v="0"/>
    <s v="No"/>
    <n v="250"/>
    <n v="760"/>
    <n v="40"/>
    <n v="5.2631600000000001"/>
    <n v="0"/>
    <n v="0.68"/>
    <n v="0.89300000000000002"/>
    <n v="1.7000000000000001E-2"/>
    <n v="0"/>
    <n v="2"/>
    <n v="0"/>
    <s v="Yes"/>
    <n v="760"/>
    <n v="525"/>
    <n v="125"/>
    <s v="Blowjob"/>
    <x v="3"/>
    <x v="3"/>
    <x v="2"/>
  </r>
  <r>
    <x v="0"/>
    <s v="PAUSED"/>
    <n v="1013013951"/>
    <x v="837"/>
    <s v="nsfw"/>
    <d v="1899-12-30T16:09:00"/>
    <s v="In-Stream Video"/>
    <s v="TJX"/>
    <s v="mobile"/>
    <s v="GEO,Frequency,Keyword,OS,BrowserLanguage"/>
    <n v="100"/>
    <n v="0"/>
    <s v="No"/>
    <n v="250"/>
    <n v="0"/>
    <n v="0"/>
    <n v="0"/>
    <m/>
    <n v="0"/>
    <n v="0"/>
    <n v="0"/>
    <n v="0"/>
    <n v="2"/>
    <n v="0"/>
    <s v="Yes"/>
    <m/>
    <m/>
    <m/>
    <s v="Cowgirl"/>
    <x v="3"/>
    <x v="3"/>
    <x v="2"/>
  </r>
  <r>
    <x v="0"/>
    <s v="RUNNING"/>
    <n v="1013013961"/>
    <x v="838"/>
    <s v="nsfw"/>
    <d v="1899-12-30T16:09:00"/>
    <s v="In-Stream Video"/>
    <s v="TJX"/>
    <s v="mobile"/>
    <s v="GEO,Frequency,Keyword,OS,BrowserLanguage"/>
    <n v="140"/>
    <n v="0"/>
    <s v="No"/>
    <n v="250"/>
    <n v="39073"/>
    <n v="1946"/>
    <n v="4.98041"/>
    <n v="0"/>
    <n v="65.430000000000007"/>
    <n v="1.675"/>
    <n v="3.4000000000000002E-2"/>
    <n v="0"/>
    <n v="2"/>
    <n v="0"/>
    <s v="Yes"/>
    <n v="39073"/>
    <n v="35799"/>
    <n v="2011"/>
    <s v="Cowgirl"/>
    <x v="3"/>
    <x v="3"/>
    <x v="2"/>
  </r>
  <r>
    <x v="0"/>
    <s v="RUNNING"/>
    <n v="1013013971"/>
    <x v="839"/>
    <s v="nsfw"/>
    <d v="1899-12-30T16:09:00"/>
    <s v="In-Stream Video"/>
    <s v="TJX"/>
    <s v="desktop"/>
    <s v="GEO,Frequency,Keyword,Browser,BrowserLanguage"/>
    <n v="52"/>
    <n v="0"/>
    <s v="No"/>
    <n v="250"/>
    <n v="30477"/>
    <n v="1084"/>
    <n v="3.5567799999999998"/>
    <n v="1"/>
    <n v="52.43"/>
    <n v="1.72"/>
    <n v="4.8000000000000001E-2"/>
    <n v="52.426000000000002"/>
    <n v="2"/>
    <n v="0"/>
    <s v="Yes"/>
    <n v="30477"/>
    <n v="22859"/>
    <n v="3757"/>
    <s v="Cowgirl"/>
    <x v="3"/>
    <x v="3"/>
    <x v="2"/>
  </r>
  <r>
    <x v="0"/>
    <s v="RUNNING"/>
    <n v="1013013981"/>
    <x v="840"/>
    <s v="nsfw"/>
    <d v="1899-12-30T16:09:00"/>
    <s v="In-Stream Video"/>
    <s v="TJX"/>
    <s v="desktop"/>
    <s v="GEO,Frequency,Keyword,BrowserLanguage"/>
    <n v="60"/>
    <n v="0"/>
    <s v="No"/>
    <n v="250"/>
    <n v="16256"/>
    <n v="542"/>
    <n v="3.3341500000000002"/>
    <n v="0"/>
    <n v="20.34"/>
    <n v="1.2509999999999999"/>
    <n v="3.7999999999999999E-2"/>
    <n v="0"/>
    <n v="2"/>
    <n v="0"/>
    <s v="Yes"/>
    <n v="16255"/>
    <n v="11934"/>
    <n v="1740"/>
    <s v="Missionary"/>
    <x v="3"/>
    <x v="3"/>
    <x v="2"/>
  </r>
  <r>
    <x v="0"/>
    <s v="RUNNING"/>
    <n v="1013014001"/>
    <x v="841"/>
    <s v="nsfw"/>
    <d v="1899-12-30T16:09:00"/>
    <s v="In-Stream Video"/>
    <s v="TJX"/>
    <s v="mobile"/>
    <s v="GEO,Frequency,Keyword,OS,BrowserLanguage"/>
    <n v="65"/>
    <n v="0"/>
    <s v="No"/>
    <n v="250"/>
    <n v="24712"/>
    <n v="1232"/>
    <n v="4.98543"/>
    <n v="0"/>
    <n v="46.48"/>
    <n v="1.881"/>
    <n v="3.7999999999999999E-2"/>
    <n v="0"/>
    <n v="2"/>
    <n v="0"/>
    <s v="Yes"/>
    <n v="24706"/>
    <n v="22622"/>
    <n v="1181"/>
    <s v="Missionary"/>
    <x v="3"/>
    <x v="3"/>
    <x v="2"/>
  </r>
  <r>
    <x v="0"/>
    <s v="PAUSED"/>
    <n v="1013014101"/>
    <x v="842"/>
    <s v="nsfw"/>
    <d v="1899-12-30T16:09:00"/>
    <s v="In-Stream Video"/>
    <s v="TJX"/>
    <s v="desktop"/>
    <s v="GEO,Frequency,Keyword,BrowserLanguage"/>
    <n v="44"/>
    <n v="0"/>
    <s v="No"/>
    <n v="250"/>
    <n v="0"/>
    <n v="0"/>
    <n v="0"/>
    <n v="0"/>
    <n v="0"/>
    <n v="0"/>
    <n v="0"/>
    <n v="0"/>
    <n v="2"/>
    <n v="0"/>
    <s v="Yes"/>
    <n v="0"/>
    <n v="0"/>
    <n v="0"/>
    <s v="Missionary"/>
    <x v="6"/>
    <x v="3"/>
    <x v="2"/>
  </r>
  <r>
    <x v="0"/>
    <s v="RUNNING"/>
    <n v="1013014111"/>
    <x v="843"/>
    <s v="nsfw"/>
    <d v="1899-12-30T16:09:00"/>
    <s v="In-Stream Video"/>
    <s v="TJX"/>
    <s v="mobile"/>
    <s v="GEO,Frequency,Keyword,OS,BrowserLanguage"/>
    <n v="65"/>
    <n v="0"/>
    <s v="No"/>
    <n v="250"/>
    <n v="1024110"/>
    <n v="55044"/>
    <n v="5.3748100000000001"/>
    <n v="5"/>
    <n v="2129.4699999999998"/>
    <n v="2.0790000000000002"/>
    <n v="3.9E-2"/>
    <n v="425.89499999999998"/>
    <n v="2"/>
    <n v="0"/>
    <s v="Yes"/>
    <n v="1023463"/>
    <n v="906528"/>
    <n v="86068"/>
    <s v="Missionary"/>
    <x v="3"/>
    <x v="3"/>
    <x v="2"/>
  </r>
  <r>
    <x v="0"/>
    <s v="RUNNING"/>
    <n v="1013014221"/>
    <x v="844"/>
    <s v="nsfw"/>
    <d v="1899-12-30T16:09:00"/>
    <s v="In-Stream Video"/>
    <s v="TJX"/>
    <s v="mobile"/>
    <s v="GEO,Frequency,Keyword,OS,BrowserLanguage"/>
    <n v="153"/>
    <n v="0"/>
    <s v="No"/>
    <n v="250"/>
    <n v="70798"/>
    <n v="4821"/>
    <n v="6.8095100000000004"/>
    <n v="0"/>
    <n v="140.69"/>
    <n v="1.9870000000000001"/>
    <n v="2.9000000000000001E-2"/>
    <n v="0"/>
    <n v="2"/>
    <n v="0"/>
    <s v="Yes"/>
    <n v="70776"/>
    <n v="62855"/>
    <n v="5052"/>
    <s v="Cumshot"/>
    <x v="3"/>
    <x v="3"/>
    <x v="2"/>
  </r>
  <r>
    <x v="0"/>
    <s v="RUNNING"/>
    <n v="1013014271"/>
    <x v="845"/>
    <s v="nsfw"/>
    <d v="1899-12-30T16:09:00"/>
    <s v="In-Stream Video"/>
    <s v="TJX"/>
    <s v="mobile"/>
    <s v="GEO,Frequency,Keyword,OS,BrowserLanguage"/>
    <n v="163"/>
    <n v="0"/>
    <s v="No"/>
    <n v="250"/>
    <n v="49506"/>
    <n v="2473"/>
    <n v="4.9953500000000002"/>
    <n v="0"/>
    <n v="99.49"/>
    <n v="2.0099999999999998"/>
    <n v="0.04"/>
    <n v="0"/>
    <n v="2"/>
    <n v="0"/>
    <s v="Yes"/>
    <n v="49494"/>
    <n v="45800"/>
    <n v="2166"/>
    <s v="Cumshot"/>
    <x v="3"/>
    <x v="3"/>
    <x v="2"/>
  </r>
  <r>
    <x v="0"/>
    <s v="RUNNING"/>
    <n v="1013014281"/>
    <x v="846"/>
    <s v="nsfw"/>
    <d v="1899-12-30T16:09:00"/>
    <s v="In-Stream Video"/>
    <s v="TJX"/>
    <s v="desktop"/>
    <s v="GEO,Frequency,Keyword,BrowserLanguage"/>
    <n v="68"/>
    <n v="0"/>
    <s v="Yes"/>
    <s v="Unlimited"/>
    <n v="21991"/>
    <n v="755"/>
    <n v="3.4332199999999999"/>
    <n v="0"/>
    <n v="27.83"/>
    <n v="1.266"/>
    <n v="3.6999999999999998E-2"/>
    <n v="0"/>
    <n v="2"/>
    <n v="0"/>
    <s v="Yes"/>
    <n v="21989"/>
    <n v="15929"/>
    <n v="2857"/>
    <s v="Cumshot"/>
    <x v="3"/>
    <x v="3"/>
    <x v="2"/>
  </r>
  <r>
    <x v="0"/>
    <s v="RUNNING"/>
    <n v="1013014311"/>
    <x v="847"/>
    <s v="nsfw"/>
    <d v="1899-12-30T16:09:00"/>
    <s v="In-Stream Video"/>
    <s v="TJX"/>
    <s v="desktop"/>
    <s v="GEO,Frequency,Keyword,BrowserLanguage"/>
    <n v="96"/>
    <n v="0"/>
    <s v="No"/>
    <n v="250"/>
    <n v="3555"/>
    <n v="162"/>
    <n v="4.5569600000000001"/>
    <n v="0"/>
    <n v="9.11"/>
    <n v="2.5619999999999998"/>
    <n v="5.6000000000000001E-2"/>
    <n v="0"/>
    <n v="1"/>
    <n v="0"/>
    <s v="Yes"/>
    <n v="3555"/>
    <n v="2753"/>
    <n v="396"/>
    <s v="Handjob"/>
    <x v="3"/>
    <x v="3"/>
    <x v="2"/>
  </r>
  <r>
    <x v="0"/>
    <s v="PAUSED"/>
    <n v="1013014461"/>
    <x v="848"/>
    <s v="nsfw"/>
    <d v="1899-12-30T16:09:00"/>
    <s v="In-Stream Video"/>
    <s v="TJX"/>
    <s v="mobile"/>
    <s v="GEO,Frequency,Keyword,OS,BrowserLanguage"/>
    <n v="90"/>
    <n v="0"/>
    <s v="No"/>
    <n v="250"/>
    <n v="1"/>
    <n v="0"/>
    <n v="0"/>
    <n v="0"/>
    <n v="0"/>
    <n v="1.35"/>
    <n v="0"/>
    <n v="0"/>
    <n v="2"/>
    <n v="0"/>
    <s v="Yes"/>
    <n v="1"/>
    <n v="1"/>
    <n v="0"/>
    <s v="Handjob"/>
    <x v="3"/>
    <x v="3"/>
    <x v="2"/>
  </r>
  <r>
    <x v="0"/>
    <s v="RUNNING"/>
    <n v="1013014511"/>
    <x v="849"/>
    <s v="nsfw"/>
    <d v="1899-12-30T16:09:00"/>
    <s v="In-Stream Video"/>
    <s v="TJX"/>
    <s v="mobile"/>
    <s v="GEO,Frequency,Keyword,OS,BrowserLanguage"/>
    <n v="114"/>
    <n v="0"/>
    <s v="No"/>
    <n v="250"/>
    <n v="9575"/>
    <n v="438"/>
    <n v="4.5744100000000003"/>
    <n v="0"/>
    <n v="17.100000000000001"/>
    <n v="1.786"/>
    <n v="3.9E-2"/>
    <n v="0"/>
    <n v="2"/>
    <n v="0"/>
    <s v="Yes"/>
    <n v="9572"/>
    <n v="8504"/>
    <n v="601"/>
    <s v="Handjob"/>
    <x v="3"/>
    <x v="3"/>
    <x v="2"/>
  </r>
  <r>
    <x v="0"/>
    <s v="RUNNING"/>
    <n v="1013016311"/>
    <x v="850"/>
    <s v="nsfw"/>
    <d v="1899-12-30T16:09:00"/>
    <s v="In-Stream Video"/>
    <s v="TJX"/>
    <s v="desktop"/>
    <s v="GEO,Frequency,Keyword,BrowserLanguage"/>
    <n v="80"/>
    <n v="0"/>
    <s v="No"/>
    <n v="250"/>
    <n v="4383"/>
    <n v="197"/>
    <n v="4.4946400000000004"/>
    <n v="0"/>
    <n v="6.69"/>
    <n v="1.526"/>
    <n v="3.4000000000000002E-2"/>
    <n v="0"/>
    <n v="2"/>
    <n v="0"/>
    <s v="Yes"/>
    <n v="4382"/>
    <n v="3275"/>
    <n v="581"/>
    <s v="Handjob"/>
    <x v="8"/>
    <x v="3"/>
    <x v="2"/>
  </r>
  <r>
    <x v="0"/>
    <s v="RUNNING"/>
    <n v="1013017191"/>
    <x v="851"/>
    <s v="nsfw"/>
    <d v="1899-12-30T09:16:00"/>
    <s v="In-Stream Video"/>
    <s v="TJX"/>
    <s v="mobile"/>
    <s v="GEO"/>
    <n v="3"/>
    <n v="2"/>
    <s v="Yes"/>
    <s v="Unlimited"/>
    <n v="80333"/>
    <n v="378"/>
    <n v="0.47054000000000001"/>
    <n v="0"/>
    <n v="61.05"/>
    <n v="0.76"/>
    <n v="0.16200000000000001"/>
    <n v="0"/>
    <n v="2"/>
    <n v="0"/>
    <s v="No"/>
    <n v="80314"/>
    <n v="0"/>
    <n v="217"/>
    <s v="Shorties"/>
    <x v="3"/>
    <x v="2"/>
    <x v="1"/>
  </r>
  <r>
    <x v="0"/>
    <s v="RUNNING"/>
    <n v="1013017281"/>
    <x v="852"/>
    <s v="nsfw"/>
    <d v="1899-12-30T16:09:00"/>
    <s v="In-Stream Video"/>
    <s v="TJX"/>
    <s v="desktop"/>
    <s v="GEO,Frequency,Keyword,Browser,BrowserLanguage"/>
    <n v="7"/>
    <n v="0"/>
    <s v="Yes"/>
    <s v="Unlimited"/>
    <n v="13288"/>
    <n v="565"/>
    <n v="4.2519600000000004"/>
    <n v="0"/>
    <n v="40.130000000000003"/>
    <n v="3.02"/>
    <n v="7.0999999999999994E-2"/>
    <n v="0"/>
    <n v="2"/>
    <n v="0"/>
    <s v="No"/>
    <n v="13286"/>
    <n v="10180"/>
    <n v="1400"/>
    <s v="AI"/>
    <x v="3"/>
    <x v="0"/>
    <x v="1"/>
  </r>
  <r>
    <x v="0"/>
    <s v="RUNNING"/>
    <n v="1013017291"/>
    <x v="853"/>
    <s v="nsfw"/>
    <d v="1899-12-30T16:09:00"/>
    <s v="In-Stream Video"/>
    <s v="TJX"/>
    <s v="desktop"/>
    <s v="GEO,Frequency,Keyword,Browser,BrowserLanguage"/>
    <n v="7"/>
    <n v="0"/>
    <s v="No"/>
    <n v="500"/>
    <n v="293"/>
    <n v="7"/>
    <n v="2.3890799999999999"/>
    <n v="0"/>
    <n v="0.74"/>
    <n v="2.512"/>
    <n v="0.105"/>
    <n v="0"/>
    <n v="2"/>
    <n v="0"/>
    <s v="No"/>
    <n v="293"/>
    <n v="203"/>
    <n v="41"/>
    <s v="AI"/>
    <x v="6"/>
    <x v="0"/>
    <x v="1"/>
  </r>
  <r>
    <x v="0"/>
    <s v="RUNNING"/>
    <n v="1013017301"/>
    <x v="854"/>
    <s v="nsfw"/>
    <d v="1899-12-30T16:09:00"/>
    <s v="In-Stream Video"/>
    <s v="TJX"/>
    <s v="mobile"/>
    <s v="GEO,Frequency,OS,BrowserLanguage"/>
    <n v="50"/>
    <n v="0"/>
    <s v="No"/>
    <n v="250"/>
    <n v="39390"/>
    <n v="2266"/>
    <n v="5.7527299999999997"/>
    <n v="0"/>
    <n v="87.2"/>
    <n v="2.214"/>
    <n v="3.7999999999999999E-2"/>
    <n v="0"/>
    <n v="2"/>
    <n v="0"/>
    <s v="Yes"/>
    <n v="39385"/>
    <n v="35481"/>
    <n v="2562"/>
    <s v="Gay"/>
    <x v="3"/>
    <x v="27"/>
    <x v="2"/>
  </r>
  <r>
    <x v="0"/>
    <s v="RUNNING"/>
    <n v="1013017321"/>
    <x v="855"/>
    <s v="nsfw"/>
    <d v="1899-12-30T16:09:00"/>
    <s v="In-Stream Video"/>
    <s v="TJX"/>
    <s v="mobile"/>
    <s v="GEO,Frequency,Keyword,OS"/>
    <n v="2"/>
    <n v="2"/>
    <s v="No"/>
    <n v="500"/>
    <n v="53353"/>
    <n v="2373"/>
    <n v="4.44773"/>
    <n v="1"/>
    <n v="116.42"/>
    <n v="2.1819999999999999"/>
    <n v="4.9000000000000002E-2"/>
    <n v="116.416"/>
    <n v="2"/>
    <n v="0"/>
    <s v="Yes"/>
    <n v="53351"/>
    <n v="47428"/>
    <n v="4310"/>
    <s v="Trans"/>
    <x v="3"/>
    <x v="6"/>
    <x v="1"/>
  </r>
  <r>
    <x v="0"/>
    <s v="RUNNING"/>
    <n v="1013017331"/>
    <x v="856"/>
    <s v="nsfw"/>
    <d v="1899-12-30T16:09:00"/>
    <s v="In-Stream Video"/>
    <s v="TJX"/>
    <s v="mobile"/>
    <s v="GEO,Frequency,Keyword,OS"/>
    <n v="2"/>
    <n v="0"/>
    <s v="No"/>
    <n v="500"/>
    <n v="10774"/>
    <n v="703"/>
    <n v="6.5249699999999997"/>
    <n v="0"/>
    <n v="23.4"/>
    <n v="2.1720000000000002"/>
    <n v="3.3000000000000002E-2"/>
    <n v="0"/>
    <n v="2"/>
    <n v="0"/>
    <s v="No"/>
    <n v="10774"/>
    <n v="9352"/>
    <n v="997"/>
    <s v="Trans"/>
    <x v="3"/>
    <x v="6"/>
    <x v="1"/>
  </r>
  <r>
    <x v="0"/>
    <s v="PAUSED"/>
    <n v="1013017351"/>
    <x v="857"/>
    <s v="nsfw"/>
    <d v="1899-12-30T16:09:00"/>
    <s v="In-Stream Video"/>
    <s v="TJX"/>
    <s v="mobile"/>
    <s v="GEO,Frequency,OS,BrowserLanguage"/>
    <n v="50"/>
    <n v="0"/>
    <s v="No"/>
    <n v="250"/>
    <n v="0"/>
    <n v="0"/>
    <n v="0"/>
    <m/>
    <n v="0"/>
    <n v="0"/>
    <n v="0"/>
    <n v="0"/>
    <n v="2"/>
    <n v="0"/>
    <s v="Yes"/>
    <m/>
    <m/>
    <m/>
    <s v="Gay"/>
    <x v="3"/>
    <x v="27"/>
    <x v="2"/>
  </r>
  <r>
    <x v="0"/>
    <s v="RUNNING"/>
    <n v="1013017371"/>
    <x v="858"/>
    <s v="nsfw"/>
    <d v="1899-12-30T16:09:00"/>
    <s v="In-Stream Video"/>
    <s v="TJX"/>
    <s v="desktop"/>
    <s v="GEO,Frequency,BrowserLanguage"/>
    <n v="20"/>
    <n v="0"/>
    <s v="Yes"/>
    <s v="Unlimited"/>
    <n v="50944"/>
    <n v="2730"/>
    <n v="5.3588300000000002"/>
    <n v="3"/>
    <n v="249.85"/>
    <n v="4.9039999999999999"/>
    <n v="9.1999999999999998E-2"/>
    <n v="83.284000000000006"/>
    <n v="2"/>
    <n v="0"/>
    <s v="Yes"/>
    <n v="50929"/>
    <n v="41557"/>
    <n v="4827"/>
    <s v="Gay"/>
    <x v="3"/>
    <x v="27"/>
    <x v="2"/>
  </r>
  <r>
    <x v="0"/>
    <s v="RUNNING"/>
    <n v="1013017401"/>
    <x v="859"/>
    <s v="nsfw"/>
    <d v="1899-12-30T16:09:00"/>
    <s v="In-Stream Video"/>
    <s v="TJX"/>
    <s v="desktop"/>
    <s v="GEO,Frequency,BrowserLanguage"/>
    <n v="20"/>
    <n v="0"/>
    <s v="Yes"/>
    <s v="Unlimited"/>
    <n v="723"/>
    <n v="33"/>
    <n v="4.5643200000000004"/>
    <n v="0"/>
    <n v="1.91"/>
    <n v="2.6389999999999998"/>
    <n v="5.8000000000000003E-2"/>
    <n v="0"/>
    <n v="2"/>
    <n v="0"/>
    <s v="Yes"/>
    <n v="723"/>
    <n v="559"/>
    <n v="93"/>
    <s v="Gay"/>
    <x v="5"/>
    <x v="27"/>
    <x v="2"/>
  </r>
  <r>
    <x v="0"/>
    <s v="RUNNING"/>
    <n v="1013017411"/>
    <x v="860"/>
    <s v="nsfw"/>
    <d v="1899-12-30T16:09:00"/>
    <s v="In-Stream Video"/>
    <s v="TJX"/>
    <s v="desktop"/>
    <s v="GEO,Frequency,BrowserLanguage"/>
    <n v="20"/>
    <n v="0"/>
    <s v="Yes"/>
    <s v="Unlimited"/>
    <n v="8161"/>
    <n v="381"/>
    <n v="4.6685499999999998"/>
    <n v="0"/>
    <n v="13.29"/>
    <n v="1.629"/>
    <n v="3.5000000000000003E-2"/>
    <n v="0"/>
    <n v="2"/>
    <n v="0"/>
    <s v="Yes"/>
    <n v="8159"/>
    <n v="6545"/>
    <n v="762"/>
    <s v="Gay"/>
    <x v="4"/>
    <x v="27"/>
    <x v="2"/>
  </r>
  <r>
    <x v="0"/>
    <s v="PAUSED"/>
    <n v="1013022481"/>
    <x v="861"/>
    <s v="nsfw"/>
    <d v="1899-12-30T16:09:00"/>
    <s v="In-Stream Video"/>
    <s v="TJX"/>
    <s v="desktop"/>
    <s v="GEO,Frequency,Keyword,BrowserLanguage"/>
    <n v="2"/>
    <n v="0"/>
    <s v="No"/>
    <n v="25"/>
    <n v="0"/>
    <n v="0"/>
    <n v="0"/>
    <m/>
    <n v="0"/>
    <n v="0"/>
    <n v="0"/>
    <n v="0"/>
    <n v="2"/>
    <n v="0"/>
    <s v="Yes"/>
    <m/>
    <m/>
    <m/>
    <s v="JB-Testing"/>
    <x v="9"/>
    <x v="28"/>
    <x v="2"/>
  </r>
  <r>
    <x v="0"/>
    <s v="PAUSED"/>
    <n v="1013022491"/>
    <x v="862"/>
    <s v="nsfw"/>
    <d v="1899-12-30T16:09:00"/>
    <s v="In-Stream Video"/>
    <s v="TJX"/>
    <s v="desktop"/>
    <s v="GEO,Frequency,Keyword,BrowserLanguage"/>
    <n v="11"/>
    <n v="0"/>
    <s v="No"/>
    <n v="25"/>
    <n v="0"/>
    <n v="0"/>
    <n v="0"/>
    <m/>
    <n v="0"/>
    <n v="0"/>
    <n v="0"/>
    <n v="0"/>
    <n v="2"/>
    <n v="0"/>
    <s v="Yes"/>
    <m/>
    <m/>
    <m/>
    <s v="JB-Testing"/>
    <x v="9"/>
    <x v="28"/>
    <x v="2"/>
  </r>
  <r>
    <x v="0"/>
    <s v="PAUSED"/>
    <n v="1013022501"/>
    <x v="863"/>
    <s v="nsfw"/>
    <d v="1899-12-30T16:09:00"/>
    <s v="In-Stream Video"/>
    <s v="TJX"/>
    <s v="desktop"/>
    <s v="GEO,Frequency,Keyword,Cookie,BrowserLanguage"/>
    <n v="24"/>
    <n v="0"/>
    <s v="No"/>
    <n v="25"/>
    <n v="0"/>
    <n v="0"/>
    <n v="0"/>
    <m/>
    <n v="0"/>
    <n v="0"/>
    <n v="0"/>
    <n v="0"/>
    <n v="2"/>
    <n v="0"/>
    <s v="Yes"/>
    <m/>
    <m/>
    <m/>
    <s v="Remarketing"/>
    <x v="9"/>
    <x v="14"/>
    <x v="2"/>
  </r>
  <r>
    <x v="0"/>
    <s v="RUNNING"/>
    <n v="1013024831"/>
    <x v="864"/>
    <s v="nsfw"/>
    <d v="1899-12-30T16:09:00"/>
    <s v="In-Stream Video"/>
    <s v="TJX"/>
    <s v="desktop"/>
    <s v="GEO,Frequency,Keyword,Browser,BrowserLanguage"/>
    <n v="7"/>
    <n v="0"/>
    <s v="No"/>
    <n v="500"/>
    <n v="1436"/>
    <n v="39"/>
    <n v="2.7158799999999998"/>
    <n v="0"/>
    <n v="1.51"/>
    <n v="1.05"/>
    <n v="3.9E-2"/>
    <n v="0"/>
    <n v="2"/>
    <n v="0"/>
    <s v="No"/>
    <n v="1436"/>
    <n v="1050"/>
    <n v="173"/>
    <s v="AI"/>
    <x v="4"/>
    <x v="0"/>
    <x v="1"/>
  </r>
  <r>
    <x v="0"/>
    <s v="RUNNING"/>
    <n v="1013024841"/>
    <x v="865"/>
    <s v="nsfw"/>
    <d v="1899-12-30T16:09:00"/>
    <s v="In-Stream Video"/>
    <s v="TJX"/>
    <s v="desktop"/>
    <s v="GEO,Frequency,Keyword,Browser,BrowserLanguage"/>
    <n v="7"/>
    <n v="0"/>
    <s v="No"/>
    <n v="500"/>
    <n v="928"/>
    <n v="39"/>
    <n v="4.2025899999999998"/>
    <n v="0"/>
    <n v="1.34"/>
    <n v="1.4430000000000001"/>
    <n v="3.4000000000000002E-2"/>
    <n v="0"/>
    <n v="2"/>
    <n v="0"/>
    <s v="No"/>
    <n v="928"/>
    <n v="672"/>
    <n v="138"/>
    <s v="AI"/>
    <x v="5"/>
    <x v="0"/>
    <x v="1"/>
  </r>
  <r>
    <x v="0"/>
    <s v="RUNNING"/>
    <n v="1013024861"/>
    <x v="853"/>
    <s v="nsfw"/>
    <d v="1899-12-30T16:09:00"/>
    <s v="In-Stream Video"/>
    <s v="TJX"/>
    <s v="desktop"/>
    <s v="GEO,Frequency,Keyword,Browser,BrowserLanguage"/>
    <n v="7"/>
    <n v="0"/>
    <s v="No"/>
    <n v="500"/>
    <n v="136"/>
    <n v="3"/>
    <n v="2.2058800000000001"/>
    <n v="0"/>
    <n v="0.34"/>
    <n v="2.472"/>
    <n v="0.112"/>
    <n v="0"/>
    <n v="2"/>
    <n v="0"/>
    <s v="No"/>
    <n v="136"/>
    <n v="84"/>
    <n v="24"/>
    <s v="AI"/>
    <x v="6"/>
    <x v="0"/>
    <x v="1"/>
  </r>
  <r>
    <x v="0"/>
    <s v="RUNNING"/>
    <n v="1013024881"/>
    <x v="866"/>
    <s v="nsfw"/>
    <d v="1899-12-30T16:09:00"/>
    <s v="In-Stream Video"/>
    <s v="TJX"/>
    <s v="desktop"/>
    <s v="GEO,Frequency,Keyword,Browser,BrowserLanguage"/>
    <n v="7"/>
    <n v="0"/>
    <s v="No"/>
    <n v="500"/>
    <n v="46"/>
    <n v="0"/>
    <n v="0"/>
    <n v="0"/>
    <n v="0.04"/>
    <n v="0.91500000000000004"/>
    <n v="0"/>
    <n v="0"/>
    <n v="2"/>
    <n v="0"/>
    <s v="No"/>
    <n v="46"/>
    <n v="34"/>
    <n v="4"/>
    <s v="AI"/>
    <x v="8"/>
    <x v="0"/>
    <x v="1"/>
  </r>
  <r>
    <x v="0"/>
    <s v="RUNNING"/>
    <n v="1013024901"/>
    <x v="867"/>
    <s v="nsfw"/>
    <s v="640 x 360"/>
    <s v="Display"/>
    <s v="TJX"/>
    <s v="mobile"/>
    <s v="GEO,Frequency,OS,BrowserLanguage"/>
    <n v="15"/>
    <n v="3"/>
    <s v="Yes"/>
    <s v="Unlimited"/>
    <n v="2343430"/>
    <n v="3088"/>
    <n v="0.13177"/>
    <n v="3"/>
    <n v="822.54"/>
    <n v="0.35099999999999998"/>
    <n v="0.26600000000000001"/>
    <n v="274.18099999999998"/>
    <n v="2"/>
    <n v="0"/>
    <s v="No"/>
    <n v="0"/>
    <n v="0"/>
    <n v="0"/>
    <s v="General"/>
    <x v="3"/>
    <x v="22"/>
    <x v="1"/>
  </r>
  <r>
    <x v="0"/>
    <s v="RUNNING"/>
    <n v="1013025091"/>
    <x v="868"/>
    <s v="nsfw"/>
    <s v="640 x 360"/>
    <s v="Display"/>
    <s v="TJX"/>
    <s v="mobile"/>
    <s v="GEO,Frequency,OS,BrowserLanguage"/>
    <n v="18"/>
    <n v="0"/>
    <s v="Yes"/>
    <s v="Unlimited"/>
    <n v="440510"/>
    <n v="421"/>
    <n v="9.5570000000000002E-2"/>
    <n v="2"/>
    <n v="141.84"/>
    <n v="0.32200000000000001"/>
    <n v="0.33700000000000002"/>
    <n v="70.921999999999997"/>
    <n v="2"/>
    <n v="0"/>
    <s v="No"/>
    <n v="0"/>
    <n v="0"/>
    <n v="0"/>
    <s v="General"/>
    <x v="5"/>
    <x v="22"/>
    <x v="1"/>
  </r>
  <r>
    <x v="0"/>
    <s v="RUNNING"/>
    <n v="1013025101"/>
    <x v="869"/>
    <s v="nsfw"/>
    <s v="640 x 360"/>
    <s v="Display"/>
    <s v="TJX"/>
    <s v="mobile"/>
    <s v="GEO,Frequency,OS,BrowserLanguage"/>
    <n v="18"/>
    <n v="0"/>
    <s v="No"/>
    <n v="500"/>
    <n v="309167"/>
    <n v="377"/>
    <n v="0.12194000000000001"/>
    <n v="0"/>
    <n v="131.71"/>
    <n v="0.42599999999999999"/>
    <n v="0.34899999999999998"/>
    <n v="0"/>
    <n v="2"/>
    <n v="0"/>
    <s v="No"/>
    <n v="0"/>
    <n v="0"/>
    <n v="0"/>
    <s v="General"/>
    <x v="6"/>
    <x v="22"/>
    <x v="1"/>
  </r>
  <r>
    <x v="0"/>
    <s v="RUNNING"/>
    <n v="1013025111"/>
    <x v="870"/>
    <s v="nsfw"/>
    <s v="640 x 360"/>
    <s v="Display"/>
    <s v="TJX"/>
    <s v="mobile"/>
    <s v="GEO,Frequency,OS,BrowserLanguage"/>
    <n v="4"/>
    <n v="0"/>
    <s v="Yes"/>
    <s v="Unlimited"/>
    <n v="79001"/>
    <n v="104"/>
    <n v="0.13164000000000001"/>
    <n v="0"/>
    <n v="15.25"/>
    <n v="0.193"/>
    <n v="0.14699999999999999"/>
    <n v="0"/>
    <n v="2"/>
    <n v="0"/>
    <s v="No"/>
    <n v="0"/>
    <n v="0"/>
    <n v="0"/>
    <s v="General"/>
    <x v="8"/>
    <x v="22"/>
    <x v="1"/>
  </r>
  <r>
    <x v="0"/>
    <s v="RUNNING"/>
    <n v="1013025121"/>
    <x v="821"/>
    <s v="nsfw"/>
    <d v="1899-12-30T16:09:00"/>
    <s v="In-Stream Video"/>
    <s v="TJX"/>
    <s v="desktop"/>
    <s v="GEO,Frequency,Keyword,BrowserLanguage"/>
    <n v="68"/>
    <n v="0"/>
    <s v="No"/>
    <n v="250"/>
    <n v="33253"/>
    <n v="1943"/>
    <n v="5.8430799999999996"/>
    <n v="1"/>
    <n v="126.43"/>
    <n v="3.802"/>
    <n v="6.5000000000000002E-2"/>
    <n v="126.429"/>
    <n v="2"/>
    <n v="0"/>
    <s v="Yes"/>
    <n v="33237"/>
    <n v="26072"/>
    <n v="3530"/>
    <s v="Hentai"/>
    <x v="3"/>
    <x v="12"/>
    <x v="2"/>
  </r>
  <r>
    <x v="0"/>
    <s v="RUNNING"/>
    <n v="1013025171"/>
    <x v="818"/>
    <s v="nsfw"/>
    <d v="1899-12-30T16:09:00"/>
    <s v="In-Stream Video"/>
    <s v="TJX"/>
    <s v="desktop"/>
    <s v="GEO,Frequency,Keyword,BrowserLanguage"/>
    <n v="68"/>
    <n v="0"/>
    <s v="Yes"/>
    <s v="Unlimited"/>
    <n v="33494"/>
    <n v="1940"/>
    <n v="5.7920800000000003"/>
    <n v="1"/>
    <n v="127.37"/>
    <n v="3.8029999999999999"/>
    <n v="6.6000000000000003E-2"/>
    <n v="127.36799999999999"/>
    <n v="2"/>
    <n v="0"/>
    <s v="Yes"/>
    <n v="33472"/>
    <n v="26420"/>
    <n v="3517"/>
    <s v="Hentai"/>
    <x v="4"/>
    <x v="12"/>
    <x v="2"/>
  </r>
  <r>
    <x v="0"/>
    <s v="RUNNING"/>
    <n v="1013025221"/>
    <x v="819"/>
    <s v="nsfw"/>
    <d v="1899-12-30T16:09:00"/>
    <s v="In-Stream Video"/>
    <s v="TJX"/>
    <s v="mobile"/>
    <s v="GEO,Frequency,Keyword,OS,BrowserLanguage"/>
    <n v="173"/>
    <n v="0"/>
    <s v="No"/>
    <n v="250"/>
    <n v="23462"/>
    <n v="1909"/>
    <n v="8.1365499999999997"/>
    <n v="0"/>
    <n v="47.57"/>
    <n v="2.028"/>
    <n v="2.5000000000000001E-2"/>
    <n v="0"/>
    <n v="2"/>
    <n v="0"/>
    <s v="Yes"/>
    <n v="23448"/>
    <n v="20936"/>
    <n v="1693"/>
    <s v="Hentai"/>
    <x v="3"/>
    <x v="12"/>
    <x v="2"/>
  </r>
  <r>
    <x v="0"/>
    <s v="PAUSED"/>
    <n v="1013025241"/>
    <x v="816"/>
    <s v="nsfw"/>
    <d v="1899-12-30T16:09:00"/>
    <s v="In-Stream Video"/>
    <s v="TJX"/>
    <s v="mobile"/>
    <s v="GEO,Frequency,Keyword,OS,BrowserLanguage"/>
    <n v="140"/>
    <n v="0"/>
    <s v="No"/>
    <n v="250"/>
    <n v="0"/>
    <n v="0"/>
    <n v="0"/>
    <m/>
    <n v="0"/>
    <n v="0"/>
    <n v="0"/>
    <n v="0"/>
    <n v="2"/>
    <n v="0"/>
    <s v="Yes"/>
    <m/>
    <m/>
    <m/>
    <s v="Hentai"/>
    <x v="4"/>
    <x v="12"/>
    <x v="2"/>
  </r>
  <r>
    <x v="0"/>
    <s v="PAUSED"/>
    <n v="1013025281"/>
    <x v="871"/>
    <s v="nsfw"/>
    <d v="1899-12-30T16:09:00"/>
    <s v="In-Stream Video"/>
    <s v="TJX"/>
    <s v="mobile"/>
    <s v="GEO,Frequency,Keyword,OS,BrowserLanguage"/>
    <n v="26"/>
    <n v="0"/>
    <s v="No"/>
    <n v="250"/>
    <n v="0"/>
    <n v="0"/>
    <n v="0"/>
    <m/>
    <n v="0"/>
    <n v="0"/>
    <n v="0"/>
    <n v="0"/>
    <n v="2"/>
    <n v="0"/>
    <s v="Yes"/>
    <m/>
    <m/>
    <m/>
    <s v="Blowjob"/>
    <x v="4"/>
    <x v="15"/>
    <x v="2"/>
  </r>
  <r>
    <x v="0"/>
    <s v="RUNNING"/>
    <n v="1013028391"/>
    <x v="872"/>
    <s v="nsfw"/>
    <d v="1899-12-30T16:09:00"/>
    <s v="In-Stream Video"/>
    <s v="TJX"/>
    <s v="all"/>
    <s v="GEO,Frequency"/>
    <n v="5"/>
    <n v="0"/>
    <s v="No"/>
    <n v="250"/>
    <n v="2906775"/>
    <n v="162578"/>
    <n v="5.59307"/>
    <n v="0"/>
    <n v="216.13"/>
    <n v="7.3999999999999996E-2"/>
    <n v="1E-3"/>
    <n v="0"/>
    <n v="2"/>
    <n v="0"/>
    <s v="No"/>
    <n v="2905716"/>
    <n v="2572125"/>
    <n v="182715"/>
    <s v="General"/>
    <x v="10"/>
    <x v="25"/>
    <x v="1"/>
  </r>
  <r>
    <x v="0"/>
    <s v="RUNNING"/>
    <n v="1013028421"/>
    <x v="873"/>
    <s v="nsfw"/>
    <d v="1899-12-30T16:09:00"/>
    <s v="In-Stream Video"/>
    <s v="TJX"/>
    <s v="all"/>
    <s v="GEO"/>
    <n v="5"/>
    <n v="0"/>
    <s v="Yes"/>
    <s v="Unlimited"/>
    <n v="443104"/>
    <n v="30504"/>
    <n v="6.8841599999999996"/>
    <n v="0"/>
    <n v="44.31"/>
    <n v="0.1"/>
    <n v="1E-3"/>
    <n v="0"/>
    <n v="2"/>
    <n v="0"/>
    <s v="No"/>
    <n v="442891"/>
    <n v="383148"/>
    <n v="37630"/>
    <s v="General"/>
    <x v="11"/>
    <x v="26"/>
    <x v="1"/>
  </r>
  <r>
    <x v="0"/>
    <s v="RUNNING"/>
    <n v="1013028441"/>
    <x v="874"/>
    <s v="nsfw"/>
    <s v="640 x 360"/>
    <s v="Display"/>
    <s v="TJX"/>
    <s v="mobile"/>
    <s v="GEO"/>
    <n v="18"/>
    <n v="0"/>
    <s v="Yes"/>
    <s v="Unlimited"/>
    <n v="15953388"/>
    <n v="26841"/>
    <n v="0.16825000000000001"/>
    <n v="0"/>
    <n v="159.53"/>
    <n v="0.01"/>
    <n v="6.0000000000000001E-3"/>
    <n v="0"/>
    <n v="2"/>
    <n v="0"/>
    <s v="No"/>
    <n v="0"/>
    <n v="0"/>
    <n v="0"/>
    <s v="General"/>
    <x v="12"/>
    <x v="29"/>
    <x v="1"/>
  </r>
  <r>
    <x v="0"/>
    <s v="RUNNING"/>
    <n v="1013028451"/>
    <x v="875"/>
    <s v="nsfw"/>
    <s v="640 x 360"/>
    <s v="Display"/>
    <s v="TJX"/>
    <s v="mobile"/>
    <s v="GEO"/>
    <n v="4"/>
    <n v="0"/>
    <s v="Yes"/>
    <s v="Unlimited"/>
    <n v="8653697"/>
    <n v="14498"/>
    <n v="0.16753999999999999"/>
    <n v="0"/>
    <n v="86.54"/>
    <n v="0.01"/>
    <n v="6.0000000000000001E-3"/>
    <n v="0"/>
    <n v="2"/>
    <n v="0"/>
    <s v="No"/>
    <n v="0"/>
    <n v="0"/>
    <n v="0"/>
    <s v="General"/>
    <x v="10"/>
    <x v="29"/>
    <x v="1"/>
  </r>
  <r>
    <x v="0"/>
    <s v="RUNNING"/>
    <n v="1013028461"/>
    <x v="876"/>
    <s v="nsfw"/>
    <d v="1899-12-30T16:09:00"/>
    <s v="In-Stream Video"/>
    <s v="TJX"/>
    <s v="all"/>
    <s v="GEO"/>
    <n v="5"/>
    <n v="0"/>
    <s v="No"/>
    <n v="250"/>
    <n v="1320876"/>
    <n v="98345"/>
    <n v="7.4454399999999996"/>
    <n v="1"/>
    <n v="132.09"/>
    <n v="0.1"/>
    <n v="1E-3"/>
    <n v="132.08799999999999"/>
    <n v="2"/>
    <n v="0"/>
    <s v="No"/>
    <n v="1321378"/>
    <n v="1134349"/>
    <n v="111306"/>
    <s v="General"/>
    <x v="13"/>
    <x v="26"/>
    <x v="1"/>
  </r>
  <r>
    <x v="0"/>
    <s v="RUNNING"/>
    <n v="1013028471"/>
    <x v="877"/>
    <s v="nsfw"/>
    <s v="640 x 360"/>
    <s v="Display"/>
    <s v="TJX"/>
    <s v="mobile"/>
    <s v="GEO"/>
    <n v="4"/>
    <n v="0"/>
    <s v="Yes"/>
    <s v="Unlimited"/>
    <n v="8650732"/>
    <n v="14212"/>
    <n v="0.16428999999999999"/>
    <n v="0"/>
    <n v="86.51"/>
    <n v="0.01"/>
    <n v="6.0000000000000001E-3"/>
    <n v="0"/>
    <n v="2"/>
    <n v="0"/>
    <s v="No"/>
    <n v="0"/>
    <n v="0"/>
    <n v="0"/>
    <s v="General"/>
    <x v="14"/>
    <x v="29"/>
    <x v="1"/>
  </r>
  <r>
    <x v="0"/>
    <s v="RUNNING"/>
    <n v="1013028481"/>
    <x v="878"/>
    <s v="nsfw"/>
    <d v="1899-12-30T16:09:00"/>
    <s v="In-Stream Video"/>
    <s v="TJX"/>
    <s v="all"/>
    <s v="GEO"/>
    <n v="5"/>
    <n v="0"/>
    <s v="No"/>
    <n v="250"/>
    <n v="1466869"/>
    <n v="120267"/>
    <n v="8.1988900000000005"/>
    <n v="0"/>
    <n v="146.69"/>
    <n v="0.1"/>
    <n v="1E-3"/>
    <n v="0"/>
    <n v="2"/>
    <n v="0"/>
    <s v="No"/>
    <n v="1467544"/>
    <n v="1273917"/>
    <n v="116021"/>
    <s v="General"/>
    <x v="15"/>
    <x v="26"/>
    <x v="1"/>
  </r>
  <r>
    <x v="0"/>
    <s v="RUNNING"/>
    <n v="1013028491"/>
    <x v="879"/>
    <s v="nsfw"/>
    <d v="1899-12-30T16:09:00"/>
    <s v="In-Stream Video"/>
    <s v="TJX"/>
    <s v="all"/>
    <s v="GEO"/>
    <n v="5"/>
    <n v="0"/>
    <s v="No"/>
    <n v="250"/>
    <n v="1059596"/>
    <n v="91281"/>
    <n v="8.6146899999999995"/>
    <n v="0"/>
    <n v="105.96"/>
    <n v="0.1"/>
    <n v="1E-3"/>
    <n v="0"/>
    <n v="2"/>
    <n v="0"/>
    <s v="No"/>
    <n v="1058918"/>
    <n v="932699"/>
    <n v="78365"/>
    <s v="General"/>
    <x v="16"/>
    <x v="26"/>
    <x v="1"/>
  </r>
  <r>
    <x v="0"/>
    <s v="RUNNING"/>
    <n v="1013028501"/>
    <x v="880"/>
    <s v="nsfw"/>
    <s v="640 x 360"/>
    <s v="Display"/>
    <s v="TJX"/>
    <s v="mobile"/>
    <s v="GEO"/>
    <n v="17"/>
    <n v="1"/>
    <s v="Yes"/>
    <s v="Unlimited"/>
    <n v="9795809"/>
    <n v="13297"/>
    <n v="0.13574"/>
    <n v="1"/>
    <n v="293.87"/>
    <n v="0.03"/>
    <n v="2.1999999999999999E-2"/>
    <n v="293.87400000000002"/>
    <n v="2"/>
    <n v="0"/>
    <s v="Yes"/>
    <n v="0"/>
    <n v="0"/>
    <n v="0"/>
    <s v="General"/>
    <x v="17"/>
    <x v="29"/>
    <x v="1"/>
  </r>
  <r>
    <x v="0"/>
    <s v="RUNNING"/>
    <n v="1013028511"/>
    <x v="881"/>
    <s v="nsfw"/>
    <d v="1899-12-30T16:09:00"/>
    <s v="In-Stream Video"/>
    <s v="TJX"/>
    <s v="all"/>
    <s v="GEO"/>
    <n v="5"/>
    <n v="0"/>
    <s v="Yes"/>
    <s v="Unlimited"/>
    <n v="395358"/>
    <n v="20025"/>
    <n v="5.0650300000000001"/>
    <n v="1"/>
    <n v="39.54"/>
    <n v="0.1"/>
    <n v="2E-3"/>
    <n v="39.536000000000001"/>
    <n v="2"/>
    <n v="0"/>
    <s v="No"/>
    <n v="395462"/>
    <n v="338902"/>
    <n v="36460"/>
    <s v="General"/>
    <x v="18"/>
    <x v="26"/>
    <x v="1"/>
  </r>
  <r>
    <x v="0"/>
    <s v="RUNNING"/>
    <n v="1013028521"/>
    <x v="882"/>
    <s v="nsfw"/>
    <s v="640 x 360"/>
    <s v="Display"/>
    <s v="TJX"/>
    <s v="mobile"/>
    <s v="GEO"/>
    <n v="18"/>
    <n v="0"/>
    <s v="Yes"/>
    <s v="Unlimited"/>
    <n v="11807497"/>
    <n v="27845"/>
    <n v="0.23582"/>
    <n v="1"/>
    <n v="118.07"/>
    <n v="0.01"/>
    <n v="4.0000000000000001E-3"/>
    <n v="118.075"/>
    <n v="2"/>
    <n v="0"/>
    <s v="No"/>
    <n v="0"/>
    <n v="0"/>
    <n v="0"/>
    <s v="General"/>
    <x v="19"/>
    <x v="29"/>
    <x v="1"/>
  </r>
  <r>
    <x v="0"/>
    <s v="RUNNING"/>
    <n v="1013028531"/>
    <x v="883"/>
    <s v="nsfw"/>
    <d v="1899-12-30T16:09:00"/>
    <s v="In-Stream Video"/>
    <s v="TJX"/>
    <s v="all"/>
    <s v="GEO"/>
    <n v="5"/>
    <n v="0"/>
    <s v="Yes"/>
    <s v="Unlimited"/>
    <n v="666078"/>
    <n v="52320"/>
    <n v="7.85494"/>
    <n v="0"/>
    <n v="66.61"/>
    <n v="0.1"/>
    <n v="1E-3"/>
    <n v="0"/>
    <n v="2"/>
    <n v="0"/>
    <s v="No"/>
    <n v="665700"/>
    <n v="582747"/>
    <n v="52635"/>
    <s v="General"/>
    <x v="20"/>
    <x v="26"/>
    <x v="1"/>
  </r>
  <r>
    <x v="0"/>
    <s v="RUNNING"/>
    <n v="1013028541"/>
    <x v="884"/>
    <s v="nsfw"/>
    <d v="1899-12-30T16:09:00"/>
    <s v="In-Stream Video"/>
    <s v="TJX"/>
    <s v="all"/>
    <s v="GEO"/>
    <n v="5"/>
    <n v="0"/>
    <s v="Yes"/>
    <s v="Unlimited"/>
    <n v="42654"/>
    <n v="2328"/>
    <n v="5.4578699999999998"/>
    <n v="0"/>
    <n v="4.2699999999999996"/>
    <n v="0.1"/>
    <n v="2E-3"/>
    <n v="0"/>
    <n v="2"/>
    <n v="0"/>
    <s v="No"/>
    <n v="42666"/>
    <n v="37273"/>
    <n v="3623"/>
    <s v="General"/>
    <x v="21"/>
    <x v="13"/>
    <x v="1"/>
  </r>
  <r>
    <x v="0"/>
    <s v="RUNNING"/>
    <n v="1013028551"/>
    <x v="885"/>
    <s v="nsfw"/>
    <s v="640 x 360"/>
    <s v="Display"/>
    <s v="TJX"/>
    <s v="mobile"/>
    <s v="GEO"/>
    <n v="18"/>
    <n v="0"/>
    <s v="Yes"/>
    <s v="Unlimited"/>
    <n v="9504315"/>
    <n v="29153"/>
    <n v="0.30673"/>
    <n v="0"/>
    <n v="95.04"/>
    <n v="0.01"/>
    <n v="3.0000000000000001E-3"/>
    <n v="0"/>
    <n v="2"/>
    <n v="0"/>
    <s v="No"/>
    <n v="0"/>
    <n v="0"/>
    <n v="0"/>
    <s v="General"/>
    <x v="11"/>
    <x v="29"/>
    <x v="1"/>
  </r>
  <r>
    <x v="0"/>
    <s v="RUNNING"/>
    <n v="1013028561"/>
    <x v="886"/>
    <s v="nsfw"/>
    <d v="1899-12-30T16:09:00"/>
    <s v="In-Stream Video"/>
    <s v="TJX"/>
    <s v="all"/>
    <s v="GEO"/>
    <n v="5"/>
    <n v="0"/>
    <s v="Yes"/>
    <s v="Unlimited"/>
    <n v="530801"/>
    <n v="39938"/>
    <n v="7.5240999999999998"/>
    <n v="0"/>
    <n v="53.08"/>
    <n v="0.1"/>
    <n v="1E-3"/>
    <n v="0"/>
    <n v="2"/>
    <n v="0"/>
    <s v="No"/>
    <n v="530947"/>
    <n v="448235"/>
    <n v="51519"/>
    <s v="General"/>
    <x v="22"/>
    <x v="26"/>
    <x v="1"/>
  </r>
  <r>
    <x v="0"/>
    <s v="RUNNING"/>
    <n v="1013028571"/>
    <x v="887"/>
    <s v="nsfw"/>
    <d v="1899-12-30T16:09:00"/>
    <s v="In-Stream Video"/>
    <s v="TJX"/>
    <s v="all"/>
    <s v="GEO"/>
    <n v="5"/>
    <n v="0"/>
    <s v="Yes"/>
    <s v="Unlimited"/>
    <n v="269653"/>
    <n v="21028"/>
    <n v="7.7981699999999998"/>
    <n v="0"/>
    <n v="26.97"/>
    <n v="0.1"/>
    <n v="1E-3"/>
    <n v="0"/>
    <n v="2"/>
    <n v="0"/>
    <s v="No"/>
    <n v="269599"/>
    <n v="230876"/>
    <n v="25185"/>
    <s v="General"/>
    <x v="14"/>
    <x v="26"/>
    <x v="1"/>
  </r>
  <r>
    <x v="0"/>
    <s v="RUNNING"/>
    <n v="1013028581"/>
    <x v="888"/>
    <s v="nsfw"/>
    <d v="1899-12-30T16:09:00"/>
    <s v="In-Stream Video"/>
    <s v="TJX"/>
    <s v="all"/>
    <s v="GEO"/>
    <n v="5"/>
    <n v="0"/>
    <s v="Yes"/>
    <s v="Unlimited"/>
    <n v="390707"/>
    <n v="31473"/>
    <n v="8.0554000000000006"/>
    <n v="0"/>
    <n v="39.07"/>
    <n v="0.1"/>
    <n v="1E-3"/>
    <n v="0"/>
    <n v="2"/>
    <n v="0"/>
    <s v="No"/>
    <n v="390520"/>
    <n v="342056"/>
    <n v="29832"/>
    <s v="General"/>
    <x v="23"/>
    <x v="26"/>
    <x v="1"/>
  </r>
  <r>
    <x v="0"/>
    <s v="RUNNING"/>
    <n v="1013028591"/>
    <x v="889"/>
    <s v="nsfw"/>
    <s v="640 x 360"/>
    <s v="Display"/>
    <s v="TJX"/>
    <s v="mobile"/>
    <s v="GEO"/>
    <n v="4"/>
    <n v="0"/>
    <s v="Yes"/>
    <s v="Unlimited"/>
    <n v="7320726"/>
    <n v="6014"/>
    <n v="8.2150000000000001E-2"/>
    <n v="0"/>
    <n v="73.209999999999994"/>
    <n v="0.01"/>
    <n v="1.2E-2"/>
    <n v="0"/>
    <n v="2"/>
    <n v="0"/>
    <s v="No"/>
    <n v="0"/>
    <n v="0"/>
    <n v="0"/>
    <s v="General"/>
    <x v="18"/>
    <x v="29"/>
    <x v="1"/>
  </r>
  <r>
    <x v="0"/>
    <s v="RUNNING"/>
    <n v="1013028601"/>
    <x v="890"/>
    <s v="nsfw"/>
    <d v="1899-12-30T16:09:00"/>
    <s v="In-Stream Video"/>
    <s v="TJX"/>
    <s v="all"/>
    <s v="GEO"/>
    <n v="5"/>
    <n v="0"/>
    <s v="Yes"/>
    <s v="Unlimited"/>
    <n v="492722"/>
    <n v="41158"/>
    <n v="8.3531899999999997"/>
    <n v="0"/>
    <n v="49.27"/>
    <n v="0.1"/>
    <n v="1E-3"/>
    <n v="0"/>
    <n v="2"/>
    <n v="0"/>
    <s v="No"/>
    <n v="492710"/>
    <n v="403350"/>
    <n v="45341"/>
    <s v="General"/>
    <x v="24"/>
    <x v="26"/>
    <x v="1"/>
  </r>
  <r>
    <x v="0"/>
    <s v="RUNNING"/>
    <n v="1013028611"/>
    <x v="891"/>
    <s v="nsfw"/>
    <d v="1899-12-30T16:09:00"/>
    <s v="In-Stream Video"/>
    <s v="TJX"/>
    <s v="all"/>
    <s v="GEO"/>
    <n v="5"/>
    <n v="0"/>
    <s v="Yes"/>
    <s v="Unlimited"/>
    <n v="480407"/>
    <n v="36014"/>
    <n v="7.4965599999999997"/>
    <n v="0"/>
    <n v="48.04"/>
    <n v="0.1"/>
    <n v="1E-3"/>
    <n v="0"/>
    <n v="2"/>
    <n v="0"/>
    <s v="No"/>
    <n v="480499"/>
    <n v="416219"/>
    <n v="39286"/>
    <s v="General"/>
    <x v="25"/>
    <x v="26"/>
    <x v="1"/>
  </r>
  <r>
    <x v="0"/>
    <s v="RUNNING"/>
    <n v="1013028621"/>
    <x v="892"/>
    <s v="nsfw"/>
    <d v="1899-12-30T16:09:00"/>
    <s v="In-Stream Video"/>
    <s v="TJX"/>
    <s v="all"/>
    <s v="GEO"/>
    <n v="5"/>
    <n v="0"/>
    <s v="Yes"/>
    <s v="Unlimited"/>
    <n v="480602"/>
    <n v="29784"/>
    <n v="6.1972300000000002"/>
    <n v="1"/>
    <n v="48.06"/>
    <n v="0.1"/>
    <n v="2E-3"/>
    <n v="48.06"/>
    <n v="2"/>
    <n v="0"/>
    <s v="No"/>
    <n v="480644"/>
    <n v="419749"/>
    <n v="41121"/>
    <s v="General"/>
    <x v="26"/>
    <x v="26"/>
    <x v="1"/>
  </r>
  <r>
    <x v="0"/>
    <s v="RUNNING"/>
    <n v="1013028631"/>
    <x v="893"/>
    <s v="nsfw"/>
    <d v="1899-12-30T16:09:00"/>
    <s v="In-Stream Video"/>
    <s v="TJX"/>
    <s v="all"/>
    <s v="GEO"/>
    <n v="5"/>
    <n v="0"/>
    <s v="Yes"/>
    <s v="Unlimited"/>
    <n v="265646"/>
    <n v="21117"/>
    <n v="7.9493"/>
    <n v="0"/>
    <n v="26.56"/>
    <n v="0.1"/>
    <n v="1E-3"/>
    <n v="0"/>
    <n v="2"/>
    <n v="0"/>
    <s v="No"/>
    <n v="265475"/>
    <n v="231930"/>
    <n v="20433"/>
    <s v="General"/>
    <x v="27"/>
    <x v="13"/>
    <x v="1"/>
  </r>
  <r>
    <x v="0"/>
    <s v="RUNNING"/>
    <n v="1013028641"/>
    <x v="894"/>
    <s v="nsfw"/>
    <d v="1899-12-30T16:09:00"/>
    <s v="In-Stream Video"/>
    <s v="TJX"/>
    <s v="all"/>
    <s v="GEO"/>
    <n v="5"/>
    <n v="0"/>
    <s v="Yes"/>
    <s v="Unlimited"/>
    <n v="108927"/>
    <n v="7911"/>
    <n v="7.2626600000000003"/>
    <n v="0"/>
    <n v="10.89"/>
    <n v="0.1"/>
    <n v="1E-3"/>
    <n v="0"/>
    <n v="2"/>
    <n v="0"/>
    <s v="No"/>
    <n v="108910"/>
    <n v="95455"/>
    <n v="8603"/>
    <s v="General"/>
    <x v="28"/>
    <x v="13"/>
    <x v="1"/>
  </r>
  <r>
    <x v="0"/>
    <s v="RUNNING"/>
    <n v="1013028651"/>
    <x v="895"/>
    <s v="nsfw"/>
    <d v="1899-12-30T16:09:00"/>
    <s v="In-Stream Video"/>
    <s v="TJX"/>
    <s v="all"/>
    <s v="GEO"/>
    <n v="5"/>
    <n v="0"/>
    <s v="Yes"/>
    <s v="Unlimited"/>
    <n v="258802"/>
    <n v="19766"/>
    <n v="7.6375000000000002"/>
    <n v="0"/>
    <n v="25.88"/>
    <n v="0.1"/>
    <n v="1E-3"/>
    <n v="0"/>
    <n v="2"/>
    <n v="0"/>
    <s v="No"/>
    <n v="258669"/>
    <n v="226404"/>
    <n v="20580"/>
    <s v="General"/>
    <x v="29"/>
    <x v="13"/>
    <x v="1"/>
  </r>
  <r>
    <x v="0"/>
    <s v="RUNNING"/>
    <n v="1013028661"/>
    <x v="896"/>
    <s v="nsfw"/>
    <s v="640 x 360"/>
    <s v="Display"/>
    <s v="TJX"/>
    <s v="mobile"/>
    <s v="GEO"/>
    <n v="4"/>
    <n v="0"/>
    <s v="Yes"/>
    <s v="Unlimited"/>
    <n v="6701306"/>
    <n v="13596"/>
    <n v="0.20288999999999999"/>
    <n v="1"/>
    <n v="67.010000000000005"/>
    <n v="0.01"/>
    <n v="5.0000000000000001E-3"/>
    <n v="67.013000000000005"/>
    <n v="2"/>
    <n v="0"/>
    <s v="No"/>
    <n v="0"/>
    <n v="0"/>
    <n v="0"/>
    <s v="General"/>
    <x v="30"/>
    <x v="29"/>
    <x v="1"/>
  </r>
  <r>
    <x v="0"/>
    <s v="RUNNING"/>
    <n v="1013028681"/>
    <x v="897"/>
    <s v="nsfw"/>
    <s v="640 x 360"/>
    <s v="Display"/>
    <s v="TJX"/>
    <s v="mobile"/>
    <s v="GEO"/>
    <n v="4"/>
    <n v="0"/>
    <s v="Yes"/>
    <s v="Unlimited"/>
    <n v="3589332"/>
    <n v="2566"/>
    <n v="7.1489999999999998E-2"/>
    <n v="0"/>
    <n v="35.89"/>
    <n v="0.01"/>
    <n v="1.4E-2"/>
    <n v="0"/>
    <n v="2"/>
    <n v="0"/>
    <s v="No"/>
    <n v="0"/>
    <n v="0"/>
    <n v="0"/>
    <s v="General"/>
    <x v="15"/>
    <x v="29"/>
    <x v="1"/>
  </r>
  <r>
    <x v="0"/>
    <s v="RUNNING"/>
    <n v="1013028691"/>
    <x v="898"/>
    <s v="nsfw"/>
    <s v="640 x 360"/>
    <s v="Display"/>
    <s v="TJX"/>
    <s v="mobile"/>
    <s v="GEO"/>
    <n v="4"/>
    <n v="0"/>
    <s v="Yes"/>
    <s v="Unlimited"/>
    <n v="6414325"/>
    <n v="7058"/>
    <n v="0.11003"/>
    <n v="0"/>
    <n v="64.14"/>
    <n v="0.01"/>
    <n v="8.9999999999999993E-3"/>
    <n v="0"/>
    <n v="2"/>
    <n v="0"/>
    <s v="No"/>
    <n v="0"/>
    <n v="0"/>
    <n v="0"/>
    <s v="General"/>
    <x v="13"/>
    <x v="29"/>
    <x v="1"/>
  </r>
  <r>
    <x v="0"/>
    <s v="RUNNING"/>
    <n v="1013028701"/>
    <x v="899"/>
    <s v="nsfw"/>
    <s v="640 x 360"/>
    <s v="Display"/>
    <s v="TJX"/>
    <s v="mobile"/>
    <s v="GEO"/>
    <n v="4"/>
    <n v="0"/>
    <s v="Yes"/>
    <s v="Unlimited"/>
    <n v="4843314"/>
    <n v="6809"/>
    <n v="0.14058999999999999"/>
    <n v="0"/>
    <n v="48.43"/>
    <n v="0.01"/>
    <n v="7.0000000000000001E-3"/>
    <n v="0"/>
    <n v="2"/>
    <n v="0"/>
    <s v="No"/>
    <n v="0"/>
    <n v="0"/>
    <n v="0"/>
    <s v="General"/>
    <x v="16"/>
    <x v="29"/>
    <x v="1"/>
  </r>
  <r>
    <x v="0"/>
    <s v="RUNNING"/>
    <n v="1013028711"/>
    <x v="900"/>
    <s v="nsfw"/>
    <s v="640 x 360"/>
    <s v="Display"/>
    <s v="TJX"/>
    <s v="mobile"/>
    <s v="GEO"/>
    <n v="4"/>
    <n v="0"/>
    <s v="Yes"/>
    <s v="Unlimited"/>
    <n v="6089227"/>
    <n v="7921"/>
    <n v="0.13008"/>
    <n v="0"/>
    <n v="60.89"/>
    <n v="0.01"/>
    <n v="8.0000000000000002E-3"/>
    <n v="0"/>
    <n v="2"/>
    <n v="0"/>
    <s v="No"/>
    <n v="0"/>
    <n v="0"/>
    <n v="0"/>
    <s v="General"/>
    <x v="31"/>
    <x v="29"/>
    <x v="1"/>
  </r>
  <r>
    <x v="0"/>
    <s v="RUNNING"/>
    <n v="1013028731"/>
    <x v="901"/>
    <s v="nsfw"/>
    <s v="640 x 360"/>
    <s v="Display"/>
    <s v="TJX"/>
    <s v="mobile"/>
    <s v="GEO"/>
    <n v="4"/>
    <n v="0"/>
    <s v="Yes"/>
    <s v="Unlimited"/>
    <n v="2701423"/>
    <n v="1878"/>
    <n v="6.9519999999999998E-2"/>
    <n v="4"/>
    <n v="54.03"/>
    <n v="0.02"/>
    <n v="2.9000000000000001E-2"/>
    <n v="13.507"/>
    <n v="2"/>
    <n v="0"/>
    <s v="No"/>
    <n v="0"/>
    <n v="0"/>
    <n v="0"/>
    <s v="General"/>
    <x v="5"/>
    <x v="29"/>
    <x v="1"/>
  </r>
  <r>
    <x v="0"/>
    <s v="RUNNING"/>
    <n v="1013028741"/>
    <x v="902"/>
    <s v="nsfw"/>
    <s v="640 x 360"/>
    <s v="Display"/>
    <s v="TJX"/>
    <s v="mobile"/>
    <s v="GEO"/>
    <n v="4"/>
    <n v="0"/>
    <s v="Yes"/>
    <s v="Unlimited"/>
    <n v="7972957"/>
    <n v="12820"/>
    <n v="0.16078000000000001"/>
    <n v="1"/>
    <n v="79.73"/>
    <n v="0.01"/>
    <n v="6.0000000000000001E-3"/>
    <n v="79.73"/>
    <n v="2"/>
    <n v="0"/>
    <s v="No"/>
    <n v="0"/>
    <n v="0"/>
    <n v="0"/>
    <s v="General"/>
    <x v="21"/>
    <x v="29"/>
    <x v="1"/>
  </r>
  <r>
    <x v="0"/>
    <s v="RUNNING"/>
    <n v="1013028761"/>
    <x v="903"/>
    <s v="nsfw"/>
    <s v="640 x 360"/>
    <s v="Display"/>
    <s v="TJX"/>
    <s v="mobile"/>
    <s v="GEO"/>
    <n v="4"/>
    <n v="0"/>
    <s v="Yes"/>
    <s v="Unlimited"/>
    <n v="2597860"/>
    <n v="5729"/>
    <n v="0.22053"/>
    <n v="1"/>
    <n v="25.98"/>
    <n v="0.01"/>
    <n v="5.0000000000000001E-3"/>
    <n v="25.978999999999999"/>
    <n v="2"/>
    <n v="0"/>
    <s v="No"/>
    <n v="0"/>
    <n v="0"/>
    <n v="0"/>
    <s v="General"/>
    <x v="32"/>
    <x v="29"/>
    <x v="1"/>
  </r>
  <r>
    <x v="0"/>
    <s v="RUNNING"/>
    <n v="1013028771"/>
    <x v="904"/>
    <s v="nsfw"/>
    <s v="640 x 360"/>
    <s v="Display"/>
    <s v="TJX"/>
    <s v="mobile"/>
    <s v="GEO"/>
    <n v="4"/>
    <n v="0"/>
    <s v="Yes"/>
    <s v="Unlimited"/>
    <n v="4530841"/>
    <n v="3433"/>
    <n v="7.5770000000000004E-2"/>
    <n v="0"/>
    <n v="45.31"/>
    <n v="0.01"/>
    <n v="1.2999999999999999E-2"/>
    <n v="0"/>
    <n v="2"/>
    <n v="0"/>
    <s v="No"/>
    <n v="0"/>
    <n v="0"/>
    <n v="0"/>
    <s v="General"/>
    <x v="24"/>
    <x v="29"/>
    <x v="1"/>
  </r>
  <r>
    <x v="0"/>
    <s v="RUNNING"/>
    <n v="1013028781"/>
    <x v="905"/>
    <s v="nsfw"/>
    <s v="640 x 360"/>
    <s v="Display"/>
    <s v="TJX"/>
    <s v="mobile"/>
    <s v="GEO"/>
    <n v="4"/>
    <n v="0"/>
    <s v="Yes"/>
    <s v="Unlimited"/>
    <n v="2929401"/>
    <n v="3450"/>
    <n v="0.11777"/>
    <n v="0"/>
    <n v="29.29"/>
    <n v="0.01"/>
    <n v="8.0000000000000002E-3"/>
    <n v="0"/>
    <n v="2"/>
    <n v="0"/>
    <s v="No"/>
    <n v="0"/>
    <n v="0"/>
    <n v="0"/>
    <s v="General"/>
    <x v="20"/>
    <x v="29"/>
    <x v="1"/>
  </r>
  <r>
    <x v="0"/>
    <s v="RUNNING"/>
    <n v="1013028791"/>
    <x v="906"/>
    <s v="nsfw"/>
    <s v="640 x 360"/>
    <s v="Display"/>
    <s v="TJX"/>
    <s v="mobile"/>
    <s v="GEO"/>
    <n v="4"/>
    <n v="0"/>
    <s v="Yes"/>
    <s v="Unlimited"/>
    <n v="2927825"/>
    <n v="4671"/>
    <n v="0.15953000000000001"/>
    <n v="1"/>
    <n v="29.28"/>
    <n v="0.01"/>
    <n v="6.0000000000000001E-3"/>
    <n v="29.277999999999999"/>
    <n v="2"/>
    <n v="0"/>
    <s v="No"/>
    <n v="0"/>
    <n v="0"/>
    <n v="0"/>
    <s v="General"/>
    <x v="33"/>
    <x v="29"/>
    <x v="1"/>
  </r>
  <r>
    <x v="0"/>
    <s v="RUNNING"/>
    <n v="1013028801"/>
    <x v="907"/>
    <s v="nsfw"/>
    <d v="1899-12-30T16:09:00"/>
    <s v="In-Stream Video"/>
    <s v="TJX"/>
    <s v="all"/>
    <s v="GEO"/>
    <n v="8"/>
    <n v="0"/>
    <s v="Yes"/>
    <s v="Unlimited"/>
    <n v="55459"/>
    <n v="1967"/>
    <n v="3.5467599999999999"/>
    <n v="0"/>
    <n v="5.55"/>
    <n v="0.1"/>
    <n v="3.0000000000000001E-3"/>
    <n v="0"/>
    <n v="2"/>
    <n v="0"/>
    <s v="No"/>
    <n v="55483"/>
    <n v="40408"/>
    <n v="7285"/>
    <s v="General"/>
    <x v="21"/>
    <x v="13"/>
    <x v="1"/>
  </r>
  <r>
    <x v="0"/>
    <s v="RUNNING"/>
    <n v="1013028811"/>
    <x v="908"/>
    <s v="nsfw"/>
    <s v="640 x 360"/>
    <s v="Display"/>
    <s v="TJX"/>
    <s v="mobile"/>
    <s v="GEO"/>
    <n v="4"/>
    <n v="0"/>
    <s v="Yes"/>
    <s v="Unlimited"/>
    <n v="3570742"/>
    <n v="6428"/>
    <n v="0.18002000000000001"/>
    <n v="0"/>
    <n v="35.71"/>
    <n v="0.01"/>
    <n v="6.0000000000000001E-3"/>
    <n v="0"/>
    <n v="2"/>
    <n v="0"/>
    <s v="No"/>
    <n v="0"/>
    <n v="0"/>
    <n v="0"/>
    <s v="General"/>
    <x v="22"/>
    <x v="29"/>
    <x v="1"/>
  </r>
  <r>
    <x v="0"/>
    <s v="RUNNING"/>
    <n v="1013028831"/>
    <x v="909"/>
    <s v="nsfw"/>
    <s v="640 x 360"/>
    <s v="Display"/>
    <s v="TJX"/>
    <s v="mobile"/>
    <s v="GEO"/>
    <n v="4"/>
    <n v="0"/>
    <s v="Yes"/>
    <s v="Unlimited"/>
    <n v="2566155"/>
    <n v="3220"/>
    <n v="0.12548000000000001"/>
    <n v="0"/>
    <n v="25.66"/>
    <n v="0.01"/>
    <n v="8.0000000000000002E-3"/>
    <n v="0"/>
    <n v="2"/>
    <n v="0"/>
    <s v="No"/>
    <n v="0"/>
    <n v="0"/>
    <n v="0"/>
    <s v="General"/>
    <x v="34"/>
    <x v="29"/>
    <x v="1"/>
  </r>
  <r>
    <x v="0"/>
    <s v="RUNNING"/>
    <n v="1013028841"/>
    <x v="910"/>
    <s v="nsfw"/>
    <d v="1899-12-30T16:09:00"/>
    <s v="In-Stream Video"/>
    <s v="TJX"/>
    <s v="all"/>
    <s v="GEO"/>
    <n v="5"/>
    <n v="0"/>
    <s v="Yes"/>
    <s v="Unlimited"/>
    <n v="48108"/>
    <n v="2842"/>
    <n v="5.90754"/>
    <n v="0"/>
    <n v="4.8099999999999996"/>
    <n v="0.1"/>
    <n v="2E-3"/>
    <n v="0"/>
    <n v="2"/>
    <n v="0"/>
    <s v="No"/>
    <n v="48123"/>
    <n v="36549"/>
    <n v="6446"/>
    <s v="General"/>
    <x v="17"/>
    <x v="13"/>
    <x v="1"/>
  </r>
  <r>
    <x v="0"/>
    <s v="RUNNING"/>
    <n v="1013028851"/>
    <x v="911"/>
    <s v="nsfw"/>
    <d v="1899-12-30T16:09:00"/>
    <s v="In-Stream Video"/>
    <s v="TJX"/>
    <s v="all"/>
    <s v="GEO"/>
    <n v="5"/>
    <n v="0"/>
    <s v="Yes"/>
    <s v="Unlimited"/>
    <n v="150336"/>
    <n v="4021"/>
    <n v="2.6746799999999999"/>
    <n v="0"/>
    <n v="15.03"/>
    <n v="0.1"/>
    <n v="4.0000000000000001E-3"/>
    <n v="0"/>
    <n v="2"/>
    <n v="0"/>
    <s v="No"/>
    <n v="150269"/>
    <n v="67599"/>
    <n v="70114"/>
    <s v="General"/>
    <x v="11"/>
    <x v="13"/>
    <x v="1"/>
  </r>
  <r>
    <x v="0"/>
    <s v="RUNNING"/>
    <n v="1013028861"/>
    <x v="912"/>
    <s v="nsfw"/>
    <d v="1899-12-30T16:09:00"/>
    <s v="In-Stream Video"/>
    <s v="TJX"/>
    <s v="all"/>
    <s v="GEO"/>
    <n v="5"/>
    <n v="0"/>
    <s v="Yes"/>
    <s v="Unlimited"/>
    <n v="108657"/>
    <n v="4456"/>
    <n v="4.1009799999999998"/>
    <n v="0"/>
    <n v="10.87"/>
    <n v="0.1"/>
    <n v="2E-3"/>
    <n v="0"/>
    <n v="2"/>
    <n v="0"/>
    <s v="No"/>
    <n v="108671"/>
    <n v="82645"/>
    <n v="11375"/>
    <s v="General"/>
    <x v="35"/>
    <x v="13"/>
    <x v="1"/>
  </r>
  <r>
    <x v="0"/>
    <s v="RUNNING"/>
    <n v="1013028881"/>
    <x v="913"/>
    <s v="nsfw"/>
    <s v="640 x 360"/>
    <s v="Display"/>
    <s v="TJX"/>
    <s v="mobile"/>
    <s v="GEO"/>
    <n v="4"/>
    <n v="0"/>
    <s v="Yes"/>
    <s v="Unlimited"/>
    <n v="8651299"/>
    <n v="14227"/>
    <n v="0.16445000000000001"/>
    <n v="0"/>
    <n v="86.51"/>
    <n v="0.01"/>
    <n v="6.0000000000000001E-3"/>
    <n v="0"/>
    <n v="2"/>
    <n v="0"/>
    <s v="No"/>
    <n v="0"/>
    <n v="0"/>
    <n v="0"/>
    <s v="General"/>
    <x v="10"/>
    <x v="30"/>
    <x v="1"/>
  </r>
  <r>
    <x v="0"/>
    <s v="RUNNING"/>
    <n v="1013028891"/>
    <x v="914"/>
    <s v="nsfw"/>
    <d v="1899-12-30T16:09:00"/>
    <s v="In-Stream Video"/>
    <s v="TJX"/>
    <s v="all"/>
    <s v="GEO"/>
    <n v="10"/>
    <n v="0"/>
    <s v="Yes"/>
    <s v="Unlimited"/>
    <n v="417496"/>
    <n v="29201"/>
    <n v="6.9943200000000001"/>
    <n v="0"/>
    <n v="41.75"/>
    <n v="0.1"/>
    <n v="1E-3"/>
    <n v="0"/>
    <n v="2"/>
    <n v="0"/>
    <s v="No"/>
    <n v="417578"/>
    <n v="345789"/>
    <n v="29331"/>
    <s v="General"/>
    <x v="36"/>
    <x v="26"/>
    <x v="1"/>
  </r>
  <r>
    <x v="0"/>
    <s v="RUNNING"/>
    <n v="1013028901"/>
    <x v="915"/>
    <s v="nsfw"/>
    <s v="640 x 360"/>
    <s v="Display"/>
    <s v="TJX"/>
    <s v="mobile"/>
    <s v="GEO"/>
    <n v="18"/>
    <n v="0"/>
    <s v="Yes"/>
    <s v="Unlimited"/>
    <n v="15942602"/>
    <n v="26933"/>
    <n v="0.16894000000000001"/>
    <n v="1"/>
    <n v="159.43"/>
    <n v="0.01"/>
    <n v="6.0000000000000001E-3"/>
    <n v="159.42599999999999"/>
    <n v="2"/>
    <n v="0"/>
    <s v="No"/>
    <n v="0"/>
    <n v="0"/>
    <n v="0"/>
    <s v="General"/>
    <x v="12"/>
    <x v="30"/>
    <x v="1"/>
  </r>
  <r>
    <x v="0"/>
    <s v="RUNNING"/>
    <n v="1013028921"/>
    <x v="916"/>
    <s v="nsfw"/>
    <s v="640 x 360"/>
    <s v="Display"/>
    <s v="TJX"/>
    <s v="mobile"/>
    <s v="GEO"/>
    <n v="4"/>
    <n v="0"/>
    <s v="Yes"/>
    <s v="Unlimited"/>
    <n v="3588478"/>
    <n v="2550"/>
    <n v="7.1059999999999998E-2"/>
    <n v="0"/>
    <n v="35.880000000000003"/>
    <n v="0.01"/>
    <n v="1.4E-2"/>
    <n v="0"/>
    <n v="2"/>
    <n v="0"/>
    <s v="No"/>
    <n v="0"/>
    <n v="0"/>
    <n v="0"/>
    <s v="General"/>
    <x v="15"/>
    <x v="30"/>
    <x v="1"/>
  </r>
  <r>
    <x v="0"/>
    <s v="RUNNING"/>
    <n v="1013028931"/>
    <x v="917"/>
    <s v="nsfw"/>
    <s v="640 x 360"/>
    <s v="Display"/>
    <s v="TJX"/>
    <s v="mobile"/>
    <s v="GEO"/>
    <n v="15"/>
    <n v="3"/>
    <s v="Yes"/>
    <s v="Unlimited"/>
    <n v="9790327"/>
    <n v="13275"/>
    <n v="0.13558000000000001"/>
    <n v="3"/>
    <n v="293.70999999999998"/>
    <n v="0.03"/>
    <n v="2.1999999999999999E-2"/>
    <n v="97.903000000000006"/>
    <n v="2"/>
    <n v="0"/>
    <s v="No"/>
    <n v="0"/>
    <n v="0"/>
    <n v="0"/>
    <s v="General"/>
    <x v="17"/>
    <x v="30"/>
    <x v="1"/>
  </r>
  <r>
    <x v="0"/>
    <s v="RUNNING"/>
    <n v="1013028951"/>
    <x v="918"/>
    <s v="nsfw"/>
    <d v="1899-12-30T16:09:00"/>
    <s v="In-Stream Video"/>
    <s v="TJX"/>
    <s v="all"/>
    <s v="GEO"/>
    <n v="10"/>
    <n v="0"/>
    <s v="Yes"/>
    <s v="Unlimited"/>
    <n v="119213"/>
    <n v="11720"/>
    <n v="9.8311399999999995"/>
    <n v="0"/>
    <n v="11.92"/>
    <n v="0.1"/>
    <n v="1E-3"/>
    <n v="0"/>
    <n v="2"/>
    <n v="0"/>
    <s v="No"/>
    <n v="119219"/>
    <n v="106269"/>
    <n v="7235"/>
    <s v="General"/>
    <x v="10"/>
    <x v="13"/>
    <x v="1"/>
  </r>
  <r>
    <x v="0"/>
    <s v="RUNNING"/>
    <n v="1013028991"/>
    <x v="919"/>
    <s v="nsfw"/>
    <s v="640 x 360"/>
    <s v="Display"/>
    <s v="TJX"/>
    <s v="mobile"/>
    <s v="GEO"/>
    <n v="4"/>
    <n v="0"/>
    <s v="Yes"/>
    <s v="Unlimited"/>
    <n v="8651934"/>
    <n v="14333"/>
    <n v="0.16566"/>
    <n v="0"/>
    <n v="86.52"/>
    <n v="0.01"/>
    <n v="6.0000000000000001E-3"/>
    <n v="0"/>
    <n v="2"/>
    <n v="0"/>
    <s v="No"/>
    <n v="0"/>
    <n v="0"/>
    <n v="0"/>
    <s v="General"/>
    <x v="10"/>
    <x v="22"/>
    <x v="1"/>
  </r>
  <r>
    <x v="0"/>
    <s v="RUNNING"/>
    <n v="1013040421"/>
    <x v="920"/>
    <s v="nsfw"/>
    <d v="1899-12-30T16:09:00"/>
    <s v="In-Stream Video"/>
    <s v="TJX"/>
    <s v="desktop"/>
    <s v="GEO,Frequency,Cookie"/>
    <n v="28"/>
    <n v="0"/>
    <s v="Yes"/>
    <s v="Unlimited"/>
    <n v="8667"/>
    <n v="531"/>
    <n v="6.12669"/>
    <n v="0"/>
    <n v="21.16"/>
    <n v="2.4420000000000002"/>
    <n v="0.04"/>
    <n v="0"/>
    <n v="2"/>
    <n v="0"/>
    <s v="No"/>
    <n v="8666"/>
    <n v="6795"/>
    <n v="829"/>
    <s v="Remarketing"/>
    <x v="3"/>
    <x v="14"/>
    <x v="1"/>
  </r>
  <r>
    <x v="0"/>
    <s v="RUNNING"/>
    <n v="1013040451"/>
    <x v="921"/>
    <s v="nsfw"/>
    <d v="1899-12-30T16:09:00"/>
    <s v="In-Stream Video"/>
    <s v="TJX"/>
    <s v="desktop"/>
    <s v="GEO,Frequency,Cookie"/>
    <n v="28"/>
    <n v="0"/>
    <s v="Yes"/>
    <s v="Unlimited"/>
    <n v="600"/>
    <n v="60"/>
    <n v="10"/>
    <n v="0"/>
    <n v="0.22"/>
    <n v="0.37"/>
    <n v="4.0000000000000001E-3"/>
    <n v="0"/>
    <n v="2"/>
    <n v="0"/>
    <s v="No"/>
    <n v="600"/>
    <n v="439"/>
    <n v="84"/>
    <s v="Remarketing"/>
    <x v="12"/>
    <x v="14"/>
    <x v="1"/>
  </r>
  <r>
    <x v="0"/>
    <s v="RUNNING"/>
    <n v="1013040531"/>
    <x v="922"/>
    <s v="nsfw"/>
    <d v="1899-12-30T16:09:00"/>
    <s v="In-Stream Video"/>
    <s v="TJX"/>
    <s v="desktop"/>
    <s v="GEO,Frequency,Cookie"/>
    <n v="28"/>
    <n v="0"/>
    <s v="Yes"/>
    <s v="Unlimited"/>
    <n v="3033"/>
    <n v="193"/>
    <n v="6.36334"/>
    <n v="0"/>
    <n v="3.19"/>
    <n v="1.0529999999999999"/>
    <n v="1.7000000000000001E-2"/>
    <n v="0"/>
    <n v="2"/>
    <n v="0"/>
    <s v="No"/>
    <n v="3033"/>
    <n v="2427"/>
    <n v="271"/>
    <s v="Remarketing"/>
    <x v="4"/>
    <x v="14"/>
    <x v="1"/>
  </r>
  <r>
    <x v="0"/>
    <s v="RUNNING"/>
    <n v="1013040561"/>
    <x v="923"/>
    <s v="nsfw"/>
    <d v="1899-12-30T16:09:00"/>
    <s v="In-Stream Video"/>
    <s v="TJX"/>
    <s v="desktop"/>
    <s v="GEO,Frequency,Cookie"/>
    <n v="28"/>
    <n v="0"/>
    <s v="Yes"/>
    <s v="Unlimited"/>
    <n v="1255"/>
    <n v="86"/>
    <n v="6.8525900000000002"/>
    <n v="0"/>
    <n v="1.58"/>
    <n v="1.2549999999999999"/>
    <n v="1.7999999999999999E-2"/>
    <n v="0"/>
    <n v="2"/>
    <n v="0"/>
    <s v="No"/>
    <n v="1255"/>
    <n v="980"/>
    <n v="138"/>
    <s v="Remarketing"/>
    <x v="5"/>
    <x v="14"/>
    <x v="1"/>
  </r>
  <r>
    <x v="0"/>
    <s v="RUNNING"/>
    <n v="1013040581"/>
    <x v="924"/>
    <s v="nsfw"/>
    <d v="1899-12-30T16:09:00"/>
    <s v="In-Stream Video"/>
    <s v="TJX"/>
    <s v="desktop"/>
    <s v="GEO,Frequency,Cookie"/>
    <n v="28"/>
    <n v="0"/>
    <s v="Yes"/>
    <s v="Unlimited"/>
    <n v="814"/>
    <n v="50"/>
    <n v="6.1425099999999997"/>
    <n v="0"/>
    <n v="2.06"/>
    <n v="2.5310000000000001"/>
    <n v="4.1000000000000002E-2"/>
    <n v="0"/>
    <n v="2"/>
    <n v="0"/>
    <s v="No"/>
    <n v="815"/>
    <n v="644"/>
    <n v="76"/>
    <s v="Remarketing"/>
    <x v="6"/>
    <x v="14"/>
    <x v="1"/>
  </r>
  <r>
    <x v="0"/>
    <s v="RUNNING"/>
    <n v="1013040591"/>
    <x v="925"/>
    <s v="nsfw"/>
    <d v="1899-12-30T16:09:00"/>
    <s v="In-Stream Video"/>
    <s v="TJX"/>
    <s v="desktop"/>
    <s v="GEO,Frequency,Cookie"/>
    <n v="28"/>
    <n v="0"/>
    <s v="Yes"/>
    <s v="Unlimited"/>
    <n v="103"/>
    <n v="8"/>
    <n v="7.7669899999999998"/>
    <n v="1"/>
    <n v="0.11"/>
    <n v="1.0449999999999999"/>
    <n v="1.2999999999999999E-2"/>
    <n v="0.108"/>
    <n v="2"/>
    <n v="0"/>
    <s v="No"/>
    <n v="103"/>
    <n v="70"/>
    <n v="21"/>
    <s v="Remarketing"/>
    <x v="8"/>
    <x v="14"/>
    <x v="1"/>
  </r>
  <r>
    <x v="0"/>
    <s v="RUNNING"/>
    <n v="1013046201"/>
    <x v="926"/>
    <s v="nsfw"/>
    <d v="1899-12-30T16:09:00"/>
    <s v="In-Stream Video"/>
    <s v="TJX"/>
    <s v="mobile"/>
    <s v="GEO,Frequency,Cookie"/>
    <n v="28"/>
    <n v="0"/>
    <s v="Yes"/>
    <s v="Unlimited"/>
    <n v="841947"/>
    <n v="35652"/>
    <n v="4.23447"/>
    <n v="9"/>
    <n v="1777.75"/>
    <n v="2.1120000000000001"/>
    <n v="0.05"/>
    <n v="197.52799999999999"/>
    <n v="2"/>
    <n v="0"/>
    <s v="Yes"/>
    <n v="841896"/>
    <n v="738300"/>
    <n v="74607"/>
    <s v="Remarketing"/>
    <x v="3"/>
    <x v="14"/>
    <x v="1"/>
  </r>
  <r>
    <x v="0"/>
    <s v="RUNNING"/>
    <n v="1013046221"/>
    <x v="927"/>
    <s v="nsfw"/>
    <d v="1899-12-30T16:09:00"/>
    <s v="In-Stream Video"/>
    <s v="TJX"/>
    <s v="mobile"/>
    <s v="GEO,Cookie"/>
    <n v="28"/>
    <n v="0"/>
    <s v="Yes"/>
    <s v="Unlimited"/>
    <n v="15495"/>
    <n v="917"/>
    <n v="5.9180400000000004"/>
    <n v="0"/>
    <n v="11.14"/>
    <n v="0.71899999999999997"/>
    <n v="1.2E-2"/>
    <n v="0"/>
    <n v="2"/>
    <n v="0"/>
    <s v="No"/>
    <n v="15489"/>
    <n v="13802"/>
    <n v="863"/>
    <s v="Remarketing"/>
    <x v="4"/>
    <x v="14"/>
    <x v="1"/>
  </r>
  <r>
    <x v="0"/>
    <s v="RUNNING"/>
    <n v="1013046231"/>
    <x v="928"/>
    <s v="nsfw"/>
    <d v="1899-12-30T16:09:00"/>
    <s v="In-Stream Video"/>
    <s v="TJX"/>
    <s v="mobile"/>
    <s v="GEO,Cookie"/>
    <n v="28"/>
    <n v="0"/>
    <s v="Yes"/>
    <s v="Unlimited"/>
    <n v="21543"/>
    <n v="1153"/>
    <n v="5.3520899999999996"/>
    <n v="0"/>
    <n v="55.71"/>
    <n v="2.5859999999999999"/>
    <n v="4.8000000000000001E-2"/>
    <n v="0"/>
    <n v="2"/>
    <n v="0"/>
    <s v="No"/>
    <n v="21551"/>
    <n v="19271"/>
    <n v="1487"/>
    <s v="Remarketing"/>
    <x v="6"/>
    <x v="14"/>
    <x v="1"/>
  </r>
  <r>
    <x v="0"/>
    <s v="RUNNING"/>
    <n v="1013046251"/>
    <x v="929"/>
    <s v="nsfw"/>
    <d v="1899-12-30T16:09:00"/>
    <s v="In-Stream Video"/>
    <s v="TJX"/>
    <s v="mobile"/>
    <s v="GEO,Cookie"/>
    <n v="28"/>
    <n v="0"/>
    <s v="Yes"/>
    <s v="Unlimited"/>
    <n v="3671"/>
    <n v="171"/>
    <n v="4.6581299999999999"/>
    <n v="0"/>
    <n v="3.74"/>
    <n v="1.0189999999999999"/>
    <n v="2.1999999999999999E-2"/>
    <n v="0"/>
    <n v="2"/>
    <n v="0"/>
    <s v="No"/>
    <n v="3674"/>
    <n v="3346"/>
    <n v="223"/>
    <s v="Remarketing"/>
    <x v="5"/>
    <x v="14"/>
    <x v="1"/>
  </r>
  <r>
    <x v="0"/>
    <s v="RUNNING"/>
    <n v="1013046271"/>
    <x v="930"/>
    <s v="nsfw"/>
    <d v="1899-12-30T16:09:00"/>
    <s v="In-Stream Video"/>
    <s v="TJX"/>
    <s v="mobile"/>
    <s v="GEO,Cookie"/>
    <n v="28"/>
    <n v="0"/>
    <s v="Yes"/>
    <s v="Unlimited"/>
    <n v="11059"/>
    <n v="717"/>
    <n v="6.4834100000000001"/>
    <n v="1"/>
    <n v="13.11"/>
    <n v="1.1859999999999999"/>
    <n v="1.7999999999999999E-2"/>
    <n v="13.114000000000001"/>
    <n v="2"/>
    <n v="0"/>
    <s v="No"/>
    <n v="11060"/>
    <n v="9200"/>
    <n v="862"/>
    <s v="Remarketing"/>
    <x v="8"/>
    <x v="14"/>
    <x v="1"/>
  </r>
  <r>
    <x v="0"/>
    <s v="RUNNING"/>
    <n v="1013046321"/>
    <x v="931"/>
    <s v="nsfw"/>
    <d v="1899-12-30T16:09:00"/>
    <s v="In-Stream Video"/>
    <s v="TJX"/>
    <s v="mobile"/>
    <s v="GEO,Cookie"/>
    <n v="28"/>
    <n v="0"/>
    <s v="Yes"/>
    <s v="Unlimited"/>
    <n v="158041"/>
    <n v="14422"/>
    <n v="9.1254799999999996"/>
    <n v="0"/>
    <n v="37.340000000000003"/>
    <n v="0.23599999999999999"/>
    <n v="3.0000000000000001E-3"/>
    <n v="0"/>
    <n v="2"/>
    <n v="0"/>
    <s v="No"/>
    <n v="158004"/>
    <n v="132193"/>
    <n v="15872"/>
    <s v="Remarketing"/>
    <x v="12"/>
    <x v="14"/>
    <x v="1"/>
  </r>
  <r>
    <x v="0"/>
    <s v="RUNNING"/>
    <n v="1013046531"/>
    <x v="932"/>
    <s v="nsfw"/>
    <s v="640 x 360"/>
    <s v="Display"/>
    <s v="TJX"/>
    <s v="mobile"/>
    <s v="GEO,Frequency"/>
    <n v="60"/>
    <n v="0"/>
    <s v="Yes"/>
    <s v="Unlimited"/>
    <n v="9715014"/>
    <n v="24622"/>
    <n v="0.25344"/>
    <n v="1"/>
    <n v="184.24"/>
    <n v="1.9E-2"/>
    <n v="7.0000000000000001E-3"/>
    <n v="184.24299999999999"/>
    <n v="2"/>
    <n v="0"/>
    <s v="No"/>
    <n v="0"/>
    <n v="0"/>
    <n v="0"/>
    <s v="General"/>
    <x v="37"/>
    <x v="26"/>
    <x v="1"/>
  </r>
  <r>
    <x v="0"/>
    <s v="RUNNING"/>
    <n v="1013046601"/>
    <x v="933"/>
    <s v="nsfw"/>
    <s v="640 x 360"/>
    <s v="Display"/>
    <s v="TJX"/>
    <s v="desktop"/>
    <s v="GEO,Frequency"/>
    <n v="60"/>
    <n v="0"/>
    <s v="Yes"/>
    <s v="Unlimited"/>
    <n v="540315"/>
    <n v="1731"/>
    <n v="0.32036999999999999"/>
    <n v="0"/>
    <n v="10.47"/>
    <n v="1.9E-2"/>
    <n v="6.0000000000000001E-3"/>
    <n v="0"/>
    <n v="2"/>
    <n v="0"/>
    <s v="No"/>
    <n v="0"/>
    <n v="0"/>
    <n v="0"/>
    <s v="General"/>
    <x v="37"/>
    <x v="13"/>
    <x v="1"/>
  </r>
  <r>
    <x v="0"/>
    <s v="RUNNING"/>
    <n v="1013046671"/>
    <x v="934"/>
    <s v="nsfw"/>
    <s v="640 x 360"/>
    <s v="Display"/>
    <s v="TJX"/>
    <s v="mobile"/>
    <s v="GEO,Frequency,Cookie,BrowserLanguage"/>
    <n v="35"/>
    <n v="0"/>
    <s v="Yes"/>
    <s v="Unlimited"/>
    <n v="14705"/>
    <n v="37"/>
    <n v="0.25162000000000001"/>
    <n v="0"/>
    <n v="2.83"/>
    <n v="0.193"/>
    <n v="7.6999999999999999E-2"/>
    <n v="0"/>
    <n v="2"/>
    <n v="0"/>
    <s v="No"/>
    <n v="0"/>
    <n v="0"/>
    <n v="0"/>
    <s v="Remarketing"/>
    <x v="5"/>
    <x v="14"/>
    <x v="1"/>
  </r>
  <r>
    <x v="0"/>
    <s v="RUNNING"/>
    <n v="1013046711"/>
    <x v="935"/>
    <s v="nsfw"/>
    <s v="640 x 360"/>
    <s v="Display"/>
    <s v="TJX"/>
    <s v="mobile"/>
    <s v="GEO,Frequency,Cookie,BrowserLanguage"/>
    <n v="35"/>
    <n v="0"/>
    <s v="Yes"/>
    <s v="Unlimited"/>
    <n v="27430"/>
    <n v="70"/>
    <n v="0.25519999999999998"/>
    <n v="0"/>
    <n v="4.04"/>
    <n v="0.14699999999999999"/>
    <n v="5.8000000000000003E-2"/>
    <n v="0"/>
    <n v="2"/>
    <n v="0"/>
    <s v="No"/>
    <n v="0"/>
    <n v="0"/>
    <n v="0"/>
    <s v="Remarketing"/>
    <x v="4"/>
    <x v="14"/>
    <x v="1"/>
  </r>
  <r>
    <x v="0"/>
    <s v="RUNNING"/>
    <n v="1013046731"/>
    <x v="936"/>
    <s v="nsfw"/>
    <s v="640 x 360"/>
    <s v="Display"/>
    <s v="TJX"/>
    <s v="mobile"/>
    <s v="GEO,Frequency,Cookie,BrowserLanguage"/>
    <n v="35"/>
    <n v="0"/>
    <s v="Yes"/>
    <s v="Unlimited"/>
    <n v="7044"/>
    <n v="38"/>
    <n v="0.53947000000000001"/>
    <n v="0"/>
    <n v="2.75"/>
    <n v="0.39"/>
    <n v="7.1999999999999995E-2"/>
    <n v="0"/>
    <n v="2"/>
    <n v="0"/>
    <s v="No"/>
    <n v="0"/>
    <n v="0"/>
    <n v="0"/>
    <s v="Remarketing"/>
    <x v="6"/>
    <x v="14"/>
    <x v="1"/>
  </r>
  <r>
    <x v="0"/>
    <s v="RUNNING"/>
    <n v="1013046741"/>
    <x v="937"/>
    <s v="nsfw"/>
    <s v="640 x 360"/>
    <s v="Display"/>
    <s v="TJX"/>
    <s v="mobile"/>
    <s v="GEO,Frequency,Cookie,BrowserLanguage"/>
    <n v="35"/>
    <n v="0"/>
    <s v="Yes"/>
    <s v="Unlimited"/>
    <n v="109375"/>
    <n v="335"/>
    <n v="0.30629000000000001"/>
    <n v="2"/>
    <n v="25.9"/>
    <n v="0.23699999999999999"/>
    <n v="7.6999999999999999E-2"/>
    <n v="12.95"/>
    <n v="2"/>
    <n v="0"/>
    <s v="No"/>
    <n v="0"/>
    <n v="0"/>
    <n v="0"/>
    <s v="Remarketing"/>
    <x v="3"/>
    <x v="14"/>
    <x v="1"/>
  </r>
  <r>
    <x v="0"/>
    <s v="RUNNING"/>
    <n v="1013046751"/>
    <x v="938"/>
    <s v="nsfw"/>
    <s v="640 x 360"/>
    <s v="Display"/>
    <s v="TJX"/>
    <s v="mobile"/>
    <s v="GEO,Frequency,Cookie,BrowserLanguage"/>
    <n v="35"/>
    <n v="0"/>
    <s v="Yes"/>
    <s v="Unlimited"/>
    <n v="1450"/>
    <n v="0"/>
    <n v="0"/>
    <n v="1"/>
    <n v="0.02"/>
    <n v="1.7000000000000001E-2"/>
    <n v="0"/>
    <n v="2.5000000000000001E-2"/>
    <n v="2"/>
    <n v="0"/>
    <s v="No"/>
    <n v="0"/>
    <n v="0"/>
    <n v="0"/>
    <s v="Remarketing"/>
    <x v="12"/>
    <x v="14"/>
    <x v="1"/>
  </r>
  <r>
    <x v="0"/>
    <s v="RUNNING"/>
    <n v="1013046761"/>
    <x v="939"/>
    <s v="nsfw"/>
    <s v="640 x 360"/>
    <s v="Display"/>
    <s v="TJX"/>
    <s v="mobile"/>
    <s v="GEO,Frequency,Cookie,BrowserLanguage"/>
    <n v="35"/>
    <n v="0"/>
    <s v="Yes"/>
    <s v="Unlimited"/>
    <n v="1442"/>
    <n v="12"/>
    <n v="0.83218000000000003"/>
    <n v="0"/>
    <n v="0.15"/>
    <n v="0.10299999999999999"/>
    <n v="1.2E-2"/>
    <n v="0"/>
    <n v="2"/>
    <n v="0"/>
    <s v="No"/>
    <n v="0"/>
    <n v="0"/>
    <n v="0"/>
    <s v="Remarketing"/>
    <x v="8"/>
    <x v="14"/>
    <x v="1"/>
  </r>
  <r>
    <x v="0"/>
    <s v="PAUSED"/>
    <n v="1013047181"/>
    <x v="940"/>
    <s v="nsfw"/>
    <s v="640 x 360"/>
    <s v="Display"/>
    <s v="TJX"/>
    <s v="mobile"/>
    <s v="GEO,Frequency,Cookie,BrowserLanguage"/>
    <n v="45"/>
    <n v="0"/>
    <s v="No"/>
    <n v="25"/>
    <n v="0"/>
    <n v="0"/>
    <n v="0"/>
    <m/>
    <n v="0"/>
    <n v="0"/>
    <n v="0"/>
    <n v="0"/>
    <n v="2"/>
    <n v="0"/>
    <s v="No"/>
    <m/>
    <m/>
    <m/>
    <s v="Remarketing"/>
    <x v="38"/>
    <x v="14"/>
    <x v="0"/>
  </r>
  <r>
    <x v="0"/>
    <s v="RUNNING"/>
    <n v="1013050271"/>
    <x v="941"/>
    <s v="nsfw"/>
    <d v="1899-12-30T09:16:00"/>
    <s v="In-Stream Video"/>
    <s v="TJX"/>
    <s v="mobile"/>
    <s v="GEO"/>
    <n v="5"/>
    <n v="0"/>
    <s v="Yes"/>
    <s v="Unlimited"/>
    <n v="76349"/>
    <n v="829"/>
    <n v="1.0858000000000001"/>
    <n v="1"/>
    <n v="8.4"/>
    <n v="0.11"/>
    <n v="0.01"/>
    <n v="8.3979999999999997"/>
    <n v="2"/>
    <n v="0"/>
    <s v="No"/>
    <n v="76355"/>
    <n v="0"/>
    <n v="551"/>
    <s v="Shorties"/>
    <x v="30"/>
    <x v="2"/>
    <x v="1"/>
  </r>
  <r>
    <x v="0"/>
    <s v="RUNNING"/>
    <n v="1013050281"/>
    <x v="942"/>
    <s v="nsfw"/>
    <d v="1899-12-30T09:16:00"/>
    <s v="In-Stream Video"/>
    <s v="TJX"/>
    <s v="mobile"/>
    <s v="GEO"/>
    <n v="5"/>
    <n v="0"/>
    <s v="Yes"/>
    <s v="Unlimited"/>
    <n v="84879"/>
    <n v="758"/>
    <n v="0.89303999999999994"/>
    <n v="1"/>
    <n v="9.34"/>
    <n v="0.11"/>
    <n v="1.2E-2"/>
    <n v="9.3369999999999997"/>
    <n v="2"/>
    <n v="0"/>
    <s v="No"/>
    <n v="84887"/>
    <n v="0"/>
    <n v="405"/>
    <s v="Shorties"/>
    <x v="39"/>
    <x v="2"/>
    <x v="1"/>
  </r>
  <r>
    <x v="0"/>
    <s v="RUNNING"/>
    <n v="1013050291"/>
    <x v="943"/>
    <s v="nsfw"/>
    <d v="1899-12-30T09:16:00"/>
    <s v="In-Stream Video"/>
    <s v="TJX"/>
    <s v="mobile"/>
    <s v="GEO"/>
    <n v="5"/>
    <n v="0"/>
    <s v="Yes"/>
    <s v="Unlimited"/>
    <n v="122347"/>
    <n v="884"/>
    <n v="0.72253999999999996"/>
    <n v="0"/>
    <n v="13.46"/>
    <n v="0.11"/>
    <n v="1.4999999999999999E-2"/>
    <n v="0"/>
    <n v="2"/>
    <n v="0"/>
    <s v="No"/>
    <n v="122312"/>
    <n v="0"/>
    <n v="387"/>
    <s v="Shorties"/>
    <x v="12"/>
    <x v="2"/>
    <x v="1"/>
  </r>
  <r>
    <x v="0"/>
    <s v="RUNNING"/>
    <n v="1013050301"/>
    <x v="944"/>
    <s v="nsfw"/>
    <d v="1899-12-30T09:16:00"/>
    <s v="In-Stream Video"/>
    <s v="TJX"/>
    <s v="mobile"/>
    <s v="GEO"/>
    <n v="5"/>
    <n v="0"/>
    <s v="Yes"/>
    <s v="Unlimited"/>
    <n v="85571"/>
    <n v="760"/>
    <n v="0.88815"/>
    <n v="0"/>
    <n v="9.41"/>
    <n v="0.11"/>
    <n v="1.2E-2"/>
    <n v="0"/>
    <n v="2"/>
    <n v="0"/>
    <s v="No"/>
    <n v="85561"/>
    <n v="0"/>
    <n v="611"/>
    <s v="Shorties"/>
    <x v="10"/>
    <x v="2"/>
    <x v="1"/>
  </r>
  <r>
    <x v="0"/>
    <s v="RUNNING"/>
    <n v="1013050311"/>
    <x v="945"/>
    <s v="nsfw"/>
    <d v="1899-12-30T09:16:00"/>
    <s v="In-Stream Video"/>
    <s v="TJX"/>
    <s v="mobile"/>
    <s v="GEO"/>
    <n v="5"/>
    <n v="0"/>
    <s v="Yes"/>
    <s v="Unlimited"/>
    <n v="58028"/>
    <n v="522"/>
    <n v="0.89956999999999998"/>
    <n v="0"/>
    <n v="6.38"/>
    <n v="0.11"/>
    <n v="1.2E-2"/>
    <n v="0"/>
    <n v="2"/>
    <n v="0"/>
    <s v="No"/>
    <n v="58007"/>
    <n v="0"/>
    <n v="237"/>
    <s v="Shorties"/>
    <x v="19"/>
    <x v="2"/>
    <x v="1"/>
  </r>
  <r>
    <x v="0"/>
    <s v="RUNNING"/>
    <n v="1013050321"/>
    <x v="946"/>
    <s v="nsfw"/>
    <d v="1899-12-30T09:16:00"/>
    <s v="In-Stream Video"/>
    <s v="TJX"/>
    <s v="mobile"/>
    <s v="GEO"/>
    <n v="5"/>
    <n v="0"/>
    <s v="Yes"/>
    <s v="Unlimited"/>
    <n v="69138"/>
    <n v="586"/>
    <n v="0.84758"/>
    <n v="3"/>
    <n v="7.61"/>
    <n v="0.11"/>
    <n v="1.2999999999999999E-2"/>
    <n v="2.5350000000000001"/>
    <n v="2"/>
    <n v="0"/>
    <s v="No"/>
    <n v="69149"/>
    <n v="0"/>
    <n v="405"/>
    <s v="Shorties"/>
    <x v="17"/>
    <x v="2"/>
    <x v="1"/>
  </r>
  <r>
    <x v="0"/>
    <s v="RUNNING"/>
    <n v="1013050331"/>
    <x v="947"/>
    <s v="nsfw"/>
    <d v="1899-12-30T09:16:00"/>
    <s v="In-Stream Video"/>
    <s v="TJX"/>
    <s v="mobile"/>
    <s v="GEO"/>
    <n v="5"/>
    <n v="0"/>
    <s v="Yes"/>
    <s v="Unlimited"/>
    <n v="54226"/>
    <n v="505"/>
    <n v="0.93128999999999995"/>
    <n v="0"/>
    <n v="5.96"/>
    <n v="0.11"/>
    <n v="1.2E-2"/>
    <n v="0"/>
    <n v="2"/>
    <n v="0"/>
    <s v="No"/>
    <n v="54198"/>
    <n v="0"/>
    <n v="264"/>
    <s v="Shorties"/>
    <x v="11"/>
    <x v="2"/>
    <x v="1"/>
  </r>
  <r>
    <x v="0"/>
    <s v="RUNNING"/>
    <n v="1013050341"/>
    <x v="948"/>
    <s v="nsfw"/>
    <d v="1899-12-30T09:16:00"/>
    <s v="In-Stream Video"/>
    <s v="TJX"/>
    <s v="mobile"/>
    <s v="GEO"/>
    <n v="5"/>
    <n v="0"/>
    <s v="Yes"/>
    <s v="Unlimited"/>
    <n v="44269"/>
    <n v="370"/>
    <n v="0.83579999999999999"/>
    <n v="0"/>
    <n v="4.87"/>
    <n v="0.11"/>
    <n v="1.2999999999999999E-2"/>
    <n v="0"/>
    <n v="2"/>
    <n v="0"/>
    <s v="No"/>
    <n v="44245"/>
    <n v="0"/>
    <n v="220"/>
    <s v="Shorties"/>
    <x v="40"/>
    <x v="2"/>
    <x v="1"/>
  </r>
  <r>
    <x v="0"/>
    <s v="RUNNING"/>
    <n v="1013050371"/>
    <x v="949"/>
    <s v="nsfw"/>
    <d v="1899-12-30T09:16:00"/>
    <s v="In-Stream Video"/>
    <s v="TJX"/>
    <s v="mobile"/>
    <s v="GEO"/>
    <n v="5"/>
    <n v="0"/>
    <s v="Yes"/>
    <s v="Unlimited"/>
    <n v="47168"/>
    <n v="206"/>
    <n v="0.43674000000000002"/>
    <n v="0"/>
    <n v="19.34"/>
    <n v="0.41"/>
    <n v="9.4E-2"/>
    <n v="0"/>
    <n v="2"/>
    <n v="0"/>
    <s v="No"/>
    <n v="47188"/>
    <n v="0"/>
    <n v="103"/>
    <s v="Shorties"/>
    <x v="5"/>
    <x v="2"/>
    <x v="1"/>
  </r>
  <r>
    <x v="0"/>
    <s v="RUNNING"/>
    <n v="1013050381"/>
    <x v="950"/>
    <s v="nsfw"/>
    <d v="1899-12-30T09:16:00"/>
    <s v="In-Stream Video"/>
    <s v="TJX"/>
    <s v="mobile"/>
    <s v="GEO"/>
    <n v="5"/>
    <n v="0"/>
    <s v="Yes"/>
    <s v="Unlimited"/>
    <n v="60558"/>
    <n v="554"/>
    <n v="0.91483000000000003"/>
    <n v="0"/>
    <n v="7.87"/>
    <n v="0.13"/>
    <n v="1.4E-2"/>
    <n v="0"/>
    <n v="2"/>
    <n v="0"/>
    <s v="No"/>
    <n v="60559"/>
    <n v="0"/>
    <n v="328"/>
    <s v="Shorties"/>
    <x v="18"/>
    <x v="2"/>
    <x v="1"/>
  </r>
  <r>
    <x v="0"/>
    <s v="RUNNING"/>
    <n v="1013054421"/>
    <x v="951"/>
    <s v="nsfw"/>
    <s v="640 x 360"/>
    <s v="Display"/>
    <s v="TJX"/>
    <s v="desktop"/>
    <s v="GEO,Frequency,Cookie,BrowserLanguage"/>
    <n v="42"/>
    <n v="0"/>
    <s v="Yes"/>
    <s v="Unlimited"/>
    <n v="15983"/>
    <n v="49"/>
    <n v="0.30658000000000002"/>
    <n v="0"/>
    <n v="1.59"/>
    <n v="0.1"/>
    <n v="3.2000000000000001E-2"/>
    <n v="0"/>
    <n v="2"/>
    <n v="0"/>
    <s v="No"/>
    <n v="0"/>
    <n v="0"/>
    <n v="0"/>
    <s v="Remarketing"/>
    <x v="3"/>
    <x v="14"/>
    <x v="1"/>
  </r>
  <r>
    <x v="0"/>
    <s v="RUNNING"/>
    <n v="1013054431"/>
    <x v="952"/>
    <s v="nsfw"/>
    <s v="640 x 360"/>
    <s v="Display"/>
    <s v="TJX"/>
    <s v="desktop"/>
    <s v="GEO,Frequency,Cookie,BrowserLanguage"/>
    <n v="42"/>
    <n v="0"/>
    <s v="Yes"/>
    <s v="Unlimited"/>
    <n v="5286"/>
    <n v="12"/>
    <n v="0.22700999999999999"/>
    <n v="0"/>
    <n v="0.44"/>
    <n v="8.2000000000000003E-2"/>
    <n v="3.5999999999999997E-2"/>
    <n v="0"/>
    <n v="2"/>
    <n v="0"/>
    <s v="No"/>
    <n v="0"/>
    <n v="0"/>
    <n v="0"/>
    <s v="Remarketing"/>
    <x v="4"/>
    <x v="14"/>
    <x v="1"/>
  </r>
  <r>
    <x v="0"/>
    <s v="RUNNING"/>
    <n v="1013054441"/>
    <x v="953"/>
    <s v="nsfw"/>
    <s v="640 x 360"/>
    <s v="Display"/>
    <s v="TJX"/>
    <s v="desktop"/>
    <s v="GEO,Frequency,Cookie,BrowserLanguage"/>
    <n v="42"/>
    <n v="0"/>
    <s v="Yes"/>
    <s v="Unlimited"/>
    <n v="2213"/>
    <n v="5"/>
    <n v="0.22594"/>
    <n v="0"/>
    <n v="0.38"/>
    <n v="0.17399999999999999"/>
    <n v="7.6999999999999999E-2"/>
    <n v="0"/>
    <n v="2"/>
    <n v="0"/>
    <s v="No"/>
    <n v="0"/>
    <n v="0"/>
    <n v="0"/>
    <s v="Remarketing"/>
    <x v="6"/>
    <x v="14"/>
    <x v="1"/>
  </r>
  <r>
    <x v="0"/>
    <s v="RUNNING"/>
    <n v="1013054451"/>
    <x v="954"/>
    <s v="nsfw"/>
    <s v="640 x 360"/>
    <s v="Display"/>
    <s v="TJX"/>
    <s v="desktop"/>
    <s v="GEO,Frequency,Cookie,BrowserLanguage"/>
    <n v="42"/>
    <n v="0"/>
    <s v="Yes"/>
    <s v="Unlimited"/>
    <n v="2474"/>
    <n v="10"/>
    <n v="0.4042"/>
    <n v="0"/>
    <n v="0.21"/>
    <n v="8.5000000000000006E-2"/>
    <n v="2.1000000000000001E-2"/>
    <n v="0"/>
    <n v="2"/>
    <n v="0"/>
    <s v="No"/>
    <n v="0"/>
    <n v="0"/>
    <n v="0"/>
    <s v="Remarketing"/>
    <x v="5"/>
    <x v="14"/>
    <x v="1"/>
  </r>
  <r>
    <x v="0"/>
    <s v="RUNNING"/>
    <n v="1013054461"/>
    <x v="955"/>
    <s v="nsfw"/>
    <s v="640 x 360"/>
    <s v="Display"/>
    <s v="TJX"/>
    <s v="desktop"/>
    <s v="GEO,Frequency,Cookie,BrowserLanguage"/>
    <n v="42"/>
    <n v="0"/>
    <s v="Yes"/>
    <s v="Unlimited"/>
    <n v="448"/>
    <n v="1"/>
    <n v="0.22320999999999999"/>
    <n v="0"/>
    <n v="0.01"/>
    <n v="1.7000000000000001E-2"/>
    <n v="7.0000000000000001E-3"/>
    <n v="0"/>
    <n v="2"/>
    <n v="0"/>
    <s v="No"/>
    <n v="0"/>
    <n v="0"/>
    <n v="0"/>
    <s v="Remarketing"/>
    <x v="12"/>
    <x v="14"/>
    <x v="1"/>
  </r>
  <r>
    <x v="0"/>
    <s v="RUNNING"/>
    <n v="1013054471"/>
    <x v="956"/>
    <s v="nsfw"/>
    <s v="640 x 360"/>
    <s v="Display"/>
    <s v="TJX"/>
    <s v="desktop"/>
    <s v="GEO,Frequency,Cookie,BrowserLanguage"/>
    <n v="42"/>
    <n v="0"/>
    <s v="Yes"/>
    <s v="Unlimited"/>
    <n v="430"/>
    <n v="1"/>
    <n v="0.23255999999999999"/>
    <n v="0"/>
    <n v="0.03"/>
    <n v="6.6000000000000003E-2"/>
    <n v="2.8000000000000001E-2"/>
    <n v="0"/>
    <n v="2"/>
    <n v="0"/>
    <s v="No"/>
    <n v="0"/>
    <n v="0"/>
    <n v="0"/>
    <s v="Remarketing"/>
    <x v="8"/>
    <x v="14"/>
    <x v="1"/>
  </r>
  <r>
    <x v="0"/>
    <s v="RUNNING"/>
    <n v="1013054541"/>
    <x v="957"/>
    <s v="nsfw"/>
    <d v="1899-12-30T16:09:00"/>
    <s v="In-Stream Video"/>
    <s v="TJX"/>
    <s v="all"/>
    <s v="GEO,Frequency,Keyword,BrowserLanguage"/>
    <n v="126"/>
    <n v="0"/>
    <s v="Yes"/>
    <s v="Unlimited"/>
    <n v="4070"/>
    <n v="314"/>
    <n v="7.7149900000000002"/>
    <n v="0"/>
    <n v="9.17"/>
    <n v="2.254"/>
    <n v="2.9000000000000001E-2"/>
    <n v="0"/>
    <n v="2"/>
    <n v="0"/>
    <s v="No"/>
    <n v="4070"/>
    <n v="3617"/>
    <n v="263"/>
    <s v="Remarketing"/>
    <x v="3"/>
    <x v="14"/>
    <x v="1"/>
  </r>
  <r>
    <x v="0"/>
    <s v="RUNNING"/>
    <n v="1013054571"/>
    <x v="958"/>
    <s v="nsfw"/>
    <s v="640 x 360"/>
    <s v="Display"/>
    <s v="TJX"/>
    <s v="mobile"/>
    <s v="GEO,Frequency,OS,BrowserLanguage"/>
    <n v="23"/>
    <n v="0"/>
    <s v="Yes"/>
    <s v="Unlimited"/>
    <n v="2732"/>
    <n v="43"/>
    <n v="1.5739399999999999"/>
    <n v="0"/>
    <n v="0.87"/>
    <n v="0.318"/>
    <n v="0.02"/>
    <n v="0"/>
    <n v="1"/>
    <n v="0"/>
    <s v="Yes"/>
    <n v="0"/>
    <n v="0"/>
    <n v="0"/>
    <s v="Remarketing"/>
    <x v="3"/>
    <x v="14"/>
    <x v="1"/>
  </r>
  <r>
    <x v="0"/>
    <s v="PAUSED"/>
    <n v="1013059081"/>
    <x v="959"/>
    <s v="nsfw"/>
    <s v="300 x 250"/>
    <s v="Display"/>
    <s v="TJX"/>
    <s v="desktop"/>
    <s v="GEO"/>
    <n v="30"/>
    <n v="0"/>
    <s v="Yes"/>
    <s v="Unlimited"/>
    <n v="0"/>
    <n v="0"/>
    <n v="0"/>
    <m/>
    <n v="0"/>
    <n v="0"/>
    <n v="0"/>
    <n v="0"/>
    <n v="2"/>
    <n v="0"/>
    <s v="No"/>
    <m/>
    <m/>
    <m/>
    <s v="General"/>
    <x v="3"/>
    <x v="13"/>
    <x v="1"/>
  </r>
  <r>
    <x v="0"/>
    <s v="PAUSED"/>
    <n v="1013059101"/>
    <x v="960"/>
    <s v="nsfw"/>
    <s v="300 x 250"/>
    <s v="Display"/>
    <s v="TJX"/>
    <s v="mobile"/>
    <s v="GEO"/>
    <n v="6"/>
    <n v="0"/>
    <s v="Yes"/>
    <s v="Unlimited"/>
    <n v="0"/>
    <n v="0"/>
    <n v="0"/>
    <m/>
    <n v="0"/>
    <n v="0"/>
    <n v="0"/>
    <n v="0"/>
    <n v="2"/>
    <n v="0"/>
    <s v="No"/>
    <m/>
    <m/>
    <m/>
    <s v="General"/>
    <x v="12"/>
    <x v="13"/>
    <x v="1"/>
  </r>
  <r>
    <x v="0"/>
    <s v="PAUSED"/>
    <n v="1013059151"/>
    <x v="961"/>
    <s v="nsfw"/>
    <s v="300 x 250"/>
    <s v="Display"/>
    <s v="TJX"/>
    <s v="mobile"/>
    <s v="GEO"/>
    <n v="6"/>
    <n v="0"/>
    <s v="Yes"/>
    <s v="Unlimited"/>
    <n v="0"/>
    <n v="0"/>
    <n v="0"/>
    <m/>
    <n v="0"/>
    <n v="0"/>
    <n v="0"/>
    <n v="0"/>
    <n v="2"/>
    <n v="0"/>
    <s v="No"/>
    <m/>
    <m/>
    <m/>
    <s v="General"/>
    <x v="14"/>
    <x v="13"/>
    <x v="1"/>
  </r>
  <r>
    <x v="1"/>
    <s v="RUNNING"/>
    <n v="1011737002"/>
    <x v="0"/>
    <s v="nsfw"/>
    <d v="1899-12-30T16:09:00"/>
    <s v="In-Stream Video"/>
    <s v="TJX"/>
    <s v="desktop"/>
    <s v="GEO,Frequency,BrowserLanguage,Segment"/>
    <n v="230"/>
    <n v="0"/>
    <s v="Yes"/>
    <s v="Unlimited"/>
    <n v="4161"/>
    <n v="228"/>
    <n v="5.4794499999999999"/>
    <n v="0"/>
    <n v="17.95"/>
    <n v="4.3129999999999997"/>
    <n v="7.9000000000000001E-2"/>
    <n v="0"/>
    <n v="1"/>
    <n v="0"/>
    <s v="Yes"/>
    <n v="4161"/>
    <n v="3276"/>
    <n v="483"/>
    <s v="General"/>
    <x v="0"/>
    <x v="0"/>
    <x v="0"/>
  </r>
  <r>
    <x v="1"/>
    <s v="PAUSED"/>
    <n v="1011737052"/>
    <x v="1"/>
    <s v="nsfw"/>
    <d v="1899-12-30T16:09:00"/>
    <s v="In-Stream Video"/>
    <s v="TJX"/>
    <s v="mobile"/>
    <s v="GEO,Frequency,OS,BrowserLanguage,Segment"/>
    <n v="30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737062"/>
    <x v="2"/>
    <s v="nsfw"/>
    <d v="1899-12-30T16:09:00"/>
    <s v="In-Stream Video"/>
    <s v="TJX"/>
    <s v="mobile"/>
    <s v="GEO,Frequency,OS,BrowserLanguage,Segment"/>
    <n v="30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1737262"/>
    <x v="3"/>
    <s v="nsfw"/>
    <d v="1899-12-30T16:09:00"/>
    <s v="In-Stream Video"/>
    <s v="TJX"/>
    <s v="desktop"/>
    <s v="GEO,Frequency,BrowserLanguage,Segment"/>
    <n v="215"/>
    <n v="0"/>
    <s v="Yes"/>
    <s v="Unlimited"/>
    <n v="456"/>
    <n v="20"/>
    <n v="4.3859599999999999"/>
    <n v="0"/>
    <n v="1.25"/>
    <n v="2.7320000000000002"/>
    <n v="6.2E-2"/>
    <n v="0"/>
    <n v="1"/>
    <n v="0"/>
    <s v="Yes"/>
    <n v="456"/>
    <n v="343"/>
    <n v="64"/>
    <s v="General"/>
    <x v="0"/>
    <x v="0"/>
    <x v="0"/>
  </r>
  <r>
    <x v="1"/>
    <s v="RUNNING"/>
    <n v="1011737272"/>
    <x v="4"/>
    <s v="nsfw"/>
    <d v="1899-12-30T16:09:00"/>
    <s v="In-Stream Video"/>
    <s v="TJX"/>
    <s v="mobile"/>
    <s v="GEO,Frequency,OS,BrowserLanguage,Segment"/>
    <n v="638"/>
    <n v="0"/>
    <s v="Yes"/>
    <s v="Unlimited"/>
    <n v="835"/>
    <n v="36"/>
    <n v="4.3113799999999998"/>
    <n v="0"/>
    <n v="2.91"/>
    <n v="3.48"/>
    <n v="8.1000000000000003E-2"/>
    <n v="0"/>
    <n v="1"/>
    <n v="0"/>
    <s v="Yes"/>
    <n v="835"/>
    <n v="721"/>
    <n v="92"/>
    <s v="General"/>
    <x v="0"/>
    <x v="0"/>
    <x v="0"/>
  </r>
  <r>
    <x v="1"/>
    <s v="RUNNING"/>
    <n v="1011737322"/>
    <x v="5"/>
    <s v="nsfw"/>
    <d v="1899-12-30T16:09:00"/>
    <s v="In-Stream Video"/>
    <s v="TJX"/>
    <s v="mobile"/>
    <s v="GEO,Frequency,OS,BrowserLanguage,Segment"/>
    <n v="638"/>
    <n v="0"/>
    <s v="Yes"/>
    <s v="Unlimited"/>
    <n v="834"/>
    <n v="39"/>
    <n v="4.6762600000000001"/>
    <n v="0"/>
    <n v="3.33"/>
    <n v="3.988"/>
    <n v="8.5000000000000006E-2"/>
    <n v="0"/>
    <n v="1"/>
    <n v="0"/>
    <s v="Yes"/>
    <n v="834"/>
    <n v="731"/>
    <n v="79"/>
    <s v="General"/>
    <x v="0"/>
    <x v="0"/>
    <x v="0"/>
  </r>
  <r>
    <x v="1"/>
    <s v="RUNNING"/>
    <n v="1011744802"/>
    <x v="6"/>
    <s v="nsfw"/>
    <d v="1899-12-30T16:09:00"/>
    <s v="In-Stream Video"/>
    <s v="TJX"/>
    <s v="desktop"/>
    <s v="GEO,Frequency,BrowserLanguage,Segment"/>
    <n v="285"/>
    <n v="0"/>
    <s v="Yes"/>
    <s v="Unlimited"/>
    <n v="1560"/>
    <n v="67"/>
    <n v="4.2948700000000004"/>
    <n v="1"/>
    <n v="7.04"/>
    <n v="4.5119999999999996"/>
    <n v="0.105"/>
    <n v="7.0389999999999997"/>
    <n v="1"/>
    <n v="0"/>
    <s v="Yes"/>
    <n v="1560"/>
    <n v="1232"/>
    <n v="191"/>
    <s v="General"/>
    <x v="0"/>
    <x v="0"/>
    <x v="0"/>
  </r>
  <r>
    <x v="1"/>
    <s v="PAUSED"/>
    <n v="1011744812"/>
    <x v="7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744822"/>
    <x v="8"/>
    <s v="nsfw"/>
    <d v="1899-12-30T16:09:00"/>
    <s v="In-Stream Video"/>
    <s v="TJX"/>
    <s v="mobile"/>
    <s v="GEO,Frequency,OS,BrowserLanguage,Segment"/>
    <n v="63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0"/>
    <x v="0"/>
  </r>
  <r>
    <x v="1"/>
    <s v="RUNNING"/>
    <n v="1011744832"/>
    <x v="9"/>
    <s v="nsfw"/>
    <d v="1899-12-30T16:09:00"/>
    <s v="In-Stream Video"/>
    <s v="TJX"/>
    <s v="desktop"/>
    <s v="GEO,Frequency,BrowserLanguage,Segment"/>
    <n v="215"/>
    <n v="0"/>
    <s v="Yes"/>
    <s v="Unlimited"/>
    <n v="196"/>
    <n v="8"/>
    <n v="4.08162"/>
    <n v="0"/>
    <n v="0.89"/>
    <n v="4.556"/>
    <n v="0.112"/>
    <n v="0"/>
    <n v="1"/>
    <n v="0"/>
    <s v="Yes"/>
    <n v="196"/>
    <n v="155"/>
    <n v="28"/>
    <s v="General"/>
    <x v="0"/>
    <x v="0"/>
    <x v="0"/>
  </r>
  <r>
    <x v="1"/>
    <s v="PAUSED"/>
    <n v="1011744842"/>
    <x v="10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1744852"/>
    <x v="11"/>
    <s v="nsfw"/>
    <d v="1899-12-30T16:09:00"/>
    <s v="In-Stream Video"/>
    <s v="TJX"/>
    <s v="mobile"/>
    <s v="GEO,Frequency,OS,BrowserLanguage,Segment"/>
    <n v="638"/>
    <n v="0"/>
    <s v="Yes"/>
    <s v="Unlimited"/>
    <n v="569"/>
    <n v="39"/>
    <n v="6.8541299999999996"/>
    <n v="0"/>
    <n v="2.33"/>
    <n v="4.101"/>
    <n v="0.06"/>
    <n v="0"/>
    <n v="1"/>
    <n v="0"/>
    <s v="Yes"/>
    <n v="569"/>
    <n v="516"/>
    <n v="37"/>
    <s v="General"/>
    <x v="0"/>
    <x v="0"/>
    <x v="0"/>
  </r>
  <r>
    <x v="1"/>
    <s v="PAUSED"/>
    <n v="1011744862"/>
    <x v="12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744872"/>
    <x v="13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744882"/>
    <x v="14"/>
    <s v="nsfw"/>
    <d v="1899-12-30T16:09:00"/>
    <s v="In-Stream Video"/>
    <s v="TJX"/>
    <s v="desktop"/>
    <s v="GEO,Frequency,BrowserLanguage,Segment"/>
    <n v="24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13152"/>
    <x v="15"/>
    <s v="nsfw"/>
    <d v="1899-12-30T16:09:00"/>
    <s v="In-Stream Video"/>
    <s v="TJX"/>
    <s v="mobile"/>
    <s v="GEO,Frequency,OS,BrowserLanguage"/>
    <n v="35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13182"/>
    <x v="16"/>
    <s v="nsfw"/>
    <d v="1899-12-30T09:16:00"/>
    <s v="In-Stream Video"/>
    <s v="TJX"/>
    <s v="mobile"/>
    <s v="GEO,Frequency,OS,BrowserLanguage"/>
    <n v="11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2"/>
    <x v="0"/>
  </r>
  <r>
    <x v="1"/>
    <s v="PAUSED"/>
    <n v="1011813292"/>
    <x v="17"/>
    <s v="nsfw"/>
    <d v="1899-12-30T16:09:00"/>
    <s v="In-Stream Video"/>
    <s v="TJX"/>
    <s v="mobile"/>
    <s v="GEO,Frequency,Keyword,OS,BrowserLanguage"/>
    <n v="117"/>
    <n v="0"/>
    <s v="No"/>
    <n v="1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13302"/>
    <x v="18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13312"/>
    <x v="19"/>
    <s v="nsfw"/>
    <d v="1899-12-30T16:09:00"/>
    <s v="In-Stream Video"/>
    <s v="TJX"/>
    <s v="mobile"/>
    <s v="GEO,Frequency,Keyword,OS,BrowserLanguage"/>
    <n v="65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13322"/>
    <x v="20"/>
    <s v="nsfw"/>
    <d v="1899-12-30T16:09:00"/>
    <s v="In-Stream Video"/>
    <s v="TJX"/>
    <s v="mobile"/>
    <s v="GEO,Frequency,Keyword,OS,BrowserLanguage"/>
    <n v="64"/>
    <n v="0"/>
    <s v="No"/>
    <n v="1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13332"/>
    <x v="21"/>
    <s v="nsfw"/>
    <d v="1899-12-30T16:09:00"/>
    <s v="In-Stream Video"/>
    <s v="TJX"/>
    <s v="mobile"/>
    <s v="GEO,Frequency,Keyword,OS,BrowserLanguage"/>
    <n v="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13342"/>
    <x v="22"/>
    <s v="nsfw"/>
    <d v="1899-12-30T16:09:00"/>
    <s v="In-Stream Video"/>
    <s v="TJX"/>
    <s v="mobile"/>
    <s v="GEO,Frequency,Keyword,OS,BrowserLanguage"/>
    <n v="117"/>
    <n v="0"/>
    <s v="No"/>
    <n v="1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13352"/>
    <x v="23"/>
    <s v="nsfw"/>
    <d v="1899-12-30T16:09:00"/>
    <s v="In-Stream Video"/>
    <s v="TJX"/>
    <s v="desktop"/>
    <s v="GEO,Frequency,BrowserLanguage,Segment"/>
    <n v="215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13362"/>
    <x v="24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13372"/>
    <x v="25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1813382"/>
    <x v="26"/>
    <s v="nsfw"/>
    <d v="1899-12-30T16:09:00"/>
    <s v="In-Stream Video"/>
    <s v="TJX"/>
    <s v="mobile"/>
    <s v="GEO,Frequency,OS,BrowserLanguage,Segment"/>
    <n v="539"/>
    <n v="0"/>
    <s v="Yes"/>
    <s v="Unlimited"/>
    <n v="92"/>
    <n v="7"/>
    <n v="7.6086999999999998"/>
    <n v="0"/>
    <n v="0.35"/>
    <n v="3.7989999999999999"/>
    <n v="0.05"/>
    <n v="0"/>
    <n v="1"/>
    <n v="0"/>
    <s v="Yes"/>
    <n v="92"/>
    <n v="80"/>
    <n v="12"/>
    <s v="General"/>
    <x v="0"/>
    <x v="0"/>
    <x v="0"/>
  </r>
  <r>
    <x v="1"/>
    <s v="RUNNING"/>
    <n v="1011813392"/>
    <x v="27"/>
    <s v="nsfw"/>
    <d v="1899-12-30T16:09:00"/>
    <s v="In-Stream Video"/>
    <s v="TJX"/>
    <s v="mobile"/>
    <s v="GEO,Frequency,OS,BrowserLanguage,Segment"/>
    <n v="539"/>
    <n v="0"/>
    <s v="Yes"/>
    <s v="Unlimited"/>
    <n v="68"/>
    <n v="3"/>
    <n v="4.4117600000000001"/>
    <n v="0"/>
    <n v="0.28000000000000003"/>
    <n v="4.0529999999999999"/>
    <n v="9.1999999999999998E-2"/>
    <n v="0"/>
    <n v="1"/>
    <n v="0"/>
    <s v="Yes"/>
    <n v="68"/>
    <n v="58"/>
    <n v="6"/>
    <s v="General"/>
    <x v="0"/>
    <x v="3"/>
    <x v="0"/>
  </r>
  <r>
    <x v="1"/>
    <s v="PAUSED"/>
    <n v="1011813402"/>
    <x v="28"/>
    <s v="nsfw"/>
    <d v="1899-12-30T16:09:00"/>
    <s v="In-Stream Video"/>
    <s v="TJX"/>
    <s v="desktop"/>
    <s v="GEO,Frequency,BrowserLanguage,Segment"/>
    <n v="24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13412"/>
    <x v="29"/>
    <s v="nsfw"/>
    <d v="1899-12-30T16:09:00"/>
    <s v="In-Stream Video"/>
    <s v="TJX"/>
    <s v="desktop"/>
    <s v="GEO,Frequency,BrowserLanguage,Segment"/>
    <n v="215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13422"/>
    <x v="30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13432"/>
    <x v="31"/>
    <s v="nsfw"/>
    <d v="1899-12-30T16:09:00"/>
    <s v="In-Stream Video"/>
    <s v="TJX"/>
    <s v="mobile"/>
    <s v="GEO,Frequency,OS,BrowserLanguage,Segment"/>
    <n v="539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352"/>
    <x v="32"/>
    <s v="nsfw"/>
    <d v="1899-12-30T09:16:00"/>
    <s v="In-Stream Video"/>
    <s v="TJX"/>
    <s v="mobile"/>
    <s v="GEO,Frequency,OS,BrowserLanguage,Segment"/>
    <n v="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362"/>
    <x v="33"/>
    <s v="nsfw"/>
    <d v="1899-12-30T09:16:00"/>
    <s v="In-Stream Video"/>
    <s v="TJX"/>
    <s v="mobile"/>
    <s v="GEO,Frequency,OS,BrowserLanguage,Segment"/>
    <n v="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372"/>
    <x v="34"/>
    <s v="nsfw"/>
    <d v="1899-12-30T09:16:00"/>
    <s v="In-Stream Video"/>
    <s v="TJX"/>
    <s v="mobile"/>
    <s v="GEO,Frequency,OS,BrowserLanguage,Segment"/>
    <n v="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382"/>
    <x v="35"/>
    <s v="nsfw"/>
    <d v="1899-12-30T09:16:00"/>
    <s v="In-Stream Video"/>
    <s v="TJX"/>
    <s v="mobile"/>
    <s v="GEO,Frequency,OS,BrowserLanguage,Segment"/>
    <n v="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392"/>
    <x v="36"/>
    <s v="nsfw"/>
    <d v="1899-12-30T16:09:00"/>
    <s v="In-Stream Video"/>
    <s v="TJX"/>
    <s v="mobile"/>
    <s v="GEO,Frequency,Keyword,OS,BrowserLanguage"/>
    <n v="72"/>
    <n v="0"/>
    <s v="No"/>
    <n v="1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412"/>
    <x v="37"/>
    <s v="nsfw"/>
    <d v="1899-12-30T16:09:00"/>
    <s v="In-Stream Video"/>
    <s v="TJX"/>
    <s v="desktop"/>
    <s v="GEO,Frequency,Keyword,BrowserLanguage"/>
    <n v="14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422"/>
    <x v="38"/>
    <s v="nsfw"/>
    <d v="1899-12-30T16:09:00"/>
    <s v="In-Stream Video"/>
    <s v="TJX"/>
    <s v="mobile"/>
    <s v="GEO,Frequency,Keyword,OS,BrowserLanguage"/>
    <n v="46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432"/>
    <x v="39"/>
    <s v="nsfw"/>
    <d v="1899-12-30T16:09:00"/>
    <s v="In-Stream Video"/>
    <s v="TJX"/>
    <s v="mobile"/>
    <s v="GEO,Frequency,Keyword,BrowserLanguage"/>
    <n v="46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442"/>
    <x v="40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452"/>
    <x v="41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462"/>
    <x v="42"/>
    <s v="nsfw"/>
    <d v="1899-12-30T16:09:00"/>
    <s v="In-Stream Video"/>
    <s v="TJX"/>
    <s v="mobile"/>
    <s v="GEO,Frequency,Keyword,BrowserLanguage"/>
    <n v="72"/>
    <n v="0"/>
    <s v="No"/>
    <n v="1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472"/>
    <x v="43"/>
    <s v="nsfw"/>
    <d v="1899-12-30T16:09:00"/>
    <s v="In-Stream Video"/>
    <s v="TJX"/>
    <s v="mobile"/>
    <s v="GEO,Frequency,Keyword,OS,BrowserLanguage"/>
    <n v="46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482"/>
    <x v="44"/>
    <s v="nsfw"/>
    <d v="1899-12-30T16:09:00"/>
    <s v="In-Stream Video"/>
    <s v="TJX"/>
    <s v="desktop"/>
    <s v="GEO,Frequency,Keyword,BrowserLanguage"/>
    <n v="26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492"/>
    <x v="45"/>
    <s v="nsfw"/>
    <d v="1899-12-30T16:09:00"/>
    <s v="In-Stream Video"/>
    <s v="TJX"/>
    <s v="mobile"/>
    <s v="GEO,Frequency,Keyword,BrowserLanguage"/>
    <n v="7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502"/>
    <x v="46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512"/>
    <x v="47"/>
    <s v="nsfw"/>
    <d v="1899-12-30T16:09:00"/>
    <s v="In-Stream Video"/>
    <s v="TJX"/>
    <s v="mobile"/>
    <s v="GEO,Frequency,Keyword,OS,BrowserLanguage"/>
    <n v="12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RUNNING"/>
    <n v="1011822522"/>
    <x v="48"/>
    <s v="nsfw"/>
    <d v="1899-12-30T16:09:00"/>
    <s v="In-Stream Video"/>
    <s v="TJX"/>
    <s v="desktop"/>
    <s v="GEO,Frequency,Keyword,BrowserLanguage"/>
    <n v="65"/>
    <n v="0"/>
    <s v="Yes"/>
    <s v="Unlimited"/>
    <n v="979"/>
    <n v="47"/>
    <n v="4.8008199999999999"/>
    <n v="1"/>
    <n v="2.82"/>
    <n v="2.879"/>
    <n v="0.06"/>
    <n v="2.8180000000000001"/>
    <n v="1"/>
    <n v="0"/>
    <s v="Yes"/>
    <n v="979"/>
    <n v="736"/>
    <n v="112"/>
    <s v="General"/>
    <x v="0"/>
    <x v="4"/>
    <x v="0"/>
  </r>
  <r>
    <x v="1"/>
    <s v="PAUSED"/>
    <n v="1011822532"/>
    <x v="49"/>
    <s v="nsfw"/>
    <d v="1899-12-30T16:09:00"/>
    <s v="In-Stream Video"/>
    <s v="TJX"/>
    <s v="desktop"/>
    <s v="GEO,Frequency,Keyword,BrowserLanguage"/>
    <n v="273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PAUSED"/>
    <n v="1011822542"/>
    <x v="50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552"/>
    <x v="51"/>
    <s v="nsfw"/>
    <d v="1899-12-30T16:09:00"/>
    <s v="In-Stream Video"/>
    <s v="TJX"/>
    <s v="mobile"/>
    <s v="GEO,Frequency,Keyword,OS,BrowserLanguage"/>
    <n v="126"/>
    <n v="0"/>
    <s v="No"/>
    <n v="1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562"/>
    <x v="52"/>
    <s v="nsfw"/>
    <d v="1899-12-30T16:09:00"/>
    <s v="In-Stream Video"/>
    <s v="TJX"/>
    <s v="desktop"/>
    <s v="GEO,Frequency,Keyword,BrowserLanguage"/>
    <n v="273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572"/>
    <x v="53"/>
    <s v="nsfw"/>
    <d v="1899-12-30T16:09:00"/>
    <s v="In-Stream Video"/>
    <s v="TJX"/>
    <s v="mobile"/>
    <s v="GEO,Frequency,Keyword,OS,BrowserLanguage"/>
    <n v="52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PAUSED"/>
    <n v="1011822582"/>
    <x v="54"/>
    <s v="nsfw"/>
    <d v="1899-12-30T16:09:00"/>
    <s v="In-Stream Video"/>
    <s v="TJX"/>
    <s v="mobile"/>
    <s v="GEO,Frequency,Keyword,OS,BrowserLanguage"/>
    <n v="126"/>
    <n v="0"/>
    <s v="No"/>
    <n v="1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592"/>
    <x v="55"/>
    <s v="nsfw"/>
    <d v="1899-12-30T16:09:00"/>
    <s v="In-Stream Video"/>
    <s v="TJX"/>
    <s v="desktop"/>
    <s v="GEO,Frequency,Keyword,BrowserLanguage"/>
    <n v="273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PAUSED"/>
    <n v="1011822602"/>
    <x v="56"/>
    <s v="nsfw"/>
    <d v="1899-12-30T16:09:00"/>
    <s v="In-Stream Video"/>
    <s v="TJX"/>
    <s v="mobile"/>
    <s v="GEO,Frequency,Keyword,OS,BrowserLanguage"/>
    <n v="52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612"/>
    <x v="57"/>
    <s v="nsfw"/>
    <d v="1899-12-30T16:09:00"/>
    <s v="In-Stream Video"/>
    <s v="TJX"/>
    <s v="mobile"/>
    <s v="GEO,Frequency,Keyword,OS,BrowserLanguage"/>
    <n v="126"/>
    <n v="0"/>
    <s v="No"/>
    <n v="1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642"/>
    <x v="58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652"/>
    <x v="59"/>
    <s v="nsfw"/>
    <d v="1899-12-30T16:09:00"/>
    <s v="In-Stream Video"/>
    <s v="TJX"/>
    <s v="mobile"/>
    <s v="GEO,Frequency,Keyword,OS,BrowserLanguage"/>
    <n v="616"/>
    <n v="0"/>
    <s v="No"/>
    <n v="2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662"/>
    <x v="60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672"/>
    <x v="61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682"/>
    <x v="62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692"/>
    <x v="63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702"/>
    <x v="64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712"/>
    <x v="65"/>
    <s v="nsfw"/>
    <d v="1899-12-30T16:09:00"/>
    <s v="In-Stream Video"/>
    <s v="TJX"/>
    <s v="mobile"/>
    <s v="GEO,Frequency,Keyword,OS,BrowserLanguage"/>
    <n v="74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722"/>
    <x v="66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732"/>
    <x v="67"/>
    <s v="nsfw"/>
    <d v="1899-12-30T16:09:00"/>
    <s v="In-Stream Video"/>
    <s v="TJX"/>
    <s v="mobile"/>
    <s v="GEO,Frequency,Keyword,OS,BrowserLanguage"/>
    <n v="616"/>
    <n v="0"/>
    <s v="No"/>
    <n v="2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742"/>
    <x v="68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762"/>
    <x v="69"/>
    <s v="nsfw"/>
    <d v="1899-12-30T16:09:00"/>
    <s v="In-Stream Video"/>
    <s v="TJX"/>
    <s v="mobile"/>
    <s v="GEO,Frequency,Keyword,OS,BrowserLanguage"/>
    <n v="74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772"/>
    <x v="70"/>
    <s v="nsfw"/>
    <d v="1899-12-30T16:09:00"/>
    <s v="In-Stream Video"/>
    <s v="TJX"/>
    <s v="mobile"/>
    <s v="GEO,Frequency,Keyword,OS,BrowserLanguage"/>
    <n v="99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5"/>
    <x v="0"/>
  </r>
  <r>
    <x v="1"/>
    <s v="PAUSED"/>
    <n v="1011822782"/>
    <x v="71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792"/>
    <x v="72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22812"/>
    <x v="73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8812"/>
    <x v="74"/>
    <s v="nsfw"/>
    <d v="1899-12-30T16:09:00"/>
    <s v="In-Stream Video"/>
    <s v="TJX"/>
    <s v="desktop"/>
    <s v="GEO,Frequency,BrowserLanguage"/>
    <n v="17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6"/>
    <x v="0"/>
  </r>
  <r>
    <x v="1"/>
    <s v="PAUSED"/>
    <n v="1011838822"/>
    <x v="75"/>
    <s v="nsfw"/>
    <d v="1899-12-30T16:09:00"/>
    <s v="In-Stream Video"/>
    <s v="TJX"/>
    <s v="mobile"/>
    <s v="GEO,Frequency,OS,BrowserLanguage"/>
    <n v="242"/>
    <n v="0"/>
    <s v="No"/>
    <n v="1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8832"/>
    <x v="76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6"/>
    <x v="0"/>
  </r>
  <r>
    <x v="1"/>
    <s v="PAUSED"/>
    <n v="1011838852"/>
    <x v="77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8862"/>
    <x v="78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8882"/>
    <x v="79"/>
    <s v="nsfw"/>
    <d v="1899-12-30T16:09:00"/>
    <s v="In-Stream Video"/>
    <s v="TJX"/>
    <s v="desktop"/>
    <s v="GEO,Frequency,BrowserLanguage"/>
    <n v="1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6"/>
    <x v="0"/>
  </r>
  <r>
    <x v="1"/>
    <s v="PAUSED"/>
    <n v="1011838892"/>
    <x v="80"/>
    <s v="nsfw"/>
    <d v="1899-12-30T16:09:00"/>
    <s v="In-Stream Video"/>
    <s v="TJX"/>
    <s v="desktop"/>
    <s v="GEO,Frequency,BrowserLanguage"/>
    <n v="2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6"/>
    <x v="0"/>
  </r>
  <r>
    <x v="1"/>
    <s v="PAUSED"/>
    <n v="1011838902"/>
    <x v="81"/>
    <s v="nsfw"/>
    <d v="1899-12-30T16:09:00"/>
    <s v="In-Stream Video"/>
    <s v="TJX"/>
    <s v="desktop"/>
    <s v="GEO,Frequency,BrowserLanguage"/>
    <n v="17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8912"/>
    <x v="82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6"/>
    <x v="0"/>
  </r>
  <r>
    <x v="1"/>
    <s v="PAUSED"/>
    <n v="1011838922"/>
    <x v="83"/>
    <s v="nsfw"/>
    <d v="1899-12-30T16:09:00"/>
    <s v="In-Stream Video"/>
    <s v="TJX"/>
    <s v="mobile"/>
    <s v="GEO,Frequency,OS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8932"/>
    <x v="84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8942"/>
    <x v="85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8952"/>
    <x v="86"/>
    <s v="nsfw"/>
    <d v="1899-12-30T16:09:00"/>
    <s v="In-Stream Video"/>
    <s v="TJX"/>
    <s v="mobile"/>
    <s v="GEO,Frequency,Keyword,OS,BrowserLanguage"/>
    <n v="74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8962"/>
    <x v="87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8972"/>
    <x v="88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8982"/>
    <x v="89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8992"/>
    <x v="90"/>
    <s v="nsfw"/>
    <d v="1899-12-30T16:09:00"/>
    <s v="In-Stream Video"/>
    <s v="TJX"/>
    <s v="mobile"/>
    <s v="GEO,Frequency,Keyword,OS,BrowserLanguage"/>
    <n v="22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002"/>
    <x v="91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012"/>
    <x v="92"/>
    <s v="nsfw"/>
    <d v="1899-12-30T16:09:00"/>
    <s v="In-Stream Video"/>
    <s v="TJX"/>
    <s v="desktop"/>
    <s v="GEO,Frequency,Keyword,BrowserLanguage"/>
    <n v="8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022"/>
    <x v="93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032"/>
    <x v="94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042"/>
    <x v="95"/>
    <s v="nsfw"/>
    <d v="1899-12-30T16:09:00"/>
    <s v="In-Stream Video"/>
    <s v="TJX"/>
    <s v="mobile"/>
    <s v="GEO,Frequency,Keyword,OS,BrowserLanguage"/>
    <n v="130"/>
    <n v="0"/>
    <s v="No"/>
    <n v="1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052"/>
    <x v="96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072"/>
    <x v="97"/>
    <s v="nsfw"/>
    <d v="1899-12-30T16:09:00"/>
    <s v="In-Stream Video"/>
    <s v="TJX"/>
    <s v="mobile"/>
    <s v="GEO,Frequency,Keyword,OS,BrowserLanguage"/>
    <n v="130"/>
    <n v="0"/>
    <s v="No"/>
    <n v="1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082"/>
    <x v="98"/>
    <s v="nsfw"/>
    <d v="1899-12-30T16:09:00"/>
    <s v="In-Stream Video"/>
    <s v="TJX"/>
    <s v="mobile"/>
    <s v="GEO,Frequency,Keyword,OS,BrowserLanguage"/>
    <n v="52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092"/>
    <x v="99"/>
    <s v="nsfw"/>
    <d v="1899-12-30T16:09:00"/>
    <s v="In-Stream Video"/>
    <s v="TJX"/>
    <s v="desktop"/>
    <s v="GEO,Frequency,Keyword,BrowserLanguage"/>
    <n v="26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102"/>
    <x v="100"/>
    <s v="nsfw"/>
    <d v="1899-12-30T16:09:00"/>
    <s v="In-Stream Video"/>
    <s v="TJX"/>
    <s v="desktop"/>
    <s v="GEO,Frequency,Keyword,BrowserLanguage"/>
    <n v="26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112"/>
    <x v="101"/>
    <s v="nsfw"/>
    <d v="1899-12-30T16:09:00"/>
    <s v="In-Stream Video"/>
    <s v="TJX"/>
    <s v="mobile"/>
    <s v="GEO,Frequency,Keyword,OS,BrowserLanguage"/>
    <n v="52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122"/>
    <x v="102"/>
    <s v="nsfw"/>
    <d v="1899-12-30T16:09:00"/>
    <s v="In-Stream Video"/>
    <s v="TJX"/>
    <s v="mobile"/>
    <s v="GEO,Frequency,Keyword,OS,BrowserLanguage"/>
    <n v="130"/>
    <n v="0"/>
    <s v="No"/>
    <n v="1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132"/>
    <x v="103"/>
    <s v="nsfw"/>
    <d v="1899-12-30T16:09:00"/>
    <s v="In-Stream Video"/>
    <s v="TJX"/>
    <s v="mobile"/>
    <s v="GEO,Frequency,Keyword,OS,BrowserLanguage"/>
    <n v="13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142"/>
    <x v="104"/>
    <s v="nsfw"/>
    <d v="1899-12-30T16:09:00"/>
    <s v="In-Stream Video"/>
    <s v="TJX"/>
    <s v="mobile"/>
    <s v="GEO,Frequency,Keyword,OS,BrowserLanguage"/>
    <n v="52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152"/>
    <x v="105"/>
    <s v="nsfw"/>
    <d v="1899-12-30T16:09:00"/>
    <s v="In-Stream Video"/>
    <s v="TJX"/>
    <s v="desktop"/>
    <s v="GEO,Frequency,Keyword,BrowserLanguage"/>
    <n v="26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162"/>
    <x v="106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1839172"/>
    <x v="107"/>
    <s v="nsfw"/>
    <d v="1899-12-30T16:09:00"/>
    <s v="In-Stream Video"/>
    <s v="TJX"/>
    <s v="desktop"/>
    <s v="GEO,Frequency,Keyword,BrowserLanguage"/>
    <n v="45"/>
    <n v="0"/>
    <s v="Yes"/>
    <s v="Unlimited"/>
    <n v="26154"/>
    <n v="1165"/>
    <n v="4.4543900000000001"/>
    <n v="0"/>
    <n v="98.63"/>
    <n v="3.7709999999999999"/>
    <n v="8.5000000000000006E-2"/>
    <n v="0"/>
    <n v="1"/>
    <n v="0"/>
    <s v="Yes"/>
    <n v="26154"/>
    <n v="20294"/>
    <n v="3268"/>
    <s v="General"/>
    <x v="0"/>
    <x v="3"/>
    <x v="0"/>
  </r>
  <r>
    <x v="1"/>
    <s v="PAUSED"/>
    <n v="1011839182"/>
    <x v="108"/>
    <s v="nsfw"/>
    <d v="1899-12-30T16:09:00"/>
    <s v="In-Stream Video"/>
    <s v="TJX"/>
    <s v="mobile"/>
    <s v="GEO,Frequency,Keyword,OS,BrowserLanguage"/>
    <n v="99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RUNNING"/>
    <n v="1011839192"/>
    <x v="109"/>
    <s v="nsfw"/>
    <d v="1899-12-30T16:09:00"/>
    <s v="In-Stream Video"/>
    <s v="TJX"/>
    <s v="mobile"/>
    <s v="GEO,Frequency,Keyword,OS,BrowserLanguage"/>
    <n v="99"/>
    <n v="0"/>
    <s v="Yes"/>
    <s v="Unlimited"/>
    <n v="966"/>
    <n v="65"/>
    <n v="6.7287800000000004"/>
    <n v="0"/>
    <n v="1.91"/>
    <n v="1.9750000000000001"/>
    <n v="2.9000000000000001E-2"/>
    <n v="0"/>
    <n v="1"/>
    <n v="0"/>
    <s v="Yes"/>
    <n v="966"/>
    <n v="856"/>
    <n v="88"/>
    <s v="General"/>
    <x v="0"/>
    <x v="3"/>
    <x v="0"/>
  </r>
  <r>
    <x v="1"/>
    <s v="PAUSED"/>
    <n v="1011839202"/>
    <x v="110"/>
    <s v="nsfw"/>
    <d v="1899-12-30T16:09:00"/>
    <s v="In-Stream Video"/>
    <s v="TJX"/>
    <s v="desktop"/>
    <s v="GEO,Frequency,Keyword,BrowserLanguage"/>
    <n v="45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7"/>
    <x v="0"/>
  </r>
  <r>
    <x v="1"/>
    <s v="RUNNING"/>
    <n v="1011839212"/>
    <x v="111"/>
    <s v="nsfw"/>
    <d v="1899-12-30T16:09:00"/>
    <s v="In-Stream Video"/>
    <s v="TJX"/>
    <s v="desktop"/>
    <s v="GEO,Frequency,Keyword,BrowserLanguage"/>
    <n v="45"/>
    <n v="0"/>
    <s v="Yes"/>
    <s v="Unlimited"/>
    <n v="5967"/>
    <n v="249"/>
    <n v="4.1729500000000002"/>
    <n v="0"/>
    <n v="15.62"/>
    <n v="2.6179999999999999"/>
    <n v="6.3E-2"/>
    <n v="0"/>
    <n v="1"/>
    <n v="0"/>
    <s v="Yes"/>
    <n v="5967"/>
    <n v="4605"/>
    <n v="808"/>
    <s v="General"/>
    <x v="0"/>
    <x v="3"/>
    <x v="0"/>
  </r>
  <r>
    <x v="1"/>
    <s v="PAUSED"/>
    <n v="1011839222"/>
    <x v="112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232"/>
    <x v="113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242"/>
    <x v="114"/>
    <s v="nsfw"/>
    <d v="1899-12-30T16:09:00"/>
    <s v="In-Stream Video"/>
    <s v="TJX"/>
    <s v="mobile"/>
    <s v="GEO,Frequency,Keyword,OS,BrowserLanguage"/>
    <n v="99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252"/>
    <x v="115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262"/>
    <x v="116"/>
    <s v="nsfw"/>
    <d v="1899-12-30T16:09:00"/>
    <s v="In-Stream Video"/>
    <s v="TJX"/>
    <s v="desktop"/>
    <s v="GEO,Frequency,Keyword,BrowserLanguage"/>
    <n v="268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PAUSED"/>
    <n v="1011839272"/>
    <x v="117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282"/>
    <x v="118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292"/>
    <x v="119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302"/>
    <x v="120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8"/>
    <x v="0"/>
  </r>
  <r>
    <x v="1"/>
    <s v="PAUSED"/>
    <n v="1011839312"/>
    <x v="121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322"/>
    <x v="122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332"/>
    <x v="123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342"/>
    <x v="124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352"/>
    <x v="125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362"/>
    <x v="126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39372"/>
    <x v="127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43472"/>
    <x v="128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43482"/>
    <x v="129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47032"/>
    <x v="130"/>
    <s v="nsfw"/>
    <d v="1899-12-30T16:09:00"/>
    <s v="In-Stream Video"/>
    <s v="TJX"/>
    <s v="desktop"/>
    <s v="GEO,Frequency,Keyword,BrowserLanguage"/>
    <n v="355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47042"/>
    <x v="131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47052"/>
    <x v="132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47062"/>
    <x v="133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47072"/>
    <x v="134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47082"/>
    <x v="135"/>
    <s v="nsfw"/>
    <d v="1899-12-30T16:09:00"/>
    <s v="In-Stream Video"/>
    <s v="TJX"/>
    <s v="mobile"/>
    <s v="GEO,Frequency,Keyword,OS,BrowserLanguage"/>
    <n v="891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47092"/>
    <x v="136"/>
    <s v="nsfw"/>
    <d v="1899-12-30T16:09:00"/>
    <s v="In-Stream Video"/>
    <s v="TJX"/>
    <s v="mobile"/>
    <s v="GEO,Frequency,Keyword,OS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47112"/>
    <x v="137"/>
    <s v="nsfw"/>
    <d v="1899-12-30T16:09:00"/>
    <s v="In-Stream Video"/>
    <s v="TJX"/>
    <s v="desktop"/>
    <s v="GEO,Frequency,Keyword,BrowserLanguage"/>
    <n v="355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47122"/>
    <x v="138"/>
    <s v="nsfw"/>
    <d v="1899-12-30T16:09:00"/>
    <s v="In-Stream Video"/>
    <s v="TJX"/>
    <s v="desktop"/>
    <s v="GEO,Frequency,Keyword,BrowserLanguage"/>
    <n v="355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47132"/>
    <x v="139"/>
    <s v="nsfw"/>
    <d v="1899-12-30T16:09:00"/>
    <s v="In-Stream Video"/>
    <s v="TJX"/>
    <s v="desktop"/>
    <s v="GEO,Frequency,Keyword,BrowserLanguage"/>
    <n v="355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7952"/>
    <x v="140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7962"/>
    <x v="141"/>
    <s v="nsfw"/>
    <d v="1899-12-30T16:09:00"/>
    <s v="In-Stream Video"/>
    <s v="TJX"/>
    <s v="desktop"/>
    <s v="GEO,Frequency,Keyword,BrowserLanguage"/>
    <n v="8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7972"/>
    <x v="142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7982"/>
    <x v="143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7992"/>
    <x v="144"/>
    <s v="nsfw"/>
    <d v="1899-12-30T16:09:00"/>
    <s v="In-Stream Video"/>
    <s v="TJX"/>
    <s v="desktop"/>
    <s v="GEO,Frequency,Keyword,BrowserLanguage"/>
    <n v="8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8002"/>
    <x v="145"/>
    <s v="nsfw"/>
    <d v="1899-12-30T16:09:00"/>
    <s v="In-Stream Video"/>
    <s v="TJX"/>
    <s v="desktop"/>
    <s v="GEO,Frequency,Keyword,BrowserLanguage"/>
    <n v="14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8012"/>
    <x v="146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8022"/>
    <x v="147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8032"/>
    <x v="148"/>
    <s v="nsfw"/>
    <d v="1899-12-30T16:09:00"/>
    <s v="In-Stream Video"/>
    <s v="TJX"/>
    <s v="desktop"/>
    <s v="GEO,Frequency,Keyword,BrowserLanguage"/>
    <n v="88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8042"/>
    <x v="149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8052"/>
    <x v="150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8062"/>
    <x v="151"/>
    <s v="nsfw"/>
    <d v="1899-12-30T16:09:00"/>
    <s v="In-Stream Video"/>
    <s v="TJX"/>
    <s v="mobile"/>
    <s v="GEO,Frequency,Keyword,OS,BrowserLanguage"/>
    <n v="220"/>
    <n v="0"/>
    <s v="No"/>
    <n v="2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8072"/>
    <x v="152"/>
    <s v="nsfw"/>
    <d v="1899-12-30T16:09:00"/>
    <s v="In-Stream Video"/>
    <s v="TJX"/>
    <s v="mobile"/>
    <s v="GEO,Frequency,Keyword,OS,BrowserLanguage"/>
    <n v="22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8402"/>
    <x v="153"/>
    <s v="nsfw"/>
    <d v="1899-12-30T09:16:00"/>
    <s v="In-Stream Video"/>
    <s v="TJX"/>
    <s v="mobile"/>
    <s v="GEO,Frequency,OS,Browser,BrowserLanguage"/>
    <n v="11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8412"/>
    <x v="154"/>
    <s v="nsfw"/>
    <d v="1899-12-30T09:16:00"/>
    <s v="In-Stream Video"/>
    <s v="TJX"/>
    <s v="mobile"/>
    <s v="GEO,Frequency,OS,BrowserLanguage"/>
    <n v="5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8422"/>
    <x v="155"/>
    <s v="nsfw"/>
    <d v="1899-12-30T09:16:00"/>
    <s v="In-Stream Video"/>
    <s v="TJX"/>
    <s v="mobile"/>
    <s v="GEO,Frequency,OS,BrowserLanguage"/>
    <n v="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8432"/>
    <x v="156"/>
    <s v="nsfw"/>
    <d v="1899-12-30T09:16:00"/>
    <s v="In-Stream Video"/>
    <s v="TJX"/>
    <s v="mobile"/>
    <s v="GEO,Frequency,OS,BrowserLanguage"/>
    <n v="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8442"/>
    <x v="157"/>
    <s v="nsfw"/>
    <d v="1899-12-30T09:16:00"/>
    <s v="In-Stream Video"/>
    <s v="TJX"/>
    <s v="mobile"/>
    <s v="GEO,Frequency,OS,BrowserLanguage"/>
    <n v="11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8452"/>
    <x v="158"/>
    <s v="nsfw"/>
    <d v="1899-12-30T09:16:00"/>
    <s v="In-Stream Video"/>
    <s v="TJX"/>
    <s v="mobile"/>
    <s v="GEO,Frequency,OS,BrowserLanguage"/>
    <n v="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8462"/>
    <x v="159"/>
    <s v="nsfw"/>
    <d v="1899-12-30T09:16:00"/>
    <s v="In-Stream Video"/>
    <s v="TJX"/>
    <s v="mobile"/>
    <s v="GEO,Frequency,OS,BrowserLanguage"/>
    <n v="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9612"/>
    <x v="160"/>
    <s v="nsfw"/>
    <d v="1899-12-30T16:09:00"/>
    <s v="In-Stream Video"/>
    <s v="TJX"/>
    <s v="mobile"/>
    <s v="GEO,Frequency,Keyword,OS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9622"/>
    <x v="161"/>
    <s v="nsfw"/>
    <d v="1899-12-30T16:09:00"/>
    <s v="In-Stream Video"/>
    <s v="TJX"/>
    <s v="mobile"/>
    <s v="GEO,Frequency,Keyword,OS,BrowserLanguage"/>
    <n v="6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9632"/>
    <x v="162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9642"/>
    <x v="163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9652"/>
    <x v="164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9662"/>
    <x v="165"/>
    <s v="nsfw"/>
    <d v="1899-12-30T16:09:00"/>
    <s v="In-Stream Video"/>
    <s v="TJX"/>
    <s v="mobile"/>
    <s v="GEO,Frequency,Keyword,OS,BrowserLanguage"/>
    <n v="616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59672"/>
    <x v="166"/>
    <s v="nsfw"/>
    <d v="1899-12-30T16:09:00"/>
    <s v="In-Stream Video"/>
    <s v="TJX"/>
    <s v="mobile"/>
    <s v="GEO,Frequency,Keyword,OS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812"/>
    <x v="167"/>
    <s v="nsfw"/>
    <d v="1899-12-30T16:09:00"/>
    <s v="In-Stream Video"/>
    <s v="TJX"/>
    <s v="mobile"/>
    <s v="GEO,Frequency,Keyword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822"/>
    <x v="168"/>
    <s v="nsfw"/>
    <d v="1899-12-30T16:09:00"/>
    <s v="In-Stream Video"/>
    <s v="TJX"/>
    <s v="mobile"/>
    <s v="GEO,Frequency,Keyword,BrowserLanguage"/>
    <n v="22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832"/>
    <x v="169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842"/>
    <x v="170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852"/>
    <x v="171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862"/>
    <x v="172"/>
    <s v="nsfw"/>
    <d v="1899-12-30T16:09:00"/>
    <s v="In-Stream Video"/>
    <s v="TJX"/>
    <s v="mobile"/>
    <s v="GEO,Frequency,Keyword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872"/>
    <x v="173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882"/>
    <x v="174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892"/>
    <x v="175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902"/>
    <x v="176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912"/>
    <x v="177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922"/>
    <x v="178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932"/>
    <x v="179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942"/>
    <x v="180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952"/>
    <x v="181"/>
    <s v="nsfw"/>
    <d v="1899-12-30T16:09:00"/>
    <s v="In-Stream Video"/>
    <s v="TJX"/>
    <s v="mobile"/>
    <s v="GEO,Frequency,Keyword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962"/>
    <x v="182"/>
    <s v="nsfw"/>
    <d v="1899-12-30T16:09:00"/>
    <s v="In-Stream Video"/>
    <s v="TJX"/>
    <s v="mobile"/>
    <s v="GEO,Frequency,Keyword,BrowserLanguage"/>
    <n v="22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972"/>
    <x v="183"/>
    <s v="nsfw"/>
    <d v="1899-12-30T16:09:00"/>
    <s v="In-Stream Video"/>
    <s v="TJX"/>
    <s v="mobile"/>
    <s v="GEO,Frequency,Keyword,BrowserLanguage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982"/>
    <x v="184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0992"/>
    <x v="185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1002"/>
    <x v="186"/>
    <s v="nsfw"/>
    <d v="1899-12-30T16:09:00"/>
    <s v="In-Stream Video"/>
    <s v="TJX"/>
    <s v="mobile"/>
    <s v="GEO,Frequency,BrowserLanguage,Segment"/>
    <n v="616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1012"/>
    <x v="187"/>
    <s v="nsfw"/>
    <d v="1899-12-30T16:09:00"/>
    <s v="In-Stream Video"/>
    <s v="TJX"/>
    <s v="mobile"/>
    <s v="GEO,Frequency,BrowserLanguage,Segment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1022"/>
    <x v="188"/>
    <s v="nsfw"/>
    <d v="1899-12-30T16:09:00"/>
    <s v="In-Stream Video"/>
    <s v="TJX"/>
    <s v="mobile"/>
    <s v="GEO,Frequency,BrowserLanguage,Segment"/>
    <n v="2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1032"/>
    <x v="189"/>
    <s v="nsfw"/>
    <d v="1899-12-30T16:09:00"/>
    <s v="In-Stream Video"/>
    <s v="TJX"/>
    <s v="mobile"/>
    <s v="GEO,Frequency,Keyword,BrowserLanguage"/>
    <n v="616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1382"/>
    <x v="190"/>
    <s v="nsfw"/>
    <d v="1899-12-30T16:09:00"/>
    <s v="In-Stream Video"/>
    <s v="TJX"/>
    <s v="mobile"/>
    <s v="GEO,Frequency,Keyword,BrowserLanguage"/>
    <n v="30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61402"/>
    <x v="191"/>
    <s v="nsfw"/>
    <d v="1899-12-30T16:09:00"/>
    <s v="In-Stream Video"/>
    <s v="TJX"/>
    <s v="mobile"/>
    <s v="GEO,Frequency,Keyword,BrowserLanguage"/>
    <n v="24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83592"/>
    <x v="192"/>
    <s v="nsfw"/>
    <s v="640 x 360"/>
    <s v="Display"/>
    <s v="TJX"/>
    <s v="mobile"/>
    <s v="GEO,Frequency,Keyword,BrowserLanguage"/>
    <n v="44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1884752"/>
    <x v="193"/>
    <s v="nsfw"/>
    <d v="1899-12-30T16:09:00"/>
    <s v="In-Stream Video"/>
    <s v="TJX"/>
    <s v="mobile"/>
    <s v="GEO,Frequency,BrowserLanguage"/>
    <n v="99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374472"/>
    <x v="194"/>
    <s v="nsfw"/>
    <d v="1899-12-30T16:09:00"/>
    <s v="In-Stream Video"/>
    <s v="TJX"/>
    <s v="mobile"/>
    <s v="GEO,Frequency,Keyword,BrowserLanguage"/>
    <n v="33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374482"/>
    <x v="195"/>
    <s v="nsfw"/>
    <d v="1899-12-30T16:09:00"/>
    <s v="In-Stream Video"/>
    <s v="TJX"/>
    <s v="mobile"/>
    <s v="GEO,Frequency,Keyword,BrowserLanguage"/>
    <n v="33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374492"/>
    <x v="196"/>
    <s v="nsfw"/>
    <d v="1899-12-30T16:09:00"/>
    <s v="In-Stream Video"/>
    <s v="TJX"/>
    <s v="mobile"/>
    <s v="GEO,Frequency,Keyword,BrowserLanguage"/>
    <n v="33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374502"/>
    <x v="197"/>
    <s v="nsfw"/>
    <d v="1899-12-30T16:09:00"/>
    <s v="In-Stream Video"/>
    <s v="TJX"/>
    <s v="mobile"/>
    <s v="GEO,Frequency,Keyword,BrowserLanguage"/>
    <n v="33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374512"/>
    <x v="198"/>
    <s v="nsfw"/>
    <d v="1899-12-30T16:09:00"/>
    <s v="In-Stream Video"/>
    <s v="TJX"/>
    <s v="mobile"/>
    <s v="GEO,Frequency,Keyword,BrowserLanguage"/>
    <n v="33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374522"/>
    <x v="199"/>
    <s v="nsfw"/>
    <d v="1899-12-30T16:09:00"/>
    <s v="In-Stream Video"/>
    <s v="TJX"/>
    <s v="mobile"/>
    <s v="GEO,Frequency,Keyword,OS,Browser,BrowserLanguage"/>
    <n v="33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572"/>
    <x v="200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582"/>
    <x v="201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602"/>
    <x v="202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612"/>
    <x v="203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622"/>
    <x v="204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632"/>
    <x v="205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652"/>
    <x v="206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662"/>
    <x v="207"/>
    <s v="nsfw"/>
    <d v="1899-12-30T16:09:00"/>
    <s v="In-Stream Video"/>
    <s v="TJX"/>
    <s v="desktop"/>
    <s v="GEO,Frequency,Keyword,BrowserLanguage"/>
    <n v="404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672"/>
    <x v="20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682"/>
    <x v="209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702"/>
    <x v="210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712"/>
    <x v="211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722"/>
    <x v="212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732"/>
    <x v="213"/>
    <s v="nsfw"/>
    <d v="1899-12-30T16:09:00"/>
    <s v="In-Stream Video"/>
    <s v="TJX"/>
    <s v="mobile"/>
    <s v="GEO,Frequency,Keyword,OS,BrowserLanguage"/>
    <n v="101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5"/>
    <x v="0"/>
  </r>
  <r>
    <x v="1"/>
    <s v="PAUSED"/>
    <n v="1012702742"/>
    <x v="214"/>
    <s v="nsfw"/>
    <d v="1899-12-30T16:09:00"/>
    <s v="In-Stream Video"/>
    <s v="TJX"/>
    <s v="desktop"/>
    <s v="GEO,Frequency,Keyword,BrowserLanguage"/>
    <n v="35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752"/>
    <x v="215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762"/>
    <x v="216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772"/>
    <x v="217"/>
    <s v="nsfw"/>
    <d v="1899-12-30T16:09:00"/>
    <s v="In-Stream Video"/>
    <s v="TJX"/>
    <s v="desktop"/>
    <s v="GEO,Frequency,Keyword,BrowserLanguage"/>
    <n v="35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792"/>
    <x v="218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802"/>
    <x v="219"/>
    <s v="nsfw"/>
    <d v="1899-12-30T16:09:00"/>
    <s v="In-Stream Video"/>
    <s v="TJX"/>
    <s v="desktop"/>
    <s v="GEO,Frequency,Keyword,BrowserLanguage"/>
    <n v="35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812"/>
    <x v="220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822"/>
    <x v="221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832"/>
    <x v="222"/>
    <s v="nsfw"/>
    <d v="1899-12-30T16:09:00"/>
    <s v="In-Stream Video"/>
    <s v="TJX"/>
    <s v="desktop"/>
    <s v="GEO,Frequency,Keyword,BrowserLanguage"/>
    <n v="356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842"/>
    <x v="22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2872"/>
    <x v="224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162"/>
    <x v="225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182"/>
    <x v="226"/>
    <s v="nsfw"/>
    <d v="1899-12-30T16:09:00"/>
    <s v="In-Stream Video"/>
    <s v="TJX"/>
    <s v="desktop"/>
    <s v="GEO,Frequency,BrowserLanguage"/>
    <n v="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202"/>
    <x v="227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212"/>
    <x v="228"/>
    <s v="nsfw"/>
    <d v="1899-12-30T16:09:00"/>
    <s v="In-Stream Video"/>
    <s v="TJX"/>
    <s v="mobile"/>
    <s v="GEO,Frequency,OS,BrowserLanguage"/>
    <n v="4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222"/>
    <x v="229"/>
    <s v="nsfw"/>
    <d v="1899-12-30T16:09:00"/>
    <s v="In-Stream Video"/>
    <s v="TJX"/>
    <s v="desktop"/>
    <s v="GEO,Frequency,BrowserLanguage"/>
    <n v="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242"/>
    <x v="230"/>
    <s v="nsfw"/>
    <d v="1899-12-30T16:09:00"/>
    <s v="In-Stream Video"/>
    <s v="TJX"/>
    <s v="desktop"/>
    <s v="GEO,Frequency,BrowserLanguage"/>
    <n v="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252"/>
    <x v="231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262"/>
    <x v="232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292"/>
    <x v="233"/>
    <s v="nsfw"/>
    <d v="1899-12-30T16:09:00"/>
    <s v="In-Stream Video"/>
    <s v="TJX"/>
    <s v="mobile"/>
    <s v="GEO,Frequency,OS,BrowserLanguage"/>
    <n v="4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302"/>
    <x v="234"/>
    <s v="nsfw"/>
    <d v="1899-12-30T16:09:00"/>
    <s v="In-Stream Video"/>
    <s v="TJX"/>
    <s v="mobile"/>
    <s v="GEO,Frequency,OS,BrowserLanguage"/>
    <n v="4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312"/>
    <x v="235"/>
    <s v="nsfw"/>
    <d v="1899-12-30T16:09:00"/>
    <s v="In-Stream Video"/>
    <s v="TJX"/>
    <s v="desktop"/>
    <s v="GEO,Frequency,BrowserLanguage"/>
    <n v="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5"/>
    <x v="0"/>
  </r>
  <r>
    <x v="1"/>
    <s v="PAUSED"/>
    <n v="1012703332"/>
    <x v="236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342"/>
    <x v="237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352"/>
    <x v="238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362"/>
    <x v="239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372"/>
    <x v="240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382"/>
    <x v="241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392"/>
    <x v="242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402"/>
    <x v="243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412"/>
    <x v="244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422"/>
    <x v="245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432"/>
    <x v="246"/>
    <s v="nsfw"/>
    <d v="1899-12-30T16:09:00"/>
    <s v="In-Stream Video"/>
    <s v="TJX"/>
    <s v="desktop"/>
    <s v="GEO,Frequency,Keyword,BrowserLanguage"/>
    <n v="404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9"/>
    <x v="0"/>
  </r>
  <r>
    <x v="1"/>
    <s v="PAUSED"/>
    <n v="1012703442"/>
    <x v="247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452"/>
    <x v="248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462"/>
    <x v="249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5"/>
    <x v="0"/>
  </r>
  <r>
    <x v="1"/>
    <s v="PAUSED"/>
    <n v="1012703472"/>
    <x v="250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482"/>
    <x v="251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492"/>
    <x v="252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502"/>
    <x v="253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512"/>
    <x v="254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522"/>
    <x v="255"/>
    <s v="nsfw"/>
    <d v="1899-12-30T16:09:00"/>
    <s v="In-Stream Video"/>
    <s v="TJX"/>
    <s v="desktop"/>
    <s v="GEO,Frequency,Keyword,BrowserLanguage"/>
    <n v="404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532"/>
    <x v="256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542"/>
    <x v="257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552"/>
    <x v="258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562"/>
    <x v="259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572"/>
    <x v="260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582"/>
    <x v="261"/>
    <s v="nsfw"/>
    <d v="1899-12-30T16:09:00"/>
    <s v="In-Stream Video"/>
    <s v="TJX"/>
    <s v="desktop"/>
    <s v="GEO,Frequency,Keyword,BrowserLanguage"/>
    <n v="2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592"/>
    <x v="262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602"/>
    <x v="263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612"/>
    <x v="264"/>
    <s v="nsfw"/>
    <d v="1899-12-30T16:09:00"/>
    <s v="In-Stream Video"/>
    <s v="TJX"/>
    <s v="desktop"/>
    <s v="GEO,Frequency,Keyword,BrowserLanguage"/>
    <n v="212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622"/>
    <x v="265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632"/>
    <x v="266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642"/>
    <x v="267"/>
    <s v="nsfw"/>
    <d v="1899-12-30T16:09:00"/>
    <s v="In-Stream Video"/>
    <s v="TJX"/>
    <s v="desktop"/>
    <s v="GEO,Frequency,Keyword,BrowserLanguage"/>
    <n v="404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652"/>
    <x v="268"/>
    <s v="nsfw"/>
    <d v="1899-12-30T16:09:00"/>
    <s v="In-Stream Video"/>
    <s v="TJX"/>
    <s v="mobile"/>
    <s v="GEO,Frequency,Keyword,OS,BrowserLanguage"/>
    <n v="5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662"/>
    <x v="269"/>
    <s v="nsfw"/>
    <d v="1899-12-30T16:09:00"/>
    <s v="In-Stream Video"/>
    <s v="TJX"/>
    <s v="mobile"/>
    <s v="GEO,Frequency,Keyword,OS,BrowserLanguage"/>
    <n v="101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672"/>
    <x v="270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3682"/>
    <x v="271"/>
    <s v="nsfw"/>
    <d v="1899-12-30T16:09:00"/>
    <s v="In-Stream Video"/>
    <s v="TJX"/>
    <s v="mobile"/>
    <s v="GEO,Frequency,Keyword,OS,BrowserLanguage"/>
    <n v="53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7882"/>
    <x v="199"/>
    <s v="nsfw"/>
    <d v="1899-12-30T16:09:00"/>
    <s v="In-Stream Video"/>
    <s v="TJX"/>
    <s v="mobile"/>
    <s v="GEO,Frequency,Keyword,BrowserLanguage"/>
    <n v="298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7892"/>
    <x v="272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7912"/>
    <x v="273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7922"/>
    <x v="274"/>
    <s v="nsfw"/>
    <d v="1899-12-30T16:09:00"/>
    <s v="In-Stream Video"/>
    <s v="TJX"/>
    <s v="mobile"/>
    <s v="GEO,Frequency,Keyword,BrowserLanguage"/>
    <n v="598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07932"/>
    <x v="275"/>
    <s v="nsfw"/>
    <d v="1899-12-30T16:09:00"/>
    <s v="In-Stream Video"/>
    <s v="TJX"/>
    <s v="mobile"/>
    <s v="GEO,Frequency,Keyword,BrowserLanguage"/>
    <n v="598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692"/>
    <x v="276"/>
    <s v="nsfw"/>
    <d v="1899-12-30T16:09:00"/>
    <s v="In-Stream Video"/>
    <s v="TJX"/>
    <s v="mobile"/>
    <s v="GEO,Frequency,Keyword,OS,Browser,BrowserLanguage"/>
    <n v="105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702"/>
    <x v="27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722"/>
    <x v="278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732"/>
    <x v="279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742"/>
    <x v="280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752"/>
    <x v="281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762"/>
    <x v="282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772"/>
    <x v="283"/>
    <s v="nsfw"/>
    <d v="1899-12-30T16:09:00"/>
    <s v="In-Stream Video"/>
    <s v="TJX"/>
    <s v="mobile"/>
    <s v="GEO,Frequency,Keyword,OS,BrowserLanguage"/>
    <n v="57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782"/>
    <x v="284"/>
    <s v="nsfw"/>
    <d v="1899-12-30T16:09:00"/>
    <s v="In-Stream Video"/>
    <s v="TJX"/>
    <s v="desktop"/>
    <s v="GEO,Frequency,Keyword,BrowserLanguage"/>
    <n v="22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792"/>
    <x v="285"/>
    <s v="nsfw"/>
    <d v="1899-12-30T16:09:00"/>
    <s v="In-Stream Video"/>
    <s v="TJX"/>
    <s v="mobile"/>
    <s v="GEO,Frequency,Keyword,OS,BrowserLanguage"/>
    <n v="57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802"/>
    <x v="286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5"/>
    <x v="0"/>
  </r>
  <r>
    <x v="1"/>
    <s v="PAUSED"/>
    <n v="1012710812"/>
    <x v="287"/>
    <s v="nsfw"/>
    <d v="1899-12-30T16:09:00"/>
    <s v="In-Stream Video"/>
    <s v="TJX"/>
    <s v="desktop"/>
    <s v="GEO,Frequency,Keyword,BrowserLanguage"/>
    <n v="372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822"/>
    <x v="28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832"/>
    <x v="289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710842"/>
    <x v="290"/>
    <s v="nsfw"/>
    <d v="1899-12-30T16:09:00"/>
    <s v="In-Stream Video"/>
    <s v="TJX"/>
    <s v="desktop"/>
    <s v="GEO,Frequency,Keyword,BrowserLanguage"/>
    <n v="36"/>
    <n v="0"/>
    <s v="Yes"/>
    <s v="Unlimited"/>
    <n v="17116"/>
    <n v="707"/>
    <n v="4.13063"/>
    <n v="0"/>
    <n v="20.75"/>
    <n v="1.2130000000000001"/>
    <n v="2.9000000000000001E-2"/>
    <n v="0"/>
    <n v="1"/>
    <n v="0"/>
    <s v="Yes"/>
    <n v="17116"/>
    <n v="12234"/>
    <n v="2353"/>
    <s v="General"/>
    <x v="0"/>
    <x v="3"/>
    <x v="0"/>
  </r>
  <r>
    <x v="1"/>
    <s v="PAUSED"/>
    <n v="1012710862"/>
    <x v="291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872"/>
    <x v="292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882"/>
    <x v="293"/>
    <s v="nsfw"/>
    <d v="1899-12-30T16:09:00"/>
    <s v="In-Stream Video"/>
    <s v="TJX"/>
    <s v="desktop"/>
    <s v="GEO,Frequency,Keyword,BrowserLanguage"/>
    <n v="22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PAUSED"/>
    <n v="1012710892"/>
    <x v="294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902"/>
    <x v="295"/>
    <s v="nsfw"/>
    <d v="1899-12-30T16:09:00"/>
    <s v="In-Stream Video"/>
    <s v="TJX"/>
    <s v="mobile"/>
    <s v="GEO,Frequency,Keyword,OS,BrowserLanguage"/>
    <n v="57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912"/>
    <x v="296"/>
    <s v="nsfw"/>
    <d v="1899-12-30T16:09:00"/>
    <s v="In-Stream Video"/>
    <s v="TJX"/>
    <s v="desktop"/>
    <s v="GEO,Frequency,Keyword,BrowserLanguage"/>
    <n v="22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PAUSED"/>
    <n v="1012710922"/>
    <x v="297"/>
    <s v="nsfw"/>
    <d v="1899-12-30T16:09:00"/>
    <s v="In-Stream Video"/>
    <s v="TJX"/>
    <s v="mobile"/>
    <s v="GEO,Frequency,Keyword,OS,BrowserLanguage"/>
    <n v="57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932"/>
    <x v="298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0"/>
    <x v="0"/>
  </r>
  <r>
    <x v="1"/>
    <s v="PAUSED"/>
    <n v="1012710942"/>
    <x v="299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962"/>
    <x v="300"/>
    <s v="nsfw"/>
    <d v="1899-12-30T16:09:00"/>
    <s v="In-Stream Video"/>
    <s v="TJX"/>
    <s v="desktop"/>
    <s v="GEO,Frequency,Keyword,BrowserLanguage"/>
    <n v="372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972"/>
    <x v="301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0982"/>
    <x v="302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8"/>
    <x v="0"/>
  </r>
  <r>
    <x v="1"/>
    <s v="PAUSED"/>
    <n v="1012710992"/>
    <x v="303"/>
    <s v="nsfw"/>
    <d v="1899-12-30T16:09:00"/>
    <s v="In-Stream Video"/>
    <s v="TJX"/>
    <s v="desktop"/>
    <s v="GEO,Frequency,Keyword,BrowserLanguage"/>
    <n v="37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1002"/>
    <x v="304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711012"/>
    <x v="305"/>
    <s v="nsfw"/>
    <d v="1899-12-30T16:09:00"/>
    <s v="In-Stream Video"/>
    <s v="TJX"/>
    <s v="mobile"/>
    <s v="GEO,Frequency,Keyword,OS,BrowserLanguage"/>
    <n v="810"/>
    <n v="0"/>
    <s v="Yes"/>
    <s v="Unlimited"/>
    <n v="1372"/>
    <n v="97"/>
    <n v="7.0699699999999996"/>
    <n v="0"/>
    <n v="1.92"/>
    <n v="1.3979999999999999"/>
    <n v="0.02"/>
    <n v="0"/>
    <n v="1"/>
    <n v="0"/>
    <s v="Yes"/>
    <n v="1372"/>
    <n v="1204"/>
    <n v="124"/>
    <s v="General"/>
    <x v="0"/>
    <x v="8"/>
    <x v="0"/>
  </r>
  <r>
    <x v="1"/>
    <s v="PAUSED"/>
    <n v="1012711022"/>
    <x v="306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711032"/>
    <x v="307"/>
    <s v="nsfw"/>
    <d v="1899-12-30T16:09:00"/>
    <s v="In-Stream Video"/>
    <s v="TJX"/>
    <s v="desktop"/>
    <s v="GEO,Frequency,Keyword,BrowserLanguage"/>
    <n v="372"/>
    <n v="0"/>
    <s v="Yes"/>
    <s v="Unlimited"/>
    <n v="2403"/>
    <n v="79"/>
    <n v="3.28756"/>
    <n v="0"/>
    <n v="7.35"/>
    <n v="3.0609999999999999"/>
    <n v="9.2999999999999999E-2"/>
    <n v="0"/>
    <n v="1"/>
    <n v="0"/>
    <s v="Yes"/>
    <n v="2403"/>
    <n v="1977"/>
    <n v="226"/>
    <s v="General"/>
    <x v="0"/>
    <x v="3"/>
    <x v="0"/>
  </r>
  <r>
    <x v="1"/>
    <s v="PAUSED"/>
    <n v="1012711042"/>
    <x v="308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1052"/>
    <x v="309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1062"/>
    <x v="310"/>
    <s v="nsfw"/>
    <d v="1899-12-30T16:09:00"/>
    <s v="In-Stream Video"/>
    <s v="TJX"/>
    <s v="desktop"/>
    <s v="GEO,Frequency,Keyword,BrowserLanguage"/>
    <n v="37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1072"/>
    <x v="311"/>
    <s v="nsfw"/>
    <d v="1899-12-30T16:09:00"/>
    <s v="In-Stream Video"/>
    <s v="TJX"/>
    <s v="mobile"/>
    <s v="GEO,Frequency,Keyword,OS,BrowserLanguage"/>
    <n v="93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1082"/>
    <x v="312"/>
    <s v="nsfw"/>
    <d v="1899-12-30T16:09:00"/>
    <s v="In-Stream Video"/>
    <s v="TJX"/>
    <s v="mobile"/>
    <s v="GEO,Frequency,Keyword,BrowserLanguage"/>
    <n v="558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8322"/>
    <x v="313"/>
    <s v="nsfw"/>
    <d v="1899-12-30T16:09:00"/>
    <s v="In-Stream Video"/>
    <s v="TJX"/>
    <s v="mobile"/>
    <s v="GEO,Frequency,Keyword,BrowserLanguage"/>
    <n v="614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8332"/>
    <x v="314"/>
    <s v="nsfw"/>
    <d v="1899-12-30T16:09:00"/>
    <s v="In-Stream Video"/>
    <s v="TJX"/>
    <s v="mobile"/>
    <s v="GEO,Frequency,Keyword,BrowserLanguage"/>
    <n v="614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8342"/>
    <x v="315"/>
    <s v="nsfw"/>
    <d v="1899-12-30T16:09:00"/>
    <s v="In-Stream Video"/>
    <s v="TJX"/>
    <s v="mobile"/>
    <s v="GEO,Frequency,Keyword,BrowserLanguage"/>
    <n v="254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8362"/>
    <x v="316"/>
    <s v="nsfw"/>
    <d v="1899-12-30T16:09:00"/>
    <s v="In-Stream Video"/>
    <s v="TJX"/>
    <s v="mobile"/>
    <s v="GEO,Frequency,Keyword,BrowserLanguage"/>
    <n v="254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8372"/>
    <x v="317"/>
    <s v="nsfw"/>
    <d v="1899-12-30T16:09:00"/>
    <s v="In-Stream Video"/>
    <s v="TJX"/>
    <s v="mobile"/>
    <s v="GEO,Frequency,Keyword,BrowserLanguage"/>
    <n v="1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8382"/>
    <x v="318"/>
    <s v="nsfw"/>
    <d v="1899-12-30T16:09:00"/>
    <s v="In-Stream Video"/>
    <s v="TJX"/>
    <s v="mobile"/>
    <s v="GEO,Frequency,Keyword,BrowserLanguage"/>
    <n v="254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8502"/>
    <x v="319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8512"/>
    <x v="320"/>
    <s v="nsfw"/>
    <d v="1899-12-30T16:09:00"/>
    <s v="In-Stream Video"/>
    <s v="TJX"/>
    <s v="mobile"/>
    <s v="GEO,Frequency,Keyword,BrowserLanguage"/>
    <n v="254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9952"/>
    <x v="321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9972"/>
    <x v="322"/>
    <s v="nsfw"/>
    <d v="1899-12-30T16:09:00"/>
    <s v="In-Stream Video"/>
    <s v="TJX"/>
    <s v="mobile"/>
    <s v="GEO,Frequency,Keyword,BrowserLanguage"/>
    <n v="644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19982"/>
    <x v="323"/>
    <s v="nsfw"/>
    <d v="1899-12-30T16:09:00"/>
    <s v="In-Stream Video"/>
    <s v="TJX"/>
    <s v="mobile"/>
    <s v="GEO,Frequency,Keyword,BrowserLanguage"/>
    <n v="644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522"/>
    <x v="32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532"/>
    <x v="325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582"/>
    <x v="326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592"/>
    <x v="32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1"/>
    <x v="1"/>
    <x v="0"/>
  </r>
  <r>
    <x v="1"/>
    <s v="PAUSED"/>
    <n v="1012726602"/>
    <x v="32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612"/>
    <x v="32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622"/>
    <x v="330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642"/>
    <x v="33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652"/>
    <x v="332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662"/>
    <x v="333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672"/>
    <x v="33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682"/>
    <x v="335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692"/>
    <x v="336"/>
    <s v="nsfw"/>
    <d v="1899-12-30T16:09:00"/>
    <s v="In-Stream Video"/>
    <s v="TJX"/>
    <s v="desktop"/>
    <s v="GEO,Frequency,Keyword,BrowserLanguage"/>
    <n v="112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702"/>
    <x v="33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712"/>
    <x v="33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722"/>
    <x v="339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PAUSED"/>
    <n v="1012726732"/>
    <x v="340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742"/>
    <x v="34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726752"/>
    <x v="342"/>
    <s v="nsfw"/>
    <d v="1899-12-30T16:09:00"/>
    <s v="In-Stream Video"/>
    <s v="TJX"/>
    <s v="desktop"/>
    <s v="GEO,Frequency,Keyword,BrowserLanguage"/>
    <n v="112"/>
    <n v="0"/>
    <s v="Yes"/>
    <s v="Unlimited"/>
    <n v="12053"/>
    <n v="433"/>
    <n v="3.5924700000000001"/>
    <n v="0"/>
    <n v="17.2"/>
    <n v="1.427"/>
    <n v="0.04"/>
    <n v="0"/>
    <n v="1"/>
    <n v="0"/>
    <s v="Yes"/>
    <n v="12053"/>
    <n v="9179"/>
    <n v="1370"/>
    <s v="General"/>
    <x v="0"/>
    <x v="3"/>
    <x v="0"/>
  </r>
  <r>
    <x v="1"/>
    <s v="PAUSED"/>
    <n v="1012726762"/>
    <x v="34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802"/>
    <x v="34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812"/>
    <x v="345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PAUSED"/>
    <n v="1012726822"/>
    <x v="346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842"/>
    <x v="34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852"/>
    <x v="348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PAUSED"/>
    <n v="1012726862"/>
    <x v="34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882"/>
    <x v="350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892"/>
    <x v="351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902"/>
    <x v="352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912"/>
    <x v="35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922"/>
    <x v="354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932"/>
    <x v="355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942"/>
    <x v="356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952"/>
    <x v="357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962"/>
    <x v="35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972"/>
    <x v="359"/>
    <s v="nsfw"/>
    <d v="1899-12-30T16:09:00"/>
    <s v="In-Stream Video"/>
    <s v="TJX"/>
    <s v="mobile"/>
    <s v="GEO,Frequency,Keyword,OS,BrowserLanguage"/>
    <n v="280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982"/>
    <x v="360"/>
    <s v="nsfw"/>
    <d v="1899-12-30T16:09:00"/>
    <s v="In-Stream Video"/>
    <s v="TJX"/>
    <s v="desktop"/>
    <s v="GEO,Frequency,Keyword,BrowserLanguage"/>
    <n v="112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6992"/>
    <x v="36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7002"/>
    <x v="362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727012"/>
    <x v="363"/>
    <s v="nsfw"/>
    <d v="1899-12-30T16:09:00"/>
    <s v="In-Stream Video"/>
    <s v="TJX"/>
    <s v="desktop"/>
    <s v="GEO,Frequency,Keyword,BrowserLanguage"/>
    <n v="112"/>
    <n v="0"/>
    <s v="No"/>
    <n v="150"/>
    <n v="2151"/>
    <n v="104"/>
    <n v="4.8349500000000001"/>
    <n v="0"/>
    <n v="4.22"/>
    <n v="1.96"/>
    <n v="4.1000000000000002E-2"/>
    <n v="0"/>
    <n v="1"/>
    <n v="0"/>
    <s v="Yes"/>
    <n v="2151"/>
    <n v="1761"/>
    <n v="249"/>
    <s v="General"/>
    <x v="0"/>
    <x v="6"/>
    <x v="0"/>
  </r>
  <r>
    <x v="1"/>
    <s v="PAUSED"/>
    <n v="1012727022"/>
    <x v="36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7032"/>
    <x v="365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727042"/>
    <x v="366"/>
    <s v="nsfw"/>
    <d v="1899-12-30T16:09:00"/>
    <s v="In-Stream Video"/>
    <s v="TJX"/>
    <s v="desktop"/>
    <s v="GEO,Frequency,Keyword,BrowserLanguage"/>
    <n v="160"/>
    <n v="0"/>
    <s v="Yes"/>
    <s v="Unlimited"/>
    <n v="8307"/>
    <n v="275"/>
    <n v="3.31046"/>
    <n v="0"/>
    <n v="24.84"/>
    <n v="2.99"/>
    <n v="0.09"/>
    <n v="0"/>
    <n v="1"/>
    <n v="0"/>
    <s v="Yes"/>
    <n v="8307"/>
    <n v="6705"/>
    <n v="858"/>
    <s v="General"/>
    <x v="0"/>
    <x v="6"/>
    <x v="0"/>
  </r>
  <r>
    <x v="1"/>
    <s v="PAUSED"/>
    <n v="1012727052"/>
    <x v="36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7062"/>
    <x v="36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7072"/>
    <x v="369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7082"/>
    <x v="370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27092"/>
    <x v="37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6"/>
    <x v="0"/>
  </r>
  <r>
    <x v="1"/>
    <s v="RUNNING"/>
    <n v="1012727102"/>
    <x v="372"/>
    <s v="nsfw"/>
    <d v="1899-12-30T16:09:00"/>
    <s v="In-Stream Video"/>
    <s v="TJX"/>
    <s v="desktop"/>
    <s v="GEO,Frequency,Keyword,BrowserLanguage"/>
    <n v="112"/>
    <n v="0"/>
    <s v="Yes"/>
    <s v="Unlimited"/>
    <n v="10582"/>
    <n v="374"/>
    <n v="3.5343"/>
    <n v="0"/>
    <n v="22.82"/>
    <n v="2.157"/>
    <n v="6.0999999999999999E-2"/>
    <n v="0"/>
    <n v="1"/>
    <n v="0"/>
    <s v="Yes"/>
    <n v="10582"/>
    <n v="7921"/>
    <n v="1251"/>
    <s v="General"/>
    <x v="0"/>
    <x v="6"/>
    <x v="0"/>
  </r>
  <r>
    <x v="1"/>
    <s v="PAUSED"/>
    <n v="1012727112"/>
    <x v="37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752"/>
    <x v="374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782"/>
    <x v="375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NOT RUNNING"/>
    <n v="1012732792"/>
    <x v="376"/>
    <s v="nsfw"/>
    <d v="1899-12-30T16:09:00"/>
    <s v="In-Stream Video"/>
    <s v="TJX"/>
    <s v="mobile"/>
    <s v="GEO,Frequency,Keyword,BrowserLanguage"/>
    <n v="280"/>
    <n v="0"/>
    <s v="Yes"/>
    <s v="Unlimited"/>
    <n v="173"/>
    <n v="11"/>
    <n v="6.3583800000000004"/>
    <n v="0"/>
    <n v="0.31"/>
    <n v="1.7829999999999999"/>
    <n v="2.8000000000000001E-2"/>
    <n v="0"/>
    <n v="1"/>
    <n v="0"/>
    <s v="Yes"/>
    <n v="173"/>
    <n v="151"/>
    <n v="15"/>
    <s v="General"/>
    <x v="0"/>
    <x v="3"/>
    <x v="0"/>
  </r>
  <r>
    <x v="1"/>
    <s v="PAUSED"/>
    <n v="1012732802"/>
    <x v="377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812"/>
    <x v="378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822"/>
    <x v="37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832"/>
    <x v="38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842"/>
    <x v="38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852"/>
    <x v="38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862"/>
    <x v="383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872"/>
    <x v="38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882"/>
    <x v="385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892"/>
    <x v="386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902"/>
    <x v="387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912"/>
    <x v="388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922"/>
    <x v="38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932"/>
    <x v="39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942"/>
    <x v="39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962"/>
    <x v="39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972"/>
    <x v="393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982"/>
    <x v="39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2992"/>
    <x v="395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002"/>
    <x v="396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012"/>
    <x v="397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022"/>
    <x v="17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032"/>
    <x v="398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042"/>
    <x v="39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052"/>
    <x v="40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062"/>
    <x v="401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072"/>
    <x v="40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082"/>
    <x v="403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9"/>
    <x v="0"/>
  </r>
  <r>
    <x v="1"/>
    <s v="PAUSED"/>
    <n v="1012733092"/>
    <x v="40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112"/>
    <x v="405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9"/>
    <x v="0"/>
  </r>
  <r>
    <x v="1"/>
    <s v="PAUSED"/>
    <n v="1012733122"/>
    <x v="406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132"/>
    <x v="407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142"/>
    <x v="408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152"/>
    <x v="40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172"/>
    <x v="41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182"/>
    <x v="41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192"/>
    <x v="41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212"/>
    <x v="413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9"/>
    <x v="0"/>
  </r>
  <r>
    <x v="1"/>
    <s v="PAUSED"/>
    <n v="1012733222"/>
    <x v="41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232"/>
    <x v="18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242"/>
    <x v="415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252"/>
    <x v="416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262"/>
    <x v="417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272"/>
    <x v="418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282"/>
    <x v="41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292"/>
    <x v="420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302"/>
    <x v="42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312"/>
    <x v="42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322"/>
    <x v="42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1"/>
    <x v="0"/>
  </r>
  <r>
    <x v="1"/>
    <s v="PAUSED"/>
    <n v="1012733332"/>
    <x v="424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342"/>
    <x v="425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352"/>
    <x v="426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522"/>
    <x v="427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532"/>
    <x v="428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542"/>
    <x v="429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33562"/>
    <x v="43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733572"/>
    <x v="431"/>
    <s v="nsfw"/>
    <d v="1899-12-30T16:09:00"/>
    <s v="In-Stream Video"/>
    <s v="TJX"/>
    <s v="mobile"/>
    <s v="GEO,Frequency,Keyword,BrowserLanguage"/>
    <n v="280"/>
    <n v="0"/>
    <s v="Yes"/>
    <s v="Unlimited"/>
    <n v="128"/>
    <n v="5"/>
    <n v="3.90625"/>
    <n v="0"/>
    <n v="0.24"/>
    <n v="1.9039999999999999"/>
    <n v="4.9000000000000002E-2"/>
    <n v="0"/>
    <n v="1"/>
    <n v="0"/>
    <s v="Yes"/>
    <n v="128"/>
    <n v="110"/>
    <n v="14"/>
    <s v="General"/>
    <x v="0"/>
    <x v="3"/>
    <x v="0"/>
  </r>
  <r>
    <x v="1"/>
    <s v="PAUSED"/>
    <n v="1012741762"/>
    <x v="60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41772"/>
    <x v="432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41792"/>
    <x v="433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232"/>
    <x v="434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242"/>
    <x v="435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252"/>
    <x v="43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262"/>
    <x v="437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272"/>
    <x v="43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282"/>
    <x v="439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292"/>
    <x v="440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302"/>
    <x v="441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312"/>
    <x v="442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322"/>
    <x v="44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332"/>
    <x v="444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342"/>
    <x v="445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352"/>
    <x v="42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1"/>
    <x v="0"/>
  </r>
  <r>
    <x v="1"/>
    <s v="PAUSED"/>
    <n v="1012750362"/>
    <x v="446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1"/>
    <x v="0"/>
  </r>
  <r>
    <x v="1"/>
    <s v="RUNNING"/>
    <n v="1012750372"/>
    <x v="447"/>
    <s v="nsfw"/>
    <d v="1899-12-30T16:09:00"/>
    <s v="In-Stream Video"/>
    <s v="TJX"/>
    <s v="desktop"/>
    <s v="GEO,Frequency,Keyword,BrowserLanguage"/>
    <n v="112"/>
    <n v="0"/>
    <s v="Yes"/>
    <s v="Unlimited"/>
    <n v="8610"/>
    <n v="494"/>
    <n v="5.7375100000000003"/>
    <n v="2"/>
    <n v="25.39"/>
    <n v="2.9489999999999998"/>
    <n v="5.0999999999999997E-2"/>
    <n v="12.693"/>
    <n v="1"/>
    <n v="0"/>
    <s v="Yes"/>
    <n v="8610"/>
    <n v="6615"/>
    <n v="829"/>
    <s v="General"/>
    <x v="0"/>
    <x v="3"/>
    <x v="0"/>
  </r>
  <r>
    <x v="1"/>
    <s v="PAUSED"/>
    <n v="1012750382"/>
    <x v="448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1"/>
    <x v="0"/>
  </r>
  <r>
    <x v="1"/>
    <s v="RUNNING"/>
    <n v="1012750392"/>
    <x v="449"/>
    <s v="nsfw"/>
    <d v="1899-12-30T16:09:00"/>
    <s v="In-Stream Video"/>
    <s v="TJX"/>
    <s v="mobile"/>
    <s v="GEO,Frequency,Keyword,OS,BrowserLanguage"/>
    <n v="280"/>
    <n v="0"/>
    <s v="Yes"/>
    <s v="Unlimited"/>
    <n v="424"/>
    <n v="18"/>
    <n v="4.2452800000000002"/>
    <n v="0"/>
    <n v="0.81"/>
    <n v="1.9"/>
    <n v="4.4999999999999998E-2"/>
    <n v="0"/>
    <n v="1"/>
    <n v="0"/>
    <s v="Yes"/>
    <n v="424"/>
    <n v="383"/>
    <n v="32"/>
    <s v="General"/>
    <x v="0"/>
    <x v="3"/>
    <x v="0"/>
  </r>
  <r>
    <x v="1"/>
    <s v="RUNNING"/>
    <n v="1012750402"/>
    <x v="450"/>
    <s v="nsfw"/>
    <d v="1899-12-30T16:09:00"/>
    <s v="In-Stream Video"/>
    <s v="TJX"/>
    <s v="mobile"/>
    <s v="GEO,Frequency,Keyword,OS,BrowserLanguage"/>
    <n v="280"/>
    <n v="0"/>
    <s v="Yes"/>
    <s v="Unlimited"/>
    <n v="3090"/>
    <n v="280"/>
    <n v="9.0614799999999995"/>
    <n v="0"/>
    <n v="3.65"/>
    <n v="1.181"/>
    <n v="1.2999999999999999E-2"/>
    <n v="0"/>
    <n v="1"/>
    <n v="0"/>
    <s v="Yes"/>
    <n v="3090"/>
    <n v="2771"/>
    <n v="226"/>
    <s v="General"/>
    <x v="0"/>
    <x v="3"/>
    <x v="0"/>
  </r>
  <r>
    <x v="1"/>
    <s v="PAUSED"/>
    <n v="1012750412"/>
    <x v="45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422"/>
    <x v="452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1"/>
    <x v="0"/>
  </r>
  <r>
    <x v="1"/>
    <s v="RUNNING"/>
    <n v="1012750432"/>
    <x v="453"/>
    <s v="nsfw"/>
    <d v="1899-12-30T16:09:00"/>
    <s v="In-Stream Video"/>
    <s v="TJX"/>
    <s v="desktop"/>
    <s v="GEO,Frequency,Keyword,BrowserLanguage"/>
    <n v="112"/>
    <n v="0"/>
    <s v="Yes"/>
    <s v="Unlimited"/>
    <n v="4723"/>
    <n v="221"/>
    <n v="4.6792199999999999"/>
    <n v="0"/>
    <n v="13.81"/>
    <n v="2.9239999999999999"/>
    <n v="6.2E-2"/>
    <n v="0"/>
    <n v="1"/>
    <n v="0"/>
    <s v="Yes"/>
    <n v="4723"/>
    <n v="3609"/>
    <n v="466"/>
    <s v="General"/>
    <x v="0"/>
    <x v="3"/>
    <x v="0"/>
  </r>
  <r>
    <x v="1"/>
    <s v="RUNNING"/>
    <n v="1012750442"/>
    <x v="454"/>
    <s v="nsfw"/>
    <d v="1899-12-30T16:09:00"/>
    <s v="In-Stream Video"/>
    <s v="TJX"/>
    <s v="desktop"/>
    <s v="GEO,Frequency,Keyword,BrowserLanguage"/>
    <n v="112"/>
    <n v="0"/>
    <s v="Yes"/>
    <s v="Unlimited"/>
    <n v="416"/>
    <n v="18"/>
    <n v="4.3269200000000003"/>
    <n v="0"/>
    <n v="1.21"/>
    <n v="2.9"/>
    <n v="6.7000000000000004E-2"/>
    <n v="0"/>
    <n v="1"/>
    <n v="0"/>
    <s v="Yes"/>
    <n v="416"/>
    <n v="320"/>
    <n v="43"/>
    <s v="General"/>
    <x v="0"/>
    <x v="3"/>
    <x v="0"/>
  </r>
  <r>
    <x v="1"/>
    <s v="RUNNING"/>
    <n v="1012750452"/>
    <x v="455"/>
    <s v="nsfw"/>
    <d v="1899-12-30T16:09:00"/>
    <s v="In-Stream Video"/>
    <s v="TJX"/>
    <s v="mobile"/>
    <s v="GEO,Frequency,Keyword,OS,BrowserLanguage"/>
    <n v="280"/>
    <n v="0"/>
    <s v="Yes"/>
    <s v="Unlimited"/>
    <n v="50"/>
    <n v="0"/>
    <n v="0"/>
    <n v="0"/>
    <n v="0.1"/>
    <n v="1.917"/>
    <n v="0"/>
    <n v="0"/>
    <n v="1"/>
    <n v="0"/>
    <s v="Yes"/>
    <n v="50"/>
    <n v="44"/>
    <n v="5"/>
    <s v="General"/>
    <x v="0"/>
    <x v="3"/>
    <x v="0"/>
  </r>
  <r>
    <x v="1"/>
    <s v="PAUSED"/>
    <n v="1012750462"/>
    <x v="45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472"/>
    <x v="45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482"/>
    <x v="458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1"/>
    <x v="0"/>
  </r>
  <r>
    <x v="1"/>
    <s v="PAUSED"/>
    <n v="1012750492"/>
    <x v="459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1"/>
    <x v="0"/>
  </r>
  <r>
    <x v="1"/>
    <s v="PAUSED"/>
    <n v="1012750502"/>
    <x v="460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512"/>
    <x v="461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750522"/>
    <x v="462"/>
    <s v="nsfw"/>
    <d v="1899-12-30T16:09:00"/>
    <s v="In-Stream Video"/>
    <s v="TJX"/>
    <s v="mobile"/>
    <s v="GEO,Frequency,Keyword,OS,BrowserLanguage"/>
    <n v="280"/>
    <n v="0"/>
    <s v="Yes"/>
    <s v="Unlimited"/>
    <n v="1395"/>
    <n v="54"/>
    <n v="3.8709699999999998"/>
    <n v="0"/>
    <n v="2.5499999999999998"/>
    <n v="1.8260000000000001"/>
    <n v="4.7E-2"/>
    <n v="0"/>
    <n v="1"/>
    <n v="0"/>
    <s v="Yes"/>
    <n v="1395"/>
    <n v="1269"/>
    <n v="93"/>
    <s v="General"/>
    <x v="0"/>
    <x v="3"/>
    <x v="0"/>
  </r>
  <r>
    <x v="1"/>
    <s v="PAUSED"/>
    <n v="1012750532"/>
    <x v="46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8"/>
    <x v="0"/>
  </r>
  <r>
    <x v="1"/>
    <s v="PAUSED"/>
    <n v="1012750542"/>
    <x v="46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8"/>
    <x v="0"/>
  </r>
  <r>
    <x v="1"/>
    <s v="PAUSED"/>
    <n v="1012750552"/>
    <x v="465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562"/>
    <x v="466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8"/>
    <x v="0"/>
  </r>
  <r>
    <x v="1"/>
    <s v="RUNNING"/>
    <n v="1012750572"/>
    <x v="467"/>
    <s v="nsfw"/>
    <d v="1899-12-30T16:09:00"/>
    <s v="In-Stream Video"/>
    <s v="TJX"/>
    <s v="mobile"/>
    <s v="GEO,Frequency,Keyword,OS,BrowserLanguage"/>
    <n v="280"/>
    <n v="0"/>
    <s v="Yes"/>
    <s v="Unlimited"/>
    <n v="445"/>
    <n v="23"/>
    <n v="5.1685400000000001"/>
    <n v="0"/>
    <n v="0.84"/>
    <n v="1.8859999999999999"/>
    <n v="3.5999999999999997E-2"/>
    <n v="0"/>
    <n v="1"/>
    <n v="0"/>
    <s v="Yes"/>
    <n v="445"/>
    <n v="417"/>
    <n v="21"/>
    <s v="General"/>
    <x v="0"/>
    <x v="3"/>
    <x v="0"/>
  </r>
  <r>
    <x v="1"/>
    <s v="PAUSED"/>
    <n v="1012750582"/>
    <x v="46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592"/>
    <x v="469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602"/>
    <x v="470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612"/>
    <x v="471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622"/>
    <x v="472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632"/>
    <x v="47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642"/>
    <x v="47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652"/>
    <x v="475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662"/>
    <x v="47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672"/>
    <x v="477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682"/>
    <x v="478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692"/>
    <x v="47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702"/>
    <x v="480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750712"/>
    <x v="481"/>
    <s v="nsfw"/>
    <d v="1899-12-30T16:09:00"/>
    <s v="In-Stream Video"/>
    <s v="TJX"/>
    <s v="mobile"/>
    <s v="GEO,Frequency,Keyword,OS,BrowserLanguage"/>
    <n v="280"/>
    <n v="0"/>
    <s v="No"/>
    <n v="250"/>
    <n v="692"/>
    <n v="66"/>
    <n v="9.5375700000000005"/>
    <n v="0"/>
    <n v="1.08"/>
    <n v="1.5580000000000001"/>
    <n v="1.6E-2"/>
    <n v="0"/>
    <n v="1"/>
    <n v="0"/>
    <s v="Yes"/>
    <n v="692"/>
    <n v="620"/>
    <n v="53"/>
    <s v="General"/>
    <x v="0"/>
    <x v="8"/>
    <x v="0"/>
  </r>
  <r>
    <x v="1"/>
    <s v="PAUSED"/>
    <n v="1012750722"/>
    <x v="482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732"/>
    <x v="483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8"/>
    <x v="0"/>
  </r>
  <r>
    <x v="1"/>
    <s v="PAUSED"/>
    <n v="1012750742"/>
    <x v="484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752"/>
    <x v="485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762"/>
    <x v="48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782"/>
    <x v="487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792"/>
    <x v="48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750802"/>
    <x v="489"/>
    <s v="nsfw"/>
    <d v="1899-12-30T16:09:00"/>
    <s v="In-Stream Video"/>
    <s v="TJX"/>
    <s v="desktop"/>
    <s v="GEO,Frequency,Keyword,BrowserLanguage"/>
    <n v="112"/>
    <n v="0"/>
    <s v="No"/>
    <n v="250"/>
    <n v="298"/>
    <n v="10"/>
    <n v="3.3557000000000001"/>
    <n v="0"/>
    <n v="0.85"/>
    <n v="2.8690000000000002"/>
    <n v="8.5000000000000006E-2"/>
    <n v="0"/>
    <n v="1"/>
    <n v="0"/>
    <s v="Yes"/>
    <n v="298"/>
    <n v="228"/>
    <n v="38"/>
    <s v="General"/>
    <x v="0"/>
    <x v="3"/>
    <x v="0"/>
  </r>
  <r>
    <x v="1"/>
    <s v="PAUSED"/>
    <n v="1012750812"/>
    <x v="490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822"/>
    <x v="491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832"/>
    <x v="492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842"/>
    <x v="49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852"/>
    <x v="494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862"/>
    <x v="495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882"/>
    <x v="496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892"/>
    <x v="497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902"/>
    <x v="49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912"/>
    <x v="499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922"/>
    <x v="500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932"/>
    <x v="501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942"/>
    <x v="502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952"/>
    <x v="503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0962"/>
    <x v="504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750972"/>
    <x v="505"/>
    <s v="nsfw"/>
    <d v="1899-12-30T16:09:00"/>
    <s v="In-Stream Video"/>
    <s v="TJX"/>
    <s v="desktop"/>
    <s v="GEO,Frequency,Keyword,BrowserLanguage"/>
    <n v="112"/>
    <n v="0"/>
    <s v="Yes"/>
    <s v="Unlimited"/>
    <n v="1172"/>
    <n v="46"/>
    <n v="3.9249100000000001"/>
    <n v="0"/>
    <n v="3.34"/>
    <n v="2.8479999999999999"/>
    <n v="7.2999999999999995E-2"/>
    <n v="0"/>
    <n v="1"/>
    <n v="0"/>
    <s v="Yes"/>
    <n v="1172"/>
    <n v="950"/>
    <n v="133"/>
    <s v="General"/>
    <x v="0"/>
    <x v="3"/>
    <x v="0"/>
  </r>
  <r>
    <x v="1"/>
    <s v="RUNNING"/>
    <n v="1012750982"/>
    <x v="506"/>
    <s v="nsfw"/>
    <d v="1899-12-30T16:09:00"/>
    <s v="In-Stream Video"/>
    <s v="TJX"/>
    <s v="mobile"/>
    <s v="GEO,Frequency,Keyword,OS,BrowserLanguage"/>
    <n v="280"/>
    <n v="0"/>
    <s v="No"/>
    <n v="250"/>
    <n v="443"/>
    <n v="21"/>
    <n v="4.7404099999999998"/>
    <n v="0"/>
    <n v="0.66"/>
    <n v="1.49"/>
    <n v="3.1E-2"/>
    <n v="0"/>
    <n v="1"/>
    <n v="0"/>
    <s v="Yes"/>
    <n v="443"/>
    <n v="399"/>
    <n v="36"/>
    <s v="General"/>
    <x v="0"/>
    <x v="3"/>
    <x v="0"/>
  </r>
  <r>
    <x v="1"/>
    <s v="PAUSED"/>
    <n v="1012750992"/>
    <x v="507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1002"/>
    <x v="50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1012"/>
    <x v="509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751022"/>
    <x v="510"/>
    <s v="nsfw"/>
    <d v="1899-12-30T16:09:00"/>
    <s v="In-Stream Video"/>
    <s v="TJX"/>
    <s v="desktop"/>
    <s v="GEO,Frequency,Keyword,BrowserLanguage"/>
    <n v="112"/>
    <n v="0"/>
    <s v="Yes"/>
    <s v="Unlimited"/>
    <n v="6090"/>
    <n v="241"/>
    <n v="3.9573100000000001"/>
    <n v="0"/>
    <n v="17.940000000000001"/>
    <n v="2.9460000000000002"/>
    <n v="7.3999999999999996E-2"/>
    <n v="0"/>
    <n v="1"/>
    <n v="0"/>
    <s v="Yes"/>
    <n v="6090"/>
    <n v="4965"/>
    <n v="556"/>
    <s v="General"/>
    <x v="0"/>
    <x v="3"/>
    <x v="0"/>
  </r>
  <r>
    <x v="1"/>
    <s v="PAUSED"/>
    <n v="1012751032"/>
    <x v="511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751042"/>
    <x v="512"/>
    <s v="nsfw"/>
    <d v="1899-12-30T16:09:00"/>
    <s v="In-Stream Video"/>
    <s v="TJX"/>
    <s v="mobile"/>
    <s v="GEO,Frequency,Keyword,OS,BrowserLanguage"/>
    <n v="280"/>
    <n v="0"/>
    <s v="Yes"/>
    <s v="Unlimited"/>
    <n v="4500"/>
    <n v="183"/>
    <n v="4.0666700000000002"/>
    <n v="0"/>
    <n v="7.77"/>
    <n v="1.726"/>
    <n v="4.2000000000000003E-2"/>
    <n v="0"/>
    <n v="1"/>
    <n v="0"/>
    <s v="Yes"/>
    <n v="4500"/>
    <n v="4029"/>
    <n v="351"/>
    <s v="General"/>
    <x v="0"/>
    <x v="3"/>
    <x v="0"/>
  </r>
  <r>
    <x v="1"/>
    <s v="PAUSED"/>
    <n v="1012751052"/>
    <x v="513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1062"/>
    <x v="514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1072"/>
    <x v="515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1082"/>
    <x v="516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1092"/>
    <x v="517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1102"/>
    <x v="51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1112"/>
    <x v="51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1332"/>
    <x v="520"/>
    <s v="nsfw"/>
    <d v="1899-12-30T09:16:00"/>
    <s v="In-Stream Video"/>
    <s v="TJX"/>
    <s v="mobile"/>
    <s v="GEO,Frequency,OS,BrowserLanguage"/>
    <n v="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51342"/>
    <x v="521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5"/>
    <x v="0"/>
  </r>
  <r>
    <x v="1"/>
    <s v="PAUSED"/>
    <n v="1012751352"/>
    <x v="522"/>
    <s v="nsfw"/>
    <d v="1899-12-30T09:16:00"/>
    <s v="In-Stream Video"/>
    <s v="TJX"/>
    <s v="mobile"/>
    <s v="GEO,Frequency,OS,BrowserLanguage"/>
    <n v="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69582"/>
    <x v="523"/>
    <s v="nsfw"/>
    <s v="640 x 360"/>
    <s v="Display"/>
    <s v="TJX"/>
    <s v="mobile"/>
    <s v="GEO,Frequency,Keyword,BrowserLanguage"/>
    <n v="416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69592"/>
    <x v="192"/>
    <s v="nsfw"/>
    <s v="640 x 360"/>
    <s v="Display"/>
    <s v="TJX"/>
    <s v="mobile"/>
    <s v="GEO,Frequency,Keyword,BrowserLanguage"/>
    <n v="4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69602"/>
    <x v="524"/>
    <s v="nsfw"/>
    <s v="640 x 360"/>
    <s v="Display"/>
    <s v="TJX"/>
    <s v="mobile"/>
    <s v="GEO,Frequency,Keyword,BrowserLanguage"/>
    <n v="416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69612"/>
    <x v="525"/>
    <s v="nsfw"/>
    <s v="640 x 360"/>
    <s v="Display"/>
    <s v="TJX"/>
    <s v="mobile"/>
    <s v="GEO,Frequency,Keyword,BrowserLanguage"/>
    <n v="4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69622"/>
    <x v="526"/>
    <s v="nsfw"/>
    <s v="640 x 360"/>
    <s v="Display"/>
    <s v="TJX"/>
    <s v="mobile"/>
    <s v="GEO,Frequency,Keyword,BrowserLanguage"/>
    <n v="416"/>
    <n v="0"/>
    <s v="No"/>
    <n v="1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69632"/>
    <x v="527"/>
    <s v="nsfw"/>
    <s v="640 x 360"/>
    <s v="Display"/>
    <s v="TJX"/>
    <s v="mobile"/>
    <s v="GEO,Frequency,Keyword,BrowserLanguage"/>
    <n v="41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722"/>
    <x v="528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732"/>
    <x v="529"/>
    <s v="nsfw"/>
    <d v="1899-12-30T16:09:00"/>
    <s v="In-Stream Video"/>
    <s v="TJX"/>
    <s v="desktop"/>
    <s v="GEO,Frequency,Keyword,BrowserLanguage"/>
    <n v="20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6"/>
    <x v="0"/>
  </r>
  <r>
    <x v="1"/>
    <s v="PAUSED"/>
    <n v="1012772742"/>
    <x v="530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752"/>
    <x v="531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762"/>
    <x v="532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772"/>
    <x v="533"/>
    <s v="nsfw"/>
    <d v="1899-12-30T16:09:00"/>
    <s v="In-Stream Video"/>
    <s v="TJX"/>
    <s v="mobile"/>
    <s v="GEO,Frequency,Keyword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782"/>
    <x v="534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PAUSED"/>
    <n v="1012772792"/>
    <x v="535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802"/>
    <x v="53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812"/>
    <x v="537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PAUSED"/>
    <n v="1012772872"/>
    <x v="538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882"/>
    <x v="539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892"/>
    <x v="540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902"/>
    <x v="541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912"/>
    <x v="542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922"/>
    <x v="543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932"/>
    <x v="544"/>
    <s v="nsfw"/>
    <d v="1899-12-30T16:09:00"/>
    <s v="In-Stream Video"/>
    <s v="TJX"/>
    <s v="desktop"/>
    <s v="GEO,Frequency,Keyword,BrowserLanguage"/>
    <n v="112"/>
    <n v="0"/>
    <s v="Yes"/>
    <s v="Unlimited"/>
    <n v="1"/>
    <n v="0"/>
    <n v="0"/>
    <n v="0"/>
    <n v="0"/>
    <n v="1.236"/>
    <n v="0"/>
    <n v="0"/>
    <n v="1"/>
    <n v="0"/>
    <s v="Yes"/>
    <n v="1"/>
    <n v="1"/>
    <n v="0"/>
    <s v="General"/>
    <x v="0"/>
    <x v="3"/>
    <x v="0"/>
  </r>
  <r>
    <x v="1"/>
    <s v="PAUSED"/>
    <n v="1012772942"/>
    <x v="545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5"/>
    <x v="0"/>
  </r>
  <r>
    <x v="1"/>
    <s v="PAUSED"/>
    <n v="1012772952"/>
    <x v="546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962"/>
    <x v="547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972"/>
    <x v="54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982"/>
    <x v="54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2992"/>
    <x v="550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3002"/>
    <x v="551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3012"/>
    <x v="552"/>
    <s v="nsfw"/>
    <d v="1899-12-30T16:09:00"/>
    <s v="In-Stream Video"/>
    <s v="TJX"/>
    <s v="mobile"/>
    <s v="GEO,Frequency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3022"/>
    <x v="553"/>
    <s v="nsfw"/>
    <d v="1899-12-30T16:09:00"/>
    <s v="In-Stream Video"/>
    <s v="TJX"/>
    <s v="mobile"/>
    <s v="GEO,Frequency,Keyword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3032"/>
    <x v="554"/>
    <s v="nsfw"/>
    <d v="1899-12-30T16:09:00"/>
    <s v="In-Stream Video"/>
    <s v="TJX"/>
    <s v="desktop"/>
    <s v="GEO,Frequency,Keyword,BrowserLanguage"/>
    <n v="11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3042"/>
    <x v="555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2"/>
    <x v="0"/>
  </r>
  <r>
    <x v="1"/>
    <s v="PAUSED"/>
    <n v="1012773052"/>
    <x v="556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773062"/>
    <x v="557"/>
    <s v="nsfw"/>
    <d v="1899-12-30T16:09:00"/>
    <s v="In-Stream Video"/>
    <s v="TJX"/>
    <s v="mobile"/>
    <s v="GEO,Frequency,Keyword,OS,BrowserLanguage"/>
    <n v="280"/>
    <n v="0"/>
    <s v="Yes"/>
    <s v="Unlimited"/>
    <n v="554"/>
    <n v="19"/>
    <n v="3.4296000000000002"/>
    <n v="0"/>
    <n v="0.94"/>
    <n v="1.6910000000000001"/>
    <n v="4.9000000000000002E-2"/>
    <n v="0"/>
    <n v="1"/>
    <n v="0"/>
    <s v="Yes"/>
    <n v="554"/>
    <n v="493"/>
    <n v="28"/>
    <s v="General"/>
    <x v="0"/>
    <x v="12"/>
    <x v="0"/>
  </r>
  <r>
    <x v="1"/>
    <s v="PAUSED"/>
    <n v="1012773072"/>
    <x v="558"/>
    <s v="nsfw"/>
    <d v="1899-12-30T16:09:00"/>
    <s v="In-Stream Video"/>
    <s v="TJX"/>
    <s v="mobile"/>
    <s v="GEO,Frequency,Keyword,OS,BrowserLanguage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3082"/>
    <x v="559"/>
    <s v="nsfw"/>
    <d v="1899-12-30T16:09:00"/>
    <s v="In-Stream Video"/>
    <s v="TJX"/>
    <s v="mobile"/>
    <s v="GEO,Frequency,Keyword,OS,BrowserLanguage"/>
    <n v="28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73092"/>
    <x v="560"/>
    <s v="nsfw"/>
    <d v="1899-12-30T16:09:00"/>
    <s v="In-Stream Video"/>
    <s v="TJX"/>
    <s v="desktop"/>
    <s v="GEO,Frequency,Keyword,BrowserLanguage"/>
    <n v="1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773102"/>
    <x v="561"/>
    <s v="nsfw"/>
    <d v="1899-12-30T16:09:00"/>
    <s v="In-Stream Video"/>
    <s v="TJX"/>
    <s v="mobile"/>
    <s v="GEO,Frequency,Keyword,OS,BrowserLanguage"/>
    <n v="130"/>
    <n v="0"/>
    <s v="Yes"/>
    <s v="Unlimited"/>
    <n v="14823"/>
    <n v="1323"/>
    <n v="8.9253099999999996"/>
    <n v="0"/>
    <n v="29.94"/>
    <n v="2.02"/>
    <n v="2.3E-2"/>
    <n v="0"/>
    <n v="1"/>
    <n v="0"/>
    <s v="No"/>
    <n v="14823"/>
    <n v="13357"/>
    <n v="938"/>
    <s v="General"/>
    <x v="0"/>
    <x v="3"/>
    <x v="0"/>
  </r>
  <r>
    <x v="1"/>
    <s v="RUNNING"/>
    <n v="1012773112"/>
    <x v="562"/>
    <s v="nsfw"/>
    <d v="1899-12-30T16:09:00"/>
    <s v="In-Stream Video"/>
    <s v="TJX"/>
    <s v="mobile"/>
    <s v="GEO,Frequency,OS,BrowserLanguage,Segment"/>
    <n v="370"/>
    <n v="0"/>
    <s v="Yes"/>
    <s v="Unlimited"/>
    <n v="9159"/>
    <n v="461"/>
    <n v="5.03329"/>
    <n v="0"/>
    <n v="23.28"/>
    <n v="2.5419999999999998"/>
    <n v="5.0999999999999997E-2"/>
    <n v="0"/>
    <n v="1"/>
    <n v="0"/>
    <s v="Yes"/>
    <n v="9159"/>
    <n v="8205"/>
    <n v="710"/>
    <s v="General"/>
    <x v="0"/>
    <x v="0"/>
    <x v="0"/>
  </r>
  <r>
    <x v="1"/>
    <s v="RUNNING"/>
    <n v="1012773122"/>
    <x v="563"/>
    <s v="nsfw"/>
    <d v="1899-12-30T16:09:00"/>
    <s v="In-Stream Video"/>
    <s v="TJX"/>
    <s v="mobile"/>
    <s v="GEO,Frequency,OS,BrowserLanguage,Segment"/>
    <n v="370"/>
    <n v="0"/>
    <s v="Yes"/>
    <s v="Unlimited"/>
    <n v="9807"/>
    <n v="550"/>
    <n v="5.6082400000000003"/>
    <n v="0"/>
    <n v="23.99"/>
    <n v="2.4470000000000001"/>
    <n v="4.3999999999999997E-2"/>
    <n v="0"/>
    <n v="1"/>
    <n v="0"/>
    <s v="Yes"/>
    <n v="9807"/>
    <n v="8733"/>
    <n v="798"/>
    <s v="General"/>
    <x v="0"/>
    <x v="0"/>
    <x v="0"/>
  </r>
  <r>
    <x v="1"/>
    <s v="PAUSED"/>
    <n v="1012797382"/>
    <x v="564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97402"/>
    <x v="536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97422"/>
    <x v="248"/>
    <s v="nsfw"/>
    <d v="1899-12-30T16:09:00"/>
    <s v="In-Stream Video"/>
    <s v="TJX"/>
    <s v="mobile"/>
    <s v="GEO,Frequency,Keyword,OS,Browser,BrowserLanguage"/>
    <n v="30"/>
    <n v="0"/>
    <s v="No"/>
    <n v="10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97432"/>
    <x v="565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97442"/>
    <x v="269"/>
    <s v="nsfw"/>
    <d v="1899-12-30T16:09:00"/>
    <s v="In-Stream Video"/>
    <s v="TJX"/>
    <s v="mobile"/>
    <s v="GEO,Frequency,Keyword,OS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97452"/>
    <x v="352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797462"/>
    <x v="566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5"/>
    <x v="0"/>
  </r>
  <r>
    <x v="1"/>
    <s v="PAUSED"/>
    <n v="1012797472"/>
    <x v="343"/>
    <s v="nsfw"/>
    <d v="1899-12-30T16:09:00"/>
    <s v="In-Stream Video"/>
    <s v="TJX"/>
    <s v="mobile"/>
    <s v="GEO,Frequency,Keyword,OS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00202"/>
    <x v="567"/>
    <s v="nsfw"/>
    <d v="1899-12-30T16:09:00"/>
    <s v="In-Stream Video"/>
    <s v="TJX"/>
    <s v="mobile"/>
    <s v="GEO,Frequency,Keyword,OS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00212"/>
    <x v="568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8"/>
    <x v="0"/>
  </r>
  <r>
    <x v="1"/>
    <s v="PAUSED"/>
    <n v="1012800222"/>
    <x v="569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00232"/>
    <x v="570"/>
    <s v="nsfw"/>
    <d v="1899-12-30T16:09:00"/>
    <s v="In-Stream Video"/>
    <s v="TJX"/>
    <s v="mobile"/>
    <s v="GEO,Frequency,Keyword,OS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00242"/>
    <x v="571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00252"/>
    <x v="572"/>
    <s v="nsfw"/>
    <d v="1899-12-30T16:09:00"/>
    <s v="In-Stream Video"/>
    <s v="TJX"/>
    <s v="mobile"/>
    <s v="GEO,Frequency,Keyword,OS,Browser,BrowserLanguage"/>
    <n v="3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00262"/>
    <x v="573"/>
    <s v="nsfw"/>
    <d v="1899-12-30T16:09:00"/>
    <s v="In-Stream Video"/>
    <s v="TJX"/>
    <s v="mobile"/>
    <s v="GEO,Frequency,Keyword,OS,BrowserLanguage"/>
    <n v="7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00272"/>
    <x v="574"/>
    <s v="nsfw"/>
    <d v="1899-12-30T16:09:00"/>
    <s v="In-Stream Video"/>
    <s v="TJX"/>
    <s v="mobile"/>
    <s v="GEO,Frequency,Keyword,OS,Browser,BrowserLanguage"/>
    <n v="70"/>
    <n v="0"/>
    <s v="No"/>
    <n v="10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06532"/>
    <x v="36"/>
    <s v="nsfw"/>
    <d v="1899-12-30T16:09:00"/>
    <s v="In-Stream Video"/>
    <s v="TJX"/>
    <s v="mobile"/>
    <s v="GEO,Frequency,Keyword,OS,BrowserLanguage"/>
    <n v="7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06542"/>
    <x v="575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11242"/>
    <x v="576"/>
    <s v="nsfw"/>
    <d v="1899-12-30T16:09:00"/>
    <s v="In-Stream Video"/>
    <s v="TJX"/>
    <s v="mobile"/>
    <s v="GEO,Frequency,OS,BrowserLanguage"/>
    <n v="12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11252"/>
    <x v="371"/>
    <s v="nsfw"/>
    <d v="1899-12-30T16:09:00"/>
    <s v="In-Stream Video"/>
    <s v="TJX"/>
    <s v="mobile"/>
    <s v="GEO,Frequency,Keyword,OS,BrowserLanguage"/>
    <n v="12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6"/>
    <x v="0"/>
  </r>
  <r>
    <x v="1"/>
    <s v="PAUSED"/>
    <n v="1012811262"/>
    <x v="73"/>
    <s v="nsfw"/>
    <d v="1899-12-30T16:09:00"/>
    <s v="In-Stream Video"/>
    <s v="TJX"/>
    <s v="mobile"/>
    <s v="GEO,Frequency,OS,BrowserLanguage"/>
    <n v="12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11272"/>
    <x v="577"/>
    <s v="nsfw"/>
    <d v="1899-12-30T16:09:00"/>
    <s v="In-Stream Video"/>
    <s v="TJX"/>
    <s v="mobile"/>
    <s v="GEO,Frequency,Keyword,OS,BrowserLanguage"/>
    <n v="11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811552"/>
    <x v="578"/>
    <s v="nsfw"/>
    <d v="1899-12-30T16:09:00"/>
    <s v="In-Stream Video"/>
    <s v="TJX"/>
    <s v="mobile"/>
    <s v="GEO,Frequency,Keyword,OS,BrowserLanguage"/>
    <n v="110"/>
    <n v="0"/>
    <s v="Yes"/>
    <s v="Unlimited"/>
    <n v="2708"/>
    <n v="146"/>
    <n v="5.3914299999999997"/>
    <n v="0"/>
    <n v="5.71"/>
    <n v="2.1080000000000001"/>
    <n v="3.9E-2"/>
    <n v="0"/>
    <n v="1"/>
    <n v="0"/>
    <s v="Yes"/>
    <n v="2708"/>
    <n v="2364"/>
    <n v="177"/>
    <s v="General"/>
    <x v="0"/>
    <x v="12"/>
    <x v="0"/>
  </r>
  <r>
    <x v="1"/>
    <s v="PAUSED"/>
    <n v="1012811562"/>
    <x v="557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2"/>
    <x v="0"/>
  </r>
  <r>
    <x v="1"/>
    <s v="RUNNING"/>
    <n v="1012811572"/>
    <x v="579"/>
    <s v="nsfw"/>
    <d v="1899-12-30T16:09:00"/>
    <s v="In-Stream Video"/>
    <s v="TJX"/>
    <s v="desktop"/>
    <s v="GEO,Frequency,Keyword,BrowserLanguage"/>
    <n v="56"/>
    <n v="0"/>
    <s v="Yes"/>
    <s v="Unlimited"/>
    <n v="3126"/>
    <n v="213"/>
    <n v="6.8138199999999998"/>
    <n v="0"/>
    <n v="9.26"/>
    <n v="2.9620000000000002"/>
    <n v="4.2999999999999997E-2"/>
    <n v="0"/>
    <n v="1"/>
    <n v="0"/>
    <s v="Yes"/>
    <n v="3126"/>
    <n v="2306"/>
    <n v="362"/>
    <s v="General"/>
    <x v="0"/>
    <x v="12"/>
    <x v="0"/>
  </r>
  <r>
    <x v="1"/>
    <s v="RUNNING"/>
    <n v="1012811582"/>
    <x v="580"/>
    <s v="nsfw"/>
    <d v="1899-12-30T16:09:00"/>
    <s v="In-Stream Video"/>
    <s v="TJX"/>
    <s v="mobile"/>
    <s v="GEO,Frequency,Keyword,OS,BrowserLanguage"/>
    <n v="130"/>
    <n v="0"/>
    <s v="Yes"/>
    <s v="Unlimited"/>
    <n v="24035"/>
    <n v="1319"/>
    <n v="5.4878299999999998"/>
    <n v="3"/>
    <n v="49.15"/>
    <n v="2.0449999999999999"/>
    <n v="3.6999999999999998E-2"/>
    <n v="16.384"/>
    <n v="1"/>
    <n v="0"/>
    <s v="Yes"/>
    <n v="24035"/>
    <n v="21268"/>
    <n v="1953"/>
    <s v="General"/>
    <x v="0"/>
    <x v="12"/>
    <x v="0"/>
  </r>
  <r>
    <x v="1"/>
    <s v="PAUSED"/>
    <n v="1012811592"/>
    <x v="581"/>
    <s v="nsfw"/>
    <d v="1899-12-30T16:09:00"/>
    <s v="In-Stream Video"/>
    <s v="TJX"/>
    <s v="desktop"/>
    <s v="GEO,Frequency,Keyword,BrowserLanguage"/>
    <n v="3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2"/>
    <x v="0"/>
  </r>
  <r>
    <x v="1"/>
    <s v="PAUSED"/>
    <n v="1012811602"/>
    <x v="582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2"/>
    <x v="0"/>
  </r>
  <r>
    <x v="1"/>
    <s v="PAUSED"/>
    <n v="1012811612"/>
    <x v="555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2"/>
    <x v="0"/>
  </r>
  <r>
    <x v="1"/>
    <s v="RUNNING"/>
    <n v="1012811622"/>
    <x v="583"/>
    <s v="nsfw"/>
    <d v="1899-12-30T16:09:00"/>
    <s v="In-Stream Video"/>
    <s v="TJX"/>
    <s v="desktop"/>
    <s v="GEO,Frequency,Keyword,BrowserLanguage"/>
    <n v="64"/>
    <n v="0"/>
    <s v="Yes"/>
    <s v="Unlimited"/>
    <n v="17082"/>
    <n v="1030"/>
    <n v="6.0297400000000003"/>
    <n v="1"/>
    <n v="64.81"/>
    <n v="3.794"/>
    <n v="6.3E-2"/>
    <n v="64.808999999999997"/>
    <n v="1"/>
    <n v="0"/>
    <s v="Yes"/>
    <n v="17082"/>
    <n v="13653"/>
    <n v="1893"/>
    <s v="General"/>
    <x v="0"/>
    <x v="12"/>
    <x v="0"/>
  </r>
  <r>
    <x v="1"/>
    <s v="RUNNING"/>
    <n v="1012811632"/>
    <x v="584"/>
    <s v="nsfw"/>
    <d v="1899-12-30T16:09:00"/>
    <s v="In-Stream Video"/>
    <s v="TJX"/>
    <s v="mobile"/>
    <s v="GEO,Frequency,Keyword,OS,BrowserLanguage"/>
    <n v="120"/>
    <n v="0"/>
    <s v="Yes"/>
    <s v="Unlimited"/>
    <n v="31354"/>
    <n v="1860"/>
    <n v="5.9322600000000003"/>
    <n v="0"/>
    <n v="62.75"/>
    <n v="2.0009999999999999"/>
    <n v="3.4000000000000002E-2"/>
    <n v="0"/>
    <n v="1"/>
    <n v="0"/>
    <s v="Yes"/>
    <n v="31354"/>
    <n v="27964"/>
    <n v="2250"/>
    <s v="General"/>
    <x v="0"/>
    <x v="12"/>
    <x v="0"/>
  </r>
  <r>
    <x v="1"/>
    <s v="PAUSED"/>
    <n v="1012811642"/>
    <x v="585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2"/>
    <x v="0"/>
  </r>
  <r>
    <x v="1"/>
    <s v="PAUSED"/>
    <n v="1012811652"/>
    <x v="586"/>
    <s v="nsfw"/>
    <d v="1899-12-30T16:09:00"/>
    <s v="In-Stream Video"/>
    <s v="TJX"/>
    <s v="mobile"/>
    <s v="GEO,Frequency,Keyword,OS,BrowserLanguage"/>
    <n v="7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2"/>
    <x v="0"/>
  </r>
  <r>
    <x v="1"/>
    <s v="PAUSED"/>
    <n v="1012811662"/>
    <x v="587"/>
    <s v="nsfw"/>
    <d v="1899-12-30T16:09:00"/>
    <s v="In-Stream Video"/>
    <s v="TJX"/>
    <s v="desktop"/>
    <s v="GEO,Frequency,Keyword,BrowserLanguage"/>
    <n v="3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2"/>
    <x v="0"/>
  </r>
  <r>
    <x v="1"/>
    <s v="RUNNING"/>
    <n v="1012811672"/>
    <x v="588"/>
    <s v="nsfw"/>
    <d v="1899-12-30T16:09:00"/>
    <s v="In-Stream Video"/>
    <s v="TJX"/>
    <s v="desktop"/>
    <s v="GEO,Frequency,Keyword,BrowserLanguage"/>
    <n v="52"/>
    <n v="0"/>
    <s v="Yes"/>
    <s v="Unlimited"/>
    <n v="3346"/>
    <n v="167"/>
    <n v="4.9910300000000003"/>
    <n v="0"/>
    <n v="12.71"/>
    <n v="3.798"/>
    <n v="7.5999999999999998E-2"/>
    <n v="0"/>
    <n v="1"/>
    <n v="0"/>
    <s v="Yes"/>
    <n v="3346"/>
    <n v="2639"/>
    <n v="373"/>
    <s v="General"/>
    <x v="0"/>
    <x v="12"/>
    <x v="0"/>
  </r>
  <r>
    <x v="1"/>
    <s v="RUNNING"/>
    <n v="1012811682"/>
    <x v="589"/>
    <s v="nsfw"/>
    <d v="1899-12-30T16:09:00"/>
    <s v="In-Stream Video"/>
    <s v="TJX"/>
    <s v="mobile"/>
    <s v="GEO,Frequency,Keyword,OS,BrowserLanguage"/>
    <n v="70"/>
    <n v="0"/>
    <s v="Yes"/>
    <s v="Unlimited"/>
    <n v="596"/>
    <n v="45"/>
    <n v="7.5503400000000003"/>
    <n v="0"/>
    <n v="0.86"/>
    <n v="1.4410000000000001"/>
    <n v="1.9E-2"/>
    <n v="0"/>
    <n v="1"/>
    <n v="0"/>
    <s v="Yes"/>
    <n v="596"/>
    <n v="533"/>
    <n v="56"/>
    <s v="General"/>
    <x v="0"/>
    <x v="12"/>
    <x v="0"/>
  </r>
  <r>
    <x v="1"/>
    <s v="RUNNING"/>
    <n v="1012811692"/>
    <x v="590"/>
    <s v="nsfw"/>
    <d v="1899-12-30T16:09:00"/>
    <s v="In-Stream Video"/>
    <s v="TJX"/>
    <s v="mobile"/>
    <s v="GEO,Frequency,Keyword,OS,BrowserLanguage"/>
    <n v="70"/>
    <n v="0"/>
    <s v="Yes"/>
    <s v="Unlimited"/>
    <n v="250"/>
    <n v="19"/>
    <n v="7.6"/>
    <n v="0"/>
    <n v="0.53"/>
    <n v="2.1160000000000001"/>
    <n v="2.8000000000000001E-2"/>
    <n v="0"/>
    <n v="1"/>
    <n v="0"/>
    <s v="Yes"/>
    <n v="250"/>
    <n v="230"/>
    <n v="13"/>
    <s v="General"/>
    <x v="0"/>
    <x v="12"/>
    <x v="0"/>
  </r>
  <r>
    <x v="1"/>
    <s v="RUNNING"/>
    <n v="1012811702"/>
    <x v="591"/>
    <s v="nsfw"/>
    <s v="640 x 360"/>
    <s v="Display"/>
    <s v="TJX"/>
    <s v="mobile"/>
    <s v="GEO,Frequency,Keyword,OS,BrowserLanguage"/>
    <n v="416"/>
    <n v="0"/>
    <s v="Yes"/>
    <s v="Unlimited"/>
    <n v="477154"/>
    <n v="597"/>
    <n v="0.12512000000000001"/>
    <n v="2"/>
    <n v="80.180000000000007"/>
    <n v="0.16800000000000001"/>
    <n v="0.13400000000000001"/>
    <n v="40.091000000000001"/>
    <n v="2"/>
    <n v="0"/>
    <s v="Yes"/>
    <n v="0"/>
    <n v="0"/>
    <n v="0"/>
    <s v="General"/>
    <x v="2"/>
    <x v="12"/>
    <x v="0"/>
  </r>
  <r>
    <x v="1"/>
    <s v="RUNNING"/>
    <n v="1012811712"/>
    <x v="592"/>
    <s v="nsfw"/>
    <s v="640 x 360"/>
    <s v="Display"/>
    <s v="TJX"/>
    <s v="mobile"/>
    <s v="GEO,Frequency,Keyword,OS,BrowserLanguage"/>
    <n v="416"/>
    <n v="0"/>
    <s v="Yes"/>
    <s v="Unlimited"/>
    <n v="248539"/>
    <n v="474"/>
    <n v="0.19070999999999999"/>
    <n v="0"/>
    <n v="43.98"/>
    <n v="0.17699999999999999"/>
    <n v="9.2999999999999999E-2"/>
    <n v="0"/>
    <n v="2"/>
    <n v="0"/>
    <s v="Yes"/>
    <n v="0"/>
    <n v="0"/>
    <n v="0"/>
    <s v="General"/>
    <x v="2"/>
    <x v="12"/>
    <x v="0"/>
  </r>
  <r>
    <x v="1"/>
    <s v="PAUSED"/>
    <n v="1012811722"/>
    <x v="593"/>
    <s v="nsfw"/>
    <s v="640 x 360"/>
    <s v="Display"/>
    <s v="TJX"/>
    <s v="desktop"/>
    <s v="GEO,Frequency,Keyword,BrowserLanguage"/>
    <n v="39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2"/>
    <x v="0"/>
  </r>
  <r>
    <x v="1"/>
    <s v="RUNNING"/>
    <n v="1012811772"/>
    <x v="594"/>
    <s v="nsfw"/>
    <s v="640 x 360"/>
    <s v="Display"/>
    <s v="TJX"/>
    <s v="desktop"/>
    <s v="GEO,Frequency,Keyword,BrowserLanguage"/>
    <n v="396"/>
    <n v="0"/>
    <s v="Yes"/>
    <s v="Unlimited"/>
    <n v="24545"/>
    <n v="36"/>
    <n v="0.14666999999999999"/>
    <n v="0"/>
    <n v="3.5"/>
    <n v="0.14299999999999999"/>
    <n v="9.7000000000000003E-2"/>
    <n v="0"/>
    <n v="2"/>
    <n v="0"/>
    <s v="Yes"/>
    <n v="0"/>
    <n v="0"/>
    <n v="0"/>
    <s v="General"/>
    <x v="2"/>
    <x v="12"/>
    <x v="0"/>
  </r>
  <r>
    <x v="1"/>
    <s v="RUNNING"/>
    <n v="1012811782"/>
    <x v="595"/>
    <s v="nsfw"/>
    <s v="640 x 360"/>
    <s v="Display"/>
    <s v="TJX"/>
    <s v="mobile"/>
    <s v="GEO,Frequency,Keyword,OS,BrowserLanguage"/>
    <n v="416"/>
    <n v="0"/>
    <s v="Yes"/>
    <s v="Unlimited"/>
    <n v="48866"/>
    <n v="90"/>
    <n v="0.18418000000000001"/>
    <n v="0"/>
    <n v="6.82"/>
    <n v="0.14000000000000001"/>
    <n v="7.5999999999999998E-2"/>
    <n v="0"/>
    <n v="2"/>
    <n v="0"/>
    <s v="Yes"/>
    <n v="0"/>
    <n v="0"/>
    <n v="0"/>
    <s v="General"/>
    <x v="2"/>
    <x v="12"/>
    <x v="0"/>
  </r>
  <r>
    <x v="1"/>
    <s v="RUNNING"/>
    <n v="1012811792"/>
    <x v="596"/>
    <s v="nsfw"/>
    <s v="640 x 360"/>
    <s v="Display"/>
    <s v="TJX"/>
    <s v="mobile"/>
    <s v="GEO,Frequency,Keyword,OS,BrowserLanguage"/>
    <n v="416"/>
    <n v="0"/>
    <s v="Yes"/>
    <s v="Unlimited"/>
    <n v="65562"/>
    <n v="66"/>
    <n v="0.10067"/>
    <n v="0"/>
    <n v="8.61"/>
    <n v="0.13100000000000001"/>
    <n v="0.13"/>
    <n v="0"/>
    <n v="2"/>
    <n v="0"/>
    <s v="Yes"/>
    <n v="0"/>
    <n v="0"/>
    <n v="0"/>
    <s v="General"/>
    <x v="2"/>
    <x v="12"/>
    <x v="0"/>
  </r>
  <r>
    <x v="1"/>
    <s v="RUNNING"/>
    <n v="1012811802"/>
    <x v="597"/>
    <s v="nsfw"/>
    <s v="640 x 360"/>
    <s v="Display"/>
    <s v="TJX"/>
    <s v="mobile"/>
    <s v="GEO,Frequency,Keyword,OS,BrowserLanguage"/>
    <n v="416"/>
    <n v="0"/>
    <s v="Yes"/>
    <s v="Unlimited"/>
    <n v="140990"/>
    <n v="181"/>
    <n v="0.12837999999999999"/>
    <n v="0"/>
    <n v="27.29"/>
    <n v="0.19400000000000001"/>
    <n v="0.151"/>
    <n v="0"/>
    <n v="1"/>
    <n v="0"/>
    <s v="Yes"/>
    <n v="0"/>
    <n v="0"/>
    <n v="0"/>
    <s v="General"/>
    <x v="0"/>
    <x v="12"/>
    <x v="0"/>
  </r>
  <r>
    <x v="1"/>
    <s v="RUNNING"/>
    <n v="1012811812"/>
    <x v="598"/>
    <s v="nsfw"/>
    <s v="640 x 360"/>
    <s v="Display"/>
    <s v="TJX"/>
    <s v="mobile"/>
    <s v="GEO,Frequency,Keyword,OS,BrowserLanguage"/>
    <n v="416"/>
    <n v="0"/>
    <s v="Yes"/>
    <s v="Unlimited"/>
    <n v="60908"/>
    <n v="136"/>
    <n v="0.22328999999999999"/>
    <n v="0"/>
    <n v="16.940000000000001"/>
    <n v="0.27800000000000002"/>
    <n v="0.125"/>
    <n v="0"/>
    <n v="2"/>
    <n v="0"/>
    <s v="Yes"/>
    <n v="0"/>
    <n v="0"/>
    <n v="0"/>
    <s v="General"/>
    <x v="2"/>
    <x v="12"/>
    <x v="0"/>
  </r>
  <r>
    <x v="1"/>
    <s v="RUNNING"/>
    <n v="1012811822"/>
    <x v="599"/>
    <s v="nsfw"/>
    <s v="640 x 360"/>
    <s v="Display"/>
    <s v="TJX"/>
    <s v="desktop"/>
    <s v="GEO,Frequency,Keyword,BrowserLanguage"/>
    <n v="396"/>
    <n v="0"/>
    <s v="Yes"/>
    <s v="Unlimited"/>
    <n v="45377"/>
    <n v="66"/>
    <n v="0.14545"/>
    <n v="0"/>
    <n v="6.49"/>
    <n v="0.14299999999999999"/>
    <n v="9.8000000000000004E-2"/>
    <n v="0"/>
    <n v="2"/>
    <n v="0"/>
    <s v="Yes"/>
    <n v="0"/>
    <n v="0"/>
    <n v="0"/>
    <s v="General"/>
    <x v="2"/>
    <x v="12"/>
    <x v="0"/>
  </r>
  <r>
    <x v="1"/>
    <s v="RUNNING"/>
    <n v="1012811832"/>
    <x v="600"/>
    <s v="nsfw"/>
    <s v="640 x 360"/>
    <s v="Display"/>
    <s v="TJX"/>
    <s v="desktop"/>
    <s v="GEO,Frequency,Keyword,BrowserLanguage"/>
    <n v="396"/>
    <n v="0"/>
    <s v="Yes"/>
    <s v="Unlimited"/>
    <n v="7733"/>
    <n v="7"/>
    <n v="9.0520000000000003E-2"/>
    <n v="0"/>
    <n v="1.1000000000000001"/>
    <n v="0.14199999999999999"/>
    <n v="0.157"/>
    <n v="0"/>
    <n v="2"/>
    <n v="0"/>
    <s v="Yes"/>
    <n v="0"/>
    <n v="0"/>
    <n v="0"/>
    <s v="General"/>
    <x v="2"/>
    <x v="12"/>
    <x v="0"/>
  </r>
  <r>
    <x v="1"/>
    <s v="RUNNING"/>
    <n v="1012811842"/>
    <x v="601"/>
    <s v="nsfw"/>
    <s v="640 x 360"/>
    <s v="Display"/>
    <s v="TJX"/>
    <s v="mobile"/>
    <s v="GEO,Frequency,Keyword,OS,BrowserLanguage"/>
    <n v="416"/>
    <n v="0"/>
    <s v="Yes"/>
    <s v="Unlimited"/>
    <n v="15669"/>
    <n v="38"/>
    <n v="0.24252000000000001"/>
    <n v="0"/>
    <n v="2.2000000000000002"/>
    <n v="0.14000000000000001"/>
    <n v="5.8000000000000003E-2"/>
    <n v="0"/>
    <n v="2"/>
    <n v="0"/>
    <s v="Yes"/>
    <n v="0"/>
    <n v="0"/>
    <n v="0"/>
    <s v="General"/>
    <x v="2"/>
    <x v="12"/>
    <x v="0"/>
  </r>
  <r>
    <x v="1"/>
    <s v="RUNNING"/>
    <n v="1012811852"/>
    <x v="602"/>
    <s v="nsfw"/>
    <s v="640 x 360"/>
    <s v="Display"/>
    <s v="TJX"/>
    <s v="mobile"/>
    <s v="GEO,Frequency,Keyword,OS,BrowserLanguage"/>
    <n v="416"/>
    <n v="0"/>
    <s v="Yes"/>
    <s v="Unlimited"/>
    <n v="10625"/>
    <n v="16"/>
    <n v="0.15059"/>
    <n v="1"/>
    <n v="1.48"/>
    <n v="0.13900000000000001"/>
    <n v="9.1999999999999998E-2"/>
    <n v="1.476"/>
    <n v="2"/>
    <n v="0"/>
    <s v="Yes"/>
    <n v="0"/>
    <n v="0"/>
    <n v="0"/>
    <s v="General"/>
    <x v="2"/>
    <x v="12"/>
    <x v="0"/>
  </r>
  <r>
    <x v="1"/>
    <s v="RUNNING"/>
    <n v="1012811862"/>
    <x v="603"/>
    <s v="nsfw"/>
    <s v="640 x 360"/>
    <s v="Display"/>
    <s v="TJX"/>
    <s v="mobile"/>
    <s v="GEO,Frequency,Keyword,OS,BrowserLanguage"/>
    <n v="416"/>
    <n v="0"/>
    <s v="Yes"/>
    <s v="Unlimited"/>
    <n v="25678"/>
    <n v="32"/>
    <n v="0.12461999999999999"/>
    <n v="0"/>
    <n v="3.16"/>
    <n v="0.123"/>
    <n v="9.9000000000000005E-2"/>
    <n v="0"/>
    <n v="2"/>
    <n v="0"/>
    <s v="Yes"/>
    <n v="0"/>
    <n v="0"/>
    <n v="0"/>
    <s v="General"/>
    <x v="2"/>
    <x v="12"/>
    <x v="0"/>
  </r>
  <r>
    <x v="1"/>
    <s v="RUNNING"/>
    <n v="1012811872"/>
    <x v="604"/>
    <s v="nsfw"/>
    <s v="640 x 360"/>
    <s v="Display"/>
    <s v="TJX"/>
    <s v="mobile"/>
    <s v="GEO,Frequency,Keyword,OS,BrowserLanguage"/>
    <n v="416"/>
    <n v="0"/>
    <s v="Yes"/>
    <s v="Unlimited"/>
    <n v="22136"/>
    <n v="64"/>
    <n v="0.28911999999999999"/>
    <n v="1"/>
    <n v="2.85"/>
    <n v="0.129"/>
    <n v="4.4999999999999998E-2"/>
    <n v="2.851"/>
    <n v="1"/>
    <n v="0"/>
    <s v="Yes"/>
    <n v="0"/>
    <n v="0"/>
    <n v="0"/>
    <s v="General"/>
    <x v="0"/>
    <x v="12"/>
    <x v="0"/>
  </r>
  <r>
    <x v="1"/>
    <s v="RUNNING"/>
    <n v="1012811882"/>
    <x v="605"/>
    <s v="nsfw"/>
    <s v="640 x 360"/>
    <s v="Display"/>
    <s v="TJX"/>
    <s v="desktop"/>
    <s v="GEO,Frequency,Keyword,BrowserLanguage"/>
    <n v="396"/>
    <n v="0"/>
    <s v="Yes"/>
    <s v="Unlimited"/>
    <n v="8665"/>
    <n v="17"/>
    <n v="0.19619"/>
    <n v="0"/>
    <n v="1.27"/>
    <n v="0.14699999999999999"/>
    <n v="7.4999999999999997E-2"/>
    <n v="0"/>
    <n v="2"/>
    <n v="0"/>
    <s v="Yes"/>
    <n v="0"/>
    <n v="0"/>
    <n v="0"/>
    <s v="General"/>
    <x v="2"/>
    <x v="12"/>
    <x v="0"/>
  </r>
  <r>
    <x v="1"/>
    <s v="PAUSED"/>
    <n v="1012811912"/>
    <x v="606"/>
    <s v="nsfw"/>
    <s v="300 x 250"/>
    <s v="Display"/>
    <s v="TJX"/>
    <s v="mobile"/>
    <s v="GEO,Frequency,Keyword,OS,BrowserLanguage"/>
    <n v="81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2"/>
    <x v="0"/>
  </r>
  <r>
    <x v="1"/>
    <s v="PAUSED"/>
    <n v="1012811942"/>
    <x v="607"/>
    <s v="nsfw"/>
    <s v="300 x 250"/>
    <s v="Display"/>
    <s v="TJX"/>
    <s v="desktop"/>
    <s v="GEO,Frequency,Keyword,BrowserLanguage"/>
    <n v="4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2"/>
    <x v="0"/>
  </r>
  <r>
    <x v="1"/>
    <s v="RUNNING"/>
    <n v="1012811972"/>
    <x v="608"/>
    <s v="nsfw"/>
    <s v="300 x 250"/>
    <s v="Display"/>
    <s v="TJX"/>
    <s v="mobile"/>
    <s v="GEO,Frequency,Keyword,OS,BrowserLanguage"/>
    <n v="81"/>
    <n v="0"/>
    <s v="Yes"/>
    <s v="Unlimited"/>
    <n v="510780"/>
    <n v="234"/>
    <n v="4.5809999999999997E-2"/>
    <n v="2"/>
    <n v="34.29"/>
    <n v="6.7000000000000004E-2"/>
    <n v="0.14699999999999999"/>
    <n v="17.146000000000001"/>
    <n v="2"/>
    <n v="0"/>
    <s v="Yes"/>
    <n v="0"/>
    <n v="0"/>
    <n v="0"/>
    <s v="General"/>
    <x v="2"/>
    <x v="12"/>
    <x v="0"/>
  </r>
  <r>
    <x v="1"/>
    <s v="RUNNING"/>
    <n v="1012811992"/>
    <x v="609"/>
    <s v="nsfw"/>
    <s v="300 x 250"/>
    <s v="Display"/>
    <s v="TJX"/>
    <s v="mobile"/>
    <s v="GEO,Frequency,Keyword,OS,BrowserLanguage"/>
    <n v="81"/>
    <n v="0"/>
    <s v="Yes"/>
    <s v="Unlimited"/>
    <n v="70363"/>
    <n v="21"/>
    <n v="2.9850000000000002E-2"/>
    <n v="0"/>
    <n v="4.5199999999999996"/>
    <n v="6.4000000000000001E-2"/>
    <n v="0.215"/>
    <n v="0"/>
    <n v="2"/>
    <n v="0"/>
    <s v="Yes"/>
    <n v="0"/>
    <n v="0"/>
    <n v="0"/>
    <s v="General"/>
    <x v="2"/>
    <x v="12"/>
    <x v="0"/>
  </r>
  <r>
    <x v="1"/>
    <s v="PAUSED"/>
    <n v="1012812002"/>
    <x v="610"/>
    <s v="nsfw"/>
    <s v="300 x 250"/>
    <s v="Display"/>
    <s v="TJX"/>
    <s v="desktop"/>
    <s v="GEO,Frequency,Keyword,BrowserLanguage"/>
    <n v="4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2"/>
    <x v="0"/>
  </r>
  <r>
    <x v="1"/>
    <s v="RUNNING"/>
    <n v="1012812012"/>
    <x v="611"/>
    <s v="nsfw"/>
    <s v="300 x 250"/>
    <s v="Display"/>
    <s v="TJX"/>
    <s v="mobile"/>
    <s v="GEO,Frequency,Keyword,OS,BrowserLanguage"/>
    <n v="81"/>
    <n v="0"/>
    <s v="Yes"/>
    <s v="Unlimited"/>
    <n v="70333"/>
    <n v="22"/>
    <n v="3.1280000000000002E-2"/>
    <n v="0"/>
    <n v="4.68"/>
    <n v="6.7000000000000004E-2"/>
    <n v="0.21299999999999999"/>
    <n v="0"/>
    <n v="2"/>
    <n v="0"/>
    <s v="Yes"/>
    <n v="0"/>
    <n v="0"/>
    <n v="0"/>
    <s v="General"/>
    <x v="2"/>
    <x v="12"/>
    <x v="0"/>
  </r>
  <r>
    <x v="1"/>
    <s v="RUNNING"/>
    <n v="1012812022"/>
    <x v="612"/>
    <s v="nsfw"/>
    <s v="300 x 250"/>
    <s v="Display"/>
    <s v="TJX"/>
    <s v="mobile"/>
    <s v="GEO,Frequency,Keyword,OS,BrowserLanguage"/>
    <n v="81"/>
    <n v="0"/>
    <s v="Yes"/>
    <s v="Unlimited"/>
    <n v="28827"/>
    <n v="7"/>
    <n v="2.4279999999999999E-2"/>
    <n v="0"/>
    <n v="1.94"/>
    <n v="6.7000000000000004E-2"/>
    <n v="0.27700000000000002"/>
    <n v="0"/>
    <n v="2"/>
    <n v="0"/>
    <s v="Yes"/>
    <n v="0"/>
    <n v="0"/>
    <n v="0"/>
    <s v="General"/>
    <x v="2"/>
    <x v="12"/>
    <x v="0"/>
  </r>
  <r>
    <x v="1"/>
    <s v="RUNNING"/>
    <n v="1012812032"/>
    <x v="613"/>
    <s v="nsfw"/>
    <s v="300 x 250"/>
    <s v="Display"/>
    <s v="TJX"/>
    <s v="desktop"/>
    <s v="GEO,Frequency,Keyword,BrowserLanguage"/>
    <n v="48"/>
    <n v="0"/>
    <s v="Yes"/>
    <s v="Unlimited"/>
    <n v="11571"/>
    <n v="20"/>
    <n v="0.17285"/>
    <n v="0"/>
    <n v="2.41"/>
    <n v="0.20799999999999999"/>
    <n v="0.12"/>
    <n v="0"/>
    <n v="1"/>
    <n v="0"/>
    <s v="Yes"/>
    <n v="0"/>
    <n v="0"/>
    <n v="0"/>
    <s v="General"/>
    <x v="0"/>
    <x v="12"/>
    <x v="0"/>
  </r>
  <r>
    <x v="1"/>
    <s v="RUNNING"/>
    <n v="1012812042"/>
    <x v="614"/>
    <s v="nsfw"/>
    <s v="300 x 250"/>
    <s v="Display"/>
    <s v="TJX"/>
    <s v="mobile"/>
    <s v="GEO,Frequency,Keyword,OS,BrowserLanguage"/>
    <n v="81"/>
    <n v="0"/>
    <s v="Yes"/>
    <s v="Unlimited"/>
    <n v="30118"/>
    <n v="9"/>
    <n v="2.988E-2"/>
    <n v="0"/>
    <n v="1.98"/>
    <n v="6.6000000000000003E-2"/>
    <n v="0.22"/>
    <n v="0"/>
    <n v="2"/>
    <n v="0"/>
    <s v="Yes"/>
    <n v="0"/>
    <n v="0"/>
    <n v="0"/>
    <s v="General"/>
    <x v="2"/>
    <x v="12"/>
    <x v="0"/>
  </r>
  <r>
    <x v="1"/>
    <s v="PAUSED"/>
    <n v="1012812062"/>
    <x v="615"/>
    <s v="nsfw"/>
    <s v="300 x 250"/>
    <s v="Display"/>
    <s v="TJX"/>
    <s v="desktop"/>
    <s v="GEO,Frequency,Keyword,BrowserLanguage"/>
    <n v="48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2"/>
    <x v="0"/>
  </r>
  <r>
    <x v="1"/>
    <s v="PAUSED"/>
    <n v="1012812072"/>
    <x v="616"/>
    <s v="nsfw"/>
    <s v="300 x 250"/>
    <s v="Display"/>
    <s v="TJX"/>
    <s v="mobile"/>
    <s v="GEO,Frequency,Keyword,OS,BrowserLanguage"/>
    <n v="81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2"/>
    <x v="0"/>
  </r>
  <r>
    <x v="1"/>
    <s v="PAUSED"/>
    <n v="1012812082"/>
    <x v="617"/>
    <s v="nsfw"/>
    <s v="300 x 250"/>
    <s v="Display"/>
    <s v="TJX"/>
    <s v="mobile"/>
    <s v="GEO,Frequency,Keyword,OS,BrowserLanguage"/>
    <n v="81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2"/>
    <x v="0"/>
  </r>
  <r>
    <x v="1"/>
    <s v="RUNNING"/>
    <n v="1012812092"/>
    <x v="618"/>
    <s v="nsfw"/>
    <s v="300 x 250"/>
    <s v="Display"/>
    <s v="TJX"/>
    <s v="mobile"/>
    <s v="GEO,Frequency,Keyword,OS,BrowserLanguage"/>
    <n v="81"/>
    <n v="0"/>
    <s v="Yes"/>
    <s v="Unlimited"/>
    <n v="20115"/>
    <n v="9"/>
    <n v="4.4740000000000002E-2"/>
    <n v="0"/>
    <n v="1.35"/>
    <n v="6.7000000000000004E-2"/>
    <n v="0.15"/>
    <n v="0"/>
    <n v="2"/>
    <n v="0"/>
    <s v="Yes"/>
    <n v="0"/>
    <n v="0"/>
    <n v="0"/>
    <s v="General"/>
    <x v="2"/>
    <x v="12"/>
    <x v="0"/>
  </r>
  <r>
    <x v="1"/>
    <s v="RUNNING"/>
    <n v="1012812102"/>
    <x v="619"/>
    <s v="nsfw"/>
    <s v="300 x 250"/>
    <s v="Display"/>
    <s v="TJX"/>
    <s v="mobile"/>
    <s v="GEO,Frequency,Keyword,OS,BrowserLanguage"/>
    <n v="81"/>
    <n v="0"/>
    <s v="Yes"/>
    <s v="Unlimited"/>
    <n v="14059"/>
    <n v="1"/>
    <n v="7.11E-3"/>
    <n v="0"/>
    <n v="0.96"/>
    <n v="6.8000000000000005E-2"/>
    <n v="0.95799999999999996"/>
    <n v="0"/>
    <n v="2"/>
    <n v="0"/>
    <s v="Yes"/>
    <n v="0"/>
    <n v="0"/>
    <n v="0"/>
    <s v="General"/>
    <x v="2"/>
    <x v="12"/>
    <x v="0"/>
  </r>
  <r>
    <x v="1"/>
    <s v="RUNNING"/>
    <n v="1012812112"/>
    <x v="620"/>
    <s v="nsfw"/>
    <s v="300 x 250"/>
    <s v="Display"/>
    <s v="TJX"/>
    <s v="desktop"/>
    <s v="GEO,Frequency,Keyword,BrowserLanguage"/>
    <n v="48"/>
    <n v="0"/>
    <s v="Yes"/>
    <s v="Unlimited"/>
    <n v="9708"/>
    <n v="16"/>
    <n v="0.16481000000000001"/>
    <n v="0"/>
    <n v="1.79"/>
    <n v="0.184"/>
    <n v="0.112"/>
    <n v="0"/>
    <n v="2"/>
    <n v="0"/>
    <s v="Yes"/>
    <n v="0"/>
    <n v="0"/>
    <n v="0"/>
    <s v="General"/>
    <x v="2"/>
    <x v="12"/>
    <x v="0"/>
  </r>
  <r>
    <x v="1"/>
    <s v="PAUSED"/>
    <n v="1012820322"/>
    <x v="621"/>
    <s v="nsfw"/>
    <d v="1899-12-30T16:09:00"/>
    <s v="In-Stream Video"/>
    <s v="TJX"/>
    <s v="mobile"/>
    <s v="GEO,Frequency,OS,BrowserLanguage"/>
    <n v="5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3"/>
    <x v="0"/>
  </r>
  <r>
    <x v="1"/>
    <s v="PAUSED"/>
    <n v="1012820332"/>
    <x v="622"/>
    <s v="nsfw"/>
    <d v="1899-12-30T16:09:00"/>
    <s v="In-Stream Video"/>
    <s v="TJX"/>
    <s v="mobile"/>
    <s v="GEO,Frequency,OS,BrowserLanguage"/>
    <n v="50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3"/>
    <x v="0"/>
  </r>
  <r>
    <x v="1"/>
    <s v="PAUSED"/>
    <n v="1012850562"/>
    <x v="623"/>
    <s v="nsfw"/>
    <d v="1899-12-30T16:09:00"/>
    <s v="In-Stream Video"/>
    <s v="TJX"/>
    <s v="desktop"/>
    <s v="GEO,Frequency,BrowserLanguage,Segment"/>
    <n v="45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NOT RUNNING"/>
    <n v="1012853592"/>
    <x v="10"/>
    <s v="nsfw"/>
    <d v="1899-12-30T16:09:00"/>
    <s v="In-Stream Video"/>
    <s v="TJX"/>
    <s v="mobile"/>
    <s v="GEO,Frequency,OS,Segment"/>
    <n v="46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53732"/>
    <x v="624"/>
    <s v="nsfw"/>
    <d v="1899-12-30T09:16:00"/>
    <s v="In-Stream Video"/>
    <s v="TJX"/>
    <s v="mobile"/>
    <s v="GEO,Frequency,OS,Segment"/>
    <n v="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53752"/>
    <x v="625"/>
    <s v="nsfw"/>
    <d v="1899-12-30T09:16:00"/>
    <s v="In-Stream Video"/>
    <s v="TJX"/>
    <s v="mobile"/>
    <s v="GEO,Frequency,OS,Segment"/>
    <n v="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54242"/>
    <x v="626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54252"/>
    <x v="627"/>
    <s v="nsfw"/>
    <d v="1899-12-30T09:16:00"/>
    <s v="In-Stream Video"/>
    <s v="TJX"/>
    <s v="mobile"/>
    <s v="GEO,Frequency,OS,Segment"/>
    <n v="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54262"/>
    <x v="628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54272"/>
    <x v="629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54282"/>
    <x v="630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54302"/>
    <x v="631"/>
    <s v="nsfw"/>
    <d v="1899-12-30T09:16:00"/>
    <s v="In-Stream Video"/>
    <s v="TJX"/>
    <s v="mobile"/>
    <s v="GEO,Frequency,OS,Segment"/>
    <n v="12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NOT RUNNING"/>
    <n v="1012854322"/>
    <x v="632"/>
    <s v="nsfw"/>
    <d v="1899-12-30T16:09:00"/>
    <s v="In-Stream Video"/>
    <s v="TJX"/>
    <s v="mobile"/>
    <s v="GEO,Frequency,OS,Segment"/>
    <n v="9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0"/>
    <x v="0"/>
  </r>
  <r>
    <x v="1"/>
    <s v="PAUSED"/>
    <n v="1012854332"/>
    <x v="633"/>
    <s v="nsfw"/>
    <d v="1899-12-30T16:09:00"/>
    <s v="In-Stream Video"/>
    <s v="TJX"/>
    <s v="mobile"/>
    <s v="GEO,Frequency,OS,Segment"/>
    <n v="9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NOT RUNNING"/>
    <n v="1012854342"/>
    <x v="634"/>
    <s v="nsfw"/>
    <d v="1899-12-30T16:09:00"/>
    <s v="In-Stream Video"/>
    <s v="TJX"/>
    <s v="mobile"/>
    <s v="GEO,Frequency,OS,Segment"/>
    <n v="460"/>
    <n v="0"/>
    <s v="Yes"/>
    <s v="Unlimited"/>
    <n v="1"/>
    <n v="0"/>
    <n v="0"/>
    <n v="0"/>
    <n v="0"/>
    <n v="0.52500000000000002"/>
    <n v="0"/>
    <n v="0"/>
    <n v="1"/>
    <n v="0"/>
    <s v="Yes"/>
    <n v="1"/>
    <n v="0"/>
    <n v="1"/>
    <s v="General"/>
    <x v="0"/>
    <x v="0"/>
    <x v="0"/>
  </r>
  <r>
    <x v="1"/>
    <s v="PAUSED"/>
    <n v="1012854352"/>
    <x v="635"/>
    <s v="nsfw"/>
    <d v="1899-12-30T16:09:00"/>
    <s v="In-Stream Video"/>
    <s v="TJX"/>
    <s v="mobile"/>
    <s v="GEO,Frequency,OS,Segment"/>
    <n v="9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NOT RUNNING"/>
    <n v="1012854472"/>
    <x v="636"/>
    <s v="nsfw"/>
    <d v="1899-12-30T16:09:00"/>
    <s v="In-Stream Video"/>
    <s v="TJX"/>
    <s v="desktop"/>
    <s v="GEO,Frequency,BrowserLanguage,Segment"/>
    <n v="252"/>
    <n v="0"/>
    <s v="Yes"/>
    <s v="Unlimited"/>
    <n v="11"/>
    <n v="0"/>
    <n v="0"/>
    <n v="0"/>
    <n v="0.01"/>
    <n v="0.59"/>
    <n v="0"/>
    <n v="0"/>
    <n v="1"/>
    <n v="0"/>
    <s v="Yes"/>
    <n v="11"/>
    <n v="5"/>
    <n v="3"/>
    <s v="General"/>
    <x v="0"/>
    <x v="0"/>
    <x v="0"/>
  </r>
  <r>
    <x v="1"/>
    <s v="PAUSED"/>
    <n v="1012854502"/>
    <x v="637"/>
    <s v="nsfw"/>
    <d v="1899-12-30T16:09:00"/>
    <s v="In-Stream Video"/>
    <s v="TJX"/>
    <s v="desktop"/>
    <s v="GEO,Frequency,BrowserLanguage,Segment"/>
    <n v="56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54662"/>
    <x v="638"/>
    <s v="nsfw"/>
    <s v="950 x 250"/>
    <s v="Display"/>
    <s v="TJX"/>
    <s v="desktop"/>
    <s v="GEO,Frequency,BrowserLanguage,Segment"/>
    <n v="6"/>
    <n v="0"/>
    <s v="Yes"/>
    <s v="Unlimited"/>
    <n v="0"/>
    <n v="0"/>
    <n v="0"/>
    <m/>
    <n v="0"/>
    <n v="0"/>
    <n v="0"/>
    <n v="0"/>
    <n v="1"/>
    <n v="0"/>
    <s v="No"/>
    <m/>
    <m/>
    <m/>
    <s v="General"/>
    <x v="0"/>
    <x v="1"/>
    <x v="0"/>
  </r>
  <r>
    <x v="1"/>
    <s v="PAUSED"/>
    <n v="1012854692"/>
    <x v="639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General"/>
    <x v="0"/>
    <x v="1"/>
    <x v="0"/>
  </r>
  <r>
    <x v="1"/>
    <s v="PAUSED"/>
    <n v="1012854712"/>
    <x v="640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General"/>
    <x v="0"/>
    <x v="1"/>
    <x v="0"/>
  </r>
  <r>
    <x v="1"/>
    <s v="PAUSED"/>
    <n v="1012854722"/>
    <x v="641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General"/>
    <x v="0"/>
    <x v="1"/>
    <x v="0"/>
  </r>
  <r>
    <x v="1"/>
    <s v="PAUSED"/>
    <n v="1012854732"/>
    <x v="642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General"/>
    <x v="0"/>
    <x v="1"/>
    <x v="0"/>
  </r>
  <r>
    <x v="1"/>
    <s v="PAUSED"/>
    <n v="1012854742"/>
    <x v="643"/>
    <s v="nsfw"/>
    <s v="950 x 250"/>
    <s v="Display"/>
    <s v="TJX"/>
    <s v="desktop"/>
    <s v="GEO,Frequency,BrowserLanguage,Segment"/>
    <n v="10"/>
    <n v="0"/>
    <s v="Yes"/>
    <s v="Unlimited"/>
    <n v="0"/>
    <n v="0"/>
    <n v="0"/>
    <m/>
    <n v="0"/>
    <n v="0"/>
    <n v="0"/>
    <n v="0"/>
    <n v="1"/>
    <n v="0"/>
    <s v="No"/>
    <m/>
    <m/>
    <m/>
    <s v="General"/>
    <x v="0"/>
    <x v="1"/>
    <x v="0"/>
  </r>
  <r>
    <x v="1"/>
    <s v="PAUSED"/>
    <n v="1012854792"/>
    <x v="644"/>
    <s v="nsfw"/>
    <s v="950 x 250"/>
    <s v="Display"/>
    <s v="TJX"/>
    <s v="mobile"/>
    <s v="GEO,Frequency,OS,Segment"/>
    <n v="4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54842"/>
    <x v="645"/>
    <s v="nsfw"/>
    <s v="950 x 250"/>
    <s v="Display"/>
    <s v="TJX"/>
    <s v="mobile"/>
    <s v="GEO,Frequency,OS,Segment"/>
    <n v="6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58692"/>
    <x v="646"/>
    <s v="nsfw"/>
    <d v="1899-12-30T16:09:00"/>
    <s v="In-Stream Video"/>
    <s v="TJX"/>
    <s v="desktop"/>
    <s v="GEO,Frequency,Keyword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60402"/>
    <x v="647"/>
    <s v="nsfw"/>
    <d v="1899-12-30T16:09:00"/>
    <s v="In-Stream Video"/>
    <s v="TJX"/>
    <s v="desktop"/>
    <s v="GEO,Frequency,Keyword"/>
    <n v="28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63632"/>
    <x v="648"/>
    <s v="nsfw"/>
    <d v="1899-12-30T16:09:00"/>
    <s v="In-Stream Video"/>
    <s v="TJX"/>
    <s v="desktop"/>
    <s v="GEO,Frequency,Keyword,Segment"/>
    <n v="25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865892"/>
    <x v="649"/>
    <s v="nsfw"/>
    <d v="1899-12-30T16:09:00"/>
    <s v="In-Stream Video"/>
    <s v="TJX"/>
    <s v="mobile"/>
    <s v="GEO,Frequency,Keyword,OS,BrowserLanguage"/>
    <n v="560"/>
    <n v="0"/>
    <s v="Yes"/>
    <s v="Unlimited"/>
    <n v="96"/>
    <n v="4"/>
    <n v="4.1666699999999999"/>
    <n v="0"/>
    <n v="7.0000000000000007E-2"/>
    <n v="0.77800000000000002"/>
    <n v="1.9E-2"/>
    <n v="0"/>
    <n v="1"/>
    <n v="0"/>
    <s v="Yes"/>
    <n v="96"/>
    <n v="84"/>
    <n v="10"/>
    <s v="General"/>
    <x v="0"/>
    <x v="3"/>
    <x v="0"/>
  </r>
  <r>
    <x v="1"/>
    <s v="RUNNING"/>
    <n v="1012865902"/>
    <x v="650"/>
    <s v="nsfw"/>
    <d v="1899-12-30T16:09:00"/>
    <s v="In-Stream Video"/>
    <s v="TJX"/>
    <s v="mobile"/>
    <s v="GEO,Frequency,Keyword,OS,BrowserLanguage"/>
    <n v="560"/>
    <n v="0"/>
    <s v="Yes"/>
    <s v="Unlimited"/>
    <n v="4465"/>
    <n v="258"/>
    <n v="5.7782799999999996"/>
    <n v="0"/>
    <n v="5.99"/>
    <n v="1.341"/>
    <n v="2.3E-2"/>
    <n v="0"/>
    <n v="1"/>
    <n v="0"/>
    <s v="Yes"/>
    <n v="4465"/>
    <n v="3975"/>
    <n v="309"/>
    <s v="General"/>
    <x v="0"/>
    <x v="3"/>
    <x v="0"/>
  </r>
  <r>
    <x v="1"/>
    <s v="PAUSED"/>
    <n v="1012865912"/>
    <x v="450"/>
    <s v="nsfw"/>
    <d v="1899-12-30T16:09:00"/>
    <s v="In-Stream Video"/>
    <s v="TJX"/>
    <s v="mobile"/>
    <s v="GEO,Frequency,Keyword,OS,BrowserLanguage"/>
    <n v="56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RUNNING"/>
    <n v="1012865922"/>
    <x v="651"/>
    <s v="nsfw"/>
    <d v="1899-12-30T16:09:00"/>
    <s v="In-Stream Video"/>
    <s v="TJX"/>
    <s v="mobile"/>
    <s v="GEO,Frequency,Keyword,OS,BrowserLanguage"/>
    <n v="560"/>
    <n v="0"/>
    <s v="Yes"/>
    <s v="Unlimited"/>
    <n v="104"/>
    <n v="4"/>
    <n v="3.8461500000000002"/>
    <n v="0"/>
    <n v="0.09"/>
    <n v="0.84899999999999998"/>
    <n v="2.1999999999999999E-2"/>
    <n v="0"/>
    <n v="1"/>
    <n v="0"/>
    <s v="Yes"/>
    <n v="104"/>
    <n v="86"/>
    <n v="17"/>
    <s v="General"/>
    <x v="0"/>
    <x v="3"/>
    <x v="0"/>
  </r>
  <r>
    <x v="1"/>
    <s v="RUNNING"/>
    <n v="1012866372"/>
    <x v="296"/>
    <s v="nsfw"/>
    <d v="1899-12-30T16:09:00"/>
    <s v="In-Stream Video"/>
    <s v="TJX"/>
    <s v="desktop"/>
    <s v="GEO,Frequency,Keyword,BrowserLanguage"/>
    <n v="72"/>
    <n v="0"/>
    <s v="Yes"/>
    <s v="Unlimited"/>
    <n v="14539"/>
    <n v="601"/>
    <n v="4.1337099999999998"/>
    <n v="0"/>
    <n v="40.590000000000003"/>
    <n v="2.7919999999999998"/>
    <n v="6.8000000000000005E-2"/>
    <n v="0"/>
    <n v="1"/>
    <n v="0"/>
    <s v="Yes"/>
    <n v="14539"/>
    <n v="11365"/>
    <n v="1738"/>
    <s v="General"/>
    <x v="0"/>
    <x v="3"/>
    <x v="0"/>
  </r>
  <r>
    <x v="1"/>
    <s v="RUNNING"/>
    <n v="1012866382"/>
    <x v="293"/>
    <s v="nsfw"/>
    <d v="1899-12-30T16:09:00"/>
    <s v="In-Stream Video"/>
    <s v="TJX"/>
    <s v="desktop"/>
    <s v="GEO,Frequency,Keyword,Browser,BrowserLanguage"/>
    <n v="72"/>
    <n v="0"/>
    <s v="No"/>
    <n v="250"/>
    <n v="30900"/>
    <n v="1428"/>
    <n v="4.6213600000000001"/>
    <n v="1"/>
    <n v="47"/>
    <n v="1.5209999999999999"/>
    <n v="3.3000000000000002E-2"/>
    <n v="46.999000000000002"/>
    <n v="1"/>
    <n v="0"/>
    <s v="Yes"/>
    <n v="30900"/>
    <n v="23989"/>
    <n v="3989"/>
    <s v="General"/>
    <x v="0"/>
    <x v="3"/>
    <x v="0"/>
  </r>
  <r>
    <x v="1"/>
    <s v="RUNNING"/>
    <n v="1012866392"/>
    <x v="652"/>
    <s v="nsfw"/>
    <d v="1899-12-30T16:09:00"/>
    <s v="In-Stream Video"/>
    <s v="TJX"/>
    <s v="desktop"/>
    <s v="GEO,Frequency,Keyword,BrowserLanguage"/>
    <n v="72"/>
    <n v="0"/>
    <s v="No"/>
    <n v="250"/>
    <n v="331"/>
    <n v="17"/>
    <n v="5.1359500000000002"/>
    <n v="0"/>
    <n v="0.41"/>
    <n v="1.2490000000000001"/>
    <n v="2.4E-2"/>
    <n v="0"/>
    <n v="1"/>
    <n v="0"/>
    <s v="Yes"/>
    <n v="331"/>
    <n v="244"/>
    <n v="48"/>
    <s v="General"/>
    <x v="0"/>
    <x v="3"/>
    <x v="0"/>
  </r>
  <r>
    <x v="1"/>
    <s v="RUNNING"/>
    <n v="1012866402"/>
    <x v="534"/>
    <s v="nsfw"/>
    <d v="1899-12-30T16:09:00"/>
    <s v="In-Stream Video"/>
    <s v="TJX"/>
    <s v="desktop"/>
    <s v="GEO,Frequency,Keyword,BrowserLanguage"/>
    <n v="72"/>
    <n v="0"/>
    <s v="Yes"/>
    <s v="Unlimited"/>
    <n v="55909"/>
    <n v="2518"/>
    <n v="4.5037500000000001"/>
    <n v="0"/>
    <n v="72.05"/>
    <n v="1.2889999999999999"/>
    <n v="2.9000000000000001E-2"/>
    <n v="0"/>
    <n v="1"/>
    <n v="0"/>
    <s v="Yes"/>
    <n v="55909"/>
    <n v="43154"/>
    <n v="6929"/>
    <s v="General"/>
    <x v="0"/>
    <x v="3"/>
    <x v="0"/>
  </r>
  <r>
    <x v="1"/>
    <s v="PAUSED"/>
    <n v="1012866412"/>
    <x v="653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0"/>
    <x v="0"/>
  </r>
  <r>
    <x v="1"/>
    <s v="PAUSED"/>
    <n v="1012866422"/>
    <x v="573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66432"/>
    <x v="654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0"/>
    <x v="0"/>
  </r>
  <r>
    <x v="1"/>
    <s v="PAUSED"/>
    <n v="1012866442"/>
    <x v="655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0"/>
    <x v="0"/>
  </r>
  <r>
    <x v="1"/>
    <s v="PAUSED"/>
    <n v="1012866452"/>
    <x v="656"/>
    <s v="nsfw"/>
    <d v="1899-12-30T16:09:00"/>
    <s v="In-Stream Video"/>
    <s v="TJX"/>
    <s v="mobile"/>
    <s v="GEO,Frequency,Keyword,OS,BrowserLanguage"/>
    <n v="81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0"/>
    <x v="0"/>
  </r>
  <r>
    <x v="1"/>
    <s v="PAUSED"/>
    <n v="1012866462"/>
    <x v="291"/>
    <s v="nsfw"/>
    <d v="1899-12-30T16:09:00"/>
    <s v="In-Stream Video"/>
    <s v="TJX"/>
    <s v="mobile"/>
    <s v="GEO,Frequency,Keyword,OS,BrowserLanguage"/>
    <n v="81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66472"/>
    <x v="536"/>
    <s v="nsfw"/>
    <d v="1899-12-30T16:09:00"/>
    <s v="In-Stream Video"/>
    <s v="TJX"/>
    <s v="mobile"/>
    <s v="GEO,Frequency,Keyword,OS,BrowserLanguage"/>
    <n v="81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66482"/>
    <x v="294"/>
    <s v="nsfw"/>
    <d v="1899-12-30T16:09:00"/>
    <s v="In-Stream Video"/>
    <s v="TJX"/>
    <s v="mobile"/>
    <s v="GEO,Frequency,Keyword,OS,BrowserLanguage"/>
    <n v="81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66492"/>
    <x v="297"/>
    <s v="nsfw"/>
    <d v="1899-12-30T16:09:00"/>
    <s v="In-Stream Video"/>
    <s v="TJX"/>
    <s v="mobile"/>
    <s v="GEO,Frequency,Keyword,OS,BrowserLanguage"/>
    <n v="162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66502"/>
    <x v="577"/>
    <s v="nsfw"/>
    <d v="1899-12-30T16:09:00"/>
    <s v="In-Stream Video"/>
    <s v="TJX"/>
    <s v="mobile"/>
    <s v="GEO,Frequency,Keyword,OS,BrowserLanguage"/>
    <n v="12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66512"/>
    <x v="371"/>
    <s v="nsfw"/>
    <d v="1899-12-30T16:09:00"/>
    <s v="In-Stream Video"/>
    <s v="TJX"/>
    <s v="mobile"/>
    <s v="GEO,Frequency,Keyword,OS,BrowserLanguage"/>
    <n v="62"/>
    <n v="89"/>
    <s v="Yes"/>
    <s v="Unlimited"/>
    <n v="13998"/>
    <n v="757"/>
    <n v="5.4079199999999998"/>
    <n v="1"/>
    <n v="31.3"/>
    <n v="2.2360000000000002"/>
    <n v="4.1000000000000002E-2"/>
    <n v="31.303000000000001"/>
    <n v="1"/>
    <n v="0"/>
    <s v="Yes"/>
    <n v="13998"/>
    <n v="12743"/>
    <n v="835"/>
    <s v="General"/>
    <x v="0"/>
    <x v="6"/>
    <x v="0"/>
  </r>
  <r>
    <x v="1"/>
    <s v="PAUSED"/>
    <n v="1012866522"/>
    <x v="370"/>
    <s v="nsfw"/>
    <d v="1899-12-30T16:09:00"/>
    <s v="In-Stream Video"/>
    <s v="TJX"/>
    <s v="mobile"/>
    <s v="GEO,Frequency,Keyword,OS,BrowserLanguage"/>
    <n v="24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866532"/>
    <x v="657"/>
    <s v="nsfw"/>
    <d v="1899-12-30T16:09:00"/>
    <s v="In-Stream Video"/>
    <s v="TJX"/>
    <s v="mobile"/>
    <s v="GEO,Frequency,Keyword,OS,BrowserLanguage"/>
    <n v="240"/>
    <n v="0"/>
    <s v="Yes"/>
    <s v="Unlimited"/>
    <n v="363"/>
    <n v="20"/>
    <n v="5.5096400000000001"/>
    <n v="0"/>
    <n v="0.25"/>
    <n v="0.68500000000000005"/>
    <n v="1.2E-2"/>
    <n v="0"/>
    <n v="1"/>
    <n v="0"/>
    <s v="Yes"/>
    <n v="363"/>
    <n v="324"/>
    <n v="25"/>
    <s v="General"/>
    <x v="0"/>
    <x v="6"/>
    <x v="0"/>
  </r>
  <r>
    <x v="1"/>
    <s v="NOT RUNNING"/>
    <n v="1012866542"/>
    <x v="365"/>
    <s v="nsfw"/>
    <d v="1899-12-30T16:09:00"/>
    <s v="In-Stream Video"/>
    <s v="TJX"/>
    <s v="mobile"/>
    <s v="GEO,Frequency,Keyword,OS,BrowserLanguage"/>
    <n v="24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866552"/>
    <x v="658"/>
    <s v="nsfw"/>
    <d v="1899-12-30T16:09:00"/>
    <s v="In-Stream Video"/>
    <s v="TJX"/>
    <s v="mobile"/>
    <s v="GEO,Frequency,Keyword,OS,BrowserLanguage"/>
    <n v="240"/>
    <n v="0"/>
    <s v="Yes"/>
    <s v="Unlimited"/>
    <n v="184"/>
    <n v="6"/>
    <n v="3.2608700000000002"/>
    <n v="0"/>
    <n v="0.12"/>
    <n v="0.63600000000000001"/>
    <n v="0.02"/>
    <n v="0"/>
    <n v="1"/>
    <n v="0"/>
    <s v="Yes"/>
    <n v="184"/>
    <n v="172"/>
    <n v="9"/>
    <s v="General"/>
    <x v="0"/>
    <x v="6"/>
    <x v="0"/>
  </r>
  <r>
    <x v="1"/>
    <s v="PAUSED"/>
    <n v="1012866562"/>
    <x v="364"/>
    <s v="nsfw"/>
    <d v="1899-12-30T16:09:00"/>
    <s v="In-Stream Video"/>
    <s v="TJX"/>
    <s v="mobile"/>
    <s v="GEO,Frequency,Keyword,OS,BrowserLanguage"/>
    <n v="24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66572"/>
    <x v="659"/>
    <s v="nsfw"/>
    <d v="1899-12-30T16:09:00"/>
    <s v="In-Stream Video"/>
    <s v="TJX"/>
    <s v="mobile"/>
    <s v="GEO,Frequency,Keyword,OS,BrowserLanguage"/>
    <n v="24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6"/>
    <x v="0"/>
  </r>
  <r>
    <x v="1"/>
    <s v="RUNNING"/>
    <n v="1012866582"/>
    <x v="660"/>
    <s v="nsfw"/>
    <d v="1899-12-30T16:09:00"/>
    <s v="In-Stream Video"/>
    <s v="TJX"/>
    <s v="mobile"/>
    <s v="GEO,Frequency,Keyword,OS,BrowserLanguage"/>
    <n v="240"/>
    <n v="0"/>
    <s v="Yes"/>
    <s v="Unlimited"/>
    <n v="79"/>
    <n v="4"/>
    <n v="5.0632900000000003"/>
    <n v="0"/>
    <n v="0.03"/>
    <n v="0.377"/>
    <n v="7.0000000000000001E-3"/>
    <n v="0"/>
    <n v="1"/>
    <n v="0"/>
    <s v="Yes"/>
    <n v="79"/>
    <n v="70"/>
    <n v="4"/>
    <s v="General"/>
    <x v="0"/>
    <x v="6"/>
    <x v="0"/>
  </r>
  <r>
    <x v="1"/>
    <s v="RUNNING"/>
    <n v="1012866592"/>
    <x v="661"/>
    <s v="nsfw"/>
    <d v="1899-12-30T16:09:00"/>
    <s v="In-Stream Video"/>
    <s v="TJX"/>
    <s v="mobile"/>
    <s v="GEO,Frequency,Keyword,OS,BrowserLanguage"/>
    <n v="240"/>
    <n v="0"/>
    <s v="Yes"/>
    <s v="Unlimited"/>
    <n v="29"/>
    <n v="3"/>
    <n v="10.34483"/>
    <n v="0"/>
    <n v="0.01"/>
    <n v="0.42899999999999999"/>
    <n v="4.0000000000000001E-3"/>
    <n v="0"/>
    <n v="1"/>
    <n v="0"/>
    <s v="Yes"/>
    <n v="29"/>
    <n v="25"/>
    <n v="1"/>
    <s v="General"/>
    <x v="0"/>
    <x v="6"/>
    <x v="0"/>
  </r>
  <r>
    <x v="1"/>
    <s v="RUNNING"/>
    <n v="1012866602"/>
    <x v="662"/>
    <s v="nsfw"/>
    <d v="1899-12-30T16:09:00"/>
    <s v="In-Stream Video"/>
    <s v="TJX"/>
    <s v="desktop"/>
    <s v="GEO,Frequency,Keyword,BrowserLanguage"/>
    <n v="416"/>
    <n v="0"/>
    <s v="Yes"/>
    <s v="Unlimited"/>
    <n v="369"/>
    <n v="11"/>
    <n v="2.9810300000000001"/>
    <n v="0"/>
    <n v="0.36"/>
    <n v="0.97899999999999998"/>
    <n v="3.3000000000000002E-2"/>
    <n v="0"/>
    <n v="1"/>
    <n v="0"/>
    <s v="Yes"/>
    <n v="369"/>
    <n v="273"/>
    <n v="60"/>
    <s v="General"/>
    <x v="0"/>
    <x v="6"/>
    <x v="0"/>
  </r>
  <r>
    <x v="1"/>
    <s v="PAUSED"/>
    <n v="1012866612"/>
    <x v="663"/>
    <s v="nsfw"/>
    <d v="1899-12-30T16:09:00"/>
    <s v="In-Stream Video"/>
    <s v="TJX"/>
    <s v="all"/>
    <s v="GEO,Frequency,Keyword,BrowserLanguage"/>
    <n v="168"/>
    <n v="0"/>
    <s v="No"/>
    <n v="250"/>
    <n v="0"/>
    <n v="0"/>
    <n v="0"/>
    <m/>
    <n v="0"/>
    <n v="0"/>
    <n v="0"/>
    <n v="0"/>
    <n v="1"/>
    <n v="0"/>
    <s v="No"/>
    <m/>
    <m/>
    <m/>
    <s v="General"/>
    <x v="0"/>
    <x v="9"/>
    <x v="0"/>
  </r>
  <r>
    <x v="1"/>
    <s v="RUNNING"/>
    <n v="1012866632"/>
    <x v="664"/>
    <s v="nsfw"/>
    <d v="1899-12-30T16:09:00"/>
    <s v="In-Stream Video"/>
    <s v="TJX"/>
    <s v="all"/>
    <s v="GEO,Frequency,Keyword,BrowserLanguage"/>
    <n v="168"/>
    <n v="0"/>
    <s v="No"/>
    <n v="250"/>
    <n v="1699"/>
    <n v="106"/>
    <n v="6.2389599999999996"/>
    <n v="0"/>
    <n v="3.89"/>
    <n v="2.29"/>
    <n v="3.6999999999999998E-2"/>
    <n v="0"/>
    <n v="1"/>
    <n v="0"/>
    <s v="No"/>
    <n v="1699"/>
    <n v="1462"/>
    <n v="156"/>
    <s v="General"/>
    <x v="0"/>
    <x v="3"/>
    <x v="0"/>
  </r>
  <r>
    <x v="1"/>
    <s v="RUNNING"/>
    <n v="1012866642"/>
    <x v="665"/>
    <s v="nsfw"/>
    <d v="1899-12-30T16:09:00"/>
    <s v="In-Stream Video"/>
    <s v="TJX"/>
    <s v="all"/>
    <s v="GEO,Frequency,Keyword,BrowserLanguage"/>
    <n v="168"/>
    <n v="0"/>
    <s v="Yes"/>
    <s v="Unlimited"/>
    <n v="141247"/>
    <n v="7337"/>
    <n v="5.1944499999999998"/>
    <n v="9"/>
    <n v="321.58999999999997"/>
    <n v="2.2770000000000001"/>
    <n v="4.3999999999999997E-2"/>
    <n v="35.731999999999999"/>
    <n v="1"/>
    <n v="0"/>
    <s v="No"/>
    <n v="141247"/>
    <n v="125165"/>
    <n v="10718"/>
    <s v="General"/>
    <x v="0"/>
    <x v="3"/>
    <x v="0"/>
  </r>
  <r>
    <x v="1"/>
    <s v="PAUSED"/>
    <n v="1012866652"/>
    <x v="666"/>
    <s v="nsfw"/>
    <d v="1899-12-30T16:09:00"/>
    <s v="In-Stream Video"/>
    <s v="TJX"/>
    <s v="all"/>
    <s v="GEO,Frequency,Keyword,BrowserLanguage"/>
    <n v="168"/>
    <n v="0"/>
    <s v="Yes"/>
    <s v="Unlimited"/>
    <n v="0"/>
    <n v="0"/>
    <n v="0"/>
    <m/>
    <n v="0"/>
    <n v="0"/>
    <n v="0"/>
    <n v="0"/>
    <n v="1"/>
    <n v="0"/>
    <s v="No"/>
    <m/>
    <m/>
    <m/>
    <s v="General"/>
    <x v="0"/>
    <x v="9"/>
    <x v="0"/>
  </r>
  <r>
    <x v="1"/>
    <s v="PAUSED"/>
    <n v="1012866662"/>
    <x v="667"/>
    <s v="nsfw"/>
    <d v="1899-12-30T16:09:00"/>
    <s v="In-Stream Video"/>
    <s v="TJX"/>
    <s v="all"/>
    <s v="GEO,Frequency,Keyword,BrowserLanguage"/>
    <n v="168"/>
    <n v="0"/>
    <s v="No"/>
    <n v="250"/>
    <n v="0"/>
    <n v="0"/>
    <n v="0"/>
    <m/>
    <n v="0"/>
    <n v="0"/>
    <n v="0"/>
    <n v="0"/>
    <n v="1"/>
    <n v="0"/>
    <s v="No"/>
    <m/>
    <m/>
    <m/>
    <s v="General"/>
    <x v="0"/>
    <x v="9"/>
    <x v="0"/>
  </r>
  <r>
    <x v="1"/>
    <s v="RUNNING"/>
    <n v="1012866672"/>
    <x v="668"/>
    <s v="nsfw"/>
    <d v="1899-12-30T16:09:00"/>
    <s v="In-Stream Video"/>
    <s v="TJX"/>
    <s v="all"/>
    <s v="GEO,Frequency,Keyword,BrowserLanguage"/>
    <n v="168"/>
    <n v="0"/>
    <s v="No"/>
    <n v="250"/>
    <n v="1008"/>
    <n v="64"/>
    <n v="6.3492100000000002"/>
    <n v="0"/>
    <n v="2.29"/>
    <n v="2.2709999999999999"/>
    <n v="3.5999999999999997E-2"/>
    <n v="0"/>
    <n v="1"/>
    <n v="0"/>
    <s v="No"/>
    <n v="1008"/>
    <n v="894"/>
    <n v="69"/>
    <s v="General"/>
    <x v="0"/>
    <x v="3"/>
    <x v="0"/>
  </r>
  <r>
    <x v="1"/>
    <s v="PAUSED"/>
    <n v="1012867202"/>
    <x v="669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General"/>
    <x v="0"/>
    <x v="9"/>
    <x v="0"/>
  </r>
  <r>
    <x v="1"/>
    <s v="PAUSED"/>
    <n v="1012867212"/>
    <x v="670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General"/>
    <x v="0"/>
    <x v="1"/>
    <x v="0"/>
  </r>
  <r>
    <x v="1"/>
    <s v="PAUSED"/>
    <n v="1012867222"/>
    <x v="671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General"/>
    <x v="0"/>
    <x v="9"/>
    <x v="0"/>
  </r>
  <r>
    <x v="1"/>
    <s v="PAUSED"/>
    <n v="1012867232"/>
    <x v="672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General"/>
    <x v="0"/>
    <x v="1"/>
    <x v="0"/>
  </r>
  <r>
    <x v="1"/>
    <s v="PAUSED"/>
    <n v="1012867242"/>
    <x v="673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General"/>
    <x v="0"/>
    <x v="9"/>
    <x v="0"/>
  </r>
  <r>
    <x v="1"/>
    <s v="PAUSED"/>
    <n v="1012867252"/>
    <x v="674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General"/>
    <x v="0"/>
    <x v="1"/>
    <x v="0"/>
  </r>
  <r>
    <x v="1"/>
    <s v="PAUSED"/>
    <n v="1012867262"/>
    <x v="675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General"/>
    <x v="0"/>
    <x v="9"/>
    <x v="0"/>
  </r>
  <r>
    <x v="1"/>
    <s v="PAUSED"/>
    <n v="1012867272"/>
    <x v="676"/>
    <s v="nsfw"/>
    <d v="1899-12-30T16:09:00"/>
    <s v="In-Stream Video"/>
    <s v="TJX"/>
    <s v="all"/>
    <s v="GEO,Frequency,BrowserLanguage,Segment"/>
    <n v="168"/>
    <n v="0"/>
    <s v="No"/>
    <n v="250"/>
    <n v="0"/>
    <n v="0"/>
    <n v="0"/>
    <m/>
    <n v="0"/>
    <n v="0"/>
    <n v="0"/>
    <n v="0"/>
    <n v="1"/>
    <n v="0"/>
    <s v="No"/>
    <m/>
    <m/>
    <m/>
    <s v="General"/>
    <x v="0"/>
    <x v="9"/>
    <x v="0"/>
  </r>
  <r>
    <x v="1"/>
    <s v="RUNNING"/>
    <n v="1012869782"/>
    <x v="677"/>
    <s v="nsfw"/>
    <d v="1899-12-30T16:09:00"/>
    <s v="In-Stream Video"/>
    <s v="TJX"/>
    <s v="desktop"/>
    <s v="GEO,Frequency,Keyword,BrowserLanguage"/>
    <n v="104"/>
    <n v="0"/>
    <s v="Yes"/>
    <s v="Unlimited"/>
    <n v="3208"/>
    <n v="174"/>
    <n v="5.42394"/>
    <n v="0"/>
    <n v="7.99"/>
    <n v="2.4889999999999999"/>
    <n v="4.5999999999999999E-2"/>
    <n v="0"/>
    <n v="1"/>
    <n v="0"/>
    <s v="Yes"/>
    <n v="3208"/>
    <n v="2525"/>
    <n v="352"/>
    <s v="General"/>
    <x v="0"/>
    <x v="3"/>
    <x v="0"/>
  </r>
  <r>
    <x v="1"/>
    <s v="RUNNING"/>
    <n v="1012869792"/>
    <x v="49"/>
    <s v="nsfw"/>
    <d v="1899-12-30T16:09:00"/>
    <s v="In-Stream Video"/>
    <s v="TJX"/>
    <s v="desktop"/>
    <s v="GEO,Frequency,Keyword,BrowserLanguage"/>
    <n v="104"/>
    <n v="0"/>
    <s v="Yes"/>
    <s v="Unlimited"/>
    <n v="1536"/>
    <n v="84"/>
    <n v="5.46875"/>
    <n v="0"/>
    <n v="3.96"/>
    <n v="2.5750000000000002"/>
    <n v="4.7E-2"/>
    <n v="0"/>
    <n v="1"/>
    <n v="0"/>
    <s v="Yes"/>
    <n v="1536"/>
    <n v="1082"/>
    <n v="164"/>
    <s v="General"/>
    <x v="0"/>
    <x v="3"/>
    <x v="0"/>
  </r>
  <r>
    <x v="1"/>
    <s v="RUNNING"/>
    <n v="1012869802"/>
    <x v="55"/>
    <s v="nsfw"/>
    <d v="1899-12-30T16:09:00"/>
    <s v="In-Stream Video"/>
    <s v="TJX"/>
    <s v="desktop"/>
    <s v="GEO,Frequency,Keyword,BrowserLanguage"/>
    <n v="104"/>
    <n v="0"/>
    <s v="Yes"/>
    <s v="Unlimited"/>
    <n v="102"/>
    <n v="2"/>
    <n v="1.96078"/>
    <n v="0"/>
    <n v="0.28999999999999998"/>
    <n v="2.7949999999999999"/>
    <n v="0.14299999999999999"/>
    <n v="0"/>
    <n v="1"/>
    <n v="0"/>
    <s v="Yes"/>
    <n v="102"/>
    <n v="76"/>
    <n v="8"/>
    <s v="General"/>
    <x v="0"/>
    <x v="3"/>
    <x v="0"/>
  </r>
  <r>
    <x v="1"/>
    <s v="RUNNING"/>
    <n v="1012869812"/>
    <x v="678"/>
    <s v="nsfw"/>
    <d v="1899-12-30T16:09:00"/>
    <s v="In-Stream Video"/>
    <s v="TJX"/>
    <s v="desktop"/>
    <s v="GEO,Frequency,Keyword,BrowserLanguage"/>
    <n v="104"/>
    <n v="0"/>
    <s v="Yes"/>
    <s v="Unlimited"/>
    <n v="60"/>
    <n v="4"/>
    <n v="6.6666699999999999"/>
    <n v="0"/>
    <n v="0.04"/>
    <n v="0.58499999999999996"/>
    <n v="8.9999999999999993E-3"/>
    <n v="0"/>
    <n v="1"/>
    <n v="0"/>
    <s v="Yes"/>
    <n v="60"/>
    <n v="38"/>
    <n v="10"/>
    <s v="General"/>
    <x v="0"/>
    <x v="3"/>
    <x v="0"/>
  </r>
  <r>
    <x v="1"/>
    <s v="NOT RUNNING"/>
    <n v="1012869822"/>
    <x v="679"/>
    <s v="nsfw"/>
    <d v="1899-12-30T16:09:00"/>
    <s v="In-Stream Video"/>
    <s v="TJX"/>
    <s v="mobile"/>
    <s v="GEO,Frequency,Keyword,OS,BrowserLanguage"/>
    <n v="260"/>
    <n v="0"/>
    <s v="Yes"/>
    <s v="Unlimited"/>
    <n v="8"/>
    <n v="0"/>
    <n v="0"/>
    <n v="0"/>
    <n v="0.01"/>
    <n v="0.66700000000000004"/>
    <n v="0"/>
    <n v="0"/>
    <n v="1"/>
    <n v="0"/>
    <s v="Yes"/>
    <n v="8"/>
    <n v="8"/>
    <n v="0"/>
    <s v="General"/>
    <x v="0"/>
    <x v="3"/>
    <x v="0"/>
  </r>
  <r>
    <x v="1"/>
    <s v="NOT RUNNING"/>
    <n v="1012869832"/>
    <x v="680"/>
    <s v="nsfw"/>
    <d v="1899-12-30T16:09:00"/>
    <s v="In-Stream Video"/>
    <s v="TJX"/>
    <s v="mobile"/>
    <s v="GEO,Frequency,Keyword,OS,BrowserLanguage"/>
    <n v="260"/>
    <n v="0"/>
    <s v="Yes"/>
    <s v="Unlimited"/>
    <n v="2"/>
    <n v="0"/>
    <n v="0"/>
    <n v="0"/>
    <n v="0"/>
    <n v="0.59299999999999997"/>
    <n v="0"/>
    <n v="0"/>
    <n v="1"/>
    <n v="0"/>
    <s v="Yes"/>
    <n v="2"/>
    <n v="1"/>
    <n v="1"/>
    <s v="General"/>
    <x v="0"/>
    <x v="3"/>
    <x v="0"/>
  </r>
  <r>
    <x v="1"/>
    <s v="PAUSED"/>
    <n v="1012869842"/>
    <x v="681"/>
    <s v="nsfw"/>
    <d v="1899-12-30T16:09:00"/>
    <s v="In-Stream Video"/>
    <s v="TJX"/>
    <s v="mobile"/>
    <s v="GEO,Frequency,Keyword,OS,BrowserLanguage"/>
    <n v="26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4"/>
    <x v="0"/>
  </r>
  <r>
    <x v="1"/>
    <s v="NOT RUNNING"/>
    <n v="1012869852"/>
    <x v="682"/>
    <s v="nsfw"/>
    <d v="1899-12-30T16:09:00"/>
    <s v="In-Stream Video"/>
    <s v="TJX"/>
    <s v="mobile"/>
    <s v="GEO,Frequency,Keyword,OS,BrowserLanguage"/>
    <n v="260"/>
    <n v="0"/>
    <s v="Yes"/>
    <s v="Unlimited"/>
    <n v="4"/>
    <n v="0"/>
    <n v="0"/>
    <n v="0"/>
    <n v="0"/>
    <n v="0.224"/>
    <n v="0"/>
    <n v="0"/>
    <n v="1"/>
    <n v="0"/>
    <s v="Yes"/>
    <n v="4"/>
    <n v="4"/>
    <n v="0"/>
    <s v="General"/>
    <x v="0"/>
    <x v="3"/>
    <x v="0"/>
  </r>
  <r>
    <x v="1"/>
    <s v="RUNNING"/>
    <n v="1012869862"/>
    <x v="47"/>
    <s v="nsfw"/>
    <d v="1899-12-30T16:09:00"/>
    <s v="In-Stream Video"/>
    <s v="TJX"/>
    <s v="mobile"/>
    <s v="GEO,Frequency,Keyword,OS,BrowserLanguage"/>
    <n v="130"/>
    <n v="0"/>
    <s v="Yes"/>
    <s v="Unlimited"/>
    <n v="2470"/>
    <n v="132"/>
    <n v="5.3441299999999998"/>
    <n v="0"/>
    <n v="8.4600000000000009"/>
    <n v="3.4239999999999999"/>
    <n v="6.4000000000000001E-2"/>
    <n v="0"/>
    <n v="1"/>
    <n v="0"/>
    <s v="Yes"/>
    <n v="2470"/>
    <n v="2236"/>
    <n v="122"/>
    <s v="General"/>
    <x v="0"/>
    <x v="3"/>
    <x v="0"/>
  </r>
  <r>
    <x v="1"/>
    <s v="NOT RUNNING"/>
    <n v="1012869872"/>
    <x v="53"/>
    <s v="nsfw"/>
    <d v="1899-12-30T16:09:00"/>
    <s v="In-Stream Video"/>
    <s v="TJX"/>
    <s v="mobile"/>
    <s v="GEO,Frequency,Keyword,OS,BrowserLanguage"/>
    <n v="260"/>
    <n v="0"/>
    <s v="Yes"/>
    <s v="Unlimited"/>
    <n v="26"/>
    <n v="2"/>
    <n v="7.69231"/>
    <n v="0"/>
    <n v="0.02"/>
    <n v="0.746"/>
    <n v="0.01"/>
    <n v="0"/>
    <n v="1"/>
    <n v="0"/>
    <s v="Yes"/>
    <n v="26"/>
    <n v="22"/>
    <n v="2"/>
    <s v="General"/>
    <x v="0"/>
    <x v="3"/>
    <x v="0"/>
  </r>
  <r>
    <x v="1"/>
    <s v="NOT RUNNING"/>
    <n v="1012869882"/>
    <x v="56"/>
    <s v="nsfw"/>
    <d v="1899-12-30T16:09:00"/>
    <s v="In-Stream Video"/>
    <s v="TJX"/>
    <s v="mobile"/>
    <s v="GEO,Frequency,Keyword,OS,BrowserLanguage"/>
    <n v="26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869902"/>
    <x v="558"/>
    <s v="nsfw"/>
    <d v="1899-12-30T16:09:00"/>
    <s v="In-Stream Video"/>
    <s v="TJX"/>
    <s v="mobile"/>
    <s v="GEO,Frequency,Keyword,OS,BrowserLanguage"/>
    <n v="26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NOT RUNNING"/>
    <n v="1012869912"/>
    <x v="683"/>
    <s v="nsfw"/>
    <d v="1899-12-30T16:09:00"/>
    <s v="In-Stream Video"/>
    <s v="TJX"/>
    <s v="mobile"/>
    <s v="GEO,Frequency,Keyword,OS,BrowserLanguage"/>
    <n v="260"/>
    <n v="0"/>
    <s v="Yes"/>
    <s v="Unlimited"/>
    <n v="4"/>
    <n v="0"/>
    <n v="0"/>
    <n v="0"/>
    <n v="0"/>
    <n v="0.36599999999999999"/>
    <n v="0"/>
    <n v="0"/>
    <n v="1"/>
    <n v="0"/>
    <s v="Yes"/>
    <n v="4"/>
    <n v="4"/>
    <n v="0"/>
    <s v="General"/>
    <x v="0"/>
    <x v="3"/>
    <x v="0"/>
  </r>
  <r>
    <x v="1"/>
    <s v="RUNNING"/>
    <n v="1012905942"/>
    <x v="684"/>
    <s v="nsfw"/>
    <d v="1899-12-30T16:09:00"/>
    <s v="In-Stream Video"/>
    <s v="TJX"/>
    <s v="mobile"/>
    <s v="GEO,Frequency"/>
    <n v="129"/>
    <n v="0"/>
    <s v="Yes"/>
    <s v="Unlimited"/>
    <n v="65455"/>
    <n v="3259"/>
    <n v="4.97898"/>
    <n v="1"/>
    <n v="145.56"/>
    <n v="2.2240000000000002"/>
    <n v="4.4999999999999998E-2"/>
    <n v="145.55699999999999"/>
    <n v="1"/>
    <n v="0"/>
    <s v="No"/>
    <n v="65455"/>
    <n v="57239"/>
    <n v="5917"/>
    <s v="General"/>
    <x v="0"/>
    <x v="14"/>
    <x v="0"/>
  </r>
  <r>
    <x v="1"/>
    <s v="RUNNING"/>
    <n v="1012905952"/>
    <x v="685"/>
    <s v="nsfw"/>
    <d v="1899-12-30T16:09:00"/>
    <s v="In-Stream Video"/>
    <s v="TJX"/>
    <s v="mobile"/>
    <s v="GEO,Frequency"/>
    <n v="129"/>
    <n v="0"/>
    <s v="No"/>
    <n v="250"/>
    <n v="458"/>
    <n v="13"/>
    <n v="2.8384299999999998"/>
    <n v="0"/>
    <n v="0.53"/>
    <n v="1.167"/>
    <n v="4.1000000000000002E-2"/>
    <n v="0"/>
    <n v="1"/>
    <n v="0"/>
    <s v="No"/>
    <n v="458"/>
    <n v="419"/>
    <n v="26"/>
    <s v="General"/>
    <x v="0"/>
    <x v="14"/>
    <x v="0"/>
  </r>
  <r>
    <x v="1"/>
    <s v="RUNNING"/>
    <n v="1012905962"/>
    <x v="686"/>
    <s v="nsfw"/>
    <d v="1899-12-30T16:09:00"/>
    <s v="In-Stream Video"/>
    <s v="TJX"/>
    <s v="mobile"/>
    <s v="GEO,Frequency"/>
    <n v="129"/>
    <n v="0"/>
    <s v="Yes"/>
    <s v="Unlimited"/>
    <n v="10175"/>
    <n v="529"/>
    <n v="5.19902"/>
    <n v="0"/>
    <n v="12.17"/>
    <n v="1.196"/>
    <n v="2.3E-2"/>
    <n v="0"/>
    <n v="1"/>
    <n v="0"/>
    <s v="No"/>
    <n v="10175"/>
    <n v="8952"/>
    <n v="869"/>
    <s v="General"/>
    <x v="0"/>
    <x v="14"/>
    <x v="0"/>
  </r>
  <r>
    <x v="1"/>
    <s v="RUNNING"/>
    <n v="1012905982"/>
    <x v="687"/>
    <s v="nsfw"/>
    <d v="1899-12-30T16:09:00"/>
    <s v="In-Stream Video"/>
    <s v="TJX"/>
    <s v="mobile"/>
    <s v="GEO,Frequency"/>
    <n v="129"/>
    <n v="0"/>
    <s v="No"/>
    <n v="250"/>
    <n v="52"/>
    <n v="3"/>
    <n v="5.7692300000000003"/>
    <n v="0"/>
    <n v="0.04"/>
    <n v="0.755"/>
    <n v="1.2999999999999999E-2"/>
    <n v="0"/>
    <n v="1"/>
    <n v="0"/>
    <s v="No"/>
    <n v="52"/>
    <n v="39"/>
    <n v="6"/>
    <s v="General"/>
    <x v="0"/>
    <x v="14"/>
    <x v="0"/>
  </r>
  <r>
    <x v="1"/>
    <s v="RUNNING"/>
    <n v="1012905992"/>
    <x v="688"/>
    <s v="nsfw"/>
    <d v="1899-12-30T16:09:00"/>
    <s v="In-Stream Video"/>
    <s v="TJX"/>
    <s v="mobile"/>
    <s v="GEO,Frequency"/>
    <n v="129"/>
    <n v="0"/>
    <s v="No"/>
    <n v="250"/>
    <n v="374"/>
    <n v="29"/>
    <n v="7.7540100000000001"/>
    <n v="0"/>
    <n v="0.41"/>
    <n v="1.085"/>
    <n v="1.4E-2"/>
    <n v="0"/>
    <n v="1"/>
    <n v="0"/>
    <s v="No"/>
    <n v="374"/>
    <n v="305"/>
    <n v="34"/>
    <s v="General"/>
    <x v="0"/>
    <x v="14"/>
    <x v="0"/>
  </r>
  <r>
    <x v="1"/>
    <s v="RUNNING"/>
    <n v="1012906002"/>
    <x v="689"/>
    <s v="nsfw"/>
    <d v="1899-12-30T16:09:00"/>
    <s v="In-Stream Video"/>
    <s v="TJX"/>
    <s v="mobile"/>
    <s v="GEO,Frequency"/>
    <n v="129"/>
    <n v="0"/>
    <s v="No"/>
    <n v="250"/>
    <n v="1025"/>
    <n v="56"/>
    <n v="5.4634099999999997"/>
    <n v="0"/>
    <n v="1.73"/>
    <n v="1.6839999999999999"/>
    <n v="3.1E-2"/>
    <n v="0"/>
    <n v="1"/>
    <n v="0"/>
    <s v="No"/>
    <n v="1025"/>
    <n v="895"/>
    <n v="95"/>
    <s v="General"/>
    <x v="0"/>
    <x v="14"/>
    <x v="0"/>
  </r>
  <r>
    <x v="1"/>
    <s v="RUNNING"/>
    <n v="1012906012"/>
    <x v="690"/>
    <s v="nsfw"/>
    <d v="1899-12-30T16:09:00"/>
    <s v="In-Stream Video"/>
    <s v="TJX"/>
    <s v="mobile"/>
    <s v="GEO,Frequency"/>
    <n v="129"/>
    <n v="0"/>
    <s v="No"/>
    <n v="250"/>
    <n v="2094"/>
    <n v="114"/>
    <n v="5.4441300000000004"/>
    <n v="0"/>
    <n v="5.19"/>
    <n v="2.4790000000000001"/>
    <n v="4.5999999999999999E-2"/>
    <n v="0"/>
    <n v="1"/>
    <n v="0"/>
    <s v="No"/>
    <n v="2094"/>
    <n v="1834"/>
    <n v="185"/>
    <s v="General"/>
    <x v="0"/>
    <x v="14"/>
    <x v="0"/>
  </r>
  <r>
    <x v="1"/>
    <s v="PAUSED"/>
    <n v="1012914792"/>
    <x v="249"/>
    <s v="nsfw"/>
    <d v="1899-12-30T16:09:00"/>
    <s v="In-Stream Video"/>
    <s v="TJX"/>
    <s v="desktop"/>
    <s v="GEO,Frequency,Keyword,BrowserLanguage"/>
    <n v="10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5"/>
    <x v="0"/>
  </r>
  <r>
    <x v="1"/>
    <s v="PAUSED"/>
    <n v="1012914802"/>
    <x v="545"/>
    <s v="nsfw"/>
    <d v="1899-12-30T16:09:00"/>
    <s v="In-Stream Video"/>
    <s v="TJX"/>
    <s v="desktop"/>
    <s v="GEO,Frequency,Keyword,BrowserLanguage"/>
    <n v="10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5"/>
    <x v="0"/>
  </r>
  <r>
    <x v="1"/>
    <s v="PAUSED"/>
    <n v="1012914812"/>
    <x v="255"/>
    <s v="nsfw"/>
    <d v="1899-12-30T16:09:00"/>
    <s v="In-Stream Video"/>
    <s v="TJX"/>
    <s v="desktop"/>
    <s v="GEO,Frequency,Keyword,BrowserLanguage"/>
    <n v="10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914822"/>
    <x v="691"/>
    <s v="nsfw"/>
    <d v="1899-12-30T16:09:00"/>
    <s v="In-Stream Video"/>
    <s v="TJX"/>
    <s v="desktop"/>
    <s v="GEO,Frequency,Keyword,BrowserLanguage"/>
    <n v="100"/>
    <n v="0"/>
    <s v="No"/>
    <n v="250"/>
    <n v="844"/>
    <n v="35"/>
    <n v="4.1469199999999997"/>
    <n v="0"/>
    <n v="0.81"/>
    <n v="0.95499999999999996"/>
    <n v="2.3E-2"/>
    <n v="0"/>
    <n v="1"/>
    <n v="0"/>
    <s v="Yes"/>
    <n v="844"/>
    <n v="605"/>
    <n v="115"/>
    <s v="General"/>
    <x v="0"/>
    <x v="3"/>
    <x v="0"/>
  </r>
  <r>
    <x v="1"/>
    <s v="PAUSED"/>
    <n v="1012914832"/>
    <x v="248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914842"/>
    <x v="254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914852"/>
    <x v="251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914862"/>
    <x v="259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914872"/>
    <x v="692"/>
    <s v="nsfw"/>
    <d v="1899-12-30T16:09:00"/>
    <s v="In-Stream Video"/>
    <s v="TJX"/>
    <s v="mobile"/>
    <s v="GEO,Frequency,Keyword,OS,BrowserLanguage"/>
    <n v="90"/>
    <n v="0"/>
    <s v="No"/>
    <n v="250"/>
    <n v="2235"/>
    <n v="115"/>
    <n v="5.14541"/>
    <n v="0"/>
    <n v="2.23"/>
    <n v="0.996"/>
    <n v="1.9E-2"/>
    <n v="0"/>
    <n v="1"/>
    <n v="0"/>
    <s v="Yes"/>
    <n v="2235"/>
    <n v="1949"/>
    <n v="199"/>
    <s v="General"/>
    <x v="0"/>
    <x v="3"/>
    <x v="0"/>
  </r>
  <r>
    <x v="1"/>
    <s v="PAUSED"/>
    <n v="1012914882"/>
    <x v="693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5"/>
    <x v="0"/>
  </r>
  <r>
    <x v="1"/>
    <s v="PAUSED"/>
    <n v="1012914892"/>
    <x v="694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5"/>
    <x v="0"/>
  </r>
  <r>
    <x v="1"/>
    <s v="PAUSED"/>
    <n v="1012914902"/>
    <x v="695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5"/>
    <x v="0"/>
  </r>
  <r>
    <x v="1"/>
    <s v="PAUSED"/>
    <n v="1012914912"/>
    <x v="696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5"/>
    <x v="0"/>
  </r>
  <r>
    <x v="1"/>
    <s v="PAUSED"/>
    <n v="1012914922"/>
    <x v="572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914992"/>
    <x v="697"/>
    <s v="nsfw"/>
    <d v="1899-12-30T09:16:00"/>
    <s v="In-Stream Video"/>
    <s v="TJX"/>
    <s v="mobile"/>
    <s v="GEO,Frequency,OS,BrowserLanguage"/>
    <n v="3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2"/>
    <x v="0"/>
  </r>
  <r>
    <x v="1"/>
    <s v="RUNNING"/>
    <n v="1012915002"/>
    <x v="698"/>
    <s v="nsfw"/>
    <d v="1899-12-30T09:16:00"/>
    <s v="In-Stream Video"/>
    <s v="TJX"/>
    <s v="mobile"/>
    <s v="GEO,Frequency,OS,BrowserLanguage"/>
    <n v="3"/>
    <n v="0"/>
    <s v="Yes"/>
    <s v="Unlimited"/>
    <n v="39795"/>
    <n v="480"/>
    <n v="1.20618"/>
    <n v="1"/>
    <n v="144.06"/>
    <n v="3.62"/>
    <n v="0.3"/>
    <n v="144.05799999999999"/>
    <n v="1"/>
    <n v="0"/>
    <s v="Yes"/>
    <n v="39795"/>
    <n v="0"/>
    <n v="518"/>
    <s v="General"/>
    <x v="0"/>
    <x v="2"/>
    <x v="0"/>
  </r>
  <r>
    <x v="1"/>
    <s v="RUNNING"/>
    <n v="1012915022"/>
    <x v="699"/>
    <s v="nsfw"/>
    <d v="1899-12-30T09:16:00"/>
    <s v="In-Stream Video"/>
    <s v="TJX"/>
    <s v="mobile"/>
    <s v="GEO,Frequency,OS,BrowserLanguage"/>
    <n v="3"/>
    <n v="0"/>
    <s v="Yes"/>
    <s v="Unlimited"/>
    <n v="7710"/>
    <n v="88"/>
    <n v="1.14137"/>
    <n v="0"/>
    <n v="14.06"/>
    <n v="1.823"/>
    <n v="0.16"/>
    <n v="0"/>
    <n v="1"/>
    <n v="0"/>
    <s v="Yes"/>
    <n v="7710"/>
    <n v="0"/>
    <n v="89"/>
    <s v="General"/>
    <x v="0"/>
    <x v="2"/>
    <x v="0"/>
  </r>
  <r>
    <x v="1"/>
    <s v="RUNNING"/>
    <n v="1012915032"/>
    <x v="700"/>
    <s v="nsfw"/>
    <d v="1899-12-30T09:16:00"/>
    <s v="In-Stream Video"/>
    <s v="TJX"/>
    <s v="mobile"/>
    <s v="GEO,Frequency,OS,BrowserLanguage"/>
    <n v="3"/>
    <n v="0"/>
    <s v="Yes"/>
    <s v="Unlimited"/>
    <n v="2741"/>
    <n v="27"/>
    <n v="0.98504000000000003"/>
    <n v="0"/>
    <n v="3.75"/>
    <n v="1.3680000000000001"/>
    <n v="0.13900000000000001"/>
    <n v="0"/>
    <n v="1"/>
    <n v="0"/>
    <s v="Yes"/>
    <n v="2741"/>
    <n v="0"/>
    <n v="29"/>
    <s v="General"/>
    <x v="0"/>
    <x v="2"/>
    <x v="0"/>
  </r>
  <r>
    <x v="1"/>
    <s v="PAUSED"/>
    <n v="1012915042"/>
    <x v="701"/>
    <s v="nsfw"/>
    <d v="1899-12-30T09:16:00"/>
    <s v="In-Stream Video"/>
    <s v="TJX"/>
    <s v="mobile"/>
    <s v="GEO,Frequency,OS,BrowserLanguage"/>
    <n v="3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2"/>
    <x v="0"/>
  </r>
  <r>
    <x v="1"/>
    <s v="RUNNING"/>
    <n v="1012915052"/>
    <x v="702"/>
    <s v="nsfw"/>
    <d v="1899-12-30T09:16:00"/>
    <s v="In-Stream Video"/>
    <s v="TJX"/>
    <s v="mobile"/>
    <s v="GEO,Frequency,OS,BrowserLanguage"/>
    <n v="3"/>
    <n v="0"/>
    <s v="Yes"/>
    <s v="Unlimited"/>
    <n v="629"/>
    <n v="6"/>
    <n v="0.95389999999999997"/>
    <n v="0"/>
    <n v="0.23"/>
    <n v="0.36499999999999999"/>
    <n v="3.7999999999999999E-2"/>
    <n v="0"/>
    <n v="1"/>
    <n v="0"/>
    <s v="Yes"/>
    <n v="629"/>
    <n v="0"/>
    <n v="2"/>
    <s v="General"/>
    <x v="0"/>
    <x v="2"/>
    <x v="0"/>
  </r>
  <r>
    <x v="1"/>
    <s v="PAUSED"/>
    <n v="1012915072"/>
    <x v="703"/>
    <s v="nsfw"/>
    <d v="1899-12-30T09:16:00"/>
    <s v="In-Stream Video"/>
    <s v="TJX"/>
    <s v="mobile"/>
    <s v="GEO,Frequency,OS,BrowserLanguage"/>
    <n v="3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2"/>
    <x v="0"/>
  </r>
  <r>
    <x v="1"/>
    <s v="PAUSED"/>
    <n v="1012915082"/>
    <x v="704"/>
    <s v="nsfw"/>
    <d v="1899-12-30T09:16:00"/>
    <s v="In-Stream Video"/>
    <s v="TJX"/>
    <s v="mobile"/>
    <s v="GEO,Frequency,OS,BrowserLanguage"/>
    <n v="3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2"/>
    <x v="0"/>
  </r>
  <r>
    <x v="1"/>
    <s v="RUNNING"/>
    <n v="1012915092"/>
    <x v="705"/>
    <s v="nsfw"/>
    <d v="1899-12-30T09:16:00"/>
    <s v="In-Stream Video"/>
    <s v="TJX"/>
    <s v="mobile"/>
    <s v="GEO,Frequency,OS,BrowserLanguage"/>
    <n v="3"/>
    <n v="0"/>
    <s v="Yes"/>
    <s v="Unlimited"/>
    <n v="12670"/>
    <n v="95"/>
    <n v="0.74980000000000002"/>
    <n v="0"/>
    <n v="23.1"/>
    <n v="1.823"/>
    <n v="0.24299999999999999"/>
    <n v="0"/>
    <n v="1"/>
    <n v="0"/>
    <s v="Yes"/>
    <n v="12670"/>
    <n v="0"/>
    <n v="117"/>
    <s v="General"/>
    <x v="0"/>
    <x v="2"/>
    <x v="0"/>
  </r>
  <r>
    <x v="1"/>
    <s v="RUNNING"/>
    <n v="1012915102"/>
    <x v="706"/>
    <s v="nsfw"/>
    <d v="1899-12-30T09:16:00"/>
    <s v="In-Stream Video"/>
    <s v="TJX"/>
    <s v="mobile"/>
    <s v="GEO,Frequency,OS,BrowserLanguage"/>
    <n v="3"/>
    <n v="0"/>
    <s v="Yes"/>
    <s v="Unlimited"/>
    <n v="545"/>
    <n v="2"/>
    <n v="0.36697000000000002"/>
    <n v="0"/>
    <n v="0.2"/>
    <n v="0.36499999999999999"/>
    <n v="9.9000000000000005E-2"/>
    <n v="0"/>
    <n v="1"/>
    <n v="0"/>
    <s v="Yes"/>
    <n v="545"/>
    <n v="0"/>
    <n v="0"/>
    <s v="General"/>
    <x v="0"/>
    <x v="2"/>
    <x v="0"/>
  </r>
  <r>
    <x v="1"/>
    <s v="PAUSED"/>
    <n v="1012915132"/>
    <x v="538"/>
    <s v="nsfw"/>
    <d v="1899-12-30T16:09:00"/>
    <s v="In-Stream Video"/>
    <s v="TJX"/>
    <s v="desktop"/>
    <s v="GEO,Frequency,Keyword,BrowserLanguage"/>
    <n v="36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915142"/>
    <x v="564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915172"/>
    <x v="282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915182"/>
    <x v="279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915192"/>
    <x v="285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915202"/>
    <x v="707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6"/>
    <x v="0"/>
  </r>
  <r>
    <x v="1"/>
    <s v="PAUSED"/>
    <n v="1012915212"/>
    <x v="574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915222"/>
    <x v="708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6"/>
    <x v="0"/>
  </r>
  <r>
    <x v="1"/>
    <s v="PAUSED"/>
    <n v="1012915232"/>
    <x v="709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6"/>
    <x v="0"/>
  </r>
  <r>
    <x v="1"/>
    <s v="PAUSED"/>
    <n v="1012915242"/>
    <x v="286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5"/>
    <x v="0"/>
  </r>
  <r>
    <x v="1"/>
    <s v="PAUSED"/>
    <n v="1012915252"/>
    <x v="710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6"/>
    <x v="0"/>
  </r>
  <r>
    <x v="1"/>
    <s v="RUNNING"/>
    <n v="1012915262"/>
    <x v="711"/>
    <s v="nsfw"/>
    <d v="1899-12-30T16:09:00"/>
    <s v="In-Stream Video"/>
    <s v="TJX"/>
    <s v="desktop"/>
    <s v="GEO,Frequency,Keyword,BrowserLanguage"/>
    <n v="36"/>
    <n v="0"/>
    <s v="No"/>
    <n v="250"/>
    <n v="490"/>
    <n v="18"/>
    <n v="3.67347"/>
    <n v="0"/>
    <n v="0.5"/>
    <n v="1.0229999999999999"/>
    <n v="2.8000000000000001E-2"/>
    <n v="0"/>
    <n v="1"/>
    <n v="0"/>
    <s v="Yes"/>
    <n v="490"/>
    <n v="329"/>
    <n v="87"/>
    <s v="General"/>
    <x v="0"/>
    <x v="3"/>
    <x v="0"/>
  </r>
  <r>
    <x v="1"/>
    <s v="PAUSED"/>
    <n v="1012915272"/>
    <x v="287"/>
    <s v="nsfw"/>
    <d v="1899-12-30T16:09:00"/>
    <s v="In-Stream Video"/>
    <s v="TJX"/>
    <s v="desktop"/>
    <s v="GEO,Frequency,Keyword,BrowserLanguage"/>
    <n v="36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915282"/>
    <x v="284"/>
    <s v="nsfw"/>
    <d v="1899-12-30T16:09:00"/>
    <s v="In-Stream Video"/>
    <s v="TJX"/>
    <s v="desktop"/>
    <s v="GEO,Frequency,Keyword,BrowserLanguage"/>
    <n v="36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915292"/>
    <x v="537"/>
    <s v="nsfw"/>
    <d v="1899-12-30T16:09:00"/>
    <s v="In-Stream Video"/>
    <s v="TJX"/>
    <s v="desktop"/>
    <s v="GEO,Frequency,Keyword,BrowserLanguage"/>
    <n v="36"/>
    <n v="0"/>
    <s v="No"/>
    <n v="250"/>
    <n v="0"/>
    <n v="0"/>
    <n v="0"/>
    <n v="0"/>
    <n v="0"/>
    <n v="0"/>
    <n v="0"/>
    <n v="0"/>
    <n v="1"/>
    <n v="0"/>
    <s v="Yes"/>
    <n v="0"/>
    <n v="0"/>
    <n v="0"/>
    <s v="General"/>
    <x v="0"/>
    <x v="3"/>
    <x v="0"/>
  </r>
  <r>
    <x v="1"/>
    <s v="PAUSED"/>
    <n v="1012915392"/>
    <x v="73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915402"/>
    <x v="74"/>
    <s v="nsfw"/>
    <d v="1899-12-30T16:09:00"/>
    <s v="In-Stream Video"/>
    <s v="TJX"/>
    <s v="desktop"/>
    <s v="GEO,Frequency,BrowserLanguage"/>
    <n v="16"/>
    <n v="0"/>
    <s v="Yes"/>
    <s v="Unlimited"/>
    <n v="16180"/>
    <n v="652"/>
    <n v="4.0296700000000003"/>
    <n v="1"/>
    <n v="45.05"/>
    <n v="2.7839999999999998"/>
    <n v="6.9000000000000006E-2"/>
    <n v="45.051000000000002"/>
    <n v="1"/>
    <n v="0"/>
    <s v="Yes"/>
    <n v="16180"/>
    <n v="12680"/>
    <n v="1791"/>
    <s v="General"/>
    <x v="0"/>
    <x v="6"/>
    <x v="0"/>
  </r>
  <r>
    <x v="1"/>
    <s v="PAUSED"/>
    <n v="1012915422"/>
    <x v="576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915432"/>
    <x v="712"/>
    <s v="nsfw"/>
    <d v="1899-12-30T16:09:00"/>
    <s v="In-Stream Video"/>
    <s v="TJX"/>
    <s v="desktop"/>
    <s v="GEO,Frequency,BrowserLanguage,Segment"/>
    <n v="36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7"/>
    <x v="0"/>
  </r>
  <r>
    <x v="1"/>
    <s v="PAUSED"/>
    <n v="1012915442"/>
    <x v="713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7"/>
    <x v="0"/>
  </r>
  <r>
    <x v="1"/>
    <s v="RUNNING"/>
    <n v="1012915452"/>
    <x v="714"/>
    <s v="nsfw"/>
    <d v="1899-12-30T16:09:00"/>
    <s v="In-Stream Video"/>
    <s v="TJX"/>
    <s v="mobile"/>
    <s v="GEO,Frequency,OS,BrowserLanguage,Segment"/>
    <n v="90"/>
    <n v="0"/>
    <s v="No"/>
    <n v="250"/>
    <n v="372"/>
    <n v="22"/>
    <n v="5.9139799999999996"/>
    <n v="0"/>
    <n v="1.1399999999999999"/>
    <n v="3.0659999999999998"/>
    <n v="5.1999999999999998E-2"/>
    <n v="0"/>
    <n v="1"/>
    <n v="0"/>
    <s v="Yes"/>
    <n v="372"/>
    <n v="327"/>
    <n v="29"/>
    <s v="General"/>
    <x v="0"/>
    <x v="3"/>
    <x v="0"/>
  </r>
  <r>
    <x v="1"/>
    <s v="RUNNING"/>
    <n v="1012915462"/>
    <x v="715"/>
    <s v="nsfw"/>
    <d v="1899-12-30T16:09:00"/>
    <s v="In-Stream Video"/>
    <s v="TJX"/>
    <s v="desktop"/>
    <s v="GEO,Frequency,BrowserLanguage,Segment"/>
    <n v="36"/>
    <n v="0"/>
    <s v="Yes"/>
    <s v="Unlimited"/>
    <n v="343"/>
    <n v="26"/>
    <n v="7.5801699999999999"/>
    <n v="0"/>
    <n v="0.86"/>
    <n v="2.496"/>
    <n v="3.3000000000000002E-2"/>
    <n v="0"/>
    <n v="1"/>
    <n v="0"/>
    <s v="Yes"/>
    <n v="343"/>
    <n v="257"/>
    <n v="44"/>
    <s v="General"/>
    <x v="0"/>
    <x v="3"/>
    <x v="0"/>
  </r>
  <r>
    <x v="1"/>
    <s v="RUNNING"/>
    <n v="1012915472"/>
    <x v="716"/>
    <s v="nsfw"/>
    <d v="1899-12-30T16:09:00"/>
    <s v="In-Stream Video"/>
    <s v="TJX"/>
    <s v="desktop"/>
    <s v="GEO,Frequency,BrowserLanguage,Segment"/>
    <n v="36"/>
    <n v="0"/>
    <s v="No"/>
    <n v="250"/>
    <n v="75"/>
    <n v="1"/>
    <n v="1.3333299999999999"/>
    <n v="0"/>
    <n v="0.21"/>
    <n v="2.7949999999999999"/>
    <n v="0.21"/>
    <n v="0"/>
    <n v="1"/>
    <n v="0"/>
    <s v="Yes"/>
    <n v="75"/>
    <n v="58"/>
    <n v="11"/>
    <s v="General"/>
    <x v="0"/>
    <x v="3"/>
    <x v="0"/>
  </r>
  <r>
    <x v="1"/>
    <s v="RUNNING"/>
    <n v="1012915482"/>
    <x v="717"/>
    <s v="nsfw"/>
    <d v="1899-12-30T16:09:00"/>
    <s v="In-Stream Video"/>
    <s v="TJX"/>
    <s v="desktop"/>
    <s v="GEO,Frequency,BrowserLanguage,Segment"/>
    <n v="36"/>
    <n v="0"/>
    <s v="No"/>
    <n v="250"/>
    <n v="629"/>
    <n v="31"/>
    <n v="4.9284600000000003"/>
    <n v="0"/>
    <n v="1.61"/>
    <n v="2.5569999999999999"/>
    <n v="5.1999999999999998E-2"/>
    <n v="0"/>
    <n v="1"/>
    <n v="0"/>
    <s v="Yes"/>
    <n v="629"/>
    <n v="500"/>
    <n v="68"/>
    <s v="General"/>
    <x v="0"/>
    <x v="3"/>
    <x v="0"/>
  </r>
  <r>
    <x v="1"/>
    <s v="NOT RUNNING"/>
    <n v="1012915492"/>
    <x v="718"/>
    <s v="nsfw"/>
    <d v="1899-12-30T16:09:00"/>
    <s v="In-Stream Video"/>
    <s v="TJX"/>
    <s v="desktop"/>
    <s v="GEO,Frequency,BrowserLanguage,Segment"/>
    <n v="36"/>
    <n v="0"/>
    <s v="No"/>
    <n v="250"/>
    <n v="4"/>
    <n v="0"/>
    <n v="0"/>
    <n v="0"/>
    <n v="0"/>
    <n v="0.59"/>
    <n v="0"/>
    <n v="0"/>
    <n v="1"/>
    <n v="0"/>
    <s v="Yes"/>
    <n v="4"/>
    <n v="4"/>
    <n v="0"/>
    <s v="General"/>
    <x v="0"/>
    <x v="3"/>
    <x v="0"/>
  </r>
  <r>
    <x v="1"/>
    <s v="NOT RUNNING"/>
    <n v="1012915502"/>
    <x v="719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7"/>
    <x v="0"/>
  </r>
  <r>
    <x v="1"/>
    <s v="RUNNING"/>
    <n v="1012915512"/>
    <x v="720"/>
    <s v="nsfw"/>
    <d v="1899-12-30T16:09:00"/>
    <s v="In-Stream Video"/>
    <s v="TJX"/>
    <s v="mobile"/>
    <s v="GEO,Frequency,OS,BrowserLanguage,Segment"/>
    <n v="90"/>
    <n v="0"/>
    <s v="Yes"/>
    <s v="Unlimited"/>
    <n v="1964"/>
    <n v="87"/>
    <n v="4.4297399999999998"/>
    <n v="0"/>
    <n v="4.2300000000000004"/>
    <n v="2.153"/>
    <n v="4.9000000000000002E-2"/>
    <n v="0"/>
    <n v="1"/>
    <n v="0"/>
    <s v="Yes"/>
    <n v="1964"/>
    <n v="1753"/>
    <n v="147"/>
    <s v="General"/>
    <x v="0"/>
    <x v="3"/>
    <x v="0"/>
  </r>
  <r>
    <x v="1"/>
    <s v="NOT RUNNING"/>
    <n v="1012915522"/>
    <x v="721"/>
    <s v="nsfw"/>
    <d v="1899-12-30T16:09:00"/>
    <s v="In-Stream Video"/>
    <s v="TJX"/>
    <s v="mobile"/>
    <s v="GEO,Frequency,OS,BrowserLanguage,Segment"/>
    <n v="90"/>
    <n v="0"/>
    <s v="No"/>
    <n v="250"/>
    <n v="5"/>
    <n v="0"/>
    <n v="0"/>
    <n v="0"/>
    <n v="0"/>
    <n v="0.72599999999999998"/>
    <n v="0"/>
    <n v="0"/>
    <n v="1"/>
    <n v="0"/>
    <s v="Yes"/>
    <n v="5"/>
    <n v="5"/>
    <n v="0"/>
    <s v="General"/>
    <x v="0"/>
    <x v="3"/>
    <x v="0"/>
  </r>
  <r>
    <x v="1"/>
    <s v="RUNNING"/>
    <n v="1012915532"/>
    <x v="722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n v="0"/>
    <n v="0"/>
    <n v="0"/>
    <n v="0"/>
    <n v="0"/>
    <n v="1"/>
    <n v="0"/>
    <s v="Yes"/>
    <n v="0"/>
    <n v="0"/>
    <n v="0"/>
    <s v="General"/>
    <x v="0"/>
    <x v="3"/>
    <x v="0"/>
  </r>
  <r>
    <x v="1"/>
    <s v="NOT RUNNING"/>
    <n v="1012915552"/>
    <x v="723"/>
    <s v="nsfw"/>
    <d v="1899-12-30T16:09:00"/>
    <s v="In-Stream Video"/>
    <s v="TJX"/>
    <s v="mobile"/>
    <s v="GEO,Frequency,OS,BrowserLanguage,Segment"/>
    <n v="90"/>
    <n v="0"/>
    <s v="No"/>
    <n v="250"/>
    <n v="1"/>
    <n v="0"/>
    <n v="0"/>
    <n v="0"/>
    <n v="0"/>
    <n v="0.45600000000000002"/>
    <n v="0"/>
    <n v="0"/>
    <n v="1"/>
    <n v="0"/>
    <s v="Yes"/>
    <n v="1"/>
    <n v="1"/>
    <n v="0"/>
    <s v="General"/>
    <x v="0"/>
    <x v="3"/>
    <x v="0"/>
  </r>
  <r>
    <x v="1"/>
    <s v="RUNNING"/>
    <n v="1012915562"/>
    <x v="724"/>
    <s v="nsfw"/>
    <d v="1899-12-30T16:09:00"/>
    <s v="In-Stream Video"/>
    <s v="TJX"/>
    <s v="mobile"/>
    <s v="GEO,Frequency,OS,BrowserLanguage,Segment"/>
    <n v="90"/>
    <n v="0"/>
    <s v="No"/>
    <n v="250"/>
    <n v="1469"/>
    <n v="73"/>
    <n v="4.96936"/>
    <n v="0"/>
    <n v="2.83"/>
    <n v="1.929"/>
    <n v="3.9E-2"/>
    <n v="0"/>
    <n v="1"/>
    <n v="0"/>
    <s v="Yes"/>
    <n v="1469"/>
    <n v="1304"/>
    <n v="119"/>
    <s v="General"/>
    <x v="0"/>
    <x v="3"/>
    <x v="0"/>
  </r>
  <r>
    <x v="1"/>
    <s v="NOT RUNNING"/>
    <n v="1012915572"/>
    <x v="725"/>
    <s v="nsfw"/>
    <d v="1899-12-30T16:09:00"/>
    <s v="In-Stream Video"/>
    <s v="TJX"/>
    <s v="mobile"/>
    <s v="GEO,Frequency,OS,BrowserLanguage,Segment"/>
    <n v="90"/>
    <n v="0"/>
    <s v="No"/>
    <n v="250"/>
    <n v="1"/>
    <n v="0"/>
    <n v="0"/>
    <n v="0"/>
    <n v="0"/>
    <n v="0.83699999999999997"/>
    <n v="0"/>
    <n v="0"/>
    <n v="1"/>
    <n v="0"/>
    <s v="Yes"/>
    <n v="1"/>
    <n v="1"/>
    <n v="0"/>
    <s v="General"/>
    <x v="0"/>
    <x v="3"/>
    <x v="0"/>
  </r>
  <r>
    <x v="1"/>
    <s v="NOT RUNNING"/>
    <n v="1012915582"/>
    <x v="726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RUNNING"/>
    <n v="1012915592"/>
    <x v="727"/>
    <s v="nsfw"/>
    <d v="1899-12-30T16:09:00"/>
    <s v="In-Stream Video"/>
    <s v="TJX"/>
    <s v="desktop"/>
    <s v="GEO,Frequency,BrowserLanguage,Segment"/>
    <n v="36"/>
    <n v="0"/>
    <s v="No"/>
    <n v="250"/>
    <n v="612"/>
    <n v="22"/>
    <n v="3.59477"/>
    <n v="0"/>
    <n v="2.3199999999999998"/>
    <n v="3.7890000000000001"/>
    <n v="0.105"/>
    <n v="0"/>
    <n v="1"/>
    <n v="0"/>
    <s v="Yes"/>
    <n v="612"/>
    <n v="467"/>
    <n v="84"/>
    <s v="General"/>
    <x v="0"/>
    <x v="3"/>
    <x v="0"/>
  </r>
  <r>
    <x v="1"/>
    <s v="PAUSED"/>
    <n v="1012915602"/>
    <x v="728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8"/>
    <x v="0"/>
  </r>
  <r>
    <x v="1"/>
    <s v="RUNNING"/>
    <n v="1012915612"/>
    <x v="729"/>
    <s v="nsfw"/>
    <d v="1899-12-30T16:09:00"/>
    <s v="In-Stream Video"/>
    <s v="TJX"/>
    <s v="mobile"/>
    <s v="GEO,Frequency,OS,BrowserLanguage,Segment"/>
    <n v="90"/>
    <n v="0"/>
    <s v="Yes"/>
    <s v="Unlimited"/>
    <n v="3350"/>
    <n v="156"/>
    <n v="4.65672"/>
    <n v="0"/>
    <n v="10.72"/>
    <n v="3.2010000000000001"/>
    <n v="6.9000000000000006E-2"/>
    <n v="0"/>
    <n v="1"/>
    <n v="0"/>
    <s v="Yes"/>
    <n v="3350"/>
    <n v="2961"/>
    <n v="311"/>
    <s v="General"/>
    <x v="0"/>
    <x v="3"/>
    <x v="0"/>
  </r>
  <r>
    <x v="1"/>
    <s v="RUNNING"/>
    <n v="1012915622"/>
    <x v="730"/>
    <s v="nsfw"/>
    <d v="1899-12-30T16:09:00"/>
    <s v="In-Stream Video"/>
    <s v="TJX"/>
    <s v="desktop"/>
    <s v="GEO,Frequency,BrowserLanguage,Segment"/>
    <n v="36"/>
    <n v="0"/>
    <s v="No"/>
    <n v="250"/>
    <n v="48"/>
    <n v="0"/>
    <n v="0"/>
    <n v="0"/>
    <n v="0.12"/>
    <n v="2.512"/>
    <n v="0"/>
    <n v="0"/>
    <n v="1"/>
    <n v="0"/>
    <s v="Yes"/>
    <n v="48"/>
    <n v="32"/>
    <n v="12"/>
    <s v="General"/>
    <x v="0"/>
    <x v="3"/>
    <x v="0"/>
  </r>
  <r>
    <x v="1"/>
    <s v="RUNNING"/>
    <n v="1012915652"/>
    <x v="731"/>
    <s v="nsfw"/>
    <d v="1899-12-30T16:09:00"/>
    <s v="In-Stream Video"/>
    <s v="TJX"/>
    <s v="desktop"/>
    <s v="GEO,Frequency,BrowserLanguage,Segment"/>
    <n v="36"/>
    <n v="0"/>
    <s v="No"/>
    <n v="250"/>
    <n v="33"/>
    <n v="5"/>
    <n v="15.15152"/>
    <n v="0"/>
    <n v="0.09"/>
    <n v="2.7949999999999999"/>
    <n v="1.7999999999999999E-2"/>
    <n v="0"/>
    <n v="1"/>
    <n v="0"/>
    <s v="Yes"/>
    <n v="33"/>
    <n v="26"/>
    <n v="2"/>
    <s v="General"/>
    <x v="0"/>
    <x v="3"/>
    <x v="0"/>
  </r>
  <r>
    <x v="1"/>
    <s v="NOT RUNNING"/>
    <n v="1012915672"/>
    <x v="732"/>
    <s v="nsfw"/>
    <d v="1899-12-30T16:09:00"/>
    <s v="In-Stream Video"/>
    <s v="TJX"/>
    <s v="desktop"/>
    <s v="GEO,Frequency,BrowserLanguage,Segment"/>
    <n v="36"/>
    <n v="0"/>
    <s v="No"/>
    <n v="250"/>
    <n v="1"/>
    <n v="0"/>
    <n v="0"/>
    <n v="0"/>
    <n v="0"/>
    <n v="0.59"/>
    <n v="0"/>
    <n v="0"/>
    <n v="1"/>
    <n v="0"/>
    <s v="Yes"/>
    <n v="1"/>
    <n v="0"/>
    <n v="0"/>
    <s v="General"/>
    <x v="0"/>
    <x v="3"/>
    <x v="0"/>
  </r>
  <r>
    <x v="1"/>
    <s v="RUNNING"/>
    <n v="1012915682"/>
    <x v="733"/>
    <s v="nsfw"/>
    <d v="1899-12-30T16:09:00"/>
    <s v="In-Stream Video"/>
    <s v="TJX"/>
    <s v="desktop"/>
    <s v="GEO,Frequency,BrowserLanguage,Segment"/>
    <n v="36"/>
    <n v="0"/>
    <s v="No"/>
    <n v="250"/>
    <n v="141"/>
    <n v="5"/>
    <n v="3.5461"/>
    <n v="0"/>
    <n v="0.35"/>
    <n v="2.5169999999999999"/>
    <n v="7.0999999999999994E-2"/>
    <n v="0"/>
    <n v="1"/>
    <n v="0"/>
    <s v="Yes"/>
    <n v="141"/>
    <n v="101"/>
    <n v="18"/>
    <s v="General"/>
    <x v="0"/>
    <x v="3"/>
    <x v="0"/>
  </r>
  <r>
    <x v="1"/>
    <s v="NOT RUNNING"/>
    <n v="1012915692"/>
    <x v="734"/>
    <s v="nsfw"/>
    <d v="1899-12-30T16:09:00"/>
    <s v="In-Stream Video"/>
    <s v="TJX"/>
    <s v="mobile"/>
    <s v="GEO,Frequency,OS,BrowserLanguage,Segment"/>
    <n v="90"/>
    <n v="0"/>
    <s v="No"/>
    <n v="250"/>
    <n v="2"/>
    <n v="1"/>
    <n v="50"/>
    <n v="0"/>
    <n v="0"/>
    <n v="0.69899999999999995"/>
    <n v="1E-3"/>
    <n v="0"/>
    <n v="1"/>
    <n v="0"/>
    <s v="Yes"/>
    <n v="2"/>
    <n v="2"/>
    <n v="0"/>
    <s v="General"/>
    <x v="0"/>
    <x v="3"/>
    <x v="0"/>
  </r>
  <r>
    <x v="1"/>
    <s v="NOT RUNNING"/>
    <n v="1012915702"/>
    <x v="735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8"/>
    <x v="0"/>
  </r>
  <r>
    <x v="1"/>
    <s v="RUNNING"/>
    <n v="1012915712"/>
    <x v="736"/>
    <s v="nsfw"/>
    <d v="1899-12-30T16:09:00"/>
    <s v="In-Stream Video"/>
    <s v="TJX"/>
    <s v="mobile"/>
    <s v="GEO,Frequency,OS,BrowserLanguage,Segment"/>
    <n v="90"/>
    <n v="0"/>
    <s v="No"/>
    <n v="250"/>
    <n v="1875"/>
    <n v="72"/>
    <n v="3.84"/>
    <n v="0"/>
    <n v="3.99"/>
    <n v="2.13"/>
    <n v="5.5E-2"/>
    <n v="0"/>
    <n v="1"/>
    <n v="0"/>
    <s v="Yes"/>
    <n v="1875"/>
    <n v="1688"/>
    <n v="138"/>
    <s v="General"/>
    <x v="0"/>
    <x v="3"/>
    <x v="0"/>
  </r>
  <r>
    <x v="1"/>
    <s v="NOT RUNNING"/>
    <n v="1012915722"/>
    <x v="737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NOT RUNNING"/>
    <n v="1012915732"/>
    <x v="738"/>
    <s v="nsfw"/>
    <d v="1899-12-30T16:09:00"/>
    <s v="In-Stream Video"/>
    <s v="TJX"/>
    <s v="mobile"/>
    <s v="GEO,Frequency,OS,BrowserLanguage,Segment"/>
    <n v="90"/>
    <n v="0"/>
    <s v="No"/>
    <n v="250"/>
    <n v="3"/>
    <n v="0"/>
    <n v="0"/>
    <n v="0"/>
    <n v="0"/>
    <n v="0.69499999999999995"/>
    <n v="0"/>
    <n v="0"/>
    <n v="1"/>
    <n v="0"/>
    <s v="Yes"/>
    <n v="3"/>
    <n v="2"/>
    <n v="0"/>
    <s v="General"/>
    <x v="0"/>
    <x v="3"/>
    <x v="0"/>
  </r>
  <r>
    <x v="1"/>
    <s v="RUNNING"/>
    <n v="1012915742"/>
    <x v="739"/>
    <s v="nsfw"/>
    <d v="1899-12-30T16:09:00"/>
    <s v="In-Stream Video"/>
    <s v="TJX"/>
    <s v="mobile"/>
    <s v="GEO,Frequency,OS,BrowserLanguage,Segment"/>
    <n v="90"/>
    <n v="0"/>
    <s v="No"/>
    <n v="250"/>
    <n v="1038"/>
    <n v="78"/>
    <n v="7.5144500000000001"/>
    <n v="0"/>
    <n v="2.11"/>
    <n v="2.032"/>
    <n v="2.7E-2"/>
    <n v="0"/>
    <n v="1"/>
    <n v="0"/>
    <s v="Yes"/>
    <n v="1038"/>
    <n v="875"/>
    <n v="103"/>
    <s v="General"/>
    <x v="0"/>
    <x v="3"/>
    <x v="0"/>
  </r>
  <r>
    <x v="1"/>
    <s v="NOT RUNNING"/>
    <n v="1012915752"/>
    <x v="740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NOT RUNNING"/>
    <n v="1012915762"/>
    <x v="741"/>
    <s v="nsfw"/>
    <d v="1899-12-30T16:09:00"/>
    <s v="In-Stream Video"/>
    <s v="TJX"/>
    <s v="mobile"/>
    <s v="GEO,Frequency,OS,BrowserLanguage,Segment"/>
    <n v="90"/>
    <n v="0"/>
    <s v="No"/>
    <n v="250"/>
    <n v="4"/>
    <n v="0"/>
    <n v="0"/>
    <n v="0"/>
    <n v="0"/>
    <n v="0.83699999999999997"/>
    <n v="0"/>
    <n v="0"/>
    <n v="1"/>
    <n v="0"/>
    <s v="Yes"/>
    <n v="4"/>
    <n v="4"/>
    <n v="0"/>
    <s v="General"/>
    <x v="0"/>
    <x v="3"/>
    <x v="0"/>
  </r>
  <r>
    <x v="1"/>
    <s v="PAUSED"/>
    <n v="1012915772"/>
    <x v="742"/>
    <s v="nsfw"/>
    <d v="1899-12-30T16:09:00"/>
    <s v="In-Stream Video"/>
    <s v="TJX"/>
    <s v="desktop"/>
    <s v="GEO,Frequency,BrowserLanguage,Segment"/>
    <n v="36"/>
    <n v="0"/>
    <s v="No"/>
    <n v="250"/>
    <n v="1"/>
    <n v="0"/>
    <n v="0"/>
    <n v="0"/>
    <n v="0"/>
    <n v="3.8109999999999999"/>
    <n v="0"/>
    <n v="0"/>
    <n v="1"/>
    <n v="0"/>
    <s v="Yes"/>
    <n v="1"/>
    <n v="1"/>
    <n v="0"/>
    <s v="General"/>
    <x v="0"/>
    <x v="3"/>
    <x v="0"/>
  </r>
  <r>
    <x v="1"/>
    <s v="PAUSED"/>
    <n v="1012915792"/>
    <x v="743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9"/>
    <x v="0"/>
  </r>
  <r>
    <x v="1"/>
    <s v="PAUSED"/>
    <n v="1012915802"/>
    <x v="744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9"/>
    <x v="0"/>
  </r>
  <r>
    <x v="1"/>
    <s v="NOT RUNNING"/>
    <n v="1012915832"/>
    <x v="745"/>
    <s v="nsfw"/>
    <d v="1899-12-30T16:09:00"/>
    <s v="In-Stream Video"/>
    <s v="TJX"/>
    <s v="desktop"/>
    <s v="GEO,Frequency,BrowserLanguage,Segment"/>
    <n v="36"/>
    <n v="0"/>
    <s v="No"/>
    <n v="250"/>
    <n v="12"/>
    <n v="0"/>
    <n v="0"/>
    <n v="0"/>
    <n v="0.01"/>
    <n v="0.59"/>
    <n v="0"/>
    <n v="0"/>
    <n v="1"/>
    <n v="0"/>
    <s v="Yes"/>
    <n v="12"/>
    <n v="9"/>
    <n v="0"/>
    <s v="General"/>
    <x v="0"/>
    <x v="3"/>
    <x v="0"/>
  </r>
  <r>
    <x v="1"/>
    <s v="RUNNING"/>
    <n v="1012915842"/>
    <x v="746"/>
    <s v="nsfw"/>
    <d v="1899-12-30T16:09:00"/>
    <s v="In-Stream Video"/>
    <s v="TJX"/>
    <s v="desktop"/>
    <s v="GEO,Frequency,BrowserLanguage,Segment"/>
    <n v="36"/>
    <n v="0"/>
    <s v="No"/>
    <n v="250"/>
    <n v="402"/>
    <n v="26"/>
    <n v="6.4676600000000004"/>
    <n v="0"/>
    <n v="1.01"/>
    <n v="2.512"/>
    <n v="3.9E-2"/>
    <n v="0"/>
    <n v="1"/>
    <n v="0"/>
    <s v="Yes"/>
    <n v="402"/>
    <n v="324"/>
    <n v="34"/>
    <s v="General"/>
    <x v="0"/>
    <x v="3"/>
    <x v="0"/>
  </r>
  <r>
    <x v="1"/>
    <s v="RUNNING"/>
    <n v="1012915852"/>
    <x v="747"/>
    <s v="nsfw"/>
    <d v="1899-12-30T16:09:00"/>
    <s v="In-Stream Video"/>
    <s v="TJX"/>
    <s v="desktop"/>
    <s v="GEO,Frequency,BrowserLanguage,Segment"/>
    <n v="36"/>
    <n v="0"/>
    <s v="No"/>
    <n v="250"/>
    <n v="540"/>
    <n v="37"/>
    <n v="6.8518499999999998"/>
    <n v="0"/>
    <n v="1.4"/>
    <n v="2.585"/>
    <n v="3.7999999999999999E-2"/>
    <n v="0"/>
    <n v="1"/>
    <n v="0"/>
    <s v="Yes"/>
    <n v="540"/>
    <n v="421"/>
    <n v="57"/>
    <s v="General"/>
    <x v="0"/>
    <x v="3"/>
    <x v="0"/>
  </r>
  <r>
    <x v="1"/>
    <s v="RUNNING"/>
    <n v="1012915862"/>
    <x v="748"/>
    <s v="nsfw"/>
    <d v="1899-12-30T16:09:00"/>
    <s v="In-Stream Video"/>
    <s v="TJX"/>
    <s v="desktop"/>
    <s v="GEO,Frequency,BrowserLanguage,Segment"/>
    <n v="36"/>
    <n v="0"/>
    <s v="No"/>
    <n v="250"/>
    <n v="26"/>
    <n v="3"/>
    <n v="11.538460000000001"/>
    <n v="0"/>
    <n v="7.0000000000000007E-2"/>
    <n v="2.7210000000000001"/>
    <n v="2.4E-2"/>
    <n v="0"/>
    <n v="1"/>
    <n v="0"/>
    <s v="Yes"/>
    <n v="26"/>
    <n v="21"/>
    <n v="2"/>
    <s v="General"/>
    <x v="0"/>
    <x v="3"/>
    <x v="0"/>
  </r>
  <r>
    <x v="1"/>
    <s v="NOT RUNNING"/>
    <n v="1012915872"/>
    <x v="749"/>
    <s v="nsfw"/>
    <d v="1899-12-30T16:09:00"/>
    <s v="In-Stream Video"/>
    <s v="TJX"/>
    <s v="mobile"/>
    <s v="GEO,Frequency,OS,BrowserLanguage,Segment"/>
    <n v="90"/>
    <n v="0"/>
    <s v="No"/>
    <n v="250"/>
    <n v="2"/>
    <n v="0"/>
    <n v="0"/>
    <n v="0"/>
    <n v="0"/>
    <n v="0.69899999999999995"/>
    <n v="0"/>
    <n v="0"/>
    <n v="1"/>
    <n v="0"/>
    <s v="Yes"/>
    <n v="2"/>
    <n v="2"/>
    <n v="0"/>
    <s v="General"/>
    <x v="0"/>
    <x v="3"/>
    <x v="0"/>
  </r>
  <r>
    <x v="1"/>
    <s v="RUNNING"/>
    <n v="1012915882"/>
    <x v="750"/>
    <s v="nsfw"/>
    <d v="1899-12-30T16:09:00"/>
    <s v="In-Stream Video"/>
    <s v="TJX"/>
    <s v="mobile"/>
    <s v="GEO,Frequency,OS,BrowserLanguage,Segment"/>
    <n v="90"/>
    <n v="0"/>
    <s v="No"/>
    <n v="250"/>
    <n v="1922"/>
    <n v="92"/>
    <n v="4.78667"/>
    <n v="0"/>
    <n v="4.16"/>
    <n v="2.1619999999999999"/>
    <n v="4.4999999999999998E-2"/>
    <n v="0"/>
    <n v="1"/>
    <n v="0"/>
    <s v="Yes"/>
    <n v="1922"/>
    <n v="1732"/>
    <n v="136"/>
    <s v="General"/>
    <x v="0"/>
    <x v="3"/>
    <x v="0"/>
  </r>
  <r>
    <x v="1"/>
    <s v="NOT RUNNING"/>
    <n v="1012915892"/>
    <x v="751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9"/>
    <x v="0"/>
  </r>
  <r>
    <x v="1"/>
    <s v="NOT RUNNING"/>
    <n v="1012915902"/>
    <x v="752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3"/>
    <x v="0"/>
  </r>
  <r>
    <x v="1"/>
    <s v="NOT RUNNING"/>
    <n v="1012915922"/>
    <x v="753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9"/>
    <x v="0"/>
  </r>
  <r>
    <x v="1"/>
    <s v="NOT RUNNING"/>
    <n v="1012915932"/>
    <x v="754"/>
    <s v="nsfw"/>
    <d v="1899-12-30T16:09:00"/>
    <s v="In-Stream Video"/>
    <s v="TJX"/>
    <s v="mobile"/>
    <s v="GEO,Frequency,OS,BrowserLanguage,Segment"/>
    <n v="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9"/>
    <x v="0"/>
  </r>
  <r>
    <x v="1"/>
    <s v="NOT RUNNING"/>
    <n v="1012915942"/>
    <x v="755"/>
    <s v="nsfw"/>
    <d v="1899-12-30T16:09:00"/>
    <s v="In-Stream Video"/>
    <s v="TJX"/>
    <s v="mobile"/>
    <s v="GEO,Frequency,OS,BrowserLanguage,Segment"/>
    <n v="90"/>
    <n v="0"/>
    <s v="No"/>
    <n v="250"/>
    <n v="1"/>
    <n v="0"/>
    <n v="0"/>
    <n v="0"/>
    <n v="0"/>
    <n v="0.52500000000000002"/>
    <n v="0"/>
    <n v="0"/>
    <n v="1"/>
    <n v="0"/>
    <s v="Yes"/>
    <n v="1"/>
    <n v="1"/>
    <n v="0"/>
    <s v="General"/>
    <x v="0"/>
    <x v="3"/>
    <x v="0"/>
  </r>
  <r>
    <x v="1"/>
    <s v="RUNNING"/>
    <n v="1012915952"/>
    <x v="756"/>
    <s v="nsfw"/>
    <d v="1899-12-30T16:09:00"/>
    <s v="In-Stream Video"/>
    <s v="TJX"/>
    <s v="mobile"/>
    <s v="GEO,Frequency,OS,BrowserLanguage,Segment"/>
    <n v="90"/>
    <n v="0"/>
    <s v="No"/>
    <n v="250"/>
    <n v="2165"/>
    <n v="120"/>
    <n v="5.5427299999999997"/>
    <n v="0"/>
    <n v="4.3"/>
    <n v="1.986"/>
    <n v="3.5999999999999997E-2"/>
    <n v="0"/>
    <n v="1"/>
    <n v="0"/>
    <s v="Yes"/>
    <n v="2165"/>
    <n v="1906"/>
    <n v="176"/>
    <s v="General"/>
    <x v="0"/>
    <x v="3"/>
    <x v="0"/>
  </r>
  <r>
    <x v="1"/>
    <s v="RUNNING"/>
    <n v="1012915962"/>
    <x v="76"/>
    <s v="nsfw"/>
    <d v="1899-12-30T16:09:00"/>
    <s v="In-Stream Video"/>
    <s v="TJX"/>
    <s v="mobile"/>
    <s v="GEO,Frequency,OS,BrowserLanguage"/>
    <n v="20"/>
    <n v="0"/>
    <s v="No"/>
    <n v="250"/>
    <n v="472"/>
    <n v="28"/>
    <n v="5.9321999999999999"/>
    <n v="0"/>
    <n v="0.34"/>
    <n v="0.72799999999999998"/>
    <n v="1.2E-2"/>
    <n v="0"/>
    <n v="1"/>
    <n v="0"/>
    <s v="Yes"/>
    <n v="472"/>
    <n v="429"/>
    <n v="26"/>
    <s v="General"/>
    <x v="0"/>
    <x v="6"/>
    <x v="0"/>
  </r>
  <r>
    <x v="1"/>
    <s v="NOT RUNNING"/>
    <n v="1012915972"/>
    <x v="82"/>
    <s v="nsfw"/>
    <d v="1899-12-30T16:09:00"/>
    <s v="In-Stream Video"/>
    <s v="TJX"/>
    <s v="mobile"/>
    <s v="GEO,Frequency,OS,BrowserLanguage"/>
    <n v="20"/>
    <n v="0"/>
    <s v="No"/>
    <n v="250"/>
    <n v="9"/>
    <n v="1"/>
    <n v="11.11111"/>
    <n v="0"/>
    <n v="0.01"/>
    <n v="0.76400000000000001"/>
    <n v="7.0000000000000001E-3"/>
    <n v="0"/>
    <n v="1"/>
    <n v="0"/>
    <s v="Yes"/>
    <n v="9"/>
    <n v="9"/>
    <n v="0"/>
    <s v="General"/>
    <x v="0"/>
    <x v="6"/>
    <x v="0"/>
  </r>
  <r>
    <x v="1"/>
    <s v="PAUSED"/>
    <n v="1012915982"/>
    <x v="78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NOT RUNNING"/>
    <n v="1012915992"/>
    <x v="757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6"/>
    <x v="0"/>
  </r>
  <r>
    <x v="1"/>
    <s v="RUNNING"/>
    <n v="1012916002"/>
    <x v="79"/>
    <s v="nsfw"/>
    <d v="1899-12-30T16:09:00"/>
    <s v="In-Stream Video"/>
    <s v="TJX"/>
    <s v="desktop"/>
    <s v="GEO,Frequency,BrowserLanguage"/>
    <n v="8"/>
    <n v="0"/>
    <s v="No"/>
    <n v="250"/>
    <n v="194"/>
    <n v="15"/>
    <n v="7.7319599999999999"/>
    <n v="0"/>
    <n v="0.49"/>
    <n v="2.512"/>
    <n v="3.2000000000000001E-2"/>
    <n v="0"/>
    <n v="1"/>
    <n v="0"/>
    <s v="Yes"/>
    <n v="194"/>
    <n v="152"/>
    <n v="19"/>
    <s v="General"/>
    <x v="0"/>
    <x v="6"/>
    <x v="0"/>
  </r>
  <r>
    <x v="1"/>
    <s v="RUNNING"/>
    <n v="1012916012"/>
    <x v="80"/>
    <s v="nsfw"/>
    <d v="1899-12-30T16:09:00"/>
    <s v="In-Stream Video"/>
    <s v="TJX"/>
    <s v="desktop"/>
    <s v="GEO,Frequency,BrowserLanguage"/>
    <n v="8"/>
    <n v="0"/>
    <s v="No"/>
    <n v="250"/>
    <n v="1169"/>
    <n v="45"/>
    <n v="3.84944"/>
    <n v="0"/>
    <n v="3.12"/>
    <n v="2.6720000000000002"/>
    <n v="6.9000000000000006E-2"/>
    <n v="0"/>
    <n v="1"/>
    <n v="0"/>
    <s v="Yes"/>
    <n v="1169"/>
    <n v="892"/>
    <n v="122"/>
    <s v="General"/>
    <x v="0"/>
    <x v="6"/>
    <x v="0"/>
  </r>
  <r>
    <x v="1"/>
    <s v="PAUSED"/>
    <n v="1012916022"/>
    <x v="81"/>
    <s v="nsfw"/>
    <d v="1899-12-30T16:09:00"/>
    <s v="In-Stream Video"/>
    <s v="TJX"/>
    <s v="desktop"/>
    <s v="GEO,Frequency,BrowserLanguage"/>
    <n v="8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916032"/>
    <x v="758"/>
    <s v="nsfw"/>
    <d v="1899-12-30T16:09:00"/>
    <s v="In-Stream Video"/>
    <s v="TJX"/>
    <s v="desktop"/>
    <s v="GEO,Frequency,BrowserLanguage"/>
    <n v="8"/>
    <n v="0"/>
    <s v="No"/>
    <n v="250"/>
    <n v="29"/>
    <n v="1"/>
    <n v="3.44828"/>
    <n v="0"/>
    <n v="0.02"/>
    <n v="0.54200000000000004"/>
    <n v="1.6E-2"/>
    <n v="0"/>
    <n v="1"/>
    <n v="0"/>
    <s v="Yes"/>
    <n v="29"/>
    <n v="19"/>
    <n v="5"/>
    <s v="General"/>
    <x v="0"/>
    <x v="6"/>
    <x v="0"/>
  </r>
  <r>
    <x v="1"/>
    <s v="RUNNING"/>
    <n v="1012916052"/>
    <x v="759"/>
    <s v="nsfw"/>
    <d v="1899-12-30T16:09:00"/>
    <s v="In-Stream Video"/>
    <s v="TJX"/>
    <s v="mobile"/>
    <s v="GEO,Frequency,OS,BrowserLanguage"/>
    <n v="20"/>
    <n v="0"/>
    <s v="No"/>
    <n v="250"/>
    <n v="146"/>
    <n v="10"/>
    <n v="6.8493199999999996"/>
    <n v="0"/>
    <n v="0.1"/>
    <n v="0.71499999999999997"/>
    <n v="0.01"/>
    <n v="0"/>
    <n v="1"/>
    <n v="0"/>
    <s v="Yes"/>
    <n v="146"/>
    <n v="135"/>
    <n v="4"/>
    <s v="General"/>
    <x v="0"/>
    <x v="6"/>
    <x v="0"/>
  </r>
  <r>
    <x v="1"/>
    <s v="PAUSED"/>
    <n v="1012916062"/>
    <x v="760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6"/>
    <x v="0"/>
  </r>
  <r>
    <x v="1"/>
    <s v="RUNNING"/>
    <n v="1012916072"/>
    <x v="761"/>
    <s v="nsfw"/>
    <d v="1899-12-30T16:09:00"/>
    <s v="In-Stream Video"/>
    <s v="TJX"/>
    <s v="mobile"/>
    <s v="GEO,Frequency,OS,BrowserLanguage"/>
    <n v="20"/>
    <n v="0"/>
    <s v="No"/>
    <n v="250"/>
    <n v="96"/>
    <n v="7"/>
    <n v="7.2916699999999999"/>
    <n v="0"/>
    <n v="0.06"/>
    <n v="0.67300000000000004"/>
    <n v="8.9999999999999993E-3"/>
    <n v="0"/>
    <n v="1"/>
    <n v="0"/>
    <s v="Yes"/>
    <n v="96"/>
    <n v="90"/>
    <n v="5"/>
    <s v="General"/>
    <x v="0"/>
    <x v="6"/>
    <x v="0"/>
  </r>
  <r>
    <x v="1"/>
    <s v="NOT RUNNING"/>
    <n v="1012916082"/>
    <x v="762"/>
    <s v="nsfw"/>
    <d v="1899-12-30T16:09:00"/>
    <s v="In-Stream Video"/>
    <s v="TJX"/>
    <s v="mobile"/>
    <s v="GEO,Frequency,OS,BrowserLanguage"/>
    <n v="2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6"/>
    <x v="0"/>
  </r>
  <r>
    <x v="1"/>
    <s v="PAUSED"/>
    <n v="1012921252"/>
    <x v="763"/>
    <s v="nsfw"/>
    <d v="1899-12-30T16:09:00"/>
    <s v="In-Stream Video"/>
    <s v="TJX"/>
    <s v="mobile"/>
    <s v="GEO,Frequency,Keyword,OS,Browser,BrowserLanguage"/>
    <n v="6"/>
    <n v="0"/>
    <s v="No"/>
    <n v="500"/>
    <n v="0"/>
    <n v="0"/>
    <n v="0"/>
    <m/>
    <n v="0"/>
    <n v="0"/>
    <n v="0"/>
    <n v="0"/>
    <n v="1"/>
    <n v="0"/>
    <s v="Yes"/>
    <m/>
    <m/>
    <m/>
    <s v="General"/>
    <x v="0"/>
    <x v="15"/>
    <x v="0"/>
  </r>
  <r>
    <x v="1"/>
    <s v="RUNNING"/>
    <n v="1012921942"/>
    <x v="764"/>
    <s v="nsfw"/>
    <d v="1899-12-30T16:09:00"/>
    <s v="In-Stream Video"/>
    <s v="TJX"/>
    <s v="mobile"/>
    <s v="GEO,Frequency,Keyword,OS,BrowserLanguage"/>
    <n v="1100"/>
    <n v="0"/>
    <s v="Yes"/>
    <s v="Unlimited"/>
    <n v="5966"/>
    <n v="435"/>
    <n v="7.2913199999999998"/>
    <n v="0"/>
    <n v="7.43"/>
    <n v="1.246"/>
    <n v="1.7000000000000001E-2"/>
    <n v="0"/>
    <n v="1"/>
    <n v="0"/>
    <s v="Yes"/>
    <n v="5966"/>
    <n v="5235"/>
    <n v="448"/>
    <s v="General"/>
    <x v="0"/>
    <x v="12"/>
    <x v="0"/>
  </r>
  <r>
    <x v="1"/>
    <s v="RUNNING"/>
    <n v="1012921952"/>
    <x v="765"/>
    <s v="nsfw"/>
    <d v="1899-12-30T16:09:00"/>
    <s v="In-Stream Video"/>
    <s v="TJX"/>
    <s v="mobile"/>
    <s v="GEO,Frequency,Keyword,OS,BrowserLanguage"/>
    <n v="1100"/>
    <n v="0"/>
    <s v="No"/>
    <n v="250"/>
    <n v="4322"/>
    <n v="265"/>
    <n v="6.1314200000000003"/>
    <n v="0"/>
    <n v="6.92"/>
    <n v="1.6020000000000001"/>
    <n v="2.5999999999999999E-2"/>
    <n v="0"/>
    <n v="1"/>
    <n v="0"/>
    <s v="Yes"/>
    <n v="4322"/>
    <n v="3766"/>
    <n v="371"/>
    <s v="General"/>
    <x v="0"/>
    <x v="12"/>
    <x v="0"/>
  </r>
  <r>
    <x v="1"/>
    <s v="RUNNING"/>
    <n v="1012921962"/>
    <x v="766"/>
    <s v="nsfw"/>
    <d v="1899-12-30T16:09:00"/>
    <s v="In-Stream Video"/>
    <s v="TJX"/>
    <s v="desktop"/>
    <s v="GEO,Frequency,Keyword,BrowserLanguage"/>
    <n v="520"/>
    <n v="0"/>
    <s v="Yes"/>
    <s v="Unlimited"/>
    <n v="2803"/>
    <n v="195"/>
    <n v="6.9568300000000001"/>
    <n v="0"/>
    <n v="5.0599999999999996"/>
    <n v="1.8069999999999999"/>
    <n v="2.5999999999999999E-2"/>
    <n v="0"/>
    <n v="1"/>
    <n v="0"/>
    <s v="Yes"/>
    <n v="2803"/>
    <n v="2193"/>
    <n v="280"/>
    <s v="General"/>
    <x v="0"/>
    <x v="12"/>
    <x v="0"/>
  </r>
  <r>
    <x v="1"/>
    <s v="RUNNING"/>
    <n v="1012924742"/>
    <x v="767"/>
    <s v="nsfw"/>
    <d v="1899-12-30T16:09:00"/>
    <s v="In-Stream Video"/>
    <s v="TJX"/>
    <s v="desktop"/>
    <s v="GEO,Frequency,Keyword,BrowserLanguage"/>
    <n v="360"/>
    <n v="0"/>
    <s v="Yes"/>
    <s v="Unlimited"/>
    <n v="64536"/>
    <n v="3255"/>
    <n v="5.0437000000000003"/>
    <n v="2"/>
    <n v="119.94"/>
    <n v="1.859"/>
    <n v="3.6999999999999998E-2"/>
    <n v="59.970999999999997"/>
    <n v="1"/>
    <n v="0"/>
    <s v="Yes"/>
    <n v="64536"/>
    <n v="49412"/>
    <n v="8781"/>
    <s v="General"/>
    <x v="0"/>
    <x v="20"/>
    <x v="0"/>
  </r>
  <r>
    <x v="1"/>
    <s v="PAUSED"/>
    <n v="1012924752"/>
    <x v="768"/>
    <s v="nsfw"/>
    <d v="1899-12-30T16:09:00"/>
    <s v="In-Stream Video"/>
    <s v="TJX"/>
    <s v="mobile"/>
    <s v="GEO,Frequency,Keyword,OS,BrowserLanguage"/>
    <n v="70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20"/>
    <x v="0"/>
  </r>
  <r>
    <x v="1"/>
    <s v="PAUSED"/>
    <n v="1012924762"/>
    <x v="769"/>
    <s v="nsfw"/>
    <d v="1899-12-30T16:09:00"/>
    <s v="In-Stream Video"/>
    <s v="TJX"/>
    <s v="mobile"/>
    <s v="GEO,Frequency,Keyword,OS,BrowserLanguage"/>
    <n v="70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20"/>
    <x v="0"/>
  </r>
  <r>
    <x v="1"/>
    <s v="RUNNING"/>
    <n v="1012924802"/>
    <x v="116"/>
    <s v="nsfw"/>
    <d v="1899-12-30T16:09:00"/>
    <s v="In-Stream Video"/>
    <s v="TJX"/>
    <s v="desktop"/>
    <s v="GEO,Frequency,Keyword,BrowserLanguage"/>
    <n v="36"/>
    <n v="0"/>
    <s v="Yes"/>
    <s v="Unlimited"/>
    <n v="649"/>
    <n v="30"/>
    <n v="4.62249"/>
    <n v="0"/>
    <n v="1.78"/>
    <n v="2.7349999999999999"/>
    <n v="5.8999999999999997E-2"/>
    <n v="0"/>
    <n v="1"/>
    <n v="0"/>
    <s v="Yes"/>
    <n v="649"/>
    <n v="473"/>
    <n v="79"/>
    <s v="General"/>
    <x v="0"/>
    <x v="3"/>
    <x v="0"/>
  </r>
  <r>
    <x v="1"/>
    <s v="RUNNING"/>
    <n v="1012924812"/>
    <x v="770"/>
    <s v="nsfw"/>
    <d v="1899-12-30T16:09:00"/>
    <s v="In-Stream Video"/>
    <s v="TJX"/>
    <s v="desktop"/>
    <s v="GEO,Frequency,Keyword,BrowserLanguage"/>
    <n v="36"/>
    <n v="0"/>
    <s v="Yes"/>
    <s v="Unlimited"/>
    <n v="53"/>
    <n v="2"/>
    <n v="3.7735799999999999"/>
    <n v="0"/>
    <n v="0.03"/>
    <n v="0.58099999999999996"/>
    <n v="1.4999999999999999E-2"/>
    <n v="0"/>
    <n v="1"/>
    <n v="0"/>
    <s v="Yes"/>
    <n v="53"/>
    <n v="35"/>
    <n v="13"/>
    <s v="General"/>
    <x v="0"/>
    <x v="3"/>
    <x v="0"/>
  </r>
  <r>
    <x v="1"/>
    <s v="PAUSED"/>
    <n v="1012924822"/>
    <x v="771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7"/>
    <x v="0"/>
  </r>
  <r>
    <x v="1"/>
    <s v="PAUSED"/>
    <n v="1012924832"/>
    <x v="772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7"/>
    <x v="0"/>
  </r>
  <r>
    <x v="1"/>
    <s v="RUNNING"/>
    <n v="1012924842"/>
    <x v="773"/>
    <s v="nsfw"/>
    <d v="1899-12-30T16:09:00"/>
    <s v="In-Stream Video"/>
    <s v="TJX"/>
    <s v="mobile"/>
    <s v="GEO,Frequency,Keyword,OS,BrowserLanguage"/>
    <n v="90"/>
    <n v="0"/>
    <s v="Yes"/>
    <s v="Unlimited"/>
    <n v="11"/>
    <n v="0"/>
    <n v="0"/>
    <n v="0"/>
    <n v="0.01"/>
    <n v="0.46700000000000003"/>
    <n v="0"/>
    <n v="0"/>
    <n v="1"/>
    <n v="0"/>
    <s v="Yes"/>
    <n v="11"/>
    <n v="10"/>
    <n v="1"/>
    <s v="General"/>
    <x v="0"/>
    <x v="3"/>
    <x v="0"/>
  </r>
  <r>
    <x v="1"/>
    <s v="NOT RUNNING"/>
    <n v="1012924852"/>
    <x v="774"/>
    <s v="nsfw"/>
    <d v="1899-12-30T16:09:00"/>
    <s v="In-Stream Video"/>
    <s v="TJX"/>
    <s v="mobile"/>
    <s v="GEO,Frequency,Keyword,OS,BrowserLanguage"/>
    <n v="90"/>
    <n v="0"/>
    <s v="Yes"/>
    <s v="Unlimited"/>
    <n v="8"/>
    <n v="0"/>
    <n v="0"/>
    <n v="0"/>
    <n v="0"/>
    <n v="0.28499999999999998"/>
    <n v="0"/>
    <n v="0"/>
    <n v="1"/>
    <n v="0"/>
    <s v="Yes"/>
    <n v="8"/>
    <n v="8"/>
    <n v="0"/>
    <s v="General"/>
    <x v="0"/>
    <x v="3"/>
    <x v="0"/>
  </r>
  <r>
    <x v="1"/>
    <s v="PAUSED"/>
    <n v="1012924862"/>
    <x v="70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5"/>
    <x v="0"/>
  </r>
  <r>
    <x v="1"/>
    <s v="RUNNING"/>
    <n v="1012924872"/>
    <x v="108"/>
    <s v="nsfw"/>
    <d v="1899-12-30T16:09:00"/>
    <s v="In-Stream Video"/>
    <s v="TJX"/>
    <s v="mobile"/>
    <s v="GEO,Frequency,Keyword,OS,BrowserLanguage"/>
    <n v="90"/>
    <n v="0"/>
    <s v="Yes"/>
    <s v="Unlimited"/>
    <n v="69"/>
    <n v="1"/>
    <n v="1.4492799999999999"/>
    <n v="0"/>
    <n v="0.05"/>
    <n v="0.7"/>
    <n v="4.8000000000000001E-2"/>
    <n v="0"/>
    <n v="1"/>
    <n v="0"/>
    <s v="Yes"/>
    <n v="69"/>
    <n v="65"/>
    <n v="1"/>
    <s v="General"/>
    <x v="0"/>
    <x v="3"/>
    <x v="0"/>
  </r>
  <r>
    <x v="1"/>
    <s v="PAUSED"/>
    <n v="1012924882"/>
    <x v="113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NOT RUNNING"/>
    <n v="1012924892"/>
    <x v="775"/>
    <s v="nsfw"/>
    <d v="1899-12-30T16:09:00"/>
    <s v="In-Stream Video"/>
    <s v="TJX"/>
    <s v="mobile"/>
    <s v="GEO,Frequency,Keyword,OS,BrowserLanguage"/>
    <n v="90"/>
    <n v="0"/>
    <s v="Yes"/>
    <s v="Unlimited"/>
    <n v="3"/>
    <n v="0"/>
    <n v="0"/>
    <n v="0"/>
    <n v="0"/>
    <n v="0.44600000000000001"/>
    <n v="0"/>
    <n v="0"/>
    <n v="1"/>
    <n v="0"/>
    <s v="Yes"/>
    <n v="3"/>
    <n v="3"/>
    <n v="0"/>
    <s v="General"/>
    <x v="0"/>
    <x v="3"/>
    <x v="0"/>
  </r>
  <r>
    <x v="1"/>
    <s v="NOT RUNNING"/>
    <n v="1012924902"/>
    <x v="776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7"/>
    <x v="0"/>
  </r>
  <r>
    <x v="1"/>
    <s v="RUNNING"/>
    <n v="1012924912"/>
    <x v="339"/>
    <s v="nsfw"/>
    <d v="1899-12-30T16:09:00"/>
    <s v="In-Stream Video"/>
    <s v="TJX"/>
    <s v="desktop"/>
    <s v="GEO,Frequency,Keyword,BrowserLanguage"/>
    <n v="100"/>
    <n v="0"/>
    <s v="Yes"/>
    <s v="Unlimited"/>
    <n v="7509"/>
    <n v="300"/>
    <n v="3.9952100000000002"/>
    <n v="0"/>
    <n v="21.54"/>
    <n v="2.8690000000000002"/>
    <n v="7.1999999999999995E-2"/>
    <n v="0"/>
    <n v="1"/>
    <n v="0"/>
    <s v="Yes"/>
    <n v="7509"/>
    <n v="6061"/>
    <n v="774"/>
    <s v="General"/>
    <x v="0"/>
    <x v="3"/>
    <x v="0"/>
  </r>
  <r>
    <x v="1"/>
    <s v="RUNNING"/>
    <n v="1012924922"/>
    <x v="348"/>
    <s v="nsfw"/>
    <d v="1899-12-30T16:09:00"/>
    <s v="In-Stream Video"/>
    <s v="TJX"/>
    <s v="desktop"/>
    <s v="GEO,Frequency,Keyword,BrowserLanguage"/>
    <n v="100"/>
    <n v="0"/>
    <s v="Yes"/>
    <s v="Unlimited"/>
    <n v="40742"/>
    <n v="1691"/>
    <n v="4.1505000000000001"/>
    <n v="1"/>
    <n v="59.88"/>
    <n v="1.47"/>
    <n v="3.5000000000000003E-2"/>
    <n v="59.884999999999998"/>
    <n v="1"/>
    <n v="0"/>
    <s v="Yes"/>
    <n v="40742"/>
    <n v="32984"/>
    <n v="4289"/>
    <s v="General"/>
    <x v="0"/>
    <x v="3"/>
    <x v="0"/>
  </r>
  <r>
    <x v="1"/>
    <s v="RUNNING"/>
    <n v="1012924932"/>
    <x v="777"/>
    <s v="nsfw"/>
    <d v="1899-12-30T16:09:00"/>
    <s v="In-Stream Video"/>
    <s v="TJX"/>
    <s v="desktop"/>
    <s v="GEO,Frequency,Keyword,BrowserLanguage"/>
    <n v="100"/>
    <n v="0"/>
    <s v="Yes"/>
    <s v="Unlimited"/>
    <n v="357"/>
    <n v="19"/>
    <n v="5.3221299999999996"/>
    <n v="0"/>
    <n v="0.36"/>
    <n v="1.0209999999999999"/>
    <n v="1.9E-2"/>
    <n v="0"/>
    <n v="1"/>
    <n v="0"/>
    <s v="Yes"/>
    <n v="357"/>
    <n v="273"/>
    <n v="50"/>
    <s v="General"/>
    <x v="0"/>
    <x v="3"/>
    <x v="0"/>
  </r>
  <r>
    <x v="1"/>
    <s v="RUNNING"/>
    <n v="1012924942"/>
    <x v="345"/>
    <s v="nsfw"/>
    <d v="1899-12-30T16:09:00"/>
    <s v="In-Stream Video"/>
    <s v="TJX"/>
    <s v="desktop"/>
    <s v="GEO,Frequency,Keyword,BrowserLanguage"/>
    <n v="100"/>
    <n v="0"/>
    <s v="Yes"/>
    <s v="Unlimited"/>
    <n v="11493"/>
    <n v="501"/>
    <n v="4.3591800000000003"/>
    <n v="0"/>
    <n v="17.170000000000002"/>
    <n v="1.494"/>
    <n v="3.4000000000000002E-2"/>
    <n v="0"/>
    <n v="1"/>
    <n v="0"/>
    <s v="Yes"/>
    <n v="11493"/>
    <n v="8924"/>
    <n v="1475"/>
    <s v="General"/>
    <x v="0"/>
    <x v="3"/>
    <x v="0"/>
  </r>
  <r>
    <x v="1"/>
    <s v="PAUSED"/>
    <n v="1012924952"/>
    <x v="567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924962"/>
    <x v="778"/>
    <s v="nsfw"/>
    <d v="1899-12-30T16:09:00"/>
    <s v="In-Stream Video"/>
    <s v="TJX"/>
    <s v="mobile"/>
    <s v="GEO,Frequency,Keyword,OS,BrowserLanguage"/>
    <n v="90"/>
    <n v="0"/>
    <s v="Yes"/>
    <s v="Unlimited"/>
    <n v="513"/>
    <n v="32"/>
    <n v="6.2378200000000001"/>
    <n v="0"/>
    <n v="0.32"/>
    <n v="0.61399999999999999"/>
    <n v="0.01"/>
    <n v="0"/>
    <n v="1"/>
    <n v="0"/>
    <s v="Yes"/>
    <n v="513"/>
    <n v="471"/>
    <n v="29"/>
    <s v="General"/>
    <x v="0"/>
    <x v="3"/>
    <x v="0"/>
  </r>
  <r>
    <x v="1"/>
    <s v="PAUSED"/>
    <n v="1012924972"/>
    <x v="779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21"/>
    <x v="0"/>
  </r>
  <r>
    <x v="1"/>
    <s v="RUNNING"/>
    <n v="1012924982"/>
    <x v="780"/>
    <s v="nsfw"/>
    <d v="1899-12-30T16:09:00"/>
    <s v="In-Stream Video"/>
    <s v="TJX"/>
    <s v="mobile"/>
    <s v="GEO,Frequency,Keyword,OS,BrowserLanguage"/>
    <n v="90"/>
    <n v="0"/>
    <s v="Yes"/>
    <s v="Unlimited"/>
    <n v="163"/>
    <n v="15"/>
    <n v="9.2024500000000007"/>
    <n v="0"/>
    <n v="0.06"/>
    <n v="0.39700000000000002"/>
    <n v="4.0000000000000001E-3"/>
    <n v="0"/>
    <n v="1"/>
    <n v="0"/>
    <s v="Yes"/>
    <n v="163"/>
    <n v="143"/>
    <n v="13"/>
    <s v="General"/>
    <x v="0"/>
    <x v="3"/>
    <x v="0"/>
  </r>
  <r>
    <x v="1"/>
    <s v="PAUSED"/>
    <n v="1012924992"/>
    <x v="781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21"/>
    <x v="0"/>
  </r>
  <r>
    <x v="1"/>
    <s v="PAUSED"/>
    <n v="1012925002"/>
    <x v="343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NOT RUNNING"/>
    <n v="1012925022"/>
    <x v="338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925032"/>
    <x v="347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RUNNING"/>
    <n v="1012925042"/>
    <x v="782"/>
    <s v="nsfw"/>
    <d v="1899-12-30T16:09:00"/>
    <s v="In-Stream Video"/>
    <s v="TJX"/>
    <s v="mobile"/>
    <s v="GEO,Frequency,Keyword,OS,BrowserLanguage"/>
    <n v="90"/>
    <n v="0"/>
    <s v="Yes"/>
    <s v="Unlimited"/>
    <n v="56"/>
    <n v="5"/>
    <n v="8.9285700000000006"/>
    <n v="0"/>
    <n v="0.02"/>
    <n v="0.42199999999999999"/>
    <n v="5.0000000000000001E-3"/>
    <n v="0"/>
    <n v="1"/>
    <n v="0"/>
    <s v="Yes"/>
    <n v="56"/>
    <n v="50"/>
    <n v="4"/>
    <s v="General"/>
    <x v="0"/>
    <x v="3"/>
    <x v="0"/>
  </r>
  <r>
    <x v="1"/>
    <s v="PAUSED"/>
    <n v="1012925052"/>
    <x v="346"/>
    <s v="nsfw"/>
    <d v="1899-12-30T16:09:00"/>
    <s v="In-Stream Video"/>
    <s v="TJX"/>
    <s v="mobile"/>
    <s v="GEO,Frequency,Keyword,OS,BrowserLanguage"/>
    <n v="90"/>
    <n v="0"/>
    <s v="Yes"/>
    <s v="Unlimited"/>
    <n v="0"/>
    <n v="0"/>
    <n v="0"/>
    <m/>
    <n v="0"/>
    <n v="0"/>
    <n v="0"/>
    <n v="0"/>
    <n v="1"/>
    <n v="0"/>
    <s v="Yes"/>
    <m/>
    <m/>
    <m/>
    <s v="General"/>
    <x v="0"/>
    <x v="1"/>
    <x v="0"/>
  </r>
  <r>
    <x v="1"/>
    <s v="PAUSED"/>
    <n v="1012927522"/>
    <x v="783"/>
    <s v="nsfw"/>
    <d v="1899-12-30T16:09:00"/>
    <s v="In-Stream Video"/>
    <s v="TJX"/>
    <s v="mobile"/>
    <s v="GEO,Frequency,Keyword,OS,BrowserLanguage"/>
    <n v="49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20"/>
    <x v="0"/>
  </r>
  <r>
    <x v="1"/>
    <s v="RUNNING"/>
    <n v="1012927532"/>
    <x v="784"/>
    <s v="nsfw"/>
    <d v="1899-12-30T16:09:00"/>
    <s v="In-Stream Video"/>
    <s v="TJX"/>
    <s v="mobile"/>
    <s v="GEO,Frequency,Keyword,OS"/>
    <n v="539"/>
    <n v="0"/>
    <s v="No"/>
    <n v="250"/>
    <n v="165007"/>
    <n v="11157"/>
    <n v="6.7615299999999996"/>
    <n v="1"/>
    <n v="82.71"/>
    <n v="0.501"/>
    <n v="7.0000000000000001E-3"/>
    <n v="82.715000000000003"/>
    <n v="1"/>
    <n v="0"/>
    <s v="No"/>
    <n v="165007"/>
    <n v="140705"/>
    <n v="15875"/>
    <s v="General"/>
    <x v="0"/>
    <x v="20"/>
    <x v="0"/>
  </r>
  <r>
    <x v="1"/>
    <s v="RUNNING"/>
    <n v="1012927542"/>
    <x v="785"/>
    <s v="nsfw"/>
    <d v="1899-12-30T16:09:00"/>
    <s v="In-Stream Video"/>
    <s v="TJX"/>
    <s v="desktop"/>
    <s v="GEO,Frequency,Keyword,BrowserLanguage"/>
    <n v="252"/>
    <n v="0"/>
    <s v="Yes"/>
    <s v="Unlimited"/>
    <n v="48471"/>
    <n v="2863"/>
    <n v="5.9066200000000002"/>
    <n v="2"/>
    <n v="34.33"/>
    <n v="0.70799999999999996"/>
    <n v="1.2E-2"/>
    <n v="17.164000000000001"/>
    <n v="1"/>
    <n v="0"/>
    <s v="Yes"/>
    <n v="48471"/>
    <n v="36814"/>
    <n v="6750"/>
    <s v="General"/>
    <x v="0"/>
    <x v="20"/>
    <x v="0"/>
  </r>
  <r>
    <x v="1"/>
    <s v="RUNNING"/>
    <n v="1012927552"/>
    <x v="786"/>
    <s v="nsfw"/>
    <d v="1899-12-30T16:09:00"/>
    <s v="In-Stream Video"/>
    <s v="TJX"/>
    <s v="desktop"/>
    <s v="GEO,Frequency,Keyword"/>
    <n v="360"/>
    <n v="0"/>
    <s v="Yes"/>
    <s v="Unlimited"/>
    <n v="168652"/>
    <n v="8696"/>
    <n v="5.15618"/>
    <n v="3"/>
    <n v="187.59"/>
    <n v="1.1120000000000001"/>
    <n v="2.1999999999999999E-2"/>
    <n v="62.530999999999999"/>
    <n v="1"/>
    <n v="0"/>
    <s v="Yes"/>
    <n v="168652"/>
    <n v="129677"/>
    <n v="22011"/>
    <s v="General"/>
    <x v="0"/>
    <x v="20"/>
    <x v="0"/>
  </r>
  <r>
    <x v="1"/>
    <s v="PAUSED"/>
    <n v="1012927562"/>
    <x v="787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20"/>
    <x v="0"/>
  </r>
  <r>
    <x v="1"/>
    <s v="PAUSED"/>
    <n v="1012927582"/>
    <x v="788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20"/>
    <x v="0"/>
  </r>
  <r>
    <x v="1"/>
    <s v="PAUSED"/>
    <n v="1012927592"/>
    <x v="789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20"/>
    <x v="0"/>
  </r>
  <r>
    <x v="1"/>
    <s v="RUNNING"/>
    <n v="1012927602"/>
    <x v="790"/>
    <s v="nsfw"/>
    <d v="1899-12-30T16:09:00"/>
    <s v="In-Stream Video"/>
    <s v="TJX"/>
    <s v="desktop"/>
    <s v="GEO,Frequency,Keyword,BrowserLanguage"/>
    <n v="360"/>
    <n v="0"/>
    <s v="Yes"/>
    <s v="Unlimited"/>
    <n v="54726"/>
    <n v="2978"/>
    <n v="5.4416500000000001"/>
    <n v="1"/>
    <n v="62.97"/>
    <n v="1.151"/>
    <n v="2.1000000000000001E-2"/>
    <n v="62.972000000000001"/>
    <n v="1"/>
    <n v="0"/>
    <s v="Yes"/>
    <n v="54726"/>
    <n v="42277"/>
    <n v="7098"/>
    <s v="General"/>
    <x v="0"/>
    <x v="20"/>
    <x v="0"/>
  </r>
  <r>
    <x v="1"/>
    <s v="PAUSED"/>
    <n v="1012927612"/>
    <x v="791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20"/>
    <x v="0"/>
  </r>
  <r>
    <x v="1"/>
    <s v="PAUSED"/>
    <n v="1012927622"/>
    <x v="792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20"/>
    <x v="0"/>
  </r>
  <r>
    <x v="1"/>
    <s v="RUNNING"/>
    <n v="1012927642"/>
    <x v="793"/>
    <s v="nsfw"/>
    <d v="1899-12-30T16:09:00"/>
    <s v="In-Stream Video"/>
    <s v="TJX"/>
    <s v="desktop"/>
    <s v="GEO,Frequency,Keyword,BrowserLanguage"/>
    <n v="360"/>
    <n v="0"/>
    <s v="No"/>
    <n v="250"/>
    <n v="53979"/>
    <n v="2950"/>
    <n v="5.46509"/>
    <n v="0"/>
    <n v="73.67"/>
    <n v="1.365"/>
    <n v="2.5000000000000001E-2"/>
    <n v="0"/>
    <n v="1"/>
    <n v="0"/>
    <s v="Yes"/>
    <n v="53979"/>
    <n v="40738"/>
    <n v="7780"/>
    <s v="General"/>
    <x v="0"/>
    <x v="20"/>
    <x v="0"/>
  </r>
  <r>
    <x v="1"/>
    <s v="RUNNING"/>
    <n v="1012927662"/>
    <x v="794"/>
    <s v="nsfw"/>
    <d v="1899-12-30T16:09:00"/>
    <s v="In-Stream Video"/>
    <s v="TJX"/>
    <s v="mobile"/>
    <s v="GEO,Frequency,Keyword,OS"/>
    <n v="700"/>
    <n v="0"/>
    <s v="No"/>
    <n v="250"/>
    <n v="1146540"/>
    <n v="92883"/>
    <n v="8.1011600000000001"/>
    <n v="2"/>
    <n v="250.76"/>
    <n v="0.219"/>
    <n v="3.0000000000000001E-3"/>
    <n v="125.38200000000001"/>
    <n v="2"/>
    <n v="0"/>
    <s v="No"/>
    <n v="1146540"/>
    <n v="983221"/>
    <n v="113713"/>
    <s v="General"/>
    <x v="0"/>
    <x v="20"/>
    <x v="0"/>
  </r>
  <r>
    <x v="1"/>
    <s v="RUNNING"/>
    <n v="1012927672"/>
    <x v="795"/>
    <s v="nsfw"/>
    <d v="1899-12-30T16:09:00"/>
    <s v="In-Stream Video"/>
    <s v="TJX"/>
    <s v="desktop"/>
    <s v="GEO,Frequency,Keyword,BrowserLanguage"/>
    <n v="360"/>
    <n v="0"/>
    <s v="No"/>
    <n v="250"/>
    <n v="26648"/>
    <n v="1392"/>
    <n v="5.2236599999999997"/>
    <n v="0"/>
    <n v="25.93"/>
    <n v="0.97299999999999998"/>
    <n v="1.9E-2"/>
    <n v="0"/>
    <n v="1"/>
    <n v="0"/>
    <s v="Yes"/>
    <n v="26648"/>
    <n v="20264"/>
    <n v="3811"/>
    <s v="General"/>
    <x v="0"/>
    <x v="20"/>
    <x v="0"/>
  </r>
  <r>
    <x v="1"/>
    <s v="PAUSED"/>
    <n v="1012927682"/>
    <x v="796"/>
    <s v="nsfw"/>
    <d v="1899-12-30T16:09:00"/>
    <s v="In-Stream Video"/>
    <s v="TJX"/>
    <s v="mobile"/>
    <s v="GEO,Frequency,Keyword,OS,BrowserLanguage"/>
    <n v="700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20"/>
    <x v="0"/>
  </r>
  <r>
    <x v="1"/>
    <s v="RUNNING"/>
    <n v="1012927692"/>
    <x v="797"/>
    <s v="nsfw"/>
    <d v="1899-12-30T16:09:00"/>
    <s v="In-Stream Video"/>
    <s v="TJX"/>
    <s v="mobile"/>
    <s v="GEO,Frequency,Keyword,OS,BrowserLanguage"/>
    <n v="700"/>
    <n v="0"/>
    <s v="No"/>
    <n v="250"/>
    <n v="46050"/>
    <n v="3258"/>
    <n v="7.0749199999999997"/>
    <n v="1"/>
    <n v="24.36"/>
    <n v="0.52900000000000003"/>
    <n v="7.0000000000000001E-3"/>
    <n v="24.361999999999998"/>
    <n v="1"/>
    <n v="0"/>
    <s v="Yes"/>
    <n v="46050"/>
    <n v="39651"/>
    <n v="3974"/>
    <s v="General"/>
    <x v="0"/>
    <x v="20"/>
    <x v="0"/>
  </r>
  <r>
    <x v="1"/>
    <s v="RUNNING"/>
    <n v="1012929922"/>
    <x v="798"/>
    <s v="nsfw"/>
    <s v="640 x 360"/>
    <s v="Display"/>
    <s v="TJX"/>
    <s v="mobile"/>
    <s v="GEO,Frequency,OS,BrowserLanguage"/>
    <n v="37"/>
    <n v="0"/>
    <s v="Yes"/>
    <s v="Unlimited"/>
    <n v="852513"/>
    <n v="1550"/>
    <n v="0.18182000000000001"/>
    <n v="4"/>
    <n v="271.10000000000002"/>
    <n v="0.318"/>
    <n v="0.17499999999999999"/>
    <n v="67.775000000000006"/>
    <n v="2"/>
    <n v="0"/>
    <s v="Yes"/>
    <n v="0"/>
    <n v="0"/>
    <n v="0"/>
    <s v="General"/>
    <x v="2"/>
    <x v="22"/>
    <x v="0"/>
  </r>
  <r>
    <x v="1"/>
    <s v="RUNNING"/>
    <n v="1012929942"/>
    <x v="799"/>
    <s v="nsfw"/>
    <s v="640 x 360"/>
    <s v="Display"/>
    <s v="TJX"/>
    <s v="mobile"/>
    <s v="GEO,Frequency,BrowserLanguage"/>
    <n v="37"/>
    <n v="0"/>
    <s v="No"/>
    <n v="2000"/>
    <n v="578936"/>
    <n v="812"/>
    <n v="0.14026"/>
    <n v="1"/>
    <n v="118.1"/>
    <n v="0.20399999999999999"/>
    <n v="0.14499999999999999"/>
    <n v="118.10299999999999"/>
    <n v="2"/>
    <n v="0"/>
    <s v="Yes"/>
    <n v="0"/>
    <n v="0"/>
    <n v="0"/>
    <s v="General"/>
    <x v="2"/>
    <x v="22"/>
    <x v="0"/>
  </r>
  <r>
    <x v="1"/>
    <s v="RUNNING"/>
    <n v="1012946891"/>
    <x v="800"/>
    <s v="nsfw"/>
    <s v="640 x 360"/>
    <s v="Display"/>
    <s v="TJX"/>
    <s v="desktop"/>
    <s v="GEO,Frequency,Keyword,BrowserLanguage"/>
    <n v="264"/>
    <n v="0"/>
    <s v="Yes"/>
    <s v="Unlimited"/>
    <n v="100731"/>
    <n v="238"/>
    <n v="0.23627000000000001"/>
    <n v="0"/>
    <n v="8.98"/>
    <n v="8.8999999999999996E-2"/>
    <n v="3.7999999999999999E-2"/>
    <n v="0"/>
    <n v="2"/>
    <n v="0"/>
    <s v="Yes"/>
    <n v="0"/>
    <n v="0"/>
    <n v="0"/>
    <s v="General"/>
    <x v="2"/>
    <x v="23"/>
    <x v="0"/>
  </r>
  <r>
    <x v="1"/>
    <s v="PAUSED"/>
    <n v="1012946931"/>
    <x v="801"/>
    <s v="nsfw"/>
    <s v="640 x 360"/>
    <s v="Display"/>
    <s v="TJX"/>
    <s v="mobile"/>
    <s v="GEO,Frequency,Keyword,OS,BrowserLanguage"/>
    <n v="286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23"/>
    <x v="0"/>
  </r>
  <r>
    <x v="1"/>
    <s v="PAUSED"/>
    <n v="1012946971"/>
    <x v="802"/>
    <s v="nsfw"/>
    <s v="640 x 360"/>
    <s v="Display"/>
    <s v="TJX"/>
    <s v="mobile"/>
    <s v="GEO,Frequency,Keyword,OS,BrowserLanguage"/>
    <n v="286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23"/>
    <x v="0"/>
  </r>
  <r>
    <x v="1"/>
    <s v="RUNNING"/>
    <n v="1012947151"/>
    <x v="803"/>
    <s v="nsfw"/>
    <s v="640 x 360"/>
    <s v="Display"/>
    <s v="TJX"/>
    <s v="desktop"/>
    <s v="GEO,Frequency,Keyword,BrowserLanguage"/>
    <n v="144"/>
    <n v="0"/>
    <s v="Yes"/>
    <s v="Unlimited"/>
    <n v="0"/>
    <n v="0"/>
    <n v="0"/>
    <n v="0"/>
    <n v="0"/>
    <n v="0"/>
    <n v="0"/>
    <n v="0"/>
    <n v="2"/>
    <n v="0"/>
    <s v="Yes"/>
    <n v="0"/>
    <n v="0"/>
    <n v="0"/>
    <s v="General"/>
    <x v="0"/>
    <x v="3"/>
    <x v="0"/>
  </r>
  <r>
    <x v="1"/>
    <s v="RUNNING"/>
    <n v="1012947181"/>
    <x v="804"/>
    <s v="nsfw"/>
    <s v="640 x 360"/>
    <s v="Display"/>
    <s v="TJX"/>
    <s v="mobile"/>
    <s v="GEO,Frequency,Keyword,OS,BrowserLanguage"/>
    <n v="156"/>
    <n v="0"/>
    <s v="Yes"/>
    <s v="Unlimited"/>
    <n v="0"/>
    <n v="1"/>
    <n v="0"/>
    <n v="0"/>
    <n v="0"/>
    <n v="0"/>
    <n v="0"/>
    <n v="0"/>
    <n v="2"/>
    <n v="0"/>
    <s v="Yes"/>
    <n v="0"/>
    <n v="0"/>
    <n v="0"/>
    <s v="General"/>
    <x v="0"/>
    <x v="3"/>
    <x v="0"/>
  </r>
  <r>
    <x v="1"/>
    <s v="PAUSED"/>
    <n v="1012947191"/>
    <x v="805"/>
    <s v="nsfw"/>
    <s v="640 x 360"/>
    <s v="Display"/>
    <s v="TJX"/>
    <s v="mobile"/>
    <s v="GEO,Frequency,Keyword,OS,BrowserLanguage"/>
    <n v="156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24"/>
    <x v="0"/>
  </r>
  <r>
    <x v="1"/>
    <s v="PAUSED"/>
    <n v="1012950521"/>
    <x v="806"/>
    <s v="nsfw"/>
    <s v="300 x 100"/>
    <s v="Display"/>
    <s v="TJX"/>
    <s v="mobile"/>
    <s v="GEO,Frequency,BrowserLanguage"/>
    <n v="8"/>
    <n v="0"/>
    <s v="No"/>
    <n v="250"/>
    <n v="0"/>
    <n v="0"/>
    <n v="0"/>
    <m/>
    <n v="0"/>
    <n v="0"/>
    <n v="0"/>
    <n v="0"/>
    <n v="1"/>
    <n v="0"/>
    <s v="Yes"/>
    <m/>
    <m/>
    <m/>
    <s v="General"/>
    <x v="0"/>
    <x v="13"/>
    <x v="0"/>
  </r>
  <r>
    <x v="1"/>
    <s v="RUNNING"/>
    <n v="1012999511"/>
    <x v="807"/>
    <s v="nsfw"/>
    <s v="640 x 360"/>
    <s v="Display"/>
    <s v="TJX"/>
    <s v="desktop"/>
    <s v="GEO,Frequency,Keyword,BrowserLanguage"/>
    <n v="264"/>
    <n v="0"/>
    <s v="Yes"/>
    <s v="Unlimited"/>
    <n v="100130"/>
    <n v="256"/>
    <n v="0.25567000000000001"/>
    <n v="0"/>
    <n v="8.92"/>
    <n v="8.8999999999999996E-2"/>
    <n v="3.5000000000000003E-2"/>
    <n v="0"/>
    <n v="2"/>
    <n v="0"/>
    <s v="Yes"/>
    <n v="0"/>
    <n v="0"/>
    <n v="0"/>
    <s v="General"/>
    <x v="0"/>
    <x v="23"/>
    <x v="0"/>
  </r>
  <r>
    <x v="1"/>
    <s v="PAUSED"/>
    <n v="1013003481"/>
    <x v="808"/>
    <s v="nsfw"/>
    <d v="1899-12-30T09:16:00"/>
    <s v="In-Stream Video"/>
    <s v="TJX"/>
    <s v="mobile"/>
    <s v="GEO,Frequency"/>
    <n v="5"/>
    <n v="0"/>
    <s v="No"/>
    <n v="500"/>
    <n v="0"/>
    <n v="0"/>
    <n v="0"/>
    <m/>
    <n v="0"/>
    <n v="0"/>
    <n v="0"/>
    <n v="0"/>
    <n v="2"/>
    <n v="0"/>
    <s v="Yes"/>
    <m/>
    <m/>
    <m/>
    <s v="General"/>
    <x v="0"/>
    <x v="2"/>
    <x v="0"/>
  </r>
  <r>
    <x v="1"/>
    <s v="RUNNING"/>
    <n v="1013012751"/>
    <x v="809"/>
    <s v="nsfw"/>
    <s v="640 x 360"/>
    <s v="Display"/>
    <s v="TJX"/>
    <s v="mobile"/>
    <s v="GEO,Frequency,OS,Segment"/>
    <n v="57"/>
    <n v="0"/>
    <s v="Yes"/>
    <s v="Unlimited"/>
    <n v="908944"/>
    <n v="1503"/>
    <n v="0.16536000000000001"/>
    <n v="1"/>
    <n v="202.57"/>
    <n v="0.223"/>
    <n v="0.13500000000000001"/>
    <n v="202.566"/>
    <n v="2"/>
    <n v="0"/>
    <s v="No"/>
    <n v="0"/>
    <n v="0"/>
    <n v="0"/>
    <s v="General"/>
    <x v="3"/>
    <x v="12"/>
    <x v="1"/>
  </r>
  <r>
    <x v="1"/>
    <s v="RUNNING"/>
    <n v="1013012981"/>
    <x v="810"/>
    <s v="nsfw"/>
    <s v="640 x 360"/>
    <s v="Display"/>
    <s v="TJX"/>
    <s v="mobile"/>
    <s v="GEO,Frequency,OS,BrowserLanguage"/>
    <n v="1"/>
    <n v="17"/>
    <s v="Yes"/>
    <s v="Unlimited"/>
    <n v="2616294"/>
    <n v="2413"/>
    <n v="9.2230000000000006E-2"/>
    <n v="11"/>
    <n v="845.06"/>
    <n v="0.32300000000000001"/>
    <n v="0.35"/>
    <n v="76.823999999999998"/>
    <n v="2"/>
    <n v="0"/>
    <s v="Yes"/>
    <n v="0"/>
    <n v="0"/>
    <n v="0"/>
    <s v="General"/>
    <x v="3"/>
    <x v="22"/>
    <x v="1"/>
  </r>
  <r>
    <x v="1"/>
    <s v="RUNNING"/>
    <n v="1013012991"/>
    <x v="811"/>
    <s v="nsfw"/>
    <s v="640 x 360"/>
    <s v="Display"/>
    <s v="TJX"/>
    <s v="mobile"/>
    <s v="GEO,Frequency,OS,BrowserLanguage"/>
    <n v="18"/>
    <n v="0"/>
    <s v="Yes"/>
    <s v="Unlimited"/>
    <n v="733902"/>
    <n v="756"/>
    <n v="0.10301"/>
    <n v="4"/>
    <n v="175.4"/>
    <n v="0.23899999999999999"/>
    <n v="0.23200000000000001"/>
    <n v="43.850999999999999"/>
    <n v="2"/>
    <n v="0"/>
    <s v="No"/>
    <n v="0"/>
    <n v="0"/>
    <n v="0"/>
    <s v="General"/>
    <x v="4"/>
    <x v="22"/>
    <x v="1"/>
  </r>
  <r>
    <x v="1"/>
    <s v="RUNNING"/>
    <n v="1013013261"/>
    <x v="812"/>
    <s v="nsfw"/>
    <d v="1899-12-30T16:09:00"/>
    <s v="In-Stream Video"/>
    <s v="TJX"/>
    <s v="mobile"/>
    <s v="GEO,Frequency,Keyword,OS,BrowserLanguage"/>
    <n v="30"/>
    <n v="50"/>
    <s v="No"/>
    <n v="250"/>
    <n v="37374"/>
    <n v="2333"/>
    <n v="6.2423099999999998"/>
    <n v="0"/>
    <n v="76.56"/>
    <n v="2.048"/>
    <n v="3.3000000000000002E-2"/>
    <n v="0"/>
    <n v="2"/>
    <n v="0"/>
    <s v="Yes"/>
    <n v="37374"/>
    <n v="33090"/>
    <n v="2812"/>
    <s v="General"/>
    <x v="3"/>
    <x v="3"/>
    <x v="2"/>
  </r>
  <r>
    <x v="1"/>
    <s v="RUNNING"/>
    <n v="1013013541"/>
    <x v="813"/>
    <s v="nsfw"/>
    <d v="1899-12-30T16:09:00"/>
    <s v="In-Stream Video"/>
    <s v="TJX"/>
    <s v="mobile"/>
    <s v="GEO,Frequency,Keyword,OS,BrowserLanguage"/>
    <n v="133"/>
    <n v="0"/>
    <s v="No"/>
    <n v="250"/>
    <n v="69365"/>
    <n v="5071"/>
    <n v="7.3106"/>
    <n v="2"/>
    <n v="137.4"/>
    <n v="1.9810000000000001"/>
    <n v="2.7E-2"/>
    <n v="68.698999999999998"/>
    <n v="2"/>
    <n v="0"/>
    <s v="Yes"/>
    <n v="69365"/>
    <n v="61783"/>
    <n v="4951"/>
    <s v="General"/>
    <x v="3"/>
    <x v="3"/>
    <x v="2"/>
  </r>
  <r>
    <x v="1"/>
    <s v="RUNNING"/>
    <n v="1013013551"/>
    <x v="814"/>
    <s v="nsfw"/>
    <d v="1899-12-30T16:09:00"/>
    <s v="In-Stream Video"/>
    <s v="TJX"/>
    <s v="mobile"/>
    <s v="GEO,Frequency,Keyword,OS,BrowserLanguage"/>
    <n v="133"/>
    <n v="0"/>
    <s v="No"/>
    <n v="250"/>
    <n v="46126"/>
    <n v="2260"/>
    <n v="4.89961"/>
    <n v="0"/>
    <n v="88.28"/>
    <n v="1.9139999999999999"/>
    <n v="3.9E-2"/>
    <n v="0"/>
    <n v="2"/>
    <n v="0"/>
    <s v="Yes"/>
    <n v="46126"/>
    <n v="42531"/>
    <n v="2188"/>
    <s v="General"/>
    <x v="3"/>
    <x v="3"/>
    <x v="2"/>
  </r>
  <r>
    <x v="1"/>
    <s v="RUNNING"/>
    <n v="1013013561"/>
    <x v="815"/>
    <s v="nsfw"/>
    <d v="1899-12-30T16:09:00"/>
    <s v="In-Stream Video"/>
    <s v="TJX"/>
    <s v="desktop"/>
    <s v="GEO,Frequency,Keyword,BrowserLanguage"/>
    <n v="56"/>
    <n v="0"/>
    <s v="No"/>
    <n v="500"/>
    <n v="32586"/>
    <n v="1364"/>
    <n v="4.1858500000000003"/>
    <n v="0"/>
    <n v="57.74"/>
    <n v="1.772"/>
    <n v="4.2000000000000003E-2"/>
    <n v="0"/>
    <n v="2"/>
    <n v="0"/>
    <s v="Yes"/>
    <n v="32586"/>
    <n v="24109"/>
    <n v="4071"/>
    <s v="General"/>
    <x v="3"/>
    <x v="3"/>
    <x v="2"/>
  </r>
  <r>
    <x v="1"/>
    <s v="RUNNING"/>
    <n v="1013013571"/>
    <x v="816"/>
    <s v="nsfw"/>
    <d v="1899-12-30T16:09:00"/>
    <s v="In-Stream Video"/>
    <s v="TJX"/>
    <s v="mobile"/>
    <s v="GEO,Frequency,Keyword,OS,BrowserLanguage"/>
    <n v="183"/>
    <n v="0"/>
    <s v="No"/>
    <n v="250"/>
    <n v="43295"/>
    <n v="2762"/>
    <n v="6.3794899999999997"/>
    <n v="3"/>
    <n v="85.91"/>
    <n v="1.984"/>
    <n v="3.1E-2"/>
    <n v="28.637"/>
    <n v="2"/>
    <n v="0"/>
    <s v="Yes"/>
    <n v="43295"/>
    <n v="38659"/>
    <n v="3010"/>
    <s v="General"/>
    <x v="4"/>
    <x v="12"/>
    <x v="2"/>
  </r>
  <r>
    <x v="1"/>
    <s v="RUNNING"/>
    <n v="1013013591"/>
    <x v="817"/>
    <s v="nsfw"/>
    <d v="1899-12-30T16:09:00"/>
    <s v="In-Stream Video"/>
    <s v="TJX"/>
    <s v="mobile"/>
    <s v="GEO,Frequency,Keyword,OS,BrowserLanguage"/>
    <n v="173"/>
    <n v="0"/>
    <s v="No"/>
    <n v="250"/>
    <n v="70391"/>
    <n v="3556"/>
    <n v="5.0517799999999999"/>
    <n v="0"/>
    <n v="132.07"/>
    <n v="1.8759999999999999"/>
    <n v="3.6999999999999998E-2"/>
    <n v="0"/>
    <n v="2"/>
    <n v="0"/>
    <s v="Yes"/>
    <n v="70391"/>
    <n v="63500"/>
    <n v="4390"/>
    <s v="General"/>
    <x v="4"/>
    <x v="12"/>
    <x v="2"/>
  </r>
  <r>
    <x v="1"/>
    <s v="RUNNING"/>
    <n v="1013013601"/>
    <x v="818"/>
    <s v="nsfw"/>
    <d v="1899-12-30T16:09:00"/>
    <s v="In-Stream Video"/>
    <s v="TJX"/>
    <s v="desktop"/>
    <s v="GEO,Frequency,Keyword,BrowserLanguage"/>
    <n v="68"/>
    <n v="0"/>
    <s v="No"/>
    <n v="250"/>
    <n v="6725"/>
    <n v="324"/>
    <n v="4.8178400000000003"/>
    <n v="0"/>
    <n v="17.32"/>
    <n v="2.5750000000000002"/>
    <n v="5.2999999999999999E-2"/>
    <n v="0"/>
    <n v="2"/>
    <n v="0"/>
    <s v="Yes"/>
    <n v="6725"/>
    <n v="5044"/>
    <n v="580"/>
    <s v="General"/>
    <x v="4"/>
    <x v="12"/>
    <x v="2"/>
  </r>
  <r>
    <x v="1"/>
    <s v="RUNNING"/>
    <n v="1013013621"/>
    <x v="819"/>
    <s v="nsfw"/>
    <d v="1899-12-30T16:09:00"/>
    <s v="In-Stream Video"/>
    <s v="TJX"/>
    <s v="mobile"/>
    <s v="GEO,Frequency,Keyword,OS,BrowserLanguage"/>
    <n v="173"/>
    <n v="0"/>
    <s v="No"/>
    <n v="250"/>
    <n v="50499"/>
    <n v="4100"/>
    <n v="8.1189599999999995"/>
    <n v="0"/>
    <n v="102.51"/>
    <n v="2.0299999999999998"/>
    <n v="2.5000000000000001E-2"/>
    <n v="0"/>
    <n v="2"/>
    <n v="0"/>
    <s v="Yes"/>
    <n v="50499"/>
    <n v="45374"/>
    <n v="3250"/>
    <s v="General"/>
    <x v="3"/>
    <x v="12"/>
    <x v="2"/>
  </r>
  <r>
    <x v="1"/>
    <s v="RUNNING"/>
    <n v="1013013631"/>
    <x v="820"/>
    <s v="nsfw"/>
    <d v="1899-12-30T16:09:00"/>
    <s v="In-Stream Video"/>
    <s v="TJX"/>
    <s v="mobile"/>
    <s v="GEO,Frequency,Keyword,OS,BrowserLanguage"/>
    <n v="173"/>
    <n v="0"/>
    <s v="No"/>
    <n v="250"/>
    <n v="81681"/>
    <n v="4429"/>
    <n v="5.4223100000000004"/>
    <n v="1"/>
    <n v="183.62"/>
    <n v="2.2480000000000002"/>
    <n v="4.1000000000000002E-2"/>
    <n v="183.61699999999999"/>
    <n v="2"/>
    <n v="0"/>
    <s v="Yes"/>
    <n v="81681"/>
    <n v="73231"/>
    <n v="5120"/>
    <s v="General"/>
    <x v="3"/>
    <x v="12"/>
    <x v="2"/>
  </r>
  <r>
    <x v="1"/>
    <s v="RUNNING"/>
    <n v="1013013641"/>
    <x v="821"/>
    <s v="nsfw"/>
    <d v="1899-12-30T16:09:00"/>
    <s v="In-Stream Video"/>
    <s v="TJX"/>
    <s v="desktop"/>
    <s v="GEO,Frequency,Keyword,BrowserLanguage"/>
    <n v="52"/>
    <n v="0"/>
    <s v="Yes"/>
    <s v="Unlimited"/>
    <n v="446"/>
    <n v="39"/>
    <n v="8.7443799999999996"/>
    <n v="0"/>
    <n v="1.31"/>
    <n v="2.9260000000000002"/>
    <n v="3.3000000000000002E-2"/>
    <n v="0"/>
    <n v="2"/>
    <n v="0"/>
    <s v="Yes"/>
    <n v="446"/>
    <n v="338"/>
    <n v="39"/>
    <s v="General"/>
    <x v="3"/>
    <x v="12"/>
    <x v="2"/>
  </r>
  <r>
    <x v="1"/>
    <s v="RUNNING"/>
    <n v="1013013651"/>
    <x v="822"/>
    <s v="nsfw"/>
    <d v="1899-12-30T16:09:00"/>
    <s v="In-Stream Video"/>
    <s v="TJX"/>
    <s v="mobile"/>
    <s v="GEO,Frequency,Keyword,OS,BrowserLanguage"/>
    <n v="173"/>
    <n v="0"/>
    <s v="No"/>
    <n v="250"/>
    <n v="144"/>
    <n v="7"/>
    <n v="4.86111"/>
    <n v="0"/>
    <n v="0.24"/>
    <n v="1.65"/>
    <n v="3.4000000000000002E-2"/>
    <n v="0"/>
    <n v="2"/>
    <n v="0"/>
    <s v="Yes"/>
    <n v="144"/>
    <n v="132"/>
    <n v="7"/>
    <s v="General"/>
    <x v="5"/>
    <x v="12"/>
    <x v="2"/>
  </r>
  <r>
    <x v="1"/>
    <s v="RUNNING"/>
    <n v="1013013701"/>
    <x v="823"/>
    <s v="nsfw"/>
    <d v="1899-12-30T16:09:00"/>
    <s v="In-Stream Video"/>
    <s v="TJX"/>
    <s v="mobile"/>
    <s v="GEO,Frequency,Keyword,OS,BrowserLanguage"/>
    <n v="173"/>
    <n v="0"/>
    <s v="No"/>
    <n v="250"/>
    <n v="262"/>
    <n v="11"/>
    <n v="4.1984700000000004"/>
    <n v="0"/>
    <n v="0.25"/>
    <n v="0.96399999999999997"/>
    <n v="2.3E-2"/>
    <n v="0"/>
    <n v="2"/>
    <n v="0"/>
    <s v="Yes"/>
    <n v="262"/>
    <n v="228"/>
    <n v="18"/>
    <s v="General"/>
    <x v="5"/>
    <x v="12"/>
    <x v="2"/>
  </r>
  <r>
    <x v="1"/>
    <s v="RUNNING"/>
    <n v="1013013731"/>
    <x v="824"/>
    <s v="nsfw"/>
    <d v="1899-12-30T16:09:00"/>
    <s v="In-Stream Video"/>
    <s v="TJX"/>
    <s v="desktop"/>
    <s v="GEO,Frequency,Keyword,BrowserLanguage"/>
    <n v="64"/>
    <n v="0"/>
    <s v="No"/>
    <n v="250"/>
    <n v="10365"/>
    <n v="550"/>
    <n v="5.3063200000000004"/>
    <n v="0"/>
    <n v="25.82"/>
    <n v="2.4910000000000001"/>
    <n v="4.7E-2"/>
    <n v="0"/>
    <n v="2"/>
    <n v="0"/>
    <s v="Yes"/>
    <n v="10365"/>
    <n v="8142"/>
    <n v="1153"/>
    <s v="General"/>
    <x v="5"/>
    <x v="3"/>
    <x v="2"/>
  </r>
  <r>
    <x v="1"/>
    <s v="NOT RUNNING"/>
    <n v="1013013741"/>
    <x v="825"/>
    <s v="nsfw"/>
    <d v="1899-12-30T16:09:00"/>
    <s v="In-Stream Video"/>
    <s v="TJX"/>
    <s v="mobile"/>
    <s v="GEO,Frequency,Keyword,OS,BrowserLanguage"/>
    <n v="140"/>
    <n v="0"/>
    <s v="No"/>
    <n v="250"/>
    <n v="15"/>
    <n v="0"/>
    <n v="0"/>
    <n v="0"/>
    <n v="0.01"/>
    <n v="0.625"/>
    <n v="0"/>
    <n v="0"/>
    <n v="2"/>
    <n v="0"/>
    <s v="Yes"/>
    <n v="15"/>
    <n v="13"/>
    <n v="2"/>
    <s v="General"/>
    <x v="6"/>
    <x v="12"/>
    <x v="2"/>
  </r>
  <r>
    <x v="1"/>
    <s v="NOT RUNNING"/>
    <n v="1013013761"/>
    <x v="826"/>
    <s v="nsfw"/>
    <d v="1899-12-30T16:09:00"/>
    <s v="In-Stream Video"/>
    <s v="TJX"/>
    <s v="mobile"/>
    <s v="GEO,Frequency,Keyword,OS,BrowserLanguage"/>
    <n v="130"/>
    <n v="0"/>
    <s v="No"/>
    <n v="250"/>
    <n v="0"/>
    <n v="0"/>
    <n v="0"/>
    <m/>
    <n v="0"/>
    <n v="0"/>
    <n v="0"/>
    <n v="0"/>
    <n v="2"/>
    <n v="0"/>
    <s v="Yes"/>
    <m/>
    <m/>
    <m/>
    <s v="General"/>
    <x v="6"/>
    <x v="12"/>
    <x v="2"/>
  </r>
  <r>
    <x v="1"/>
    <s v="RUNNING"/>
    <n v="1013013771"/>
    <x v="827"/>
    <s v="nsfw"/>
    <d v="1899-12-30T16:09:00"/>
    <s v="In-Stream Video"/>
    <s v="TJX"/>
    <s v="desktop"/>
    <s v="GEO,Frequency,Keyword,BrowserLanguage"/>
    <n v="68"/>
    <n v="0"/>
    <s v="No"/>
    <n v="250"/>
    <n v="475"/>
    <n v="15"/>
    <n v="3.1578900000000001"/>
    <n v="0"/>
    <n v="1.32"/>
    <n v="2.7770000000000001"/>
    <n v="8.7999999999999995E-2"/>
    <n v="0"/>
    <n v="2"/>
    <n v="0"/>
    <s v="Yes"/>
    <n v="475"/>
    <n v="345"/>
    <n v="44"/>
    <s v="General"/>
    <x v="6"/>
    <x v="12"/>
    <x v="2"/>
  </r>
  <r>
    <x v="1"/>
    <s v="RUNNING"/>
    <n v="1013013791"/>
    <x v="828"/>
    <s v="nsfw"/>
    <d v="1899-12-30T16:09:00"/>
    <s v="In-Stream Video"/>
    <s v="TJX"/>
    <s v="mobile"/>
    <s v="GEO,Frequency,Keyword,OS,BrowserLanguage"/>
    <n v="1730"/>
    <n v="0"/>
    <s v="Yes"/>
    <s v="Unlimited"/>
    <n v="8062"/>
    <n v="602"/>
    <n v="7.46713"/>
    <n v="1"/>
    <n v="9.89"/>
    <n v="1.2270000000000001"/>
    <n v="1.6E-2"/>
    <n v="9.8879999999999999"/>
    <n v="2"/>
    <n v="0"/>
    <s v="Yes"/>
    <n v="8062"/>
    <n v="7113"/>
    <n v="547"/>
    <s v="General"/>
    <x v="7"/>
    <x v="12"/>
    <x v="2"/>
  </r>
  <r>
    <x v="1"/>
    <s v="RUNNING"/>
    <n v="1013013811"/>
    <x v="829"/>
    <s v="nsfw"/>
    <d v="1899-12-30T16:09:00"/>
    <s v="In-Stream Video"/>
    <s v="TJX"/>
    <s v="mobile"/>
    <s v="GEO,Frequency,Keyword,OS,BrowserLanguage"/>
    <n v="1730"/>
    <n v="0"/>
    <s v="No"/>
    <n v="250"/>
    <n v="5843"/>
    <n v="353"/>
    <n v="6.0414199999999996"/>
    <n v="0"/>
    <n v="9.32"/>
    <n v="1.5960000000000001"/>
    <n v="2.5999999999999999E-2"/>
    <n v="0"/>
    <n v="2"/>
    <n v="0"/>
    <s v="Yes"/>
    <n v="5843"/>
    <n v="5113"/>
    <n v="439"/>
    <s v="General"/>
    <x v="7"/>
    <x v="12"/>
    <x v="2"/>
  </r>
  <r>
    <x v="1"/>
    <s v="RUNNING"/>
    <n v="1013013831"/>
    <x v="830"/>
    <s v="nsfw"/>
    <d v="1899-12-30T16:09:00"/>
    <s v="In-Stream Video"/>
    <s v="TJX"/>
    <s v="desktop"/>
    <s v="GEO,Frequency,Keyword,BrowserLanguage"/>
    <n v="680"/>
    <n v="0"/>
    <s v="Yes"/>
    <s v="Unlimited"/>
    <n v="4150"/>
    <n v="241"/>
    <n v="5.8072299999999997"/>
    <n v="0"/>
    <n v="7.61"/>
    <n v="1.8340000000000001"/>
    <n v="3.2000000000000001E-2"/>
    <n v="0"/>
    <n v="2"/>
    <n v="0"/>
    <s v="Yes"/>
    <n v="4150"/>
    <n v="3216"/>
    <n v="388"/>
    <s v="General"/>
    <x v="7"/>
    <x v="12"/>
    <x v="2"/>
  </r>
  <r>
    <x v="1"/>
    <s v="PAUSED"/>
    <n v="1013013851"/>
    <x v="831"/>
    <s v="nsfw"/>
    <d v="1899-12-30T16:09:00"/>
    <s v="In-Stream Video"/>
    <s v="TJX"/>
    <s v="mobile"/>
    <s v="GEO,Frequency,OS,BrowserLanguage"/>
    <n v="200"/>
    <n v="0"/>
    <s v="No"/>
    <n v="250"/>
    <n v="1"/>
    <n v="0"/>
    <n v="0"/>
    <n v="0"/>
    <n v="0"/>
    <n v="1.893"/>
    <n v="0"/>
    <n v="0"/>
    <n v="2"/>
    <n v="0"/>
    <s v="Yes"/>
    <n v="1"/>
    <n v="1"/>
    <n v="0"/>
    <s v="General"/>
    <x v="3"/>
    <x v="25"/>
    <x v="2"/>
  </r>
  <r>
    <x v="1"/>
    <s v="RUNNING"/>
    <n v="1013013861"/>
    <x v="832"/>
    <s v="nsfw"/>
    <d v="1899-12-30T16:09:00"/>
    <s v="In-Stream Video"/>
    <s v="TJX"/>
    <s v="mobile"/>
    <s v="GEO,Frequency,OS,BrowserLanguage"/>
    <n v="243"/>
    <n v="0"/>
    <s v="No"/>
    <n v="250"/>
    <n v="133390"/>
    <n v="6710"/>
    <n v="5.0303599999999999"/>
    <n v="1"/>
    <n v="251.9"/>
    <n v="1.8879999999999999"/>
    <n v="3.7999999999999999E-2"/>
    <n v="251.899"/>
    <n v="2"/>
    <n v="0"/>
    <s v="No"/>
    <n v="133390"/>
    <n v="122058"/>
    <n v="7221"/>
    <s v="General"/>
    <x v="3"/>
    <x v="26"/>
    <x v="2"/>
  </r>
  <r>
    <x v="1"/>
    <s v="RUNNING"/>
    <n v="1013013881"/>
    <x v="833"/>
    <s v="nsfw"/>
    <d v="1899-12-30T16:09:00"/>
    <s v="In-Stream Video"/>
    <s v="TJX"/>
    <s v="desktop"/>
    <s v="GEO,Frequency,BrowserLanguage"/>
    <n v="100"/>
    <n v="0"/>
    <s v="No"/>
    <n v="250"/>
    <n v="78335"/>
    <n v="3897"/>
    <n v="4.97478"/>
    <n v="0"/>
    <n v="251.13"/>
    <n v="3.206"/>
    <n v="6.4000000000000001E-2"/>
    <n v="0"/>
    <n v="2"/>
    <n v="0"/>
    <s v="Yes"/>
    <n v="78335"/>
    <n v="63238"/>
    <n v="8110"/>
    <s v="General"/>
    <x v="3"/>
    <x v="25"/>
    <x v="2"/>
  </r>
  <r>
    <x v="1"/>
    <s v="RUNNING"/>
    <n v="1013013911"/>
    <x v="834"/>
    <s v="nsfw"/>
    <d v="1899-12-30T16:09:00"/>
    <s v="In-Stream Video"/>
    <s v="TJX"/>
    <s v="mobile"/>
    <s v="GEO,Frequency,Keyword,OS,BrowserLanguage"/>
    <n v="32"/>
    <n v="0"/>
    <s v="No"/>
    <n v="250"/>
    <n v="638"/>
    <n v="19"/>
    <n v="2.9780600000000002"/>
    <n v="0"/>
    <n v="0.74"/>
    <n v="1.155"/>
    <n v="3.9E-2"/>
    <n v="0"/>
    <n v="2"/>
    <n v="0"/>
    <s v="Yes"/>
    <n v="638"/>
    <n v="559"/>
    <n v="42"/>
    <s v="General"/>
    <x v="3"/>
    <x v="3"/>
    <x v="2"/>
  </r>
  <r>
    <x v="1"/>
    <s v="RUNNING"/>
    <n v="1013013931"/>
    <x v="835"/>
    <s v="nsfw"/>
    <d v="1899-12-30T16:09:00"/>
    <s v="In-Stream Video"/>
    <s v="TJX"/>
    <s v="mobile"/>
    <s v="GEO,Frequency,Keyword,OS,BrowserLanguage"/>
    <n v="32"/>
    <n v="0"/>
    <s v="No"/>
    <n v="250"/>
    <n v="3464"/>
    <n v="177"/>
    <n v="5.1097000000000001"/>
    <n v="0"/>
    <n v="3.98"/>
    <n v="1.149"/>
    <n v="2.1999999999999999E-2"/>
    <n v="0"/>
    <n v="2"/>
    <n v="0"/>
    <s v="Yes"/>
    <n v="3464"/>
    <n v="3020"/>
    <n v="245"/>
    <s v="General"/>
    <x v="3"/>
    <x v="3"/>
    <x v="2"/>
  </r>
  <r>
    <x v="1"/>
    <s v="RUNNING"/>
    <n v="1013013941"/>
    <x v="836"/>
    <s v="nsfw"/>
    <d v="1899-12-30T16:09:00"/>
    <s v="In-Stream Video"/>
    <s v="TJX"/>
    <s v="desktop"/>
    <s v="GEO,Frequency,Keyword,BrowserLanguage"/>
    <n v="64"/>
    <n v="0"/>
    <s v="No"/>
    <n v="250"/>
    <n v="860"/>
    <n v="32"/>
    <n v="3.7209300000000001"/>
    <n v="0"/>
    <n v="0.77"/>
    <n v="0.89300000000000002"/>
    <n v="2.4E-2"/>
    <n v="0"/>
    <n v="2"/>
    <n v="0"/>
    <s v="Yes"/>
    <n v="860"/>
    <n v="604"/>
    <n v="135"/>
    <s v="General"/>
    <x v="3"/>
    <x v="3"/>
    <x v="2"/>
  </r>
  <r>
    <x v="1"/>
    <s v="PAUSED"/>
    <n v="1013013951"/>
    <x v="837"/>
    <s v="nsfw"/>
    <d v="1899-12-30T16:09:00"/>
    <s v="In-Stream Video"/>
    <s v="TJX"/>
    <s v="mobile"/>
    <s v="GEO,Frequency,Keyword,OS,BrowserLanguage"/>
    <n v="100"/>
    <n v="0"/>
    <s v="No"/>
    <n v="250"/>
    <n v="1"/>
    <n v="0"/>
    <n v="0"/>
    <n v="0"/>
    <n v="0"/>
    <n v="1.083"/>
    <n v="0"/>
    <n v="0"/>
    <n v="2"/>
    <n v="0"/>
    <s v="Yes"/>
    <n v="1"/>
    <n v="0"/>
    <n v="1"/>
    <s v="General"/>
    <x v="3"/>
    <x v="3"/>
    <x v="2"/>
  </r>
  <r>
    <x v="1"/>
    <s v="RUNNING"/>
    <n v="1013013961"/>
    <x v="838"/>
    <s v="nsfw"/>
    <d v="1899-12-30T16:09:00"/>
    <s v="In-Stream Video"/>
    <s v="TJX"/>
    <s v="mobile"/>
    <s v="GEO,Frequency,Keyword,OS,BrowserLanguage"/>
    <n v="140"/>
    <n v="0"/>
    <s v="No"/>
    <n v="250"/>
    <n v="49365"/>
    <n v="2360"/>
    <n v="4.78071"/>
    <n v="0"/>
    <n v="84.05"/>
    <n v="1.7030000000000001"/>
    <n v="3.5999999999999997E-2"/>
    <n v="0"/>
    <n v="2"/>
    <n v="0"/>
    <s v="Yes"/>
    <n v="49365"/>
    <n v="44817"/>
    <n v="3000"/>
    <s v="General"/>
    <x v="3"/>
    <x v="3"/>
    <x v="2"/>
  </r>
  <r>
    <x v="1"/>
    <s v="RUNNING"/>
    <n v="1013013971"/>
    <x v="839"/>
    <s v="nsfw"/>
    <d v="1899-12-30T16:09:00"/>
    <s v="In-Stream Video"/>
    <s v="TJX"/>
    <s v="desktop"/>
    <s v="GEO,Frequency,Keyword,Browser,BrowserLanguage"/>
    <n v="52"/>
    <n v="0"/>
    <s v="No"/>
    <n v="250"/>
    <n v="58424"/>
    <n v="2235"/>
    <n v="3.8254800000000002"/>
    <n v="2"/>
    <n v="99.94"/>
    <n v="1.7110000000000001"/>
    <n v="4.4999999999999998E-2"/>
    <n v="49.97"/>
    <n v="2"/>
    <n v="0"/>
    <s v="Yes"/>
    <n v="58424"/>
    <n v="44071"/>
    <n v="7148"/>
    <s v="General"/>
    <x v="3"/>
    <x v="3"/>
    <x v="2"/>
  </r>
  <r>
    <x v="1"/>
    <s v="RUNNING"/>
    <n v="1013013981"/>
    <x v="840"/>
    <s v="nsfw"/>
    <d v="1899-12-30T16:09:00"/>
    <s v="In-Stream Video"/>
    <s v="TJX"/>
    <s v="desktop"/>
    <s v="GEO,Frequency,Keyword,BrowserLanguage"/>
    <n v="60"/>
    <n v="0"/>
    <s v="No"/>
    <n v="250"/>
    <n v="25357"/>
    <n v="1016"/>
    <n v="4.00678"/>
    <n v="0"/>
    <n v="30.82"/>
    <n v="1.216"/>
    <n v="0.03"/>
    <n v="0"/>
    <n v="2"/>
    <n v="0"/>
    <s v="Yes"/>
    <n v="25357"/>
    <n v="18518"/>
    <n v="2729"/>
    <s v="General"/>
    <x v="3"/>
    <x v="3"/>
    <x v="2"/>
  </r>
  <r>
    <x v="1"/>
    <s v="RUNNING"/>
    <n v="1013014001"/>
    <x v="841"/>
    <s v="nsfw"/>
    <d v="1899-12-30T16:09:00"/>
    <s v="In-Stream Video"/>
    <s v="TJX"/>
    <s v="mobile"/>
    <s v="GEO,Frequency,Keyword,OS,BrowserLanguage"/>
    <n v="65"/>
    <n v="0"/>
    <s v="No"/>
    <n v="250"/>
    <n v="25631"/>
    <n v="1277"/>
    <n v="4.98224"/>
    <n v="1"/>
    <n v="48.24"/>
    <n v="1.8819999999999999"/>
    <n v="3.7999999999999999E-2"/>
    <n v="48.243000000000002"/>
    <n v="2"/>
    <n v="0"/>
    <s v="Yes"/>
    <n v="25631"/>
    <n v="23367"/>
    <n v="1294"/>
    <s v="General"/>
    <x v="3"/>
    <x v="3"/>
    <x v="2"/>
  </r>
  <r>
    <x v="1"/>
    <s v="PAUSED"/>
    <n v="1013014101"/>
    <x v="842"/>
    <s v="nsfw"/>
    <d v="1899-12-30T16:09:00"/>
    <s v="In-Stream Video"/>
    <s v="TJX"/>
    <s v="desktop"/>
    <s v="GEO,Frequency,Keyword,BrowserLanguage"/>
    <n v="44"/>
    <n v="0"/>
    <s v="No"/>
    <n v="250"/>
    <n v="1"/>
    <n v="0"/>
    <n v="0"/>
    <n v="0"/>
    <n v="0"/>
    <n v="2.8879999999999999"/>
    <n v="0"/>
    <n v="0"/>
    <n v="2"/>
    <n v="0"/>
    <s v="Yes"/>
    <n v="1"/>
    <n v="1"/>
    <n v="0"/>
    <s v="General"/>
    <x v="6"/>
    <x v="3"/>
    <x v="2"/>
  </r>
  <r>
    <x v="1"/>
    <s v="RUNNING"/>
    <n v="1013014111"/>
    <x v="843"/>
    <s v="nsfw"/>
    <d v="1899-12-30T16:09:00"/>
    <s v="In-Stream Video"/>
    <s v="TJX"/>
    <s v="mobile"/>
    <s v="GEO,Frequency,Keyword,OS,BrowserLanguage"/>
    <n v="65"/>
    <n v="0"/>
    <s v="No"/>
    <n v="250"/>
    <n v="66443"/>
    <n v="3696"/>
    <n v="5.5626600000000002"/>
    <n v="1"/>
    <n v="101.22"/>
    <n v="1.5229999999999999"/>
    <n v="2.7E-2"/>
    <n v="101.217"/>
    <n v="2"/>
    <n v="0"/>
    <s v="Yes"/>
    <n v="66443"/>
    <n v="59307"/>
    <n v="4953"/>
    <s v="General"/>
    <x v="3"/>
    <x v="3"/>
    <x v="2"/>
  </r>
  <r>
    <x v="1"/>
    <s v="RUNNING"/>
    <n v="1013014221"/>
    <x v="844"/>
    <s v="nsfw"/>
    <d v="1899-12-30T16:09:00"/>
    <s v="In-Stream Video"/>
    <s v="TJX"/>
    <s v="mobile"/>
    <s v="GEO,Frequency,Keyword,OS,BrowserLanguage"/>
    <n v="153"/>
    <n v="0"/>
    <s v="No"/>
    <n v="250"/>
    <n v="78266"/>
    <n v="5390"/>
    <n v="6.8867700000000003"/>
    <n v="0"/>
    <n v="158.16999999999999"/>
    <n v="2.0209999999999999"/>
    <n v="2.9000000000000001E-2"/>
    <n v="0"/>
    <n v="2"/>
    <n v="0"/>
    <s v="Yes"/>
    <n v="78266"/>
    <n v="69644"/>
    <n v="5602"/>
    <s v="General"/>
    <x v="3"/>
    <x v="3"/>
    <x v="2"/>
  </r>
  <r>
    <x v="1"/>
    <s v="RUNNING"/>
    <n v="1013014271"/>
    <x v="845"/>
    <s v="nsfw"/>
    <d v="1899-12-30T16:09:00"/>
    <s v="In-Stream Video"/>
    <s v="TJX"/>
    <s v="mobile"/>
    <s v="GEO,Frequency,Keyword,OS,BrowserLanguage"/>
    <n v="163"/>
    <n v="0"/>
    <s v="No"/>
    <n v="250"/>
    <n v="55262"/>
    <n v="2560"/>
    <n v="4.6324800000000002"/>
    <n v="0"/>
    <n v="111.18"/>
    <n v="2.012"/>
    <n v="4.2999999999999997E-2"/>
    <n v="0"/>
    <n v="2"/>
    <n v="0"/>
    <s v="Yes"/>
    <n v="55262"/>
    <n v="51074"/>
    <n v="2448"/>
    <s v="General"/>
    <x v="3"/>
    <x v="3"/>
    <x v="2"/>
  </r>
  <r>
    <x v="1"/>
    <s v="RUNNING"/>
    <n v="1013014281"/>
    <x v="846"/>
    <s v="nsfw"/>
    <d v="1899-12-30T16:09:00"/>
    <s v="In-Stream Video"/>
    <s v="TJX"/>
    <s v="desktop"/>
    <s v="GEO,Frequency,Keyword,BrowserLanguage"/>
    <n v="68"/>
    <n v="0"/>
    <s v="Yes"/>
    <s v="Unlimited"/>
    <n v="34346"/>
    <n v="1361"/>
    <n v="3.9626199999999998"/>
    <n v="1"/>
    <n v="42.45"/>
    <n v="1.236"/>
    <n v="3.1E-2"/>
    <n v="42.451000000000001"/>
    <n v="2"/>
    <n v="0"/>
    <s v="Yes"/>
    <n v="34346"/>
    <n v="24828"/>
    <n v="4520"/>
    <s v="General"/>
    <x v="3"/>
    <x v="3"/>
    <x v="2"/>
  </r>
  <r>
    <x v="1"/>
    <s v="RUNNING"/>
    <n v="1013014311"/>
    <x v="847"/>
    <s v="nsfw"/>
    <d v="1899-12-30T16:09:00"/>
    <s v="In-Stream Video"/>
    <s v="TJX"/>
    <s v="desktop"/>
    <s v="GEO,Frequency,Keyword,BrowserLanguage"/>
    <n v="96"/>
    <n v="0"/>
    <s v="No"/>
    <n v="250"/>
    <n v="6331"/>
    <n v="260"/>
    <n v="4.10677"/>
    <n v="0"/>
    <n v="16.29"/>
    <n v="2.5739999999999998"/>
    <n v="6.3E-2"/>
    <n v="0"/>
    <n v="1"/>
    <n v="0"/>
    <s v="Yes"/>
    <n v="6331"/>
    <n v="4941"/>
    <n v="676"/>
    <s v="General"/>
    <x v="3"/>
    <x v="3"/>
    <x v="2"/>
  </r>
  <r>
    <x v="1"/>
    <s v="PAUSED"/>
    <n v="1013014461"/>
    <x v="848"/>
    <s v="nsfw"/>
    <d v="1899-12-30T16:09:00"/>
    <s v="In-Stream Video"/>
    <s v="TJX"/>
    <s v="mobile"/>
    <s v="GEO,Frequency,Keyword,OS,BrowserLanguage"/>
    <n v="90"/>
    <n v="0"/>
    <s v="No"/>
    <n v="250"/>
    <n v="0"/>
    <n v="0"/>
    <n v="0"/>
    <m/>
    <n v="0"/>
    <n v="0"/>
    <n v="0"/>
    <n v="0"/>
    <n v="2"/>
    <n v="0"/>
    <s v="Yes"/>
    <m/>
    <m/>
    <m/>
    <s v="General"/>
    <x v="3"/>
    <x v="3"/>
    <x v="2"/>
  </r>
  <r>
    <x v="1"/>
    <s v="RUNNING"/>
    <n v="1013014511"/>
    <x v="849"/>
    <s v="nsfw"/>
    <d v="1899-12-30T16:09:00"/>
    <s v="In-Stream Video"/>
    <s v="TJX"/>
    <s v="mobile"/>
    <s v="GEO,Frequency,Keyword,OS,BrowserLanguage"/>
    <n v="114"/>
    <n v="0"/>
    <s v="No"/>
    <n v="250"/>
    <n v="13880"/>
    <n v="605"/>
    <n v="4.3587899999999999"/>
    <n v="0"/>
    <n v="24.75"/>
    <n v="1.7829999999999999"/>
    <n v="4.1000000000000002E-2"/>
    <n v="0"/>
    <n v="2"/>
    <n v="0"/>
    <s v="Yes"/>
    <n v="13880"/>
    <n v="12349"/>
    <n v="916"/>
    <s v="General"/>
    <x v="3"/>
    <x v="3"/>
    <x v="2"/>
  </r>
  <r>
    <x v="1"/>
    <s v="RUNNING"/>
    <n v="1013016311"/>
    <x v="850"/>
    <s v="nsfw"/>
    <d v="1899-12-30T16:09:00"/>
    <s v="In-Stream Video"/>
    <s v="TJX"/>
    <s v="desktop"/>
    <s v="GEO,Frequency,Keyword,BrowserLanguage"/>
    <n v="80"/>
    <n v="0"/>
    <s v="No"/>
    <n v="250"/>
    <n v="5064"/>
    <n v="213"/>
    <n v="4.2061500000000001"/>
    <n v="0"/>
    <n v="7.75"/>
    <n v="1.5309999999999999"/>
    <n v="3.5999999999999997E-2"/>
    <n v="0"/>
    <n v="2"/>
    <n v="0"/>
    <s v="Yes"/>
    <n v="5064"/>
    <n v="3727"/>
    <n v="743"/>
    <s v="General"/>
    <x v="8"/>
    <x v="3"/>
    <x v="2"/>
  </r>
  <r>
    <x v="1"/>
    <s v="RUNNING"/>
    <n v="1013017191"/>
    <x v="851"/>
    <s v="nsfw"/>
    <d v="1899-12-30T09:16:00"/>
    <s v="In-Stream Video"/>
    <s v="TJX"/>
    <s v="mobile"/>
    <s v="GEO"/>
    <n v="3"/>
    <n v="2"/>
    <s v="Yes"/>
    <s v="Unlimited"/>
    <n v="113535"/>
    <n v="648"/>
    <n v="0.57074999999999998"/>
    <n v="1"/>
    <n v="86.29"/>
    <n v="0.76"/>
    <n v="0.13300000000000001"/>
    <n v="86.287000000000006"/>
    <n v="2"/>
    <n v="0"/>
    <s v="No"/>
    <n v="113535"/>
    <n v="0"/>
    <n v="328"/>
    <s v="General"/>
    <x v="3"/>
    <x v="2"/>
    <x v="1"/>
  </r>
  <r>
    <x v="1"/>
    <s v="RUNNING"/>
    <n v="1013017281"/>
    <x v="852"/>
    <s v="nsfw"/>
    <d v="1899-12-30T16:09:00"/>
    <s v="In-Stream Video"/>
    <s v="TJX"/>
    <s v="desktop"/>
    <s v="GEO,Frequency,Keyword,Browser,BrowserLanguage"/>
    <n v="7"/>
    <n v="0"/>
    <s v="Yes"/>
    <s v="Unlimited"/>
    <n v="18340"/>
    <n v="756"/>
    <n v="4.1221399999999999"/>
    <n v="0"/>
    <n v="55.39"/>
    <n v="3.02"/>
    <n v="7.2999999999999995E-2"/>
    <n v="0"/>
    <n v="2"/>
    <n v="0"/>
    <s v="No"/>
    <n v="18340"/>
    <n v="14161"/>
    <n v="1794"/>
    <s v="General"/>
    <x v="3"/>
    <x v="0"/>
    <x v="1"/>
  </r>
  <r>
    <x v="1"/>
    <s v="RUNNING"/>
    <n v="1013017291"/>
    <x v="853"/>
    <s v="nsfw"/>
    <d v="1899-12-30T16:09:00"/>
    <s v="In-Stream Video"/>
    <s v="TJX"/>
    <s v="desktop"/>
    <s v="GEO,Frequency,Keyword,Browser,BrowserLanguage"/>
    <n v="7"/>
    <n v="0"/>
    <s v="No"/>
    <n v="500"/>
    <n v="304"/>
    <n v="10"/>
    <n v="3.2894700000000001"/>
    <n v="0"/>
    <n v="0.76"/>
    <n v="2.512"/>
    <n v="7.5999999999999998E-2"/>
    <n v="0"/>
    <n v="2"/>
    <n v="0"/>
    <s v="No"/>
    <n v="304"/>
    <n v="223"/>
    <n v="28"/>
    <s v="General"/>
    <x v="6"/>
    <x v="0"/>
    <x v="1"/>
  </r>
  <r>
    <x v="1"/>
    <s v="RUNNING"/>
    <n v="1013017301"/>
    <x v="854"/>
    <s v="nsfw"/>
    <d v="1899-12-30T16:09:00"/>
    <s v="In-Stream Video"/>
    <s v="TJX"/>
    <s v="mobile"/>
    <s v="GEO,Frequency,OS,BrowserLanguage"/>
    <n v="50"/>
    <n v="0"/>
    <s v="No"/>
    <n v="250"/>
    <n v="52355"/>
    <n v="3119"/>
    <n v="5.9574100000000003"/>
    <n v="0"/>
    <n v="115.62"/>
    <n v="2.2080000000000002"/>
    <n v="3.6999999999999998E-2"/>
    <n v="0"/>
    <n v="2"/>
    <n v="0"/>
    <s v="Yes"/>
    <n v="52355"/>
    <n v="47208"/>
    <n v="3276"/>
    <s v="General"/>
    <x v="3"/>
    <x v="27"/>
    <x v="2"/>
  </r>
  <r>
    <x v="1"/>
    <s v="RUNNING"/>
    <n v="1013017321"/>
    <x v="855"/>
    <s v="nsfw"/>
    <d v="1899-12-30T16:09:00"/>
    <s v="In-Stream Video"/>
    <s v="TJX"/>
    <s v="mobile"/>
    <s v="GEO,Frequency,Keyword,OS"/>
    <n v="2"/>
    <n v="2"/>
    <s v="No"/>
    <n v="500"/>
    <n v="87402"/>
    <n v="3818"/>
    <n v="4.3683199999999998"/>
    <n v="1"/>
    <n v="190.71"/>
    <n v="2.1819999999999999"/>
    <n v="0.05"/>
    <n v="190.71100000000001"/>
    <n v="2"/>
    <n v="0"/>
    <s v="Yes"/>
    <n v="87402"/>
    <n v="77779"/>
    <n v="7054"/>
    <s v="General"/>
    <x v="3"/>
    <x v="6"/>
    <x v="1"/>
  </r>
  <r>
    <x v="1"/>
    <s v="RUNNING"/>
    <n v="1013017331"/>
    <x v="856"/>
    <s v="nsfw"/>
    <d v="1899-12-30T16:09:00"/>
    <s v="In-Stream Video"/>
    <s v="TJX"/>
    <s v="mobile"/>
    <s v="GEO,Frequency,Keyword,OS"/>
    <n v="2"/>
    <n v="0"/>
    <s v="No"/>
    <n v="500"/>
    <n v="21692"/>
    <n v="1353"/>
    <n v="6.2373200000000004"/>
    <n v="1"/>
    <n v="47.12"/>
    <n v="2.1720000000000002"/>
    <n v="3.5000000000000003E-2"/>
    <n v="47.115000000000002"/>
    <n v="2"/>
    <n v="0"/>
    <s v="No"/>
    <n v="21692"/>
    <n v="18882"/>
    <n v="2001"/>
    <s v="General"/>
    <x v="3"/>
    <x v="6"/>
    <x v="1"/>
  </r>
  <r>
    <x v="1"/>
    <s v="PAUSED"/>
    <n v="1013017351"/>
    <x v="857"/>
    <s v="nsfw"/>
    <d v="1899-12-30T16:09:00"/>
    <s v="In-Stream Video"/>
    <s v="TJX"/>
    <s v="mobile"/>
    <s v="GEO,Frequency,OS,BrowserLanguage"/>
    <n v="50"/>
    <n v="0"/>
    <s v="No"/>
    <n v="250"/>
    <n v="0"/>
    <n v="0"/>
    <n v="0"/>
    <m/>
    <n v="0"/>
    <n v="0"/>
    <n v="0"/>
    <n v="0"/>
    <n v="2"/>
    <n v="0"/>
    <s v="Yes"/>
    <m/>
    <m/>
    <m/>
    <s v="General"/>
    <x v="3"/>
    <x v="27"/>
    <x v="2"/>
  </r>
  <r>
    <x v="1"/>
    <s v="RUNNING"/>
    <n v="1013017371"/>
    <x v="858"/>
    <s v="nsfw"/>
    <d v="1899-12-30T16:09:00"/>
    <s v="In-Stream Video"/>
    <s v="TJX"/>
    <s v="desktop"/>
    <s v="GEO,Frequency,BrowserLanguage"/>
    <n v="20"/>
    <n v="0"/>
    <s v="Yes"/>
    <s v="Unlimited"/>
    <n v="51024"/>
    <n v="2652"/>
    <n v="5.19754"/>
    <n v="2"/>
    <n v="251.37"/>
    <n v="4.9269999999999996"/>
    <n v="9.5000000000000001E-2"/>
    <n v="125.685"/>
    <n v="2"/>
    <n v="0"/>
    <s v="Yes"/>
    <n v="51024"/>
    <n v="41465"/>
    <n v="4714"/>
    <s v="General"/>
    <x v="3"/>
    <x v="27"/>
    <x v="2"/>
  </r>
  <r>
    <x v="1"/>
    <s v="RUNNING"/>
    <n v="1013017401"/>
    <x v="859"/>
    <s v="nsfw"/>
    <d v="1899-12-30T16:09:00"/>
    <s v="In-Stream Video"/>
    <s v="TJX"/>
    <s v="desktop"/>
    <s v="GEO,Frequency,BrowserLanguage"/>
    <n v="20"/>
    <n v="0"/>
    <s v="Yes"/>
    <s v="Unlimited"/>
    <n v="1390"/>
    <n v="62"/>
    <n v="4.4604200000000001"/>
    <n v="0"/>
    <n v="3.35"/>
    <n v="2.4129999999999998"/>
    <n v="5.3999999999999999E-2"/>
    <n v="0"/>
    <n v="2"/>
    <n v="0"/>
    <s v="Yes"/>
    <n v="1390"/>
    <n v="1124"/>
    <n v="155"/>
    <s v="General"/>
    <x v="5"/>
    <x v="27"/>
    <x v="2"/>
  </r>
  <r>
    <x v="1"/>
    <s v="RUNNING"/>
    <n v="1013017411"/>
    <x v="860"/>
    <s v="nsfw"/>
    <d v="1899-12-30T16:09:00"/>
    <s v="In-Stream Video"/>
    <s v="TJX"/>
    <s v="desktop"/>
    <s v="GEO,Frequency,BrowserLanguage"/>
    <n v="20"/>
    <n v="0"/>
    <s v="Yes"/>
    <s v="Unlimited"/>
    <n v="11099"/>
    <n v="542"/>
    <n v="4.8833200000000003"/>
    <n v="1"/>
    <n v="18.079999999999998"/>
    <n v="1.629"/>
    <n v="3.3000000000000002E-2"/>
    <n v="18.077000000000002"/>
    <n v="2"/>
    <n v="0"/>
    <s v="Yes"/>
    <n v="11099"/>
    <n v="9068"/>
    <n v="965"/>
    <s v="General"/>
    <x v="4"/>
    <x v="27"/>
    <x v="2"/>
  </r>
  <r>
    <x v="1"/>
    <s v="PAUSED"/>
    <n v="1013022481"/>
    <x v="861"/>
    <s v="nsfw"/>
    <d v="1899-12-30T16:09:00"/>
    <s v="In-Stream Video"/>
    <s v="TJX"/>
    <s v="desktop"/>
    <s v="GEO,Frequency,Keyword,BrowserLanguage"/>
    <n v="2"/>
    <n v="0"/>
    <s v="No"/>
    <n v="25"/>
    <n v="0"/>
    <n v="0"/>
    <n v="0"/>
    <m/>
    <n v="0"/>
    <n v="0"/>
    <n v="0"/>
    <n v="0"/>
    <n v="2"/>
    <n v="0"/>
    <s v="Yes"/>
    <m/>
    <m/>
    <m/>
    <s v="General"/>
    <x v="9"/>
    <x v="28"/>
    <x v="2"/>
  </r>
  <r>
    <x v="1"/>
    <s v="PAUSED"/>
    <n v="1013022491"/>
    <x v="862"/>
    <s v="nsfw"/>
    <d v="1899-12-30T16:09:00"/>
    <s v="In-Stream Video"/>
    <s v="TJX"/>
    <s v="desktop"/>
    <s v="GEO,Frequency,Keyword,BrowserLanguage"/>
    <n v="11"/>
    <n v="0"/>
    <s v="No"/>
    <n v="25"/>
    <n v="0"/>
    <n v="0"/>
    <n v="0"/>
    <m/>
    <n v="0"/>
    <n v="0"/>
    <n v="0"/>
    <n v="0"/>
    <n v="2"/>
    <n v="0"/>
    <s v="Yes"/>
    <m/>
    <m/>
    <m/>
    <s v="General"/>
    <x v="9"/>
    <x v="28"/>
    <x v="2"/>
  </r>
  <r>
    <x v="1"/>
    <s v="PAUSED"/>
    <n v="1013022501"/>
    <x v="863"/>
    <s v="nsfw"/>
    <d v="1899-12-30T16:09:00"/>
    <s v="In-Stream Video"/>
    <s v="TJX"/>
    <s v="desktop"/>
    <s v="GEO,Frequency,Keyword,Cookie,BrowserLanguage"/>
    <n v="24"/>
    <n v="0"/>
    <s v="No"/>
    <n v="25"/>
    <n v="0"/>
    <n v="0"/>
    <n v="0"/>
    <m/>
    <n v="0"/>
    <n v="0"/>
    <n v="0"/>
    <n v="0"/>
    <n v="2"/>
    <n v="0"/>
    <s v="Yes"/>
    <m/>
    <m/>
    <m/>
    <s v="General"/>
    <x v="9"/>
    <x v="14"/>
    <x v="2"/>
  </r>
  <r>
    <x v="1"/>
    <s v="RUNNING"/>
    <n v="1013024831"/>
    <x v="864"/>
    <s v="nsfw"/>
    <d v="1899-12-30T16:09:00"/>
    <s v="In-Stream Video"/>
    <s v="TJX"/>
    <s v="desktop"/>
    <s v="GEO,Frequency,Keyword,Browser,BrowserLanguage"/>
    <n v="7"/>
    <n v="0"/>
    <s v="No"/>
    <n v="500"/>
    <n v="2039"/>
    <n v="62"/>
    <n v="3.0407099999999998"/>
    <n v="0"/>
    <n v="2.14"/>
    <n v="1.05"/>
    <n v="3.5000000000000003E-2"/>
    <n v="0"/>
    <n v="2"/>
    <n v="0"/>
    <s v="No"/>
    <n v="2039"/>
    <n v="1488"/>
    <n v="245"/>
    <s v="General"/>
    <x v="4"/>
    <x v="0"/>
    <x v="1"/>
  </r>
  <r>
    <x v="1"/>
    <s v="RUNNING"/>
    <n v="1013024841"/>
    <x v="865"/>
    <s v="nsfw"/>
    <d v="1899-12-30T16:09:00"/>
    <s v="In-Stream Video"/>
    <s v="TJX"/>
    <s v="desktop"/>
    <s v="GEO,Frequency,Keyword,Browser,BrowserLanguage"/>
    <n v="7"/>
    <n v="0"/>
    <s v="No"/>
    <n v="500"/>
    <n v="1060"/>
    <n v="36"/>
    <n v="3.3962300000000001"/>
    <n v="0"/>
    <n v="1.53"/>
    <n v="1.4430000000000001"/>
    <n v="4.2000000000000003E-2"/>
    <n v="0"/>
    <n v="2"/>
    <n v="0"/>
    <s v="No"/>
    <n v="1060"/>
    <n v="795"/>
    <n v="131"/>
    <s v="General"/>
    <x v="5"/>
    <x v="0"/>
    <x v="1"/>
  </r>
  <r>
    <x v="1"/>
    <s v="RUNNING"/>
    <n v="1013024861"/>
    <x v="853"/>
    <s v="nsfw"/>
    <d v="1899-12-30T16:09:00"/>
    <s v="In-Stream Video"/>
    <s v="TJX"/>
    <s v="desktop"/>
    <s v="GEO,Frequency,Keyword,Browser,BrowserLanguage"/>
    <n v="7"/>
    <n v="0"/>
    <s v="No"/>
    <n v="500"/>
    <n v="121"/>
    <n v="3"/>
    <n v="2.4793400000000001"/>
    <n v="0"/>
    <n v="0.3"/>
    <n v="2.472"/>
    <n v="0.1"/>
    <n v="0"/>
    <n v="2"/>
    <n v="0"/>
    <s v="No"/>
    <n v="121"/>
    <n v="83"/>
    <n v="9"/>
    <s v="General"/>
    <x v="6"/>
    <x v="0"/>
    <x v="1"/>
  </r>
  <r>
    <x v="1"/>
    <s v="NOT RUNNING"/>
    <n v="1013024881"/>
    <x v="866"/>
    <s v="nsfw"/>
    <d v="1899-12-30T16:09:00"/>
    <s v="In-Stream Video"/>
    <s v="TJX"/>
    <s v="desktop"/>
    <s v="GEO,Frequency,Keyword,Browser,BrowserLanguage"/>
    <n v="7"/>
    <n v="0"/>
    <s v="No"/>
    <n v="500"/>
    <n v="62"/>
    <n v="3"/>
    <n v="4.8387099999999998"/>
    <n v="0"/>
    <n v="0.06"/>
    <n v="0.91500000000000004"/>
    <n v="1.9E-2"/>
    <n v="0"/>
    <n v="2"/>
    <n v="0"/>
    <s v="No"/>
    <n v="62"/>
    <n v="43"/>
    <n v="12"/>
    <s v="General"/>
    <x v="8"/>
    <x v="0"/>
    <x v="1"/>
  </r>
  <r>
    <x v="1"/>
    <s v="RUNNING"/>
    <n v="1013024901"/>
    <x v="867"/>
    <s v="nsfw"/>
    <s v="640 x 360"/>
    <s v="Display"/>
    <s v="TJX"/>
    <s v="mobile"/>
    <s v="GEO,Frequency,OS,BrowserLanguage"/>
    <n v="15"/>
    <n v="3"/>
    <s v="Yes"/>
    <s v="Unlimited"/>
    <n v="1570610"/>
    <n v="1939"/>
    <n v="0.12346"/>
    <n v="4"/>
    <n v="501.02"/>
    <n v="0.31900000000000001"/>
    <n v="0.25800000000000001"/>
    <n v="125.256"/>
    <n v="2"/>
    <n v="0"/>
    <s v="No"/>
    <n v="0"/>
    <n v="0"/>
    <n v="0"/>
    <s v="General"/>
    <x v="3"/>
    <x v="22"/>
    <x v="1"/>
  </r>
  <r>
    <x v="1"/>
    <s v="RUNNING"/>
    <n v="1013025091"/>
    <x v="868"/>
    <s v="nsfw"/>
    <s v="640 x 360"/>
    <s v="Display"/>
    <s v="TJX"/>
    <s v="mobile"/>
    <s v="GEO,Frequency,OS,BrowserLanguage"/>
    <n v="18"/>
    <n v="0"/>
    <s v="Yes"/>
    <s v="Unlimited"/>
    <n v="482327"/>
    <n v="460"/>
    <n v="9.5369999999999996E-2"/>
    <n v="1"/>
    <n v="155.31"/>
    <n v="0.32200000000000001"/>
    <n v="0.33800000000000002"/>
    <n v="155.309"/>
    <n v="2"/>
    <n v="0"/>
    <s v="No"/>
    <n v="0"/>
    <n v="0"/>
    <n v="0"/>
    <s v="General"/>
    <x v="5"/>
    <x v="22"/>
    <x v="1"/>
  </r>
  <r>
    <x v="1"/>
    <s v="RUNNING"/>
    <n v="1013025101"/>
    <x v="869"/>
    <s v="nsfw"/>
    <s v="640 x 360"/>
    <s v="Display"/>
    <s v="TJX"/>
    <s v="mobile"/>
    <s v="GEO,Frequency,OS,BrowserLanguage"/>
    <n v="18"/>
    <n v="0"/>
    <s v="No"/>
    <n v="500"/>
    <n v="332324"/>
    <n v="436"/>
    <n v="0.13120000000000001"/>
    <n v="1"/>
    <n v="141.57"/>
    <n v="0.42599999999999999"/>
    <n v="0.32500000000000001"/>
    <n v="141.57"/>
    <n v="2"/>
    <n v="0"/>
    <s v="No"/>
    <n v="0"/>
    <n v="0"/>
    <n v="0"/>
    <s v="General"/>
    <x v="6"/>
    <x v="22"/>
    <x v="1"/>
  </r>
  <r>
    <x v="1"/>
    <s v="RUNNING"/>
    <n v="1013025111"/>
    <x v="870"/>
    <s v="nsfw"/>
    <s v="640 x 360"/>
    <s v="Display"/>
    <s v="TJX"/>
    <s v="mobile"/>
    <s v="GEO,Frequency,OS,BrowserLanguage"/>
    <n v="4"/>
    <n v="0"/>
    <s v="Yes"/>
    <s v="Unlimited"/>
    <n v="0"/>
    <n v="0"/>
    <n v="0"/>
    <n v="0"/>
    <n v="0"/>
    <n v="0"/>
    <n v="0"/>
    <n v="0"/>
    <n v="2"/>
    <n v="0"/>
    <s v="No"/>
    <n v="0"/>
    <n v="0"/>
    <n v="0"/>
    <s v="General"/>
    <x v="8"/>
    <x v="22"/>
    <x v="1"/>
  </r>
  <r>
    <x v="1"/>
    <s v="RUNNING"/>
    <n v="1013025121"/>
    <x v="821"/>
    <s v="nsfw"/>
    <d v="1899-12-30T16:09:00"/>
    <s v="In-Stream Video"/>
    <s v="TJX"/>
    <s v="desktop"/>
    <s v="GEO,Frequency,Keyword,BrowserLanguage"/>
    <n v="68"/>
    <n v="0"/>
    <s v="No"/>
    <n v="250"/>
    <n v="43514"/>
    <n v="2757"/>
    <n v="6.33589"/>
    <n v="1"/>
    <n v="165.38"/>
    <n v="3.8010000000000002"/>
    <n v="0.06"/>
    <n v="165.38399999999999"/>
    <n v="2"/>
    <n v="0"/>
    <s v="Yes"/>
    <n v="43514"/>
    <n v="34153"/>
    <n v="4508"/>
    <s v="General"/>
    <x v="3"/>
    <x v="12"/>
    <x v="2"/>
  </r>
  <r>
    <x v="1"/>
    <s v="RUNNING"/>
    <n v="1013025171"/>
    <x v="818"/>
    <s v="nsfw"/>
    <d v="1899-12-30T16:09:00"/>
    <s v="In-Stream Video"/>
    <s v="TJX"/>
    <s v="desktop"/>
    <s v="GEO,Frequency,Keyword,BrowserLanguage"/>
    <n v="68"/>
    <n v="0"/>
    <s v="Yes"/>
    <s v="Unlimited"/>
    <n v="44137"/>
    <n v="2908"/>
    <n v="6.5885800000000003"/>
    <n v="4"/>
    <n v="167.78"/>
    <n v="3.8010000000000002"/>
    <n v="5.8000000000000003E-2"/>
    <n v="41.945"/>
    <n v="2"/>
    <n v="0"/>
    <s v="Yes"/>
    <n v="44137"/>
    <n v="34626"/>
    <n v="4576"/>
    <s v="General"/>
    <x v="4"/>
    <x v="12"/>
    <x v="2"/>
  </r>
  <r>
    <x v="1"/>
    <s v="RUNNING"/>
    <n v="1013025221"/>
    <x v="819"/>
    <s v="nsfw"/>
    <d v="1899-12-30T16:09:00"/>
    <s v="In-Stream Video"/>
    <s v="TJX"/>
    <s v="mobile"/>
    <s v="GEO,Frequency,Keyword,OS,BrowserLanguage"/>
    <n v="173"/>
    <n v="0"/>
    <s v="No"/>
    <n v="250"/>
    <n v="36481"/>
    <n v="2917"/>
    <n v="7.99594"/>
    <n v="0"/>
    <n v="74.2"/>
    <n v="2.0339999999999998"/>
    <n v="2.5000000000000001E-2"/>
    <n v="0"/>
    <n v="2"/>
    <n v="0"/>
    <s v="Yes"/>
    <n v="36481"/>
    <n v="32659"/>
    <n v="2489"/>
    <s v="General"/>
    <x v="3"/>
    <x v="12"/>
    <x v="2"/>
  </r>
  <r>
    <x v="1"/>
    <s v="PAUSED"/>
    <n v="1013025241"/>
    <x v="816"/>
    <s v="nsfw"/>
    <d v="1899-12-30T16:09:00"/>
    <s v="In-Stream Video"/>
    <s v="TJX"/>
    <s v="mobile"/>
    <s v="GEO,Frequency,Keyword,OS,BrowserLanguage"/>
    <n v="140"/>
    <n v="0"/>
    <s v="No"/>
    <n v="250"/>
    <n v="0"/>
    <n v="0"/>
    <n v="0"/>
    <m/>
    <n v="0"/>
    <n v="0"/>
    <n v="0"/>
    <n v="0"/>
    <n v="2"/>
    <n v="0"/>
    <s v="Yes"/>
    <m/>
    <m/>
    <m/>
    <s v="General"/>
    <x v="4"/>
    <x v="12"/>
    <x v="2"/>
  </r>
  <r>
    <x v="1"/>
    <s v="PAUSED"/>
    <n v="1013025281"/>
    <x v="871"/>
    <s v="nsfw"/>
    <d v="1899-12-30T16:09:00"/>
    <s v="In-Stream Video"/>
    <s v="TJX"/>
    <s v="mobile"/>
    <s v="GEO,Frequency,Keyword,OS,BrowserLanguage"/>
    <n v="26"/>
    <n v="0"/>
    <s v="No"/>
    <n v="250"/>
    <n v="0"/>
    <n v="0"/>
    <n v="0"/>
    <m/>
    <n v="0"/>
    <n v="0"/>
    <n v="0"/>
    <n v="0"/>
    <n v="2"/>
    <n v="0"/>
    <s v="Yes"/>
    <m/>
    <m/>
    <m/>
    <s v="General"/>
    <x v="4"/>
    <x v="15"/>
    <x v="2"/>
  </r>
  <r>
    <x v="1"/>
    <s v="RUNNING"/>
    <n v="1013028391"/>
    <x v="872"/>
    <s v="nsfw"/>
    <d v="1899-12-30T16:09:00"/>
    <s v="In-Stream Video"/>
    <s v="TJX"/>
    <s v="all"/>
    <s v="GEO,Frequency"/>
    <n v="5"/>
    <n v="0"/>
    <s v="No"/>
    <n v="250"/>
    <n v="3598474"/>
    <n v="199372"/>
    <n v="5.5404600000000004"/>
    <n v="1"/>
    <n v="251.89"/>
    <n v="7.0000000000000007E-2"/>
    <n v="1E-3"/>
    <n v="251.893"/>
    <n v="2"/>
    <n v="0"/>
    <s v="No"/>
    <n v="3598474"/>
    <n v="3186786"/>
    <n v="227804"/>
    <s v="General"/>
    <x v="10"/>
    <x v="25"/>
    <x v="1"/>
  </r>
  <r>
    <x v="1"/>
    <s v="RUNNING"/>
    <n v="1013028421"/>
    <x v="873"/>
    <s v="nsfw"/>
    <d v="1899-12-30T16:09:00"/>
    <s v="In-Stream Video"/>
    <s v="TJX"/>
    <s v="all"/>
    <s v="GEO"/>
    <n v="5"/>
    <n v="0"/>
    <s v="Yes"/>
    <s v="Unlimited"/>
    <n v="466277"/>
    <n v="32888"/>
    <n v="7.0533200000000003"/>
    <n v="0"/>
    <n v="46.63"/>
    <n v="0.1"/>
    <n v="1E-3"/>
    <n v="0"/>
    <n v="2"/>
    <n v="0"/>
    <s v="No"/>
    <n v="466277"/>
    <n v="403490"/>
    <n v="38822"/>
    <s v="General"/>
    <x v="11"/>
    <x v="26"/>
    <x v="1"/>
  </r>
  <r>
    <x v="1"/>
    <s v="RUNNING"/>
    <n v="1013028441"/>
    <x v="874"/>
    <s v="nsfw"/>
    <s v="640 x 360"/>
    <s v="Display"/>
    <s v="TJX"/>
    <s v="mobile"/>
    <s v="GEO"/>
    <n v="18"/>
    <n v="0"/>
    <s v="Yes"/>
    <s v="Unlimited"/>
    <n v="18957156"/>
    <n v="17069"/>
    <n v="9.0039999999999995E-2"/>
    <n v="1"/>
    <n v="189.57"/>
    <n v="0.01"/>
    <n v="1.0999999999999999E-2"/>
    <n v="189.572"/>
    <n v="2"/>
    <n v="0"/>
    <s v="No"/>
    <n v="0"/>
    <n v="0"/>
    <n v="0"/>
    <s v="General"/>
    <x v="12"/>
    <x v="29"/>
    <x v="1"/>
  </r>
  <r>
    <x v="1"/>
    <s v="RUNNING"/>
    <n v="1013028451"/>
    <x v="875"/>
    <s v="nsfw"/>
    <s v="640 x 360"/>
    <s v="Display"/>
    <s v="TJX"/>
    <s v="mobile"/>
    <s v="GEO"/>
    <n v="4"/>
    <n v="0"/>
    <s v="Yes"/>
    <s v="Unlimited"/>
    <n v="9706992"/>
    <n v="16455"/>
    <n v="0.16952"/>
    <n v="0"/>
    <n v="97.07"/>
    <n v="0.01"/>
    <n v="6.0000000000000001E-3"/>
    <n v="0"/>
    <n v="2"/>
    <n v="0"/>
    <s v="No"/>
    <n v="0"/>
    <n v="0"/>
    <n v="0"/>
    <s v="General"/>
    <x v="10"/>
    <x v="29"/>
    <x v="1"/>
  </r>
  <r>
    <x v="1"/>
    <s v="RUNNING"/>
    <n v="1013028461"/>
    <x v="876"/>
    <s v="nsfw"/>
    <d v="1899-12-30T16:09:00"/>
    <s v="In-Stream Video"/>
    <s v="TJX"/>
    <s v="all"/>
    <s v="GEO"/>
    <n v="5"/>
    <n v="0"/>
    <s v="No"/>
    <n v="250"/>
    <n v="1468675"/>
    <n v="109032"/>
    <n v="7.4238299999999997"/>
    <n v="0"/>
    <n v="146.87"/>
    <n v="0.1"/>
    <n v="1E-3"/>
    <n v="0"/>
    <n v="2"/>
    <n v="0"/>
    <s v="No"/>
    <n v="1468675"/>
    <n v="1256585"/>
    <n v="129520"/>
    <s v="General"/>
    <x v="13"/>
    <x v="26"/>
    <x v="1"/>
  </r>
  <r>
    <x v="1"/>
    <s v="RUNNING"/>
    <n v="1013028471"/>
    <x v="877"/>
    <s v="nsfw"/>
    <s v="640 x 360"/>
    <s v="Display"/>
    <s v="TJX"/>
    <s v="mobile"/>
    <s v="GEO"/>
    <n v="4"/>
    <n v="0"/>
    <s v="Yes"/>
    <s v="Unlimited"/>
    <n v="9702750"/>
    <n v="16479"/>
    <n v="0.16983999999999999"/>
    <n v="0"/>
    <n v="97.03"/>
    <n v="0.01"/>
    <n v="6.0000000000000001E-3"/>
    <n v="0"/>
    <n v="2"/>
    <n v="0"/>
    <s v="No"/>
    <n v="0"/>
    <n v="0"/>
    <n v="0"/>
    <s v="General"/>
    <x v="14"/>
    <x v="29"/>
    <x v="1"/>
  </r>
  <r>
    <x v="1"/>
    <s v="RUNNING"/>
    <n v="1013028481"/>
    <x v="878"/>
    <s v="nsfw"/>
    <d v="1899-12-30T16:09:00"/>
    <s v="In-Stream Video"/>
    <s v="TJX"/>
    <s v="all"/>
    <s v="GEO"/>
    <n v="5"/>
    <n v="0"/>
    <s v="No"/>
    <n v="250"/>
    <n v="1562026"/>
    <n v="126731"/>
    <n v="8.1132500000000007"/>
    <n v="0"/>
    <n v="156.19999999999999"/>
    <n v="0.1"/>
    <n v="1E-3"/>
    <n v="0"/>
    <n v="2"/>
    <n v="0"/>
    <s v="No"/>
    <n v="1562026"/>
    <n v="1353259"/>
    <n v="125908"/>
    <s v="General"/>
    <x v="15"/>
    <x v="26"/>
    <x v="1"/>
  </r>
  <r>
    <x v="1"/>
    <s v="RUNNING"/>
    <n v="1013028491"/>
    <x v="879"/>
    <s v="nsfw"/>
    <d v="1899-12-30T16:09:00"/>
    <s v="In-Stream Video"/>
    <s v="TJX"/>
    <s v="all"/>
    <s v="GEO"/>
    <n v="5"/>
    <n v="0"/>
    <s v="No"/>
    <n v="250"/>
    <n v="1213751"/>
    <n v="105086"/>
    <n v="8.6579499999999996"/>
    <n v="0"/>
    <n v="121.38"/>
    <n v="0.1"/>
    <n v="1E-3"/>
    <n v="0"/>
    <n v="2"/>
    <n v="0"/>
    <s v="No"/>
    <n v="1213751"/>
    <n v="1068711"/>
    <n v="91007"/>
    <s v="General"/>
    <x v="16"/>
    <x v="26"/>
    <x v="1"/>
  </r>
  <r>
    <x v="1"/>
    <s v="RUNNING"/>
    <n v="1013028501"/>
    <x v="880"/>
    <s v="nsfw"/>
    <s v="640 x 360"/>
    <s v="Display"/>
    <s v="TJX"/>
    <s v="mobile"/>
    <s v="GEO"/>
    <n v="17"/>
    <n v="1"/>
    <s v="Yes"/>
    <s v="Unlimited"/>
    <n v="11207173"/>
    <n v="9309"/>
    <n v="8.3059999999999995E-2"/>
    <n v="3"/>
    <n v="336.22"/>
    <n v="0.03"/>
    <n v="3.5999999999999997E-2"/>
    <n v="112.072"/>
    <n v="2"/>
    <n v="0"/>
    <s v="Yes"/>
    <n v="0"/>
    <n v="0"/>
    <n v="0"/>
    <s v="General"/>
    <x v="17"/>
    <x v="29"/>
    <x v="1"/>
  </r>
  <r>
    <x v="1"/>
    <s v="RUNNING"/>
    <n v="1013028511"/>
    <x v="881"/>
    <s v="nsfw"/>
    <d v="1899-12-30T16:09:00"/>
    <s v="In-Stream Video"/>
    <s v="TJX"/>
    <s v="all"/>
    <s v="GEO"/>
    <n v="5"/>
    <n v="0"/>
    <s v="Yes"/>
    <s v="Unlimited"/>
    <n v="383176"/>
    <n v="19493"/>
    <n v="5.0872200000000003"/>
    <n v="0"/>
    <n v="38.32"/>
    <n v="0.1"/>
    <n v="2E-3"/>
    <n v="0"/>
    <n v="2"/>
    <n v="0"/>
    <s v="No"/>
    <n v="383176"/>
    <n v="328903"/>
    <n v="34499"/>
    <s v="General"/>
    <x v="18"/>
    <x v="26"/>
    <x v="1"/>
  </r>
  <r>
    <x v="1"/>
    <s v="RUNNING"/>
    <n v="1013028521"/>
    <x v="882"/>
    <s v="nsfw"/>
    <s v="640 x 360"/>
    <s v="Display"/>
    <s v="TJX"/>
    <s v="mobile"/>
    <s v="GEO"/>
    <n v="18"/>
    <n v="0"/>
    <s v="Yes"/>
    <s v="Unlimited"/>
    <n v="15032207"/>
    <n v="20459"/>
    <n v="0.1361"/>
    <n v="2"/>
    <n v="150.32"/>
    <n v="0.01"/>
    <n v="7.0000000000000001E-3"/>
    <n v="75.161000000000001"/>
    <n v="2"/>
    <n v="0"/>
    <s v="No"/>
    <n v="0"/>
    <n v="0"/>
    <n v="0"/>
    <s v="General"/>
    <x v="19"/>
    <x v="29"/>
    <x v="1"/>
  </r>
  <r>
    <x v="1"/>
    <s v="RUNNING"/>
    <n v="1013028531"/>
    <x v="883"/>
    <s v="nsfw"/>
    <d v="1899-12-30T16:09:00"/>
    <s v="In-Stream Video"/>
    <s v="TJX"/>
    <s v="all"/>
    <s v="GEO"/>
    <n v="5"/>
    <n v="0"/>
    <s v="Yes"/>
    <s v="Unlimited"/>
    <n v="846748"/>
    <n v="66109"/>
    <n v="7.8074000000000003"/>
    <n v="0"/>
    <n v="84.67"/>
    <n v="0.1"/>
    <n v="1E-3"/>
    <n v="0"/>
    <n v="2"/>
    <n v="0"/>
    <s v="No"/>
    <n v="846748"/>
    <n v="740623"/>
    <n v="67968"/>
    <s v="General"/>
    <x v="20"/>
    <x v="26"/>
    <x v="1"/>
  </r>
  <r>
    <x v="1"/>
    <s v="RUNNING"/>
    <n v="1013028541"/>
    <x v="884"/>
    <s v="nsfw"/>
    <d v="1899-12-30T16:09:00"/>
    <s v="In-Stream Video"/>
    <s v="TJX"/>
    <s v="all"/>
    <s v="GEO"/>
    <n v="5"/>
    <n v="0"/>
    <s v="Yes"/>
    <s v="Unlimited"/>
    <n v="42105"/>
    <n v="2353"/>
    <n v="5.5884099999999997"/>
    <n v="0"/>
    <n v="4.21"/>
    <n v="0.1"/>
    <n v="2E-3"/>
    <n v="0"/>
    <n v="2"/>
    <n v="0"/>
    <s v="No"/>
    <n v="42105"/>
    <n v="36538"/>
    <n v="3877"/>
    <s v="General"/>
    <x v="21"/>
    <x v="13"/>
    <x v="1"/>
  </r>
  <r>
    <x v="1"/>
    <s v="RUNNING"/>
    <n v="1013028551"/>
    <x v="885"/>
    <s v="nsfw"/>
    <s v="640 x 360"/>
    <s v="Display"/>
    <s v="TJX"/>
    <s v="mobile"/>
    <s v="GEO"/>
    <n v="18"/>
    <n v="0"/>
    <s v="Yes"/>
    <s v="Unlimited"/>
    <n v="12205754"/>
    <n v="22247"/>
    <n v="0.18226999999999999"/>
    <n v="0"/>
    <n v="122.06"/>
    <n v="0.01"/>
    <n v="5.0000000000000001E-3"/>
    <n v="0"/>
    <n v="2"/>
    <n v="0"/>
    <s v="No"/>
    <n v="0"/>
    <n v="0"/>
    <n v="0"/>
    <s v="General"/>
    <x v="11"/>
    <x v="29"/>
    <x v="1"/>
  </r>
  <r>
    <x v="1"/>
    <s v="RUNNING"/>
    <n v="1013028561"/>
    <x v="886"/>
    <s v="nsfw"/>
    <d v="1899-12-30T16:09:00"/>
    <s v="In-Stream Video"/>
    <s v="TJX"/>
    <s v="all"/>
    <s v="GEO"/>
    <n v="5"/>
    <n v="0"/>
    <s v="Yes"/>
    <s v="Unlimited"/>
    <n v="596680"/>
    <n v="42133"/>
    <n v="7.0612399999999997"/>
    <n v="0"/>
    <n v="59.67"/>
    <n v="0.1"/>
    <n v="1E-3"/>
    <n v="0"/>
    <n v="2"/>
    <n v="0"/>
    <s v="No"/>
    <n v="596680"/>
    <n v="505405"/>
    <n v="58716"/>
    <s v="General"/>
    <x v="22"/>
    <x v="26"/>
    <x v="1"/>
  </r>
  <r>
    <x v="1"/>
    <s v="RUNNING"/>
    <n v="1013028571"/>
    <x v="887"/>
    <s v="nsfw"/>
    <d v="1899-12-30T16:09:00"/>
    <s v="In-Stream Video"/>
    <s v="TJX"/>
    <s v="all"/>
    <s v="GEO"/>
    <n v="5"/>
    <n v="0"/>
    <s v="Yes"/>
    <s v="Unlimited"/>
    <n v="561602"/>
    <n v="43034"/>
    <n v="7.6627200000000002"/>
    <n v="0"/>
    <n v="56.16"/>
    <n v="0.1"/>
    <n v="1E-3"/>
    <n v="0"/>
    <n v="2"/>
    <n v="0"/>
    <s v="No"/>
    <n v="561602"/>
    <n v="486079"/>
    <n v="48089"/>
    <s v="General"/>
    <x v="14"/>
    <x v="26"/>
    <x v="1"/>
  </r>
  <r>
    <x v="1"/>
    <s v="RUNNING"/>
    <n v="1013028581"/>
    <x v="888"/>
    <s v="nsfw"/>
    <d v="1899-12-30T16:09:00"/>
    <s v="In-Stream Video"/>
    <s v="TJX"/>
    <s v="all"/>
    <s v="GEO"/>
    <n v="5"/>
    <n v="0"/>
    <s v="Yes"/>
    <s v="Unlimited"/>
    <n v="492342"/>
    <n v="40167"/>
    <n v="8.1583500000000004"/>
    <n v="0"/>
    <n v="49.23"/>
    <n v="0.1"/>
    <n v="1E-3"/>
    <n v="0"/>
    <n v="2"/>
    <n v="0"/>
    <s v="No"/>
    <n v="492342"/>
    <n v="429891"/>
    <n v="38427"/>
    <s v="General"/>
    <x v="23"/>
    <x v="26"/>
    <x v="1"/>
  </r>
  <r>
    <x v="1"/>
    <s v="RUNNING"/>
    <n v="1013028591"/>
    <x v="889"/>
    <s v="nsfw"/>
    <s v="640 x 360"/>
    <s v="Display"/>
    <s v="TJX"/>
    <s v="mobile"/>
    <s v="GEO"/>
    <n v="4"/>
    <n v="0"/>
    <s v="Yes"/>
    <s v="Unlimited"/>
    <n v="7854420"/>
    <n v="6479"/>
    <n v="8.2489999999999994E-2"/>
    <n v="0"/>
    <n v="78.540000000000006"/>
    <n v="0.01"/>
    <n v="1.2E-2"/>
    <n v="0"/>
    <n v="2"/>
    <n v="0"/>
    <s v="No"/>
    <n v="0"/>
    <n v="0"/>
    <n v="0"/>
    <s v="General"/>
    <x v="18"/>
    <x v="29"/>
    <x v="1"/>
  </r>
  <r>
    <x v="1"/>
    <s v="RUNNING"/>
    <n v="1013028601"/>
    <x v="890"/>
    <s v="nsfw"/>
    <d v="1899-12-30T16:09:00"/>
    <s v="In-Stream Video"/>
    <s v="TJX"/>
    <s v="all"/>
    <s v="GEO"/>
    <n v="5"/>
    <n v="0"/>
    <s v="Yes"/>
    <s v="Unlimited"/>
    <n v="654197"/>
    <n v="53079"/>
    <n v="8.1136099999999995"/>
    <n v="0"/>
    <n v="65.42"/>
    <n v="0.1"/>
    <n v="1E-3"/>
    <n v="0"/>
    <n v="2"/>
    <n v="0"/>
    <s v="No"/>
    <n v="654197"/>
    <n v="538070"/>
    <n v="60115"/>
    <s v="General"/>
    <x v="24"/>
    <x v="26"/>
    <x v="1"/>
  </r>
  <r>
    <x v="1"/>
    <s v="RUNNING"/>
    <n v="1013028611"/>
    <x v="891"/>
    <s v="nsfw"/>
    <d v="1899-12-30T16:09:00"/>
    <s v="In-Stream Video"/>
    <s v="TJX"/>
    <s v="all"/>
    <s v="GEO"/>
    <n v="5"/>
    <n v="0"/>
    <s v="Yes"/>
    <s v="Unlimited"/>
    <n v="501081"/>
    <n v="36583"/>
    <n v="7.3008199999999999"/>
    <n v="0"/>
    <n v="50.11"/>
    <n v="0.1"/>
    <n v="1E-3"/>
    <n v="0"/>
    <n v="2"/>
    <n v="0"/>
    <s v="No"/>
    <n v="501081"/>
    <n v="433848"/>
    <n v="41773"/>
    <s v="General"/>
    <x v="25"/>
    <x v="26"/>
    <x v="1"/>
  </r>
  <r>
    <x v="1"/>
    <s v="RUNNING"/>
    <n v="1013028621"/>
    <x v="892"/>
    <s v="nsfw"/>
    <d v="1899-12-30T16:09:00"/>
    <s v="In-Stream Video"/>
    <s v="TJX"/>
    <s v="all"/>
    <s v="GEO"/>
    <n v="5"/>
    <n v="0"/>
    <s v="Yes"/>
    <s v="Unlimited"/>
    <n v="551488"/>
    <n v="33942"/>
    <n v="6.1546200000000004"/>
    <n v="1"/>
    <n v="55.15"/>
    <n v="0.1"/>
    <n v="2E-3"/>
    <n v="55.149000000000001"/>
    <n v="2"/>
    <n v="0"/>
    <s v="No"/>
    <n v="551488"/>
    <n v="482458"/>
    <n v="46052"/>
    <s v="General"/>
    <x v="26"/>
    <x v="26"/>
    <x v="1"/>
  </r>
  <r>
    <x v="1"/>
    <s v="RUNNING"/>
    <n v="1013028631"/>
    <x v="893"/>
    <s v="nsfw"/>
    <d v="1899-12-30T16:09:00"/>
    <s v="In-Stream Video"/>
    <s v="TJX"/>
    <s v="all"/>
    <s v="GEO"/>
    <n v="5"/>
    <n v="0"/>
    <s v="Yes"/>
    <s v="Unlimited"/>
    <n v="358351"/>
    <n v="29985"/>
    <n v="8.3674900000000001"/>
    <n v="0"/>
    <n v="35.840000000000003"/>
    <n v="0.1"/>
    <n v="1E-3"/>
    <n v="0"/>
    <n v="2"/>
    <n v="0"/>
    <s v="No"/>
    <n v="358351"/>
    <n v="311106"/>
    <n v="28110"/>
    <s v="General"/>
    <x v="27"/>
    <x v="13"/>
    <x v="1"/>
  </r>
  <r>
    <x v="1"/>
    <s v="RUNNING"/>
    <n v="1013028641"/>
    <x v="894"/>
    <s v="nsfw"/>
    <d v="1899-12-30T16:09:00"/>
    <s v="In-Stream Video"/>
    <s v="TJX"/>
    <s v="all"/>
    <s v="GEO"/>
    <n v="5"/>
    <n v="0"/>
    <s v="Yes"/>
    <s v="Unlimited"/>
    <n v="157037"/>
    <n v="12079"/>
    <n v="7.6918199999999999"/>
    <n v="1"/>
    <n v="15.7"/>
    <n v="0.1"/>
    <n v="1E-3"/>
    <n v="15.704000000000001"/>
    <n v="2"/>
    <n v="0"/>
    <s v="No"/>
    <n v="157037"/>
    <n v="137294"/>
    <n v="12502"/>
    <s v="General"/>
    <x v="28"/>
    <x v="13"/>
    <x v="1"/>
  </r>
  <r>
    <x v="1"/>
    <s v="RUNNING"/>
    <n v="1013028651"/>
    <x v="895"/>
    <s v="nsfw"/>
    <d v="1899-12-30T16:09:00"/>
    <s v="In-Stream Video"/>
    <s v="TJX"/>
    <s v="all"/>
    <s v="GEO"/>
    <n v="5"/>
    <n v="0"/>
    <s v="Yes"/>
    <s v="Unlimited"/>
    <n v="342113"/>
    <n v="26234"/>
    <n v="7.6682300000000003"/>
    <n v="0"/>
    <n v="34.21"/>
    <n v="0.1"/>
    <n v="1E-3"/>
    <n v="0"/>
    <n v="2"/>
    <n v="0"/>
    <s v="No"/>
    <n v="342113"/>
    <n v="298396"/>
    <n v="27597"/>
    <s v="General"/>
    <x v="29"/>
    <x v="13"/>
    <x v="1"/>
  </r>
  <r>
    <x v="1"/>
    <s v="RUNNING"/>
    <n v="1013028661"/>
    <x v="896"/>
    <s v="nsfw"/>
    <s v="640 x 360"/>
    <s v="Display"/>
    <s v="TJX"/>
    <s v="mobile"/>
    <s v="GEO"/>
    <n v="4"/>
    <n v="0"/>
    <s v="Yes"/>
    <s v="Unlimited"/>
    <n v="7484336"/>
    <n v="16701"/>
    <n v="0.22314999999999999"/>
    <n v="0"/>
    <n v="74.84"/>
    <n v="0.01"/>
    <n v="4.0000000000000001E-3"/>
    <n v="0"/>
    <n v="2"/>
    <n v="0"/>
    <s v="No"/>
    <n v="0"/>
    <n v="0"/>
    <n v="0"/>
    <s v="General"/>
    <x v="30"/>
    <x v="29"/>
    <x v="1"/>
  </r>
  <r>
    <x v="1"/>
    <s v="RUNNING"/>
    <n v="1013028681"/>
    <x v="897"/>
    <s v="nsfw"/>
    <s v="640 x 360"/>
    <s v="Display"/>
    <s v="TJX"/>
    <s v="mobile"/>
    <s v="GEO"/>
    <n v="4"/>
    <n v="0"/>
    <s v="Yes"/>
    <s v="Unlimited"/>
    <n v="3823921"/>
    <n v="2555"/>
    <n v="6.6820000000000004E-2"/>
    <n v="0"/>
    <n v="38.24"/>
    <n v="0.01"/>
    <n v="1.4999999999999999E-2"/>
    <n v="0"/>
    <n v="2"/>
    <n v="0"/>
    <s v="No"/>
    <n v="0"/>
    <n v="0"/>
    <n v="0"/>
    <s v="General"/>
    <x v="15"/>
    <x v="29"/>
    <x v="1"/>
  </r>
  <r>
    <x v="1"/>
    <s v="RUNNING"/>
    <n v="1013028691"/>
    <x v="898"/>
    <s v="nsfw"/>
    <s v="640 x 360"/>
    <s v="Display"/>
    <s v="TJX"/>
    <s v="mobile"/>
    <s v="GEO"/>
    <n v="4"/>
    <n v="0"/>
    <s v="Yes"/>
    <s v="Unlimited"/>
    <n v="6730532"/>
    <n v="7873"/>
    <n v="0.11697"/>
    <n v="0"/>
    <n v="67.31"/>
    <n v="0.01"/>
    <n v="8.9999999999999993E-3"/>
    <n v="0"/>
    <n v="2"/>
    <n v="0"/>
    <s v="No"/>
    <n v="0"/>
    <n v="0"/>
    <n v="0"/>
    <s v="General"/>
    <x v="13"/>
    <x v="29"/>
    <x v="1"/>
  </r>
  <r>
    <x v="1"/>
    <s v="RUNNING"/>
    <n v="1013028701"/>
    <x v="899"/>
    <s v="nsfw"/>
    <s v="640 x 360"/>
    <s v="Display"/>
    <s v="TJX"/>
    <s v="mobile"/>
    <s v="GEO"/>
    <n v="4"/>
    <n v="0"/>
    <s v="Yes"/>
    <s v="Unlimited"/>
    <n v="5966641"/>
    <n v="8961"/>
    <n v="0.15018000000000001"/>
    <n v="0"/>
    <n v="59.67"/>
    <n v="0.01"/>
    <n v="7.0000000000000001E-3"/>
    <n v="0"/>
    <n v="2"/>
    <n v="0"/>
    <s v="No"/>
    <n v="0"/>
    <n v="0"/>
    <n v="0"/>
    <s v="General"/>
    <x v="16"/>
    <x v="29"/>
    <x v="1"/>
  </r>
  <r>
    <x v="1"/>
    <s v="RUNNING"/>
    <n v="1013028711"/>
    <x v="900"/>
    <s v="nsfw"/>
    <s v="640 x 360"/>
    <s v="Display"/>
    <s v="TJX"/>
    <s v="mobile"/>
    <s v="GEO"/>
    <n v="4"/>
    <n v="0"/>
    <s v="Yes"/>
    <s v="Unlimited"/>
    <n v="7370341"/>
    <n v="10568"/>
    <n v="0.14338000000000001"/>
    <n v="1"/>
    <n v="73.7"/>
    <n v="0.01"/>
    <n v="7.0000000000000001E-3"/>
    <n v="73.703000000000003"/>
    <n v="2"/>
    <n v="0"/>
    <s v="No"/>
    <n v="0"/>
    <n v="0"/>
    <n v="0"/>
    <s v="General"/>
    <x v="31"/>
    <x v="29"/>
    <x v="1"/>
  </r>
  <r>
    <x v="1"/>
    <s v="RUNNING"/>
    <n v="1013028731"/>
    <x v="901"/>
    <s v="nsfw"/>
    <s v="640 x 360"/>
    <s v="Display"/>
    <s v="TJX"/>
    <s v="mobile"/>
    <s v="GEO"/>
    <n v="4"/>
    <n v="0"/>
    <s v="Yes"/>
    <s v="Unlimited"/>
    <n v="2967382"/>
    <n v="2086"/>
    <n v="7.0300000000000001E-2"/>
    <n v="0"/>
    <n v="59.35"/>
    <n v="0.02"/>
    <n v="2.8000000000000001E-2"/>
    <n v="0"/>
    <n v="2"/>
    <n v="0"/>
    <s v="No"/>
    <n v="0"/>
    <n v="0"/>
    <n v="0"/>
    <s v="General"/>
    <x v="5"/>
    <x v="29"/>
    <x v="1"/>
  </r>
  <r>
    <x v="1"/>
    <s v="RUNNING"/>
    <n v="1013028741"/>
    <x v="902"/>
    <s v="nsfw"/>
    <s v="640 x 360"/>
    <s v="Display"/>
    <s v="TJX"/>
    <s v="mobile"/>
    <s v="GEO"/>
    <n v="4"/>
    <n v="0"/>
    <s v="Yes"/>
    <s v="Unlimited"/>
    <n v="9435268"/>
    <n v="15185"/>
    <n v="0.16094"/>
    <n v="1"/>
    <n v="94.35"/>
    <n v="0.01"/>
    <n v="6.0000000000000001E-3"/>
    <n v="94.352999999999994"/>
    <n v="2"/>
    <n v="0"/>
    <s v="No"/>
    <n v="0"/>
    <n v="0"/>
    <n v="0"/>
    <s v="General"/>
    <x v="21"/>
    <x v="29"/>
    <x v="1"/>
  </r>
  <r>
    <x v="1"/>
    <s v="RUNNING"/>
    <n v="1013028761"/>
    <x v="903"/>
    <s v="nsfw"/>
    <s v="640 x 360"/>
    <s v="Display"/>
    <s v="TJX"/>
    <s v="mobile"/>
    <s v="GEO"/>
    <n v="4"/>
    <n v="0"/>
    <s v="Yes"/>
    <s v="Unlimited"/>
    <n v="3028542"/>
    <n v="6861"/>
    <n v="0.22653999999999999"/>
    <n v="0"/>
    <n v="30.29"/>
    <n v="0.01"/>
    <n v="4.0000000000000001E-3"/>
    <n v="0"/>
    <n v="2"/>
    <n v="0"/>
    <s v="No"/>
    <n v="0"/>
    <n v="0"/>
    <n v="0"/>
    <s v="General"/>
    <x v="32"/>
    <x v="29"/>
    <x v="1"/>
  </r>
  <r>
    <x v="1"/>
    <s v="RUNNING"/>
    <n v="1013028771"/>
    <x v="904"/>
    <s v="nsfw"/>
    <s v="640 x 360"/>
    <s v="Display"/>
    <s v="TJX"/>
    <s v="mobile"/>
    <s v="GEO"/>
    <n v="4"/>
    <n v="0"/>
    <s v="Yes"/>
    <s v="Unlimited"/>
    <n v="4945065"/>
    <n v="3769"/>
    <n v="7.6219999999999996E-2"/>
    <n v="0"/>
    <n v="49.45"/>
    <n v="0.01"/>
    <n v="1.2999999999999999E-2"/>
    <n v="0"/>
    <n v="2"/>
    <n v="0"/>
    <s v="No"/>
    <n v="0"/>
    <n v="0"/>
    <n v="0"/>
    <s v="General"/>
    <x v="24"/>
    <x v="29"/>
    <x v="1"/>
  </r>
  <r>
    <x v="1"/>
    <s v="RUNNING"/>
    <n v="1013028781"/>
    <x v="905"/>
    <s v="nsfw"/>
    <s v="640 x 360"/>
    <s v="Display"/>
    <s v="TJX"/>
    <s v="mobile"/>
    <s v="GEO"/>
    <n v="4"/>
    <n v="0"/>
    <s v="Yes"/>
    <s v="Unlimited"/>
    <n v="3735902"/>
    <n v="4591"/>
    <n v="0.12289"/>
    <n v="0"/>
    <n v="37.36"/>
    <n v="0.01"/>
    <n v="8.0000000000000002E-3"/>
    <n v="0"/>
    <n v="2"/>
    <n v="0"/>
    <s v="No"/>
    <n v="0"/>
    <n v="0"/>
    <n v="0"/>
    <s v="General"/>
    <x v="20"/>
    <x v="29"/>
    <x v="1"/>
  </r>
  <r>
    <x v="1"/>
    <s v="RUNNING"/>
    <n v="1013028791"/>
    <x v="906"/>
    <s v="nsfw"/>
    <s v="640 x 360"/>
    <s v="Display"/>
    <s v="TJX"/>
    <s v="mobile"/>
    <s v="GEO"/>
    <n v="4"/>
    <n v="0"/>
    <s v="Yes"/>
    <s v="Unlimited"/>
    <n v="2130258"/>
    <n v="3549"/>
    <n v="0.1666"/>
    <n v="0"/>
    <n v="21.3"/>
    <n v="0.01"/>
    <n v="6.0000000000000001E-3"/>
    <n v="0"/>
    <n v="2"/>
    <n v="0"/>
    <s v="No"/>
    <n v="0"/>
    <n v="0"/>
    <n v="0"/>
    <s v="General"/>
    <x v="33"/>
    <x v="29"/>
    <x v="1"/>
  </r>
  <r>
    <x v="1"/>
    <s v="RUNNING"/>
    <n v="1013028801"/>
    <x v="907"/>
    <s v="nsfw"/>
    <d v="1899-12-30T16:09:00"/>
    <s v="In-Stream Video"/>
    <s v="TJX"/>
    <s v="all"/>
    <s v="GEO"/>
    <n v="8"/>
    <n v="0"/>
    <s v="Yes"/>
    <s v="Unlimited"/>
    <n v="110881"/>
    <n v="3676"/>
    <n v="3.3152699999999999"/>
    <n v="0"/>
    <n v="11.09"/>
    <n v="0.1"/>
    <n v="3.0000000000000001E-3"/>
    <n v="0"/>
    <n v="2"/>
    <n v="0"/>
    <s v="No"/>
    <n v="110881"/>
    <n v="81555"/>
    <n v="15405"/>
    <s v="General"/>
    <x v="21"/>
    <x v="13"/>
    <x v="1"/>
  </r>
  <r>
    <x v="1"/>
    <s v="RUNNING"/>
    <n v="1013028811"/>
    <x v="908"/>
    <s v="nsfw"/>
    <s v="640 x 360"/>
    <s v="Display"/>
    <s v="TJX"/>
    <s v="mobile"/>
    <s v="GEO"/>
    <n v="4"/>
    <n v="0"/>
    <s v="Yes"/>
    <s v="Unlimited"/>
    <n v="4001362"/>
    <n v="7221"/>
    <n v="0.18046000000000001"/>
    <n v="0"/>
    <n v="40.01"/>
    <n v="0.01"/>
    <n v="6.0000000000000001E-3"/>
    <n v="0"/>
    <n v="2"/>
    <n v="0"/>
    <s v="No"/>
    <n v="0"/>
    <n v="0"/>
    <n v="0"/>
    <s v="General"/>
    <x v="22"/>
    <x v="29"/>
    <x v="1"/>
  </r>
  <r>
    <x v="1"/>
    <s v="RUNNING"/>
    <n v="1013028831"/>
    <x v="909"/>
    <s v="nsfw"/>
    <s v="640 x 360"/>
    <s v="Display"/>
    <s v="TJX"/>
    <s v="mobile"/>
    <s v="GEO"/>
    <n v="4"/>
    <n v="0"/>
    <s v="Yes"/>
    <s v="Unlimited"/>
    <n v="3296757"/>
    <n v="4399"/>
    <n v="0.13342999999999999"/>
    <n v="0"/>
    <n v="32.97"/>
    <n v="0.01"/>
    <n v="7.0000000000000001E-3"/>
    <n v="0"/>
    <n v="2"/>
    <n v="0"/>
    <s v="No"/>
    <n v="0"/>
    <n v="0"/>
    <n v="0"/>
    <s v="General"/>
    <x v="34"/>
    <x v="29"/>
    <x v="1"/>
  </r>
  <r>
    <x v="1"/>
    <s v="RUNNING"/>
    <n v="1013028841"/>
    <x v="910"/>
    <s v="nsfw"/>
    <d v="1899-12-30T16:09:00"/>
    <s v="In-Stream Video"/>
    <s v="TJX"/>
    <s v="all"/>
    <s v="GEO"/>
    <n v="5"/>
    <n v="0"/>
    <s v="Yes"/>
    <s v="Unlimited"/>
    <n v="48366"/>
    <n v="2670"/>
    <n v="5.52041"/>
    <n v="0"/>
    <n v="4.84"/>
    <n v="0.1"/>
    <n v="2E-3"/>
    <n v="0"/>
    <n v="2"/>
    <n v="0"/>
    <s v="No"/>
    <n v="48366"/>
    <n v="36700"/>
    <n v="5810"/>
    <s v="General"/>
    <x v="17"/>
    <x v="13"/>
    <x v="1"/>
  </r>
  <r>
    <x v="1"/>
    <s v="RUNNING"/>
    <n v="1013028851"/>
    <x v="911"/>
    <s v="nsfw"/>
    <d v="1899-12-30T16:09:00"/>
    <s v="In-Stream Video"/>
    <s v="TJX"/>
    <s v="all"/>
    <s v="GEO"/>
    <n v="5"/>
    <n v="0"/>
    <s v="Yes"/>
    <s v="Unlimited"/>
    <n v="136925"/>
    <n v="4002"/>
    <n v="2.9227699999999999"/>
    <n v="1"/>
    <n v="13.69"/>
    <n v="0.1"/>
    <n v="3.0000000000000001E-3"/>
    <n v="13.693"/>
    <n v="2"/>
    <n v="0"/>
    <s v="No"/>
    <n v="136925"/>
    <n v="69274"/>
    <n v="55019"/>
    <s v="General"/>
    <x v="11"/>
    <x v="13"/>
    <x v="1"/>
  </r>
  <r>
    <x v="1"/>
    <s v="RUNNING"/>
    <n v="1013028861"/>
    <x v="912"/>
    <s v="nsfw"/>
    <d v="1899-12-30T16:09:00"/>
    <s v="In-Stream Video"/>
    <s v="TJX"/>
    <s v="all"/>
    <s v="GEO"/>
    <n v="5"/>
    <n v="0"/>
    <s v="Yes"/>
    <s v="Unlimited"/>
    <n v="158211"/>
    <n v="6044"/>
    <n v="3.8202099999999999"/>
    <n v="1"/>
    <n v="15.82"/>
    <n v="0.1"/>
    <n v="3.0000000000000001E-3"/>
    <n v="15.821"/>
    <n v="2"/>
    <n v="0"/>
    <s v="No"/>
    <n v="158211"/>
    <n v="121483"/>
    <n v="16363"/>
    <s v="General"/>
    <x v="35"/>
    <x v="13"/>
    <x v="1"/>
  </r>
  <r>
    <x v="1"/>
    <s v="RUNNING"/>
    <n v="1013028881"/>
    <x v="913"/>
    <s v="nsfw"/>
    <s v="640 x 360"/>
    <s v="Display"/>
    <s v="TJX"/>
    <s v="mobile"/>
    <s v="GEO"/>
    <n v="4"/>
    <n v="0"/>
    <s v="Yes"/>
    <s v="Unlimited"/>
    <n v="9708327"/>
    <n v="16565"/>
    <n v="0.17063"/>
    <n v="1"/>
    <n v="97.08"/>
    <n v="0.01"/>
    <n v="6.0000000000000001E-3"/>
    <n v="97.082999999999998"/>
    <n v="2"/>
    <n v="0"/>
    <s v="No"/>
    <n v="0"/>
    <n v="0"/>
    <n v="0"/>
    <s v="General"/>
    <x v="10"/>
    <x v="30"/>
    <x v="1"/>
  </r>
  <r>
    <x v="1"/>
    <s v="RUNNING"/>
    <n v="1013028891"/>
    <x v="914"/>
    <s v="nsfw"/>
    <d v="1899-12-30T16:09:00"/>
    <s v="In-Stream Video"/>
    <s v="TJX"/>
    <s v="all"/>
    <s v="GEO"/>
    <n v="10"/>
    <n v="0"/>
    <s v="Yes"/>
    <s v="Unlimited"/>
    <n v="453681"/>
    <n v="31631"/>
    <n v="6.9720800000000001"/>
    <n v="0"/>
    <n v="45.37"/>
    <n v="0.1"/>
    <n v="1E-3"/>
    <n v="0"/>
    <n v="2"/>
    <n v="0"/>
    <s v="No"/>
    <n v="453681"/>
    <n v="375812"/>
    <n v="31735"/>
    <s v="General"/>
    <x v="36"/>
    <x v="26"/>
    <x v="1"/>
  </r>
  <r>
    <x v="1"/>
    <s v="RUNNING"/>
    <n v="1013028901"/>
    <x v="915"/>
    <s v="nsfw"/>
    <s v="640 x 360"/>
    <s v="Display"/>
    <s v="TJX"/>
    <s v="mobile"/>
    <s v="GEO"/>
    <n v="18"/>
    <n v="0"/>
    <s v="Yes"/>
    <s v="Unlimited"/>
    <n v="18962900"/>
    <n v="17613"/>
    <n v="9.2880000000000004E-2"/>
    <n v="1"/>
    <n v="189.63"/>
    <n v="0.01"/>
    <n v="1.0999999999999999E-2"/>
    <n v="189.62899999999999"/>
    <n v="2"/>
    <n v="0"/>
    <s v="No"/>
    <n v="0"/>
    <n v="0"/>
    <n v="0"/>
    <s v="General"/>
    <x v="12"/>
    <x v="30"/>
    <x v="1"/>
  </r>
  <r>
    <x v="1"/>
    <s v="RUNNING"/>
    <n v="1013028921"/>
    <x v="916"/>
    <s v="nsfw"/>
    <s v="640 x 360"/>
    <s v="Display"/>
    <s v="TJX"/>
    <s v="mobile"/>
    <s v="GEO"/>
    <n v="4"/>
    <n v="0"/>
    <s v="Yes"/>
    <s v="Unlimited"/>
    <n v="3824206"/>
    <n v="2532"/>
    <n v="6.6210000000000005E-2"/>
    <n v="0"/>
    <n v="38.24"/>
    <n v="0.01"/>
    <n v="1.4999999999999999E-2"/>
    <n v="0"/>
    <n v="2"/>
    <n v="0"/>
    <s v="No"/>
    <n v="0"/>
    <n v="0"/>
    <n v="0"/>
    <s v="General"/>
    <x v="15"/>
    <x v="30"/>
    <x v="1"/>
  </r>
  <r>
    <x v="1"/>
    <s v="RUNNING"/>
    <n v="1013028931"/>
    <x v="917"/>
    <s v="nsfw"/>
    <s v="640 x 360"/>
    <s v="Display"/>
    <s v="TJX"/>
    <s v="mobile"/>
    <s v="GEO"/>
    <n v="15"/>
    <n v="3"/>
    <s v="Yes"/>
    <s v="Unlimited"/>
    <n v="11213849"/>
    <n v="9308"/>
    <n v="8.3000000000000004E-2"/>
    <n v="2"/>
    <n v="336.42"/>
    <n v="0.03"/>
    <n v="3.5999999999999997E-2"/>
    <n v="168.208"/>
    <n v="2"/>
    <n v="0"/>
    <s v="No"/>
    <n v="0"/>
    <n v="0"/>
    <n v="0"/>
    <s v="General"/>
    <x v="17"/>
    <x v="30"/>
    <x v="1"/>
  </r>
  <r>
    <x v="1"/>
    <s v="RUNNING"/>
    <n v="1013028951"/>
    <x v="918"/>
    <s v="nsfw"/>
    <d v="1899-12-30T16:09:00"/>
    <s v="In-Stream Video"/>
    <s v="TJX"/>
    <s v="all"/>
    <s v="GEO"/>
    <n v="10"/>
    <n v="0"/>
    <s v="Yes"/>
    <s v="Unlimited"/>
    <n v="160523"/>
    <n v="15023"/>
    <n v="9.3587799999999994"/>
    <n v="0"/>
    <n v="16.05"/>
    <n v="0.1"/>
    <n v="1E-3"/>
    <n v="0"/>
    <n v="2"/>
    <n v="0"/>
    <s v="No"/>
    <n v="160523"/>
    <n v="143749"/>
    <n v="9499"/>
    <s v="General"/>
    <x v="10"/>
    <x v="13"/>
    <x v="1"/>
  </r>
  <r>
    <x v="1"/>
    <s v="RUNNING"/>
    <n v="1013028991"/>
    <x v="919"/>
    <s v="nsfw"/>
    <s v="640 x 360"/>
    <s v="Display"/>
    <s v="TJX"/>
    <s v="mobile"/>
    <s v="GEO"/>
    <n v="4"/>
    <n v="0"/>
    <s v="Yes"/>
    <s v="Unlimited"/>
    <n v="9707119"/>
    <n v="16221"/>
    <n v="0.1671"/>
    <n v="0"/>
    <n v="97.07"/>
    <n v="0.01"/>
    <n v="6.0000000000000001E-3"/>
    <n v="0"/>
    <n v="2"/>
    <n v="0"/>
    <s v="No"/>
    <n v="0"/>
    <n v="0"/>
    <n v="0"/>
    <s v="General"/>
    <x v="10"/>
    <x v="22"/>
    <x v="1"/>
  </r>
  <r>
    <x v="1"/>
    <s v="RUNNING"/>
    <n v="1013040421"/>
    <x v="920"/>
    <s v="nsfw"/>
    <d v="1899-12-30T16:09:00"/>
    <s v="In-Stream Video"/>
    <s v="TJX"/>
    <s v="desktop"/>
    <s v="GEO,Frequency,Cookie"/>
    <n v="28"/>
    <n v="0"/>
    <s v="Yes"/>
    <s v="Unlimited"/>
    <n v="14831"/>
    <n v="1059"/>
    <n v="7.1404500000000004"/>
    <n v="0"/>
    <n v="36.33"/>
    <n v="2.4500000000000002"/>
    <n v="3.4000000000000002E-2"/>
    <n v="0"/>
    <n v="2"/>
    <n v="0"/>
    <s v="No"/>
    <n v="14831"/>
    <n v="11623"/>
    <n v="1501"/>
    <s v="General"/>
    <x v="3"/>
    <x v="14"/>
    <x v="1"/>
  </r>
  <r>
    <x v="1"/>
    <s v="RUNNING"/>
    <n v="1013040451"/>
    <x v="921"/>
    <s v="nsfw"/>
    <d v="1899-12-30T16:09:00"/>
    <s v="In-Stream Video"/>
    <s v="TJX"/>
    <s v="desktop"/>
    <s v="GEO,Frequency,Cookie"/>
    <n v="28"/>
    <n v="0"/>
    <s v="Yes"/>
    <s v="Unlimited"/>
    <n v="763"/>
    <n v="72"/>
    <n v="9.4364299999999997"/>
    <n v="0"/>
    <n v="0.28000000000000003"/>
    <n v="0.37"/>
    <n v="4.0000000000000001E-3"/>
    <n v="0"/>
    <n v="2"/>
    <n v="0"/>
    <s v="No"/>
    <n v="763"/>
    <n v="570"/>
    <n v="93"/>
    <s v="General"/>
    <x v="12"/>
    <x v="14"/>
    <x v="1"/>
  </r>
  <r>
    <x v="1"/>
    <s v="RUNNING"/>
    <n v="1013040531"/>
    <x v="922"/>
    <s v="nsfw"/>
    <d v="1899-12-30T16:09:00"/>
    <s v="In-Stream Video"/>
    <s v="TJX"/>
    <s v="desktop"/>
    <s v="GEO,Frequency,Cookie"/>
    <n v="28"/>
    <n v="0"/>
    <s v="Yes"/>
    <s v="Unlimited"/>
    <n v="4356"/>
    <n v="365"/>
    <n v="8.3792500000000008"/>
    <n v="0"/>
    <n v="4.59"/>
    <n v="1.054"/>
    <n v="1.2999999999999999E-2"/>
    <n v="0"/>
    <n v="2"/>
    <n v="0"/>
    <s v="No"/>
    <n v="4356"/>
    <n v="3337"/>
    <n v="430"/>
    <s v="General"/>
    <x v="4"/>
    <x v="14"/>
    <x v="1"/>
  </r>
  <r>
    <x v="1"/>
    <s v="RUNNING"/>
    <n v="1013040561"/>
    <x v="923"/>
    <s v="nsfw"/>
    <d v="1899-12-30T16:09:00"/>
    <s v="In-Stream Video"/>
    <s v="TJX"/>
    <s v="desktop"/>
    <s v="GEO,Frequency,Cookie"/>
    <n v="28"/>
    <n v="0"/>
    <s v="Yes"/>
    <s v="Unlimited"/>
    <n v="1253"/>
    <n v="89"/>
    <n v="7.1029499999999999"/>
    <n v="0"/>
    <n v="1.58"/>
    <n v="1.26"/>
    <n v="1.7999999999999999E-2"/>
    <n v="0"/>
    <n v="2"/>
    <n v="0"/>
    <s v="No"/>
    <n v="1253"/>
    <n v="981"/>
    <n v="114"/>
    <s v="General"/>
    <x v="5"/>
    <x v="14"/>
    <x v="1"/>
  </r>
  <r>
    <x v="1"/>
    <s v="RUNNING"/>
    <n v="1013040581"/>
    <x v="924"/>
    <s v="nsfw"/>
    <d v="1899-12-30T16:09:00"/>
    <s v="In-Stream Video"/>
    <s v="TJX"/>
    <s v="desktop"/>
    <s v="GEO,Frequency,Cookie"/>
    <n v="28"/>
    <n v="0"/>
    <s v="Yes"/>
    <s v="Unlimited"/>
    <n v="789"/>
    <n v="39"/>
    <n v="4.9429699999999999"/>
    <n v="0"/>
    <n v="2"/>
    <n v="2.532"/>
    <n v="5.0999999999999997E-2"/>
    <n v="0"/>
    <n v="2"/>
    <n v="0"/>
    <s v="No"/>
    <n v="789"/>
    <n v="625"/>
    <n v="78"/>
    <s v="General"/>
    <x v="6"/>
    <x v="14"/>
    <x v="1"/>
  </r>
  <r>
    <x v="1"/>
    <s v="RUNNING"/>
    <n v="1013040591"/>
    <x v="925"/>
    <s v="nsfw"/>
    <d v="1899-12-30T16:09:00"/>
    <s v="In-Stream Video"/>
    <s v="TJX"/>
    <s v="desktop"/>
    <s v="GEO,Frequency,Cookie"/>
    <n v="28"/>
    <n v="0"/>
    <s v="Yes"/>
    <s v="Unlimited"/>
    <n v="110"/>
    <n v="8"/>
    <n v="7.2727300000000001"/>
    <n v="1"/>
    <n v="0.12"/>
    <n v="1.0549999999999999"/>
    <n v="1.4999999999999999E-2"/>
    <n v="0.11600000000000001"/>
    <n v="2"/>
    <n v="0"/>
    <s v="No"/>
    <n v="110"/>
    <n v="83"/>
    <n v="9"/>
    <s v="General"/>
    <x v="8"/>
    <x v="14"/>
    <x v="1"/>
  </r>
  <r>
    <x v="1"/>
    <s v="RUNNING"/>
    <n v="1013046201"/>
    <x v="926"/>
    <s v="nsfw"/>
    <d v="1899-12-30T16:09:00"/>
    <s v="In-Stream Video"/>
    <s v="TJX"/>
    <s v="mobile"/>
    <s v="GEO,Frequency,Cookie"/>
    <n v="28"/>
    <n v="0"/>
    <s v="Yes"/>
    <s v="Unlimited"/>
    <n v="1336252"/>
    <n v="55947"/>
    <n v="4.1868600000000002"/>
    <n v="15"/>
    <n v="2822.16"/>
    <n v="2.1120000000000001"/>
    <n v="0.05"/>
    <n v="188.14400000000001"/>
    <n v="2"/>
    <n v="0"/>
    <s v="Yes"/>
    <n v="1336252"/>
    <n v="1179624"/>
    <n v="108645"/>
    <s v="General"/>
    <x v="3"/>
    <x v="14"/>
    <x v="1"/>
  </r>
  <r>
    <x v="1"/>
    <s v="RUNNING"/>
    <n v="1013046221"/>
    <x v="927"/>
    <s v="nsfw"/>
    <d v="1899-12-30T16:09:00"/>
    <s v="In-Stream Video"/>
    <s v="TJX"/>
    <s v="mobile"/>
    <s v="GEO,Cookie"/>
    <n v="28"/>
    <n v="0"/>
    <s v="Yes"/>
    <s v="Unlimited"/>
    <n v="57174"/>
    <n v="2669"/>
    <n v="4.6682100000000002"/>
    <n v="0"/>
    <n v="72.34"/>
    <n v="1.2649999999999999"/>
    <n v="2.7E-2"/>
    <n v="0"/>
    <n v="2"/>
    <n v="0"/>
    <s v="No"/>
    <n v="57174"/>
    <n v="50899"/>
    <n v="3999"/>
    <s v="General"/>
    <x v="4"/>
    <x v="14"/>
    <x v="1"/>
  </r>
  <r>
    <x v="1"/>
    <s v="RUNNING"/>
    <n v="1013046231"/>
    <x v="928"/>
    <s v="nsfw"/>
    <d v="1899-12-30T16:09:00"/>
    <s v="In-Stream Video"/>
    <s v="TJX"/>
    <s v="mobile"/>
    <s v="GEO,Cookie"/>
    <n v="28"/>
    <n v="0"/>
    <s v="Yes"/>
    <s v="Unlimited"/>
    <n v="18168"/>
    <n v="1040"/>
    <n v="5.7243500000000003"/>
    <n v="0"/>
    <n v="46.92"/>
    <n v="2.5830000000000002"/>
    <n v="4.4999999999999998E-2"/>
    <n v="0"/>
    <n v="2"/>
    <n v="0"/>
    <s v="No"/>
    <n v="18168"/>
    <n v="15985"/>
    <n v="1382"/>
    <s v="General"/>
    <x v="6"/>
    <x v="14"/>
    <x v="1"/>
  </r>
  <r>
    <x v="1"/>
    <s v="RUNNING"/>
    <n v="1013046251"/>
    <x v="929"/>
    <s v="nsfw"/>
    <d v="1899-12-30T16:09:00"/>
    <s v="In-Stream Video"/>
    <s v="TJX"/>
    <s v="mobile"/>
    <s v="GEO,Cookie"/>
    <n v="28"/>
    <n v="0"/>
    <s v="Yes"/>
    <s v="Unlimited"/>
    <n v="82819"/>
    <n v="3427"/>
    <n v="4.1379400000000004"/>
    <n v="2"/>
    <n v="156.97"/>
    <n v="1.895"/>
    <n v="4.5999999999999999E-2"/>
    <n v="78.483000000000004"/>
    <n v="2"/>
    <n v="0"/>
    <s v="No"/>
    <n v="82819"/>
    <n v="72620"/>
    <n v="7443"/>
    <s v="General"/>
    <x v="5"/>
    <x v="14"/>
    <x v="1"/>
  </r>
  <r>
    <x v="1"/>
    <s v="RUNNING"/>
    <n v="1013046271"/>
    <x v="930"/>
    <s v="nsfw"/>
    <d v="1899-12-30T16:09:00"/>
    <s v="In-Stream Video"/>
    <s v="TJX"/>
    <s v="mobile"/>
    <s v="GEO,Cookie"/>
    <n v="28"/>
    <n v="0"/>
    <s v="Yes"/>
    <s v="Unlimited"/>
    <n v="10527"/>
    <n v="609"/>
    <n v="5.78512"/>
    <n v="0"/>
    <n v="12.35"/>
    <n v="1.173"/>
    <n v="0.02"/>
    <n v="0"/>
    <n v="2"/>
    <n v="0"/>
    <s v="No"/>
    <n v="10527"/>
    <n v="8881"/>
    <n v="895"/>
    <s v="General"/>
    <x v="8"/>
    <x v="14"/>
    <x v="1"/>
  </r>
  <r>
    <x v="1"/>
    <s v="RUNNING"/>
    <n v="1013046321"/>
    <x v="931"/>
    <s v="nsfw"/>
    <d v="1899-12-30T16:09:00"/>
    <s v="In-Stream Video"/>
    <s v="TJX"/>
    <s v="mobile"/>
    <s v="GEO,Cookie"/>
    <n v="28"/>
    <n v="0"/>
    <s v="Yes"/>
    <s v="Unlimited"/>
    <n v="135844"/>
    <n v="11948"/>
    <n v="8.7953799999999998"/>
    <n v="0"/>
    <n v="32.06"/>
    <n v="0.23599999999999999"/>
    <n v="3.0000000000000001E-3"/>
    <n v="0"/>
    <n v="2"/>
    <n v="0"/>
    <s v="No"/>
    <n v="135844"/>
    <n v="113472"/>
    <n v="13982"/>
    <s v="General"/>
    <x v="12"/>
    <x v="14"/>
    <x v="1"/>
  </r>
  <r>
    <x v="1"/>
    <s v="RUNNING"/>
    <n v="1013046531"/>
    <x v="932"/>
    <s v="nsfw"/>
    <s v="640 x 360"/>
    <s v="Display"/>
    <s v="TJX"/>
    <s v="mobile"/>
    <s v="GEO,Frequency"/>
    <n v="60"/>
    <n v="0"/>
    <s v="Yes"/>
    <s v="Unlimited"/>
    <n v="12285011"/>
    <n v="35068"/>
    <n v="0.28544000000000003"/>
    <n v="0"/>
    <n v="226.63"/>
    <n v="1.7999999999999999E-2"/>
    <n v="6.0000000000000001E-3"/>
    <n v="0"/>
    <n v="2"/>
    <n v="0"/>
    <s v="No"/>
    <n v="0"/>
    <n v="0"/>
    <n v="0"/>
    <s v="General"/>
    <x v="37"/>
    <x v="26"/>
    <x v="1"/>
  </r>
  <r>
    <x v="1"/>
    <s v="RUNNING"/>
    <n v="1013046601"/>
    <x v="933"/>
    <s v="nsfw"/>
    <s v="640 x 360"/>
    <s v="Display"/>
    <s v="TJX"/>
    <s v="desktop"/>
    <s v="GEO,Frequency"/>
    <n v="60"/>
    <n v="0"/>
    <s v="Yes"/>
    <s v="Unlimited"/>
    <n v="687278"/>
    <n v="2253"/>
    <n v="0.32780999999999999"/>
    <n v="0"/>
    <n v="13.31"/>
    <n v="1.9E-2"/>
    <n v="6.0000000000000001E-3"/>
    <n v="0"/>
    <n v="2"/>
    <n v="0"/>
    <s v="No"/>
    <n v="0"/>
    <n v="0"/>
    <n v="0"/>
    <s v="General"/>
    <x v="37"/>
    <x v="13"/>
    <x v="1"/>
  </r>
  <r>
    <x v="1"/>
    <s v="RUNNING"/>
    <n v="1013046671"/>
    <x v="934"/>
    <s v="nsfw"/>
    <s v="640 x 360"/>
    <s v="Display"/>
    <s v="TJX"/>
    <s v="mobile"/>
    <s v="GEO,Frequency,Cookie,BrowserLanguage"/>
    <n v="35"/>
    <n v="0"/>
    <s v="Yes"/>
    <s v="Unlimited"/>
    <n v="13307"/>
    <n v="55"/>
    <n v="0.41332000000000002"/>
    <n v="1"/>
    <n v="2.57"/>
    <n v="0.193"/>
    <n v="4.7E-2"/>
    <n v="2.5739999999999998"/>
    <n v="2"/>
    <n v="0"/>
    <s v="No"/>
    <n v="0"/>
    <n v="0"/>
    <n v="0"/>
    <s v="General"/>
    <x v="5"/>
    <x v="14"/>
    <x v="1"/>
  </r>
  <r>
    <x v="1"/>
    <s v="RUNNING"/>
    <n v="1013046711"/>
    <x v="935"/>
    <s v="nsfw"/>
    <s v="640 x 360"/>
    <s v="Display"/>
    <s v="TJX"/>
    <s v="mobile"/>
    <s v="GEO,Frequency,Cookie,BrowserLanguage"/>
    <n v="35"/>
    <n v="0"/>
    <s v="Yes"/>
    <s v="Unlimited"/>
    <n v="26895"/>
    <n v="113"/>
    <n v="0.42015000000000002"/>
    <n v="1"/>
    <n v="3.94"/>
    <n v="0.14699999999999999"/>
    <n v="3.5000000000000003E-2"/>
    <n v="3.94"/>
    <n v="2"/>
    <n v="0"/>
    <s v="No"/>
    <n v="0"/>
    <n v="0"/>
    <n v="0"/>
    <s v="General"/>
    <x v="4"/>
    <x v="14"/>
    <x v="1"/>
  </r>
  <r>
    <x v="1"/>
    <s v="RUNNING"/>
    <n v="1013046731"/>
    <x v="936"/>
    <s v="nsfw"/>
    <s v="640 x 360"/>
    <s v="Display"/>
    <s v="TJX"/>
    <s v="mobile"/>
    <s v="GEO,Frequency,Cookie,BrowserLanguage"/>
    <n v="35"/>
    <n v="0"/>
    <s v="Yes"/>
    <s v="Unlimited"/>
    <n v="6224"/>
    <n v="25"/>
    <n v="0.40167000000000003"/>
    <n v="0"/>
    <n v="2.4"/>
    <n v="0.38600000000000001"/>
    <n v="9.6000000000000002E-2"/>
    <n v="0"/>
    <n v="2"/>
    <n v="0"/>
    <s v="No"/>
    <n v="0"/>
    <n v="0"/>
    <n v="0"/>
    <s v="General"/>
    <x v="6"/>
    <x v="14"/>
    <x v="1"/>
  </r>
  <r>
    <x v="1"/>
    <s v="RUNNING"/>
    <n v="1013046741"/>
    <x v="937"/>
    <s v="nsfw"/>
    <s v="640 x 360"/>
    <s v="Display"/>
    <s v="TJX"/>
    <s v="mobile"/>
    <s v="GEO,Frequency,Cookie,BrowserLanguage"/>
    <n v="35"/>
    <n v="0"/>
    <s v="Yes"/>
    <s v="Unlimited"/>
    <n v="150927"/>
    <n v="561"/>
    <n v="0.37169999999999997"/>
    <n v="4"/>
    <n v="41.28"/>
    <n v="0.27400000000000002"/>
    <n v="7.3999999999999996E-2"/>
    <n v="10.319000000000001"/>
    <n v="2"/>
    <n v="0"/>
    <s v="No"/>
    <n v="0"/>
    <n v="0"/>
    <n v="0"/>
    <s v="General"/>
    <x v="3"/>
    <x v="14"/>
    <x v="1"/>
  </r>
  <r>
    <x v="1"/>
    <s v="RUNNING"/>
    <n v="1013046751"/>
    <x v="938"/>
    <s v="nsfw"/>
    <s v="640 x 360"/>
    <s v="Display"/>
    <s v="TJX"/>
    <s v="mobile"/>
    <s v="GEO,Frequency,Cookie,BrowserLanguage"/>
    <n v="35"/>
    <n v="0"/>
    <s v="Yes"/>
    <s v="Unlimited"/>
    <n v="1455"/>
    <n v="5"/>
    <n v="0.34364"/>
    <n v="0"/>
    <n v="0.02"/>
    <n v="1.7000000000000001E-2"/>
    <n v="5.0000000000000001E-3"/>
    <n v="0"/>
    <n v="2"/>
    <n v="0"/>
    <s v="No"/>
    <n v="0"/>
    <n v="0"/>
    <n v="0"/>
    <s v="General"/>
    <x v="12"/>
    <x v="14"/>
    <x v="1"/>
  </r>
  <r>
    <x v="1"/>
    <s v="RUNNING"/>
    <n v="1013046761"/>
    <x v="939"/>
    <s v="nsfw"/>
    <s v="640 x 360"/>
    <s v="Display"/>
    <s v="TJX"/>
    <s v="mobile"/>
    <s v="GEO,Frequency,Cookie,BrowserLanguage"/>
    <n v="35"/>
    <n v="0"/>
    <s v="Yes"/>
    <s v="Unlimited"/>
    <n v="1332"/>
    <n v="3"/>
    <n v="0.22523000000000001"/>
    <n v="0"/>
    <n v="0.14000000000000001"/>
    <n v="0.10299999999999999"/>
    <n v="4.5999999999999999E-2"/>
    <n v="0"/>
    <n v="2"/>
    <n v="0"/>
    <s v="No"/>
    <n v="0"/>
    <n v="0"/>
    <n v="0"/>
    <s v="General"/>
    <x v="8"/>
    <x v="14"/>
    <x v="1"/>
  </r>
  <r>
    <x v="1"/>
    <s v="PAUSED"/>
    <n v="1013047181"/>
    <x v="940"/>
    <s v="nsfw"/>
    <s v="640 x 360"/>
    <s v="Display"/>
    <s v="TJX"/>
    <s v="mobile"/>
    <s v="GEO,Frequency,Cookie,BrowserLanguage"/>
    <n v="45"/>
    <n v="0"/>
    <s v="No"/>
    <n v="25"/>
    <n v="85"/>
    <n v="0"/>
    <n v="0"/>
    <n v="0"/>
    <n v="0.01"/>
    <n v="0.105"/>
    <n v="0"/>
    <n v="0"/>
    <n v="2"/>
    <n v="0"/>
    <s v="No"/>
    <n v="0"/>
    <n v="0"/>
    <n v="0"/>
    <s v="General"/>
    <x v="38"/>
    <x v="14"/>
    <x v="0"/>
  </r>
  <r>
    <x v="1"/>
    <s v="RUNNING"/>
    <n v="1013050271"/>
    <x v="941"/>
    <s v="nsfw"/>
    <d v="1899-12-30T09:16:00"/>
    <s v="In-Stream Video"/>
    <s v="TJX"/>
    <s v="mobile"/>
    <s v="GEO"/>
    <n v="5"/>
    <n v="0"/>
    <s v="Yes"/>
    <s v="Unlimited"/>
    <n v="1639"/>
    <n v="14"/>
    <n v="0.85418000000000005"/>
    <n v="0"/>
    <n v="0.18"/>
    <n v="0.11"/>
    <n v="1.2999999999999999E-2"/>
    <n v="0"/>
    <n v="2"/>
    <n v="0"/>
    <s v="No"/>
    <n v="1639"/>
    <n v="0"/>
    <n v="20"/>
    <s v="General"/>
    <x v="30"/>
    <x v="2"/>
    <x v="1"/>
  </r>
  <r>
    <x v="1"/>
    <s v="RUNNING"/>
    <n v="1013050281"/>
    <x v="942"/>
    <s v="nsfw"/>
    <d v="1899-12-30T09:16:00"/>
    <s v="In-Stream Video"/>
    <s v="TJX"/>
    <s v="mobile"/>
    <s v="GEO"/>
    <n v="5"/>
    <n v="0"/>
    <s v="Yes"/>
    <s v="Unlimited"/>
    <n v="2444"/>
    <n v="21"/>
    <n v="0.85924999999999996"/>
    <n v="0"/>
    <n v="0.27"/>
    <n v="0.11"/>
    <n v="1.2999999999999999E-2"/>
    <n v="0"/>
    <n v="2"/>
    <n v="0"/>
    <s v="No"/>
    <n v="2444"/>
    <n v="0"/>
    <n v="22"/>
    <s v="General"/>
    <x v="39"/>
    <x v="2"/>
    <x v="1"/>
  </r>
  <r>
    <x v="1"/>
    <s v="RUNNING"/>
    <n v="1013050291"/>
    <x v="943"/>
    <s v="nsfw"/>
    <d v="1899-12-30T09:16:00"/>
    <s v="In-Stream Video"/>
    <s v="TJX"/>
    <s v="mobile"/>
    <s v="GEO"/>
    <n v="5"/>
    <n v="0"/>
    <s v="Yes"/>
    <s v="Unlimited"/>
    <n v="8333"/>
    <n v="51"/>
    <n v="0.61202000000000001"/>
    <n v="0"/>
    <n v="0.92"/>
    <n v="0.11"/>
    <n v="1.7999999999999999E-2"/>
    <n v="0"/>
    <n v="2"/>
    <n v="0"/>
    <s v="No"/>
    <n v="8333"/>
    <n v="0"/>
    <n v="33"/>
    <s v="General"/>
    <x v="12"/>
    <x v="2"/>
    <x v="1"/>
  </r>
  <r>
    <x v="1"/>
    <s v="RUNNING"/>
    <n v="1013050301"/>
    <x v="944"/>
    <s v="nsfw"/>
    <d v="1899-12-30T09:16:00"/>
    <s v="In-Stream Video"/>
    <s v="TJX"/>
    <s v="mobile"/>
    <s v="GEO"/>
    <n v="5"/>
    <n v="0"/>
    <s v="Yes"/>
    <s v="Unlimited"/>
    <n v="3016"/>
    <n v="37"/>
    <n v="1.22679"/>
    <n v="0"/>
    <n v="0.33"/>
    <n v="0.11"/>
    <n v="8.9999999999999993E-3"/>
    <n v="0"/>
    <n v="2"/>
    <n v="0"/>
    <s v="No"/>
    <n v="3016"/>
    <n v="0"/>
    <n v="34"/>
    <s v="General"/>
    <x v="10"/>
    <x v="2"/>
    <x v="1"/>
  </r>
  <r>
    <x v="1"/>
    <s v="RUNNING"/>
    <n v="1013050311"/>
    <x v="945"/>
    <s v="nsfw"/>
    <d v="1899-12-30T09:16:00"/>
    <s v="In-Stream Video"/>
    <s v="TJX"/>
    <s v="mobile"/>
    <s v="GEO"/>
    <n v="5"/>
    <n v="0"/>
    <s v="Yes"/>
    <s v="Unlimited"/>
    <n v="3818"/>
    <n v="44"/>
    <n v="1.1524300000000001"/>
    <n v="0"/>
    <n v="0.42"/>
    <n v="0.11"/>
    <n v="0.01"/>
    <n v="0"/>
    <n v="2"/>
    <n v="0"/>
    <s v="No"/>
    <n v="3818"/>
    <n v="0"/>
    <n v="17"/>
    <s v="General"/>
    <x v="19"/>
    <x v="2"/>
    <x v="1"/>
  </r>
  <r>
    <x v="1"/>
    <s v="RUNNING"/>
    <n v="1013050321"/>
    <x v="946"/>
    <s v="nsfw"/>
    <d v="1899-12-30T09:16:00"/>
    <s v="In-Stream Video"/>
    <s v="TJX"/>
    <s v="mobile"/>
    <s v="GEO"/>
    <n v="5"/>
    <n v="0"/>
    <s v="Yes"/>
    <s v="Unlimited"/>
    <n v="1456"/>
    <n v="8"/>
    <n v="0.54944999999999999"/>
    <n v="0"/>
    <n v="0.16"/>
    <n v="0.11"/>
    <n v="0.02"/>
    <n v="0"/>
    <n v="2"/>
    <n v="0"/>
    <s v="No"/>
    <n v="1456"/>
    <n v="0"/>
    <n v="8"/>
    <s v="General"/>
    <x v="17"/>
    <x v="2"/>
    <x v="1"/>
  </r>
  <r>
    <x v="1"/>
    <s v="RUNNING"/>
    <n v="1013050331"/>
    <x v="947"/>
    <s v="nsfw"/>
    <d v="1899-12-30T09:16:00"/>
    <s v="In-Stream Video"/>
    <s v="TJX"/>
    <s v="mobile"/>
    <s v="GEO"/>
    <n v="5"/>
    <n v="0"/>
    <s v="Yes"/>
    <s v="Unlimited"/>
    <n v="4770"/>
    <n v="37"/>
    <n v="0.77568000000000004"/>
    <n v="0"/>
    <n v="0.52"/>
    <n v="0.11"/>
    <n v="1.4E-2"/>
    <n v="0"/>
    <n v="2"/>
    <n v="0"/>
    <s v="No"/>
    <n v="4770"/>
    <n v="0"/>
    <n v="34"/>
    <s v="General"/>
    <x v="11"/>
    <x v="2"/>
    <x v="1"/>
  </r>
  <r>
    <x v="1"/>
    <s v="RUNNING"/>
    <n v="1013050341"/>
    <x v="948"/>
    <s v="nsfw"/>
    <d v="1899-12-30T09:16:00"/>
    <s v="In-Stream Video"/>
    <s v="TJX"/>
    <s v="mobile"/>
    <s v="GEO"/>
    <n v="5"/>
    <n v="0"/>
    <s v="Yes"/>
    <s v="Unlimited"/>
    <n v="2802"/>
    <n v="28"/>
    <n v="0.99929000000000001"/>
    <n v="0"/>
    <n v="0.31"/>
    <n v="0.11"/>
    <n v="1.0999999999999999E-2"/>
    <n v="0"/>
    <n v="2"/>
    <n v="0"/>
    <s v="No"/>
    <n v="2802"/>
    <n v="0"/>
    <n v="17"/>
    <s v="General"/>
    <x v="40"/>
    <x v="2"/>
    <x v="1"/>
  </r>
  <r>
    <x v="1"/>
    <s v="RUNNING"/>
    <n v="1013050371"/>
    <x v="949"/>
    <s v="nsfw"/>
    <d v="1899-12-30T09:16:00"/>
    <s v="In-Stream Video"/>
    <s v="TJX"/>
    <s v="mobile"/>
    <s v="GEO"/>
    <n v="5"/>
    <n v="0"/>
    <s v="Yes"/>
    <s v="Unlimited"/>
    <n v="1704"/>
    <n v="5"/>
    <n v="0.29343000000000002"/>
    <n v="0"/>
    <n v="0.7"/>
    <n v="0.41"/>
    <n v="0.14000000000000001"/>
    <n v="0"/>
    <n v="2"/>
    <n v="0"/>
    <s v="No"/>
    <n v="1704"/>
    <n v="0"/>
    <n v="1"/>
    <s v="General"/>
    <x v="5"/>
    <x v="2"/>
    <x v="1"/>
  </r>
  <r>
    <x v="1"/>
    <s v="RUNNING"/>
    <n v="1013050381"/>
    <x v="950"/>
    <s v="nsfw"/>
    <d v="1899-12-30T09:16:00"/>
    <s v="In-Stream Video"/>
    <s v="TJX"/>
    <s v="mobile"/>
    <s v="GEO"/>
    <n v="5"/>
    <n v="0"/>
    <s v="Yes"/>
    <s v="Unlimited"/>
    <n v="2551"/>
    <n v="21"/>
    <n v="0.82321"/>
    <n v="0"/>
    <n v="0.33"/>
    <n v="0.13"/>
    <n v="1.6E-2"/>
    <n v="0"/>
    <n v="2"/>
    <n v="0"/>
    <s v="No"/>
    <n v="2551"/>
    <n v="0"/>
    <n v="12"/>
    <s v="General"/>
    <x v="18"/>
    <x v="2"/>
    <x v="1"/>
  </r>
  <r>
    <x v="1"/>
    <s v="RUNNING"/>
    <n v="1013054421"/>
    <x v="951"/>
    <s v="nsfw"/>
    <s v="640 x 360"/>
    <s v="Display"/>
    <s v="TJX"/>
    <s v="desktop"/>
    <s v="GEO,Frequency,Cookie,BrowserLanguage"/>
    <n v="42"/>
    <n v="0"/>
    <s v="Yes"/>
    <s v="Unlimited"/>
    <n v="0"/>
    <n v="0"/>
    <n v="0"/>
    <n v="0"/>
    <n v="0"/>
    <n v="0"/>
    <n v="0"/>
    <n v="0"/>
    <n v="2"/>
    <n v="0"/>
    <s v="No"/>
    <n v="0"/>
    <n v="0"/>
    <n v="0"/>
    <s v="General"/>
    <x v="3"/>
    <x v="14"/>
    <x v="1"/>
  </r>
  <r>
    <x v="1"/>
    <s v="RUNNING"/>
    <n v="1013054431"/>
    <x v="952"/>
    <s v="nsfw"/>
    <s v="640 x 360"/>
    <s v="Display"/>
    <s v="TJX"/>
    <s v="desktop"/>
    <s v="GEO,Frequency,Cookie,BrowserLanguage"/>
    <n v="42"/>
    <n v="0"/>
    <s v="Yes"/>
    <s v="Unlimited"/>
    <n v="0"/>
    <n v="0"/>
    <n v="0"/>
    <n v="0"/>
    <n v="0"/>
    <n v="0"/>
    <n v="0"/>
    <n v="0"/>
    <n v="2"/>
    <n v="0"/>
    <s v="No"/>
    <n v="0"/>
    <n v="0"/>
    <n v="0"/>
    <s v="General"/>
    <x v="4"/>
    <x v="14"/>
    <x v="1"/>
  </r>
  <r>
    <x v="1"/>
    <s v="RUNNING"/>
    <n v="1013054441"/>
    <x v="953"/>
    <s v="nsfw"/>
    <s v="640 x 360"/>
    <s v="Display"/>
    <s v="TJX"/>
    <s v="desktop"/>
    <s v="GEO,Frequency,Cookie,BrowserLanguage"/>
    <n v="42"/>
    <n v="0"/>
    <s v="Yes"/>
    <s v="Unlimited"/>
    <n v="0"/>
    <n v="0"/>
    <n v="0"/>
    <n v="0"/>
    <n v="0"/>
    <n v="0"/>
    <n v="0"/>
    <n v="0"/>
    <n v="2"/>
    <n v="0"/>
    <s v="No"/>
    <n v="0"/>
    <n v="0"/>
    <n v="0"/>
    <s v="General"/>
    <x v="6"/>
    <x v="14"/>
    <x v="1"/>
  </r>
  <r>
    <x v="1"/>
    <s v="RUNNING"/>
    <n v="1013054451"/>
    <x v="954"/>
    <s v="nsfw"/>
    <s v="640 x 360"/>
    <s v="Display"/>
    <s v="TJX"/>
    <s v="desktop"/>
    <s v="GEO,Frequency,Cookie,BrowserLanguage"/>
    <n v="42"/>
    <n v="0"/>
    <s v="Yes"/>
    <s v="Unlimited"/>
    <n v="0"/>
    <n v="0"/>
    <n v="0"/>
    <n v="0"/>
    <n v="0"/>
    <n v="0"/>
    <n v="0"/>
    <n v="0"/>
    <n v="2"/>
    <n v="0"/>
    <s v="No"/>
    <n v="0"/>
    <n v="0"/>
    <n v="0"/>
    <s v="General"/>
    <x v="5"/>
    <x v="14"/>
    <x v="1"/>
  </r>
  <r>
    <x v="1"/>
    <s v="RUNNING"/>
    <n v="1013054461"/>
    <x v="955"/>
    <s v="nsfw"/>
    <s v="640 x 360"/>
    <s v="Display"/>
    <s v="TJX"/>
    <s v="desktop"/>
    <s v="GEO,Frequency,Cookie,BrowserLanguage"/>
    <n v="42"/>
    <n v="0"/>
    <s v="Yes"/>
    <s v="Unlimited"/>
    <n v="0"/>
    <n v="0"/>
    <n v="0"/>
    <n v="0"/>
    <n v="0"/>
    <n v="0"/>
    <n v="0"/>
    <n v="0"/>
    <n v="2"/>
    <n v="0"/>
    <s v="No"/>
    <n v="0"/>
    <n v="0"/>
    <n v="0"/>
    <s v="General"/>
    <x v="12"/>
    <x v="14"/>
    <x v="1"/>
  </r>
  <r>
    <x v="1"/>
    <s v="RUNNING"/>
    <n v="1013054471"/>
    <x v="956"/>
    <s v="nsfw"/>
    <s v="640 x 360"/>
    <s v="Display"/>
    <s v="TJX"/>
    <s v="desktop"/>
    <s v="GEO,Frequency,Cookie,BrowserLanguage"/>
    <n v="42"/>
    <n v="0"/>
    <s v="Yes"/>
    <s v="Unlimited"/>
    <n v="0"/>
    <n v="0"/>
    <n v="0"/>
    <n v="0"/>
    <n v="0"/>
    <n v="0"/>
    <n v="0"/>
    <n v="0"/>
    <n v="2"/>
    <n v="0"/>
    <s v="No"/>
    <n v="0"/>
    <n v="0"/>
    <n v="0"/>
    <s v="General"/>
    <x v="8"/>
    <x v="14"/>
    <x v="1"/>
  </r>
  <r>
    <x v="1"/>
    <s v="RUNNING"/>
    <n v="1013054541"/>
    <x v="957"/>
    <s v="nsfw"/>
    <d v="1899-12-30T16:09:00"/>
    <s v="In-Stream Video"/>
    <s v="TJX"/>
    <s v="all"/>
    <s v="GEO,Frequency,Keyword,BrowserLanguage"/>
    <n v="126"/>
    <n v="0"/>
    <s v="Yes"/>
    <s v="Unlimited"/>
    <n v="0"/>
    <n v="0"/>
    <n v="0"/>
    <n v="0"/>
    <n v="0"/>
    <n v="0"/>
    <n v="0"/>
    <n v="0"/>
    <n v="2"/>
    <n v="0"/>
    <s v="No"/>
    <n v="0"/>
    <n v="0"/>
    <n v="0"/>
    <s v="General"/>
    <x v="3"/>
    <x v="14"/>
    <x v="1"/>
  </r>
  <r>
    <x v="1"/>
    <s v="RUNNING"/>
    <n v="1013054571"/>
    <x v="958"/>
    <s v="nsfw"/>
    <s v="640 x 360"/>
    <s v="Display"/>
    <s v="TJX"/>
    <s v="mobile"/>
    <s v="GEO,Frequency,OS,BrowserLanguage"/>
    <n v="23"/>
    <n v="0"/>
    <s v="Yes"/>
    <s v="Unlimited"/>
    <n v="0"/>
    <n v="0"/>
    <n v="0"/>
    <n v="0"/>
    <n v="0"/>
    <n v="0"/>
    <n v="0"/>
    <n v="0"/>
    <n v="1"/>
    <n v="0"/>
    <s v="Yes"/>
    <n v="0"/>
    <n v="0"/>
    <n v="0"/>
    <s v="General"/>
    <x v="3"/>
    <x v="14"/>
    <x v="1"/>
  </r>
  <r>
    <x v="1"/>
    <s v="PAUSED"/>
    <n v="1013059081"/>
    <x v="959"/>
    <s v="nsfw"/>
    <s v="300 x 250"/>
    <s v="Display"/>
    <s v="TJX"/>
    <s v="desktop"/>
    <s v="GEO"/>
    <n v="30"/>
    <n v="0"/>
    <s v="Yes"/>
    <s v="Unlimited"/>
    <n v="0"/>
    <n v="0"/>
    <n v="0"/>
    <m/>
    <n v="0"/>
    <n v="0"/>
    <n v="0"/>
    <n v="0"/>
    <n v="2"/>
    <n v="0"/>
    <s v="No"/>
    <m/>
    <m/>
    <m/>
    <s v="General"/>
    <x v="3"/>
    <x v="13"/>
    <x v="1"/>
  </r>
  <r>
    <x v="1"/>
    <s v="PAUSED"/>
    <n v="1013059101"/>
    <x v="960"/>
    <s v="nsfw"/>
    <s v="300 x 250"/>
    <s v="Display"/>
    <s v="TJX"/>
    <s v="mobile"/>
    <s v="GEO"/>
    <n v="6"/>
    <n v="0"/>
    <s v="Yes"/>
    <s v="Unlimited"/>
    <n v="0"/>
    <n v="0"/>
    <n v="0"/>
    <m/>
    <n v="0"/>
    <n v="0"/>
    <n v="0"/>
    <n v="0"/>
    <n v="2"/>
    <n v="0"/>
    <s v="No"/>
    <m/>
    <m/>
    <m/>
    <s v="General"/>
    <x v="12"/>
    <x v="13"/>
    <x v="1"/>
  </r>
  <r>
    <x v="1"/>
    <s v="PAUSED"/>
    <n v="1013059151"/>
    <x v="961"/>
    <s v="nsfw"/>
    <s v="300 x 250"/>
    <s v="Display"/>
    <s v="TJX"/>
    <s v="mobile"/>
    <s v="GEO"/>
    <n v="6"/>
    <n v="0"/>
    <s v="Yes"/>
    <s v="Unlimited"/>
    <n v="0"/>
    <n v="0"/>
    <n v="0"/>
    <m/>
    <n v="0"/>
    <n v="0"/>
    <n v="0"/>
    <n v="0"/>
    <n v="2"/>
    <n v="0"/>
    <s v="No"/>
    <m/>
    <m/>
    <m/>
    <s v="General"/>
    <x v="14"/>
    <x v="13"/>
    <x v="1"/>
  </r>
  <r>
    <x v="2"/>
    <m/>
    <m/>
    <x v="962"/>
    <m/>
    <m/>
    <m/>
    <m/>
    <m/>
    <m/>
    <m/>
    <m/>
    <m/>
    <m/>
    <m/>
    <m/>
    <m/>
    <m/>
    <m/>
    <m/>
    <m/>
    <m/>
    <m/>
    <m/>
    <m/>
    <m/>
    <m/>
    <m/>
    <m/>
    <x v="41"/>
    <x v="3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DCC60-C196-FC46-8163-040E133D2F1E}" name="PivotTable27" cacheId="10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Q38:U160" firstHeaderRow="1" firstDataRow="3" firstDataCol="1" rowPageCount="1" colPageCount="1"/>
  <pivotFields count="32">
    <pivotField axis="axisCol" compact="0" outline="0" showAll="0" defaultSubtotal="0">
      <items count="3">
        <item x="1"/>
        <item x="0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963">
        <item x="327"/>
        <item x="882"/>
        <item x="945"/>
        <item x="954"/>
        <item x="934"/>
        <item x="868"/>
        <item x="901"/>
        <item x="923"/>
        <item x="929"/>
        <item x="865"/>
        <item x="949"/>
        <item x="822"/>
        <item x="824"/>
        <item x="823"/>
        <item x="859"/>
        <item x="892"/>
        <item x="888"/>
        <item x="961"/>
        <item x="877"/>
        <item x="887"/>
        <item x="952"/>
        <item x="935"/>
        <item x="811"/>
        <item x="816"/>
        <item x="818"/>
        <item x="817"/>
        <item x="860"/>
        <item x="871"/>
        <item x="922"/>
        <item x="927"/>
        <item x="864"/>
        <item x="948"/>
        <item x="885"/>
        <item x="911"/>
        <item x="873"/>
        <item x="947"/>
        <item x="808"/>
        <item x="186"/>
        <item x="641"/>
        <item x="640"/>
        <item x="643"/>
        <item x="642"/>
        <item x="639"/>
        <item x="638"/>
        <item x="645"/>
        <item x="644"/>
        <item x="35"/>
        <item x="626"/>
        <item x="630"/>
        <item x="628"/>
        <item x="625"/>
        <item x="32"/>
        <item x="34"/>
        <item x="627"/>
        <item x="631"/>
        <item x="629"/>
        <item x="624"/>
        <item x="33"/>
        <item x="623"/>
        <item x="635"/>
        <item x="31"/>
        <item x="1"/>
        <item x="3"/>
        <item x="6"/>
        <item x="637"/>
        <item x="28"/>
        <item x="29"/>
        <item x="23"/>
        <item x="14"/>
        <item x="636"/>
        <item x="9"/>
        <item x="0"/>
        <item x="5"/>
        <item x="8"/>
        <item x="26"/>
        <item x="25"/>
        <item x="12"/>
        <item x="634"/>
        <item x="11"/>
        <item x="563"/>
        <item x="4"/>
        <item x="7"/>
        <item x="633"/>
        <item x="27"/>
        <item x="30"/>
        <item x="24"/>
        <item x="13"/>
        <item x="632"/>
        <item x="10"/>
        <item x="562"/>
        <item x="2"/>
        <item x="312"/>
        <item x="409"/>
        <item x="375"/>
        <item x="323"/>
        <item x="315"/>
        <item x="397"/>
        <item x="411"/>
        <item x="402"/>
        <item x="416"/>
        <item x="803"/>
        <item x="804"/>
        <item x="805"/>
        <item x="504"/>
        <item x="498"/>
        <item x="492"/>
        <item x="499"/>
        <item x="493"/>
        <item x="502"/>
        <item x="496"/>
        <item x="490"/>
        <item x="501"/>
        <item x="495"/>
        <item x="503"/>
        <item x="497"/>
        <item x="491"/>
        <item x="500"/>
        <item x="494"/>
        <item x="403"/>
        <item x="525"/>
        <item x="244"/>
        <item x="236"/>
        <item x="239"/>
        <item x="547"/>
        <item x="243"/>
        <item x="238"/>
        <item x="240"/>
        <item x="246"/>
        <item x="571"/>
        <item x="237"/>
        <item x="241"/>
        <item x="565"/>
        <item x="553"/>
        <item x="190"/>
        <item x="253"/>
        <item x="257"/>
        <item x="256"/>
        <item x="546"/>
        <item x="545"/>
        <item x="252"/>
        <item x="544"/>
        <item x="258"/>
        <item x="691"/>
        <item x="255"/>
        <item x="249"/>
        <item x="695"/>
        <item x="694"/>
        <item x="693"/>
        <item x="696"/>
        <item x="572"/>
        <item x="251"/>
        <item x="259"/>
        <item x="692"/>
        <item x="254"/>
        <item x="248"/>
        <item x="763"/>
        <item x="199"/>
        <item x="407"/>
        <item x="194"/>
        <item x="468"/>
        <item x="474"/>
        <item x="469"/>
        <item x="466"/>
        <item x="472"/>
        <item x="460"/>
        <item x="471"/>
        <item x="465"/>
        <item x="462"/>
        <item x="463"/>
        <item x="467"/>
        <item x="473"/>
        <item x="461"/>
        <item x="470"/>
        <item x="464"/>
        <item x="415"/>
        <item x="379"/>
        <item x="377"/>
        <item x="185"/>
        <item x="668"/>
        <item x="676"/>
        <item x="161"/>
        <item x="165"/>
        <item x="163"/>
        <item x="160"/>
        <item x="162"/>
        <item x="166"/>
        <item x="164"/>
        <item x="69"/>
        <item x="168"/>
        <item x="400"/>
        <item x="424"/>
        <item x="189"/>
        <item x="59"/>
        <item x="97"/>
        <item x="102"/>
        <item x="19"/>
        <item x="99"/>
        <item x="100"/>
        <item x="105"/>
        <item x="96"/>
        <item x="98"/>
        <item x="101"/>
        <item x="104"/>
        <item x="95"/>
        <item x="523"/>
        <item x="280"/>
        <item x="283"/>
        <item x="539"/>
        <item x="277"/>
        <item x="537"/>
        <item x="281"/>
        <item x="287"/>
        <item x="711"/>
        <item x="284"/>
        <item x="538"/>
        <item x="278"/>
        <item x="709"/>
        <item x="286"/>
        <item x="710"/>
        <item x="708"/>
        <item x="574"/>
        <item x="279"/>
        <item x="285"/>
        <item x="707"/>
        <item x="282"/>
        <item x="564"/>
        <item x="540"/>
        <item x="273"/>
        <item x="528"/>
        <item x="426"/>
        <item x="151"/>
        <item x="435"/>
        <item x="438"/>
        <item x="444"/>
        <item x="441"/>
        <item x="432"/>
        <item x="439"/>
        <item x="445"/>
        <item x="440"/>
        <item x="434"/>
        <item x="433"/>
        <item x="436"/>
        <item x="437"/>
        <item x="443"/>
        <item x="442"/>
        <item x="60"/>
        <item x="405"/>
        <item x="274"/>
        <item x="378"/>
        <item x="671"/>
        <item x="175"/>
        <item x="666"/>
        <item x="394"/>
        <item x="177"/>
        <item x="380"/>
        <item x="428"/>
        <item x="195"/>
        <item x="674"/>
        <item x="715"/>
        <item x="717"/>
        <item x="718"/>
        <item x="716"/>
        <item x="712"/>
        <item x="725"/>
        <item x="724"/>
        <item x="726"/>
        <item x="723"/>
        <item x="714"/>
        <item x="721"/>
        <item x="720"/>
        <item x="722"/>
        <item x="719"/>
        <item x="713"/>
        <item x="184"/>
        <item x="320"/>
        <item x="87"/>
        <item x="93"/>
        <item x="90"/>
        <item x="84"/>
        <item x="88"/>
        <item x="92"/>
        <item x="91"/>
        <item x="85"/>
        <item x="568"/>
        <item x="86"/>
        <item x="94"/>
        <item x="89"/>
        <item x="566"/>
        <item x="406"/>
        <item x="309"/>
        <item x="306"/>
        <item x="303"/>
        <item x="310"/>
        <item x="307"/>
        <item x="300"/>
        <item x="305"/>
        <item x="302"/>
        <item x="304"/>
        <item x="311"/>
        <item x="301"/>
        <item x="183"/>
        <item x="376"/>
        <item x="418"/>
        <item x="112"/>
        <item x="115"/>
        <item x="106"/>
        <item x="110"/>
        <item x="111"/>
        <item x="770"/>
        <item x="116"/>
        <item x="107"/>
        <item x="109"/>
        <item x="772"/>
        <item x="774"/>
        <item x="773"/>
        <item x="771"/>
        <item x="108"/>
        <item x="113"/>
        <item x="775"/>
        <item x="776"/>
        <item x="70"/>
        <item x="389"/>
        <item x="174"/>
        <item x="417"/>
        <item x="392"/>
        <item x="176"/>
        <item x="182"/>
        <item x="54"/>
        <item x="51"/>
        <item x="57"/>
        <item x="18"/>
        <item x="677"/>
        <item x="49"/>
        <item x="678"/>
        <item x="55"/>
        <item x="48"/>
        <item x="679"/>
        <item x="681"/>
        <item x="682"/>
        <item x="680"/>
        <item x="561"/>
        <item x="53"/>
        <item x="558"/>
        <item x="50"/>
        <item x="683"/>
        <item x="56"/>
        <item x="47"/>
        <item x="675"/>
        <item x="67"/>
        <item x="187"/>
        <item x="61"/>
        <item x="329"/>
        <item x="334"/>
        <item x="335"/>
        <item x="328"/>
        <item x="330"/>
        <item x="333"/>
        <item x="325"/>
        <item x="331"/>
        <item x="332"/>
        <item x="337"/>
        <item x="324"/>
        <item x="322"/>
        <item x="228"/>
        <item x="234"/>
        <item x="231"/>
        <item x="225"/>
        <item x="229"/>
        <item x="235"/>
        <item x="230"/>
        <item x="226"/>
        <item x="227"/>
        <item x="233"/>
        <item x="232"/>
        <item x="224"/>
        <item x="552"/>
        <item x="193"/>
        <item x="621"/>
        <item x="622"/>
        <item x="806"/>
        <item x="419"/>
        <item x="767"/>
        <item x="785"/>
        <item x="786"/>
        <item x="790"/>
        <item x="793"/>
        <item x="795"/>
        <item x="769"/>
        <item x="783"/>
        <item x="788"/>
        <item x="791"/>
        <item x="794"/>
        <item x="796"/>
        <item x="768"/>
        <item x="784"/>
        <item x="787"/>
        <item x="789"/>
        <item x="792"/>
        <item x="797"/>
        <item x="191"/>
        <item x="526"/>
        <item x="361"/>
        <item x="350"/>
        <item x="354"/>
        <item x="360"/>
        <item x="521"/>
        <item x="357"/>
        <item x="531"/>
        <item x="351"/>
        <item x="569"/>
        <item x="353"/>
        <item x="359"/>
        <item x="358"/>
        <item x="352"/>
        <item x="314"/>
        <item x="685"/>
        <item x="686"/>
        <item x="687"/>
        <item x="688"/>
        <item x="689"/>
        <item x="690"/>
        <item x="684"/>
        <item x="610"/>
        <item x="615"/>
        <item x="613"/>
        <item x="607"/>
        <item x="617"/>
        <item x="616"/>
        <item x="606"/>
        <item x="593"/>
        <item x="604"/>
        <item x="597"/>
        <item x="192"/>
        <item x="556"/>
        <item x="581"/>
        <item x="583"/>
        <item x="587"/>
        <item x="766"/>
        <item x="588"/>
        <item x="579"/>
        <item x="580"/>
        <item x="584"/>
        <item x="586"/>
        <item x="764"/>
        <item x="589"/>
        <item x="578"/>
        <item x="582"/>
        <item x="555"/>
        <item x="585"/>
        <item x="765"/>
        <item x="590"/>
        <item x="557"/>
        <item x="167"/>
        <item x="801"/>
        <item x="802"/>
        <item x="196"/>
        <item x="648"/>
        <item x="22"/>
        <item x="68"/>
        <item x="527"/>
        <item x="38"/>
        <item x="559"/>
        <item x="46"/>
        <item x="43"/>
        <item x="21"/>
        <item x="40"/>
        <item x="44"/>
        <item x="41"/>
        <item x="560"/>
        <item x="37"/>
        <item x="575"/>
        <item x="39"/>
        <item x="45"/>
        <item x="42"/>
        <item x="36"/>
        <item x="533"/>
        <item x="319"/>
        <item x="646"/>
        <item x="647"/>
        <item x="399"/>
        <item x="425"/>
        <item x="316"/>
        <item x="388"/>
        <item x="451"/>
        <item x="457"/>
        <item x="456"/>
        <item x="448"/>
        <item x="453"/>
        <item x="459"/>
        <item x="454"/>
        <item x="447"/>
        <item x="450"/>
        <item x="650"/>
        <item x="651"/>
        <item x="649"/>
        <item x="446"/>
        <item x="449"/>
        <item x="452"/>
        <item x="458"/>
        <item x="455"/>
        <item x="423"/>
        <item x="20"/>
        <item x="181"/>
        <item x="266"/>
        <item x="262"/>
        <item x="543"/>
        <item x="265"/>
        <item x="267"/>
        <item x="261"/>
        <item x="264"/>
        <item x="542"/>
        <item x="270"/>
        <item x="570"/>
        <item x="268"/>
        <item x="260"/>
        <item x="263"/>
        <item x="269"/>
        <item x="178"/>
        <item x="420"/>
        <item x="524"/>
        <item x="292"/>
        <item x="295"/>
        <item x="535"/>
        <item x="293"/>
        <item x="534"/>
        <item x="299"/>
        <item x="652"/>
        <item x="296"/>
        <item x="290"/>
        <item x="654"/>
        <item x="298"/>
        <item x="655"/>
        <item x="653"/>
        <item x="573"/>
        <item x="291"/>
        <item x="297"/>
        <item x="656"/>
        <item x="294"/>
        <item x="536"/>
        <item x="541"/>
        <item x="272"/>
        <item x="431"/>
        <item x="664"/>
        <item x="381"/>
        <item x="72"/>
        <item x="475"/>
        <item x="487"/>
        <item x="486"/>
        <item x="480"/>
        <item x="483"/>
        <item x="477"/>
        <item x="489"/>
        <item x="484"/>
        <item x="478"/>
        <item x="481"/>
        <item x="482"/>
        <item x="476"/>
        <item x="488"/>
        <item x="485"/>
        <item x="479"/>
        <item x="413"/>
        <item x="393"/>
        <item x="180"/>
        <item x="410"/>
        <item x="387"/>
        <item x="518"/>
        <item x="515"/>
        <item x="509"/>
        <item x="505"/>
        <item x="511"/>
        <item x="517"/>
        <item x="516"/>
        <item x="510"/>
        <item x="506"/>
        <item x="512"/>
        <item x="507"/>
        <item x="513"/>
        <item x="519"/>
        <item x="514"/>
        <item x="508"/>
        <item x="401"/>
        <item x="391"/>
        <item x="665"/>
        <item x="382"/>
        <item x="62"/>
        <item x="318"/>
        <item x="197"/>
        <item x="421"/>
        <item x="64"/>
        <item x="152"/>
        <item x="63"/>
        <item x="390"/>
        <item x="673"/>
        <item x="549"/>
        <item x="216"/>
        <item x="221"/>
        <item x="220"/>
        <item x="217"/>
        <item x="222"/>
        <item x="219"/>
        <item x="214"/>
        <item x="213"/>
        <item x="215"/>
        <item x="548"/>
        <item x="223"/>
        <item x="218"/>
        <item x="212"/>
        <item x="173"/>
        <item x="155"/>
        <item x="156"/>
        <item x="522"/>
        <item x="159"/>
        <item x="16"/>
        <item x="154"/>
        <item x="157"/>
        <item x="520"/>
        <item x="158"/>
        <item x="153"/>
        <item x="699"/>
        <item x="701"/>
        <item x="702"/>
        <item x="700"/>
        <item x="698"/>
        <item x="705"/>
        <item x="703"/>
        <item x="706"/>
        <item x="704"/>
        <item x="697"/>
        <item x="412"/>
        <item x="430"/>
        <item x="383"/>
        <item x="172"/>
        <item x="667"/>
        <item x="203"/>
        <item x="206"/>
        <item x="209"/>
        <item x="551"/>
        <item x="200"/>
        <item x="204"/>
        <item x="207"/>
        <item x="211"/>
        <item x="201"/>
        <item x="550"/>
        <item x="208"/>
        <item x="170"/>
        <item x="169"/>
        <item x="171"/>
        <item x="404"/>
        <item x="398"/>
        <item x="396"/>
        <item x="313"/>
        <item x="386"/>
        <item x="374"/>
        <item x="344"/>
        <item x="349"/>
        <item x="340"/>
        <item x="341"/>
        <item x="345"/>
        <item x="348"/>
        <item x="777"/>
        <item x="339"/>
        <item x="342"/>
        <item x="781"/>
        <item x="779"/>
        <item x="780"/>
        <item x="778"/>
        <item x="567"/>
        <item x="346"/>
        <item x="347"/>
        <item x="782"/>
        <item x="338"/>
        <item x="343"/>
        <item x="532"/>
        <item x="427"/>
        <item x="275"/>
        <item x="75"/>
        <item x="77"/>
        <item x="83"/>
        <item x="15"/>
        <item x="79"/>
        <item x="81"/>
        <item x="758"/>
        <item x="80"/>
        <item x="74"/>
        <item x="759"/>
        <item x="760"/>
        <item x="762"/>
        <item x="761"/>
        <item x="576"/>
        <item x="76"/>
        <item x="78"/>
        <item x="757"/>
        <item x="82"/>
        <item x="73"/>
        <item x="368"/>
        <item x="530"/>
        <item x="362"/>
        <item x="367"/>
        <item x="373"/>
        <item x="529"/>
        <item x="369"/>
        <item x="363"/>
        <item x="662"/>
        <item x="366"/>
        <item x="372"/>
        <item x="657"/>
        <item x="659"/>
        <item x="660"/>
        <item x="658"/>
        <item x="577"/>
        <item x="370"/>
        <item x="364"/>
        <item x="661"/>
        <item x="365"/>
        <item x="371"/>
        <item x="317"/>
        <item x="385"/>
        <item x="384"/>
        <item x="422"/>
        <item x="663"/>
        <item x="429"/>
        <item x="188"/>
        <item x="670"/>
        <item x="746"/>
        <item x="747"/>
        <item x="745"/>
        <item x="748"/>
        <item x="742"/>
        <item x="753"/>
        <item x="756"/>
        <item x="755"/>
        <item x="754"/>
        <item x="744"/>
        <item x="749"/>
        <item x="750"/>
        <item x="752"/>
        <item x="751"/>
        <item x="743"/>
        <item x="669"/>
        <item x="672"/>
        <item x="179"/>
        <item x="17"/>
        <item x="730"/>
        <item x="733"/>
        <item x="732"/>
        <item x="731"/>
        <item x="727"/>
        <item x="741"/>
        <item x="739"/>
        <item x="740"/>
        <item x="738"/>
        <item x="729"/>
        <item x="734"/>
        <item x="736"/>
        <item x="737"/>
        <item x="735"/>
        <item x="728"/>
        <item x="126"/>
        <item x="123"/>
        <item x="117"/>
        <item x="119"/>
        <item x="125"/>
        <item x="124"/>
        <item x="118"/>
        <item x="120"/>
        <item x="121"/>
        <item x="127"/>
        <item x="122"/>
        <item x="58"/>
        <item x="143"/>
        <item x="146"/>
        <item x="149"/>
        <item x="140"/>
        <item x="144"/>
        <item x="554"/>
        <item x="145"/>
        <item x="148"/>
        <item x="141"/>
        <item x="142"/>
        <item x="147"/>
        <item x="150"/>
        <item x="66"/>
        <item x="71"/>
        <item x="408"/>
        <item x="414"/>
        <item x="395"/>
        <item x="807"/>
        <item x="132"/>
        <item x="135"/>
        <item x="134"/>
        <item x="129"/>
        <item x="139"/>
        <item x="137"/>
        <item x="138"/>
        <item x="130"/>
        <item x="131"/>
        <item x="136"/>
        <item x="133"/>
        <item x="128"/>
        <item x="245"/>
        <item x="242"/>
        <item x="247"/>
        <item x="250"/>
        <item x="198"/>
        <item x="103"/>
        <item x="276"/>
        <item x="65"/>
        <item x="308"/>
        <item x="114"/>
        <item x="52"/>
        <item x="336"/>
        <item x="326"/>
        <item x="355"/>
        <item x="356"/>
        <item x="271"/>
        <item x="289"/>
        <item x="288"/>
        <item x="205"/>
        <item x="210"/>
        <item x="202"/>
        <item x="321"/>
        <item x="917"/>
        <item x="880"/>
        <item x="910"/>
        <item x="946"/>
        <item x="905"/>
        <item x="883"/>
        <item x="916"/>
        <item x="897"/>
        <item x="878"/>
        <item x="902"/>
        <item x="907"/>
        <item x="884"/>
        <item x="909"/>
        <item x="893"/>
        <item x="914"/>
        <item x="912"/>
        <item x="940"/>
        <item x="906"/>
        <item x="933"/>
        <item x="932"/>
        <item x="908"/>
        <item x="886"/>
        <item x="898"/>
        <item x="876"/>
        <item x="960"/>
        <item x="955"/>
        <item x="938"/>
        <item x="915"/>
        <item x="874"/>
        <item x="921"/>
        <item x="931"/>
        <item x="943"/>
        <item x="889"/>
        <item x="881"/>
        <item x="950"/>
        <item x="956"/>
        <item x="939"/>
        <item x="870"/>
        <item x="850"/>
        <item x="925"/>
        <item x="930"/>
        <item x="866"/>
        <item x="798"/>
        <item x="799"/>
        <item x="620"/>
        <item x="601"/>
        <item x="609"/>
        <item x="618"/>
        <item x="614"/>
        <item x="608"/>
        <item x="611"/>
        <item x="619"/>
        <item x="612"/>
        <item x="594"/>
        <item x="599"/>
        <item x="600"/>
        <item x="605"/>
        <item x="595"/>
        <item x="598"/>
        <item x="603"/>
        <item x="592"/>
        <item x="596"/>
        <item x="602"/>
        <item x="591"/>
        <item x="800"/>
        <item x="899"/>
        <item x="879"/>
        <item x="919"/>
        <item x="913"/>
        <item x="875"/>
        <item x="872"/>
        <item x="918"/>
        <item x="944"/>
        <item x="942"/>
        <item x="900"/>
        <item x="894"/>
        <item x="904"/>
        <item x="890"/>
        <item x="895"/>
        <item x="828"/>
        <item x="830"/>
        <item x="829"/>
        <item x="861"/>
        <item x="862"/>
        <item x="863"/>
        <item x="891"/>
        <item x="896"/>
        <item x="941"/>
        <item x="953"/>
        <item x="936"/>
        <item x="869"/>
        <item x="825"/>
        <item x="827"/>
        <item x="826"/>
        <item x="842"/>
        <item x="924"/>
        <item x="928"/>
        <item x="853"/>
        <item x="959"/>
        <item x="951"/>
        <item x="937"/>
        <item x="809"/>
        <item x="867"/>
        <item x="958"/>
        <item x="810"/>
        <item x="831"/>
        <item x="833"/>
        <item x="832"/>
        <item x="813"/>
        <item x="815"/>
        <item x="814"/>
        <item x="837"/>
        <item x="839"/>
        <item x="838"/>
        <item x="844"/>
        <item x="846"/>
        <item x="845"/>
        <item x="819"/>
        <item x="821"/>
        <item x="820"/>
        <item x="812"/>
        <item x="840"/>
        <item x="854"/>
        <item x="858"/>
        <item x="857"/>
        <item x="835"/>
        <item x="836"/>
        <item x="834"/>
        <item x="843"/>
        <item x="841"/>
        <item x="848"/>
        <item x="849"/>
        <item x="847"/>
        <item x="920"/>
        <item x="926"/>
        <item x="852"/>
        <item x="957"/>
        <item x="856"/>
        <item x="855"/>
        <item x="851"/>
        <item x="903"/>
        <item x="962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42">
        <item x="1"/>
        <item x="19"/>
        <item x="5"/>
        <item x="26"/>
        <item x="23"/>
        <item x="14"/>
        <item x="4"/>
        <item x="40"/>
        <item x="11"/>
        <item x="0"/>
        <item x="17"/>
        <item x="20"/>
        <item x="15"/>
        <item x="21"/>
        <item x="34"/>
        <item x="27"/>
        <item x="36"/>
        <item x="35"/>
        <item x="38"/>
        <item x="33"/>
        <item x="37"/>
        <item x="22"/>
        <item x="13"/>
        <item x="12"/>
        <item x="18"/>
        <item x="8"/>
        <item x="2"/>
        <item x="16"/>
        <item x="10"/>
        <item x="39"/>
        <item x="31"/>
        <item x="28"/>
        <item x="24"/>
        <item x="29"/>
        <item x="7"/>
        <item x="9"/>
        <item x="25"/>
        <item x="30"/>
        <item x="6"/>
        <item x="3"/>
        <item x="32"/>
        <item x="41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32">
        <item h="1" x="0"/>
        <item h="1" x="31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20">
    <i>
      <x v="949"/>
    </i>
    <i>
      <x v="582"/>
    </i>
    <i>
      <x v="935"/>
    </i>
    <i>
      <x v="929"/>
    </i>
    <i>
      <x v="937"/>
    </i>
    <i>
      <x v="931"/>
    </i>
    <i>
      <x v="310"/>
    </i>
    <i>
      <x v="933"/>
    </i>
    <i>
      <x v="934"/>
    </i>
    <i>
      <x v="941"/>
    </i>
    <i>
      <x v="524"/>
    </i>
    <i>
      <x v="930"/>
    </i>
    <i>
      <x v="950"/>
    </i>
    <i>
      <x v="523"/>
    </i>
    <i>
      <x v="658"/>
    </i>
    <i>
      <x v="527"/>
    </i>
    <i>
      <x v="936"/>
    </i>
    <i>
      <x v="942"/>
    </i>
    <i>
      <x v="340"/>
    </i>
    <i>
      <x v="12"/>
    </i>
    <i>
      <x v="101"/>
    </i>
    <i>
      <x v="952"/>
    </i>
    <i>
      <x v="660"/>
    </i>
    <i>
      <x v="490"/>
    </i>
    <i>
      <x v="528"/>
    </i>
    <i>
      <x v="657"/>
    </i>
    <i>
      <x v="572"/>
    </i>
    <i>
      <x v="307"/>
    </i>
    <i>
      <x v="661"/>
    </i>
    <i>
      <x v="953"/>
    </i>
    <i>
      <x v="100"/>
    </i>
    <i>
      <x v="487"/>
    </i>
    <i>
      <x v="267"/>
    </i>
    <i>
      <x v="751"/>
    </i>
    <i>
      <x v="346"/>
    </i>
    <i>
      <x v="331"/>
    </i>
    <i>
      <x v="859"/>
    </i>
    <i>
      <x v="293"/>
    </i>
    <i>
      <x v="574"/>
    </i>
    <i>
      <x v="492"/>
    </i>
    <i>
      <x v="269"/>
    </i>
    <i>
      <x v="734"/>
    </i>
    <i>
      <x v="729"/>
    </i>
    <i>
      <x v="753"/>
    </i>
    <i>
      <x v="491"/>
    </i>
    <i>
      <x v="332"/>
    </i>
    <i>
      <x v="542"/>
    </i>
    <i>
      <x v="568"/>
    </i>
    <i>
      <x v="946"/>
    </i>
    <i>
      <x v="264"/>
    </i>
    <i>
      <x v="167"/>
    </i>
    <i>
      <x v="152"/>
    </i>
    <i>
      <x v="746"/>
    </i>
    <i>
      <x v="748"/>
    </i>
    <i>
      <x v="178"/>
    </i>
    <i>
      <x v="309"/>
    </i>
    <i>
      <x v="311"/>
    </i>
    <i>
      <x v="259"/>
    </i>
    <i>
      <x v="724"/>
    </i>
    <i>
      <x v="489"/>
    </i>
    <i>
      <x v="723"/>
    </i>
    <i>
      <x v="258"/>
    </i>
    <i>
      <x v="169"/>
    </i>
    <i>
      <x v="496"/>
    </i>
    <i>
      <x v="551"/>
    </i>
    <i>
      <x v="142"/>
    </i>
    <i>
      <x v="947"/>
    </i>
    <i>
      <x v="573"/>
    </i>
    <i>
      <x v="948"/>
    </i>
    <i>
      <x v="212"/>
    </i>
    <i>
      <x v="526"/>
    </i>
    <i>
      <x v="659"/>
    </i>
    <i>
      <x v="334"/>
    </i>
    <i>
      <x v="665"/>
    </i>
    <i>
      <x v="743"/>
    </i>
    <i>
      <x v="83"/>
    </i>
    <i>
      <x v="301"/>
    </i>
    <i>
      <x v="261"/>
    </i>
    <i>
      <x v="541"/>
    </i>
    <i>
      <x v="742"/>
    </i>
    <i>
      <x v="499"/>
    </i>
    <i>
      <x v="493"/>
    </i>
    <i>
      <x v="726"/>
    </i>
    <i>
      <x v="745"/>
    </i>
    <i>
      <x v="494"/>
    </i>
    <i>
      <x v="664"/>
    </i>
    <i>
      <x v="316"/>
    </i>
    <i>
      <x v="333"/>
    </i>
    <i>
      <x v="669"/>
    </i>
    <i>
      <x v="308"/>
    </i>
    <i>
      <x v="314"/>
    </i>
    <i>
      <x v="725"/>
    </i>
    <i>
      <x v="341"/>
    </i>
    <i>
      <x v="336"/>
    </i>
    <i>
      <x v="266"/>
    </i>
    <i>
      <x v="338"/>
    </i>
    <i>
      <x v="209"/>
    </i>
    <i>
      <x v="318"/>
    </i>
    <i>
      <x v="339"/>
    </i>
    <i>
      <x v="733"/>
    </i>
    <i>
      <x v="268"/>
    </i>
    <i>
      <x v="313"/>
    </i>
    <i>
      <x v="727"/>
    </i>
    <i>
      <x v="754"/>
    </i>
    <i>
      <x v="263"/>
    </i>
    <i>
      <x v="749"/>
    </i>
    <i>
      <x v="265"/>
    </i>
    <i>
      <x v="915"/>
    </i>
    <i>
      <x v="744"/>
    </i>
    <i>
      <x v="735"/>
    </i>
    <i>
      <x v="730"/>
    </i>
    <i>
      <x v="344"/>
    </i>
    <i>
      <x v="750"/>
    </i>
    <i>
      <x v="270"/>
    </i>
    <i>
      <x v="140"/>
    </i>
    <i>
      <x v="951"/>
    </i>
    <i>
      <x v="260"/>
    </i>
    <i>
      <x v="747"/>
    </i>
    <i>
      <x v="932"/>
    </i>
    <i>
      <x v="752"/>
    </i>
  </rowItems>
  <colFields count="2">
    <field x="0"/>
    <field x="-2"/>
  </colFields>
  <colItems count="4">
    <i>
      <x/>
      <x/>
    </i>
    <i r="1" i="1">
      <x v="1"/>
    </i>
    <i>
      <x v="1"/>
      <x/>
    </i>
    <i r="1" i="1">
      <x v="1"/>
    </i>
  </colItems>
  <pageFields count="1">
    <pageField fld="30" hier="-1"/>
  </pageFields>
  <dataFields count="2">
    <dataField name="Sum of Conversion" fld="17" baseField="0" baseItem="0"/>
    <dataField name="Sum of Cost" fld="18" baseField="0" baseItem="0"/>
  </dataFields>
  <formats count="4">
    <format dxfId="30">
      <pivotArea outline="0" collapsedLevelsAreSubtotals="1" fieldPosition="0"/>
    </format>
    <format dxfId="31">
      <pivotArea dataOnly="0" labelOnly="1" grandRow="1" outline="0" fieldPosition="0"/>
    </format>
    <format dxfId="32">
      <pivotArea dataOnly="0" labelOnly="1" outline="0" fieldPosition="0">
        <references count="1">
          <reference field="0" count="1">
            <x v="0"/>
          </reference>
        </references>
      </pivotArea>
    </format>
    <format dxfId="33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8788EB-D5B7-6C4C-972A-A74BD31B7A3F}" name="PivotTable26" cacheId="10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Q1:U34" firstHeaderRow="1" firstDataRow="3" firstDataCol="1"/>
  <pivotFields count="32">
    <pivotField axis="axisCol" compact="0" outline="0" showAll="0" defaultSubtotal="0">
      <items count="3">
        <item x="1"/>
        <item x="0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42">
        <item x="1"/>
        <item x="19"/>
        <item x="5"/>
        <item x="26"/>
        <item x="23"/>
        <item x="14"/>
        <item x="4"/>
        <item x="40"/>
        <item x="11"/>
        <item x="0"/>
        <item x="17"/>
        <item x="20"/>
        <item x="15"/>
        <item x="21"/>
        <item x="34"/>
        <item x="27"/>
        <item x="36"/>
        <item x="35"/>
        <item x="38"/>
        <item x="33"/>
        <item x="37"/>
        <item x="22"/>
        <item x="13"/>
        <item x="12"/>
        <item x="18"/>
        <item x="8"/>
        <item x="2"/>
        <item x="16"/>
        <item x="10"/>
        <item x="39"/>
        <item x="31"/>
        <item x="28"/>
        <item x="24"/>
        <item x="29"/>
        <item x="7"/>
        <item x="9"/>
        <item x="25"/>
        <item x="30"/>
        <item x="6"/>
        <item x="3"/>
        <item x="32"/>
        <item x="41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2">
        <item x="0"/>
        <item x="3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0"/>
  </rowFields>
  <rowItems count="31">
    <i>
      <x v="4"/>
    </i>
    <i>
      <x v="15"/>
    </i>
    <i>
      <x v="23"/>
    </i>
    <i>
      <x v="30"/>
    </i>
    <i>
      <x v="13"/>
    </i>
    <i>
      <x v="27"/>
    </i>
    <i>
      <x v="21"/>
    </i>
    <i>
      <x v="31"/>
    </i>
    <i>
      <x v="26"/>
    </i>
    <i>
      <x v="28"/>
    </i>
    <i>
      <x v="7"/>
    </i>
    <i>
      <x v="3"/>
    </i>
    <i>
      <x v="14"/>
    </i>
    <i>
      <x/>
    </i>
    <i>
      <x v="24"/>
    </i>
    <i>
      <x v="9"/>
    </i>
    <i>
      <x v="5"/>
    </i>
    <i>
      <x v="8"/>
    </i>
    <i>
      <x v="11"/>
    </i>
    <i>
      <x v="18"/>
    </i>
    <i>
      <x v="10"/>
    </i>
    <i>
      <x v="19"/>
    </i>
    <i>
      <x v="25"/>
    </i>
    <i>
      <x v="20"/>
    </i>
    <i>
      <x v="12"/>
    </i>
    <i>
      <x v="29"/>
    </i>
    <i>
      <x v="17"/>
    </i>
    <i>
      <x v="6"/>
    </i>
    <i>
      <x v="2"/>
    </i>
    <i>
      <x v="22"/>
    </i>
    <i>
      <x v="16"/>
    </i>
  </rowItems>
  <colFields count="2">
    <field x="0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Sum of Conversion" fld="17" baseField="0" baseItem="0"/>
    <dataField name="Sum of Cost" fld="18" baseField="0" baseItem="0"/>
  </dataFields>
  <formats count="4">
    <format dxfId="42">
      <pivotArea outline="0" collapsedLevelsAreSubtotals="1" fieldPosition="0"/>
    </format>
    <format dxfId="43">
      <pivotArea dataOnly="0" labelOnly="1" grandRow="1" outline="0" fieldPosition="0"/>
    </format>
    <format dxfId="44">
      <pivotArea dataOnly="0" labelOnly="1" outline="0" fieldPosition="0">
        <references count="1">
          <reference field="0" count="1">
            <x v="0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98D7B-9C2F-A640-82CD-761EDEF2FA13}" name="PivotTable25" cacheId="10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I1:M44" firstHeaderRow="1" firstDataRow="3" firstDataCol="1"/>
  <pivotFields count="32">
    <pivotField axis="axisCol" compact="0" outline="0" showAll="0" defaultSubtotal="0">
      <items count="3">
        <item x="1"/>
        <item x="0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42">
        <item x="1"/>
        <item x="19"/>
        <item x="5"/>
        <item x="26"/>
        <item x="23"/>
        <item x="14"/>
        <item x="4"/>
        <item x="40"/>
        <item x="11"/>
        <item x="0"/>
        <item x="17"/>
        <item x="20"/>
        <item x="15"/>
        <item x="21"/>
        <item x="34"/>
        <item x="27"/>
        <item x="36"/>
        <item x="35"/>
        <item x="38"/>
        <item x="33"/>
        <item x="37"/>
        <item x="22"/>
        <item x="13"/>
        <item x="12"/>
        <item x="18"/>
        <item x="8"/>
        <item x="2"/>
        <item x="16"/>
        <item x="10"/>
        <item x="39"/>
        <item x="31"/>
        <item x="28"/>
        <item x="24"/>
        <item x="29"/>
        <item x="7"/>
        <item x="9"/>
        <item x="25"/>
        <item x="30"/>
        <item x="6"/>
        <item x="3"/>
        <item x="32"/>
        <item x="41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32">
        <item x="0"/>
        <item x="3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9"/>
  </rowFields>
  <rowItems count="41">
    <i>
      <x v="39"/>
    </i>
    <i>
      <x v="9"/>
    </i>
    <i>
      <x v="10"/>
    </i>
    <i>
      <x v="6"/>
    </i>
    <i>
      <x v="28"/>
    </i>
    <i>
      <x v="26"/>
    </i>
    <i>
      <x v="23"/>
    </i>
    <i>
      <x v="2"/>
    </i>
    <i>
      <x v="12"/>
    </i>
    <i>
      <x v="20"/>
    </i>
    <i>
      <x v="22"/>
    </i>
    <i>
      <x v="38"/>
    </i>
    <i>
      <x v="8"/>
    </i>
    <i>
      <x v="27"/>
    </i>
    <i>
      <x v="1"/>
    </i>
    <i>
      <x v="5"/>
    </i>
    <i>
      <x v="24"/>
    </i>
    <i>
      <x v="11"/>
    </i>
    <i>
      <x v="32"/>
    </i>
    <i>
      <x v="13"/>
    </i>
    <i>
      <x v="21"/>
    </i>
    <i>
      <x v="37"/>
    </i>
    <i>
      <x v="30"/>
    </i>
    <i>
      <x v="3"/>
    </i>
    <i>
      <x v="36"/>
    </i>
    <i>
      <x v="4"/>
    </i>
    <i>
      <x v="16"/>
    </i>
    <i>
      <x v="15"/>
    </i>
    <i>
      <x v="33"/>
    </i>
    <i>
      <x v="14"/>
    </i>
    <i>
      <x v="40"/>
    </i>
    <i>
      <x v="25"/>
    </i>
    <i>
      <x v="34"/>
    </i>
    <i>
      <x v="19"/>
    </i>
    <i>
      <x v="17"/>
    </i>
    <i>
      <x v="31"/>
    </i>
    <i>
      <x v="29"/>
    </i>
    <i>
      <x v="7"/>
    </i>
    <i>
      <x v="18"/>
    </i>
    <i>
      <x v="35"/>
    </i>
    <i>
      <x/>
    </i>
  </rowItems>
  <colFields count="2">
    <field x="0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Sum of Conversion" fld="17" baseField="0" baseItem="0"/>
    <dataField name="Sum of Cost" fld="18" baseField="0" baseItem="0"/>
  </dataFields>
  <formats count="4">
    <format dxfId="58">
      <pivotArea outline="0" collapsedLevelsAreSubtotals="1" fieldPosition="0"/>
    </format>
    <format dxfId="59">
      <pivotArea dataOnly="0" labelOnly="1" grandRow="1" outline="0" fieldPosition="0"/>
    </format>
    <format dxfId="60">
      <pivotArea dataOnly="0" labelOnly="1" outline="0" fieldPosition="0">
        <references count="1">
          <reference field="0" count="1">
            <x v="0"/>
          </reference>
        </references>
      </pivotArea>
    </format>
    <format dxfId="61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BF0AB-9BFA-5E4E-9B05-EC03C7B4A0EB}" name="PivotTable11" cacheId="10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E8" firstHeaderRow="1" firstDataRow="3" firstDataCol="1"/>
  <pivotFields count="32">
    <pivotField axis="axisCol" compact="0" outline="0" showAll="0" defaultSubtotal="0">
      <items count="3">
        <item x="1"/>
        <item x="0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32">
        <item x="0"/>
        <item x="3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1"/>
  </rowFields>
  <rowItems count="3">
    <i>
      <x/>
    </i>
    <i>
      <x v="1"/>
    </i>
    <i>
      <x v="2"/>
    </i>
  </rowItems>
  <colFields count="2">
    <field x="0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Sum of Conversion" fld="17" baseField="0" baseItem="0"/>
    <dataField name="Sum of Cost" fld="18" baseField="0" baseItem="0"/>
  </dataFields>
  <formats count="4">
    <format dxfId="82">
      <pivotArea outline="0" collapsedLevelsAreSubtotals="1" fieldPosition="0"/>
    </format>
    <format dxfId="83">
      <pivotArea dataOnly="0" labelOnly="1" grandRow="1" outline="0" fieldPosition="0"/>
    </format>
    <format dxfId="63">
      <pivotArea dataOnly="0" labelOnly="1" outline="0" fieldPosition="0">
        <references count="1">
          <reference field="0" count="1">
            <x v="0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E22ED-B052-504C-8EC1-1D52C4BBD47A}" name="PivotTable30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0:R33" firstHeaderRow="0" firstDataRow="1" firstDataCol="1" rowPageCount="1" colPageCount="1"/>
  <pivotFields count="30">
    <pivotField showAll="0"/>
    <pivotField showAll="0"/>
    <pivotField axis="axisRow" showAll="0">
      <items count="963">
        <item x="327"/>
        <item x="882"/>
        <item x="945"/>
        <item x="954"/>
        <item x="934"/>
        <item x="868"/>
        <item x="901"/>
        <item x="923"/>
        <item x="929"/>
        <item x="865"/>
        <item x="949"/>
        <item x="822"/>
        <item x="824"/>
        <item x="823"/>
        <item x="859"/>
        <item x="892"/>
        <item x="888"/>
        <item x="961"/>
        <item x="877"/>
        <item x="887"/>
        <item x="952"/>
        <item x="935"/>
        <item x="811"/>
        <item x="816"/>
        <item x="818"/>
        <item x="817"/>
        <item x="860"/>
        <item x="871"/>
        <item x="922"/>
        <item x="927"/>
        <item x="864"/>
        <item x="948"/>
        <item x="885"/>
        <item x="911"/>
        <item x="873"/>
        <item x="947"/>
        <item x="808"/>
        <item x="186"/>
        <item x="641"/>
        <item x="640"/>
        <item x="643"/>
        <item x="642"/>
        <item x="639"/>
        <item x="638"/>
        <item x="645"/>
        <item x="644"/>
        <item x="35"/>
        <item x="626"/>
        <item x="630"/>
        <item x="628"/>
        <item x="625"/>
        <item x="32"/>
        <item x="34"/>
        <item x="627"/>
        <item x="631"/>
        <item x="629"/>
        <item x="624"/>
        <item x="33"/>
        <item x="623"/>
        <item x="635"/>
        <item x="31"/>
        <item x="1"/>
        <item x="3"/>
        <item x="6"/>
        <item x="637"/>
        <item x="28"/>
        <item x="29"/>
        <item x="23"/>
        <item x="14"/>
        <item x="636"/>
        <item x="9"/>
        <item x="0"/>
        <item x="5"/>
        <item x="8"/>
        <item x="26"/>
        <item x="25"/>
        <item x="12"/>
        <item x="634"/>
        <item x="11"/>
        <item x="563"/>
        <item x="4"/>
        <item x="7"/>
        <item x="633"/>
        <item x="27"/>
        <item x="30"/>
        <item x="24"/>
        <item x="13"/>
        <item x="632"/>
        <item x="10"/>
        <item x="562"/>
        <item x="2"/>
        <item x="312"/>
        <item x="409"/>
        <item x="375"/>
        <item x="323"/>
        <item x="315"/>
        <item x="397"/>
        <item x="411"/>
        <item x="402"/>
        <item x="416"/>
        <item x="803"/>
        <item x="804"/>
        <item x="805"/>
        <item x="504"/>
        <item x="498"/>
        <item x="492"/>
        <item x="499"/>
        <item x="493"/>
        <item x="502"/>
        <item x="496"/>
        <item x="490"/>
        <item x="501"/>
        <item x="495"/>
        <item x="503"/>
        <item x="497"/>
        <item x="491"/>
        <item x="500"/>
        <item x="494"/>
        <item x="403"/>
        <item x="525"/>
        <item x="244"/>
        <item x="236"/>
        <item x="239"/>
        <item x="547"/>
        <item x="243"/>
        <item x="238"/>
        <item x="240"/>
        <item x="246"/>
        <item x="571"/>
        <item x="237"/>
        <item x="241"/>
        <item x="565"/>
        <item x="553"/>
        <item x="190"/>
        <item x="253"/>
        <item x="257"/>
        <item x="256"/>
        <item x="546"/>
        <item x="545"/>
        <item x="252"/>
        <item x="544"/>
        <item x="258"/>
        <item x="691"/>
        <item x="255"/>
        <item x="249"/>
        <item x="695"/>
        <item x="694"/>
        <item x="693"/>
        <item x="696"/>
        <item x="572"/>
        <item x="251"/>
        <item x="259"/>
        <item x="692"/>
        <item x="254"/>
        <item x="248"/>
        <item x="763"/>
        <item x="199"/>
        <item x="407"/>
        <item x="194"/>
        <item x="468"/>
        <item x="474"/>
        <item x="469"/>
        <item x="466"/>
        <item x="472"/>
        <item x="460"/>
        <item x="471"/>
        <item x="465"/>
        <item x="462"/>
        <item x="463"/>
        <item x="467"/>
        <item x="473"/>
        <item x="461"/>
        <item x="470"/>
        <item x="464"/>
        <item x="415"/>
        <item x="379"/>
        <item x="377"/>
        <item x="185"/>
        <item x="668"/>
        <item x="676"/>
        <item x="161"/>
        <item x="165"/>
        <item x="163"/>
        <item x="160"/>
        <item x="162"/>
        <item x="166"/>
        <item x="164"/>
        <item x="69"/>
        <item x="168"/>
        <item x="400"/>
        <item x="424"/>
        <item x="189"/>
        <item x="59"/>
        <item x="97"/>
        <item x="102"/>
        <item x="19"/>
        <item x="99"/>
        <item x="100"/>
        <item x="105"/>
        <item x="96"/>
        <item x="98"/>
        <item x="101"/>
        <item x="104"/>
        <item x="95"/>
        <item x="523"/>
        <item x="280"/>
        <item x="283"/>
        <item x="539"/>
        <item x="277"/>
        <item x="537"/>
        <item x="281"/>
        <item x="287"/>
        <item x="711"/>
        <item x="284"/>
        <item x="538"/>
        <item x="278"/>
        <item x="709"/>
        <item x="286"/>
        <item x="710"/>
        <item x="708"/>
        <item x="574"/>
        <item x="279"/>
        <item x="285"/>
        <item x="707"/>
        <item x="282"/>
        <item x="564"/>
        <item x="540"/>
        <item x="273"/>
        <item x="528"/>
        <item x="426"/>
        <item x="151"/>
        <item x="435"/>
        <item x="438"/>
        <item x="444"/>
        <item x="441"/>
        <item x="432"/>
        <item x="439"/>
        <item x="445"/>
        <item x="440"/>
        <item x="434"/>
        <item x="433"/>
        <item x="436"/>
        <item x="437"/>
        <item x="443"/>
        <item x="442"/>
        <item x="60"/>
        <item x="405"/>
        <item x="274"/>
        <item x="378"/>
        <item x="671"/>
        <item x="175"/>
        <item x="666"/>
        <item x="394"/>
        <item x="177"/>
        <item x="380"/>
        <item x="428"/>
        <item x="195"/>
        <item x="674"/>
        <item x="715"/>
        <item x="717"/>
        <item x="718"/>
        <item x="716"/>
        <item x="712"/>
        <item x="725"/>
        <item x="724"/>
        <item x="726"/>
        <item x="723"/>
        <item x="714"/>
        <item x="721"/>
        <item x="720"/>
        <item x="722"/>
        <item x="719"/>
        <item x="713"/>
        <item x="184"/>
        <item x="320"/>
        <item x="87"/>
        <item x="93"/>
        <item x="90"/>
        <item x="84"/>
        <item x="88"/>
        <item x="92"/>
        <item x="91"/>
        <item x="85"/>
        <item x="568"/>
        <item x="86"/>
        <item x="94"/>
        <item x="89"/>
        <item x="566"/>
        <item x="406"/>
        <item x="309"/>
        <item x="306"/>
        <item x="303"/>
        <item x="310"/>
        <item x="307"/>
        <item x="300"/>
        <item x="305"/>
        <item x="302"/>
        <item x="304"/>
        <item x="311"/>
        <item x="301"/>
        <item x="183"/>
        <item x="376"/>
        <item x="418"/>
        <item x="112"/>
        <item x="115"/>
        <item x="106"/>
        <item x="110"/>
        <item x="111"/>
        <item x="770"/>
        <item x="116"/>
        <item x="107"/>
        <item x="109"/>
        <item x="772"/>
        <item x="774"/>
        <item x="773"/>
        <item x="771"/>
        <item x="108"/>
        <item x="113"/>
        <item x="775"/>
        <item x="776"/>
        <item x="70"/>
        <item x="389"/>
        <item x="174"/>
        <item x="417"/>
        <item x="392"/>
        <item x="176"/>
        <item x="182"/>
        <item x="54"/>
        <item x="51"/>
        <item x="57"/>
        <item x="18"/>
        <item x="677"/>
        <item x="49"/>
        <item x="678"/>
        <item x="55"/>
        <item x="48"/>
        <item x="679"/>
        <item x="681"/>
        <item x="682"/>
        <item x="680"/>
        <item x="561"/>
        <item x="53"/>
        <item x="558"/>
        <item x="50"/>
        <item x="683"/>
        <item x="56"/>
        <item x="47"/>
        <item x="675"/>
        <item x="67"/>
        <item x="187"/>
        <item x="61"/>
        <item x="329"/>
        <item x="334"/>
        <item x="335"/>
        <item x="328"/>
        <item x="330"/>
        <item x="333"/>
        <item x="325"/>
        <item x="331"/>
        <item x="332"/>
        <item x="337"/>
        <item x="324"/>
        <item x="322"/>
        <item x="228"/>
        <item x="234"/>
        <item x="231"/>
        <item x="225"/>
        <item x="229"/>
        <item x="235"/>
        <item x="230"/>
        <item x="226"/>
        <item x="227"/>
        <item x="233"/>
        <item x="232"/>
        <item x="224"/>
        <item x="552"/>
        <item x="193"/>
        <item x="621"/>
        <item x="622"/>
        <item x="806"/>
        <item x="419"/>
        <item x="767"/>
        <item x="785"/>
        <item x="786"/>
        <item x="790"/>
        <item x="793"/>
        <item x="795"/>
        <item x="769"/>
        <item x="783"/>
        <item x="788"/>
        <item x="791"/>
        <item x="794"/>
        <item x="796"/>
        <item x="768"/>
        <item x="784"/>
        <item x="787"/>
        <item x="789"/>
        <item x="792"/>
        <item x="797"/>
        <item x="191"/>
        <item x="526"/>
        <item x="361"/>
        <item x="350"/>
        <item x="354"/>
        <item x="360"/>
        <item x="521"/>
        <item x="357"/>
        <item x="531"/>
        <item x="351"/>
        <item x="569"/>
        <item x="353"/>
        <item x="359"/>
        <item x="358"/>
        <item x="352"/>
        <item x="314"/>
        <item x="685"/>
        <item x="686"/>
        <item x="687"/>
        <item x="688"/>
        <item x="689"/>
        <item x="690"/>
        <item x="684"/>
        <item x="610"/>
        <item x="615"/>
        <item x="613"/>
        <item x="607"/>
        <item x="617"/>
        <item x="616"/>
        <item x="606"/>
        <item x="593"/>
        <item x="604"/>
        <item x="597"/>
        <item x="192"/>
        <item x="556"/>
        <item x="581"/>
        <item x="583"/>
        <item x="587"/>
        <item x="766"/>
        <item x="588"/>
        <item x="579"/>
        <item x="580"/>
        <item x="584"/>
        <item x="586"/>
        <item x="764"/>
        <item x="589"/>
        <item x="578"/>
        <item x="582"/>
        <item x="555"/>
        <item x="585"/>
        <item x="765"/>
        <item x="590"/>
        <item x="557"/>
        <item x="167"/>
        <item x="801"/>
        <item x="802"/>
        <item x="196"/>
        <item x="648"/>
        <item x="22"/>
        <item x="68"/>
        <item x="527"/>
        <item x="38"/>
        <item x="559"/>
        <item x="46"/>
        <item x="43"/>
        <item x="21"/>
        <item x="40"/>
        <item x="44"/>
        <item x="41"/>
        <item x="560"/>
        <item x="37"/>
        <item x="575"/>
        <item x="39"/>
        <item x="45"/>
        <item x="42"/>
        <item x="36"/>
        <item x="533"/>
        <item x="319"/>
        <item x="646"/>
        <item x="647"/>
        <item x="399"/>
        <item x="425"/>
        <item x="316"/>
        <item x="388"/>
        <item x="451"/>
        <item x="457"/>
        <item x="456"/>
        <item x="448"/>
        <item x="453"/>
        <item x="459"/>
        <item x="454"/>
        <item x="447"/>
        <item x="450"/>
        <item x="650"/>
        <item x="651"/>
        <item x="649"/>
        <item x="446"/>
        <item x="449"/>
        <item x="452"/>
        <item x="458"/>
        <item x="455"/>
        <item x="423"/>
        <item x="20"/>
        <item x="181"/>
        <item x="266"/>
        <item x="262"/>
        <item x="543"/>
        <item x="265"/>
        <item x="267"/>
        <item x="261"/>
        <item x="264"/>
        <item x="542"/>
        <item x="270"/>
        <item x="570"/>
        <item x="268"/>
        <item x="260"/>
        <item x="263"/>
        <item x="269"/>
        <item x="178"/>
        <item x="420"/>
        <item x="524"/>
        <item x="292"/>
        <item x="295"/>
        <item x="535"/>
        <item x="293"/>
        <item x="534"/>
        <item x="299"/>
        <item x="652"/>
        <item x="296"/>
        <item x="290"/>
        <item x="654"/>
        <item x="298"/>
        <item x="655"/>
        <item x="653"/>
        <item x="573"/>
        <item x="291"/>
        <item x="297"/>
        <item x="656"/>
        <item x="294"/>
        <item x="536"/>
        <item x="541"/>
        <item x="272"/>
        <item x="431"/>
        <item x="664"/>
        <item x="381"/>
        <item x="72"/>
        <item x="475"/>
        <item x="487"/>
        <item x="486"/>
        <item x="480"/>
        <item x="483"/>
        <item x="477"/>
        <item x="489"/>
        <item x="484"/>
        <item x="478"/>
        <item x="481"/>
        <item x="482"/>
        <item x="476"/>
        <item x="488"/>
        <item x="485"/>
        <item x="479"/>
        <item x="413"/>
        <item x="393"/>
        <item x="180"/>
        <item x="410"/>
        <item x="387"/>
        <item x="518"/>
        <item x="515"/>
        <item x="509"/>
        <item x="505"/>
        <item x="511"/>
        <item x="517"/>
        <item x="516"/>
        <item x="510"/>
        <item x="506"/>
        <item x="512"/>
        <item x="507"/>
        <item x="513"/>
        <item x="519"/>
        <item x="514"/>
        <item x="508"/>
        <item x="401"/>
        <item x="391"/>
        <item x="665"/>
        <item x="382"/>
        <item x="62"/>
        <item x="318"/>
        <item x="197"/>
        <item x="421"/>
        <item x="64"/>
        <item x="152"/>
        <item x="63"/>
        <item x="390"/>
        <item x="673"/>
        <item x="549"/>
        <item x="216"/>
        <item x="221"/>
        <item x="220"/>
        <item x="217"/>
        <item x="222"/>
        <item x="219"/>
        <item x="214"/>
        <item x="213"/>
        <item x="215"/>
        <item x="548"/>
        <item x="223"/>
        <item x="218"/>
        <item x="212"/>
        <item x="173"/>
        <item x="155"/>
        <item x="156"/>
        <item x="522"/>
        <item x="159"/>
        <item x="16"/>
        <item x="154"/>
        <item x="157"/>
        <item x="520"/>
        <item x="158"/>
        <item x="153"/>
        <item x="699"/>
        <item x="701"/>
        <item x="702"/>
        <item x="700"/>
        <item x="698"/>
        <item x="705"/>
        <item x="703"/>
        <item x="706"/>
        <item x="704"/>
        <item x="697"/>
        <item x="412"/>
        <item x="430"/>
        <item x="383"/>
        <item x="172"/>
        <item x="667"/>
        <item x="203"/>
        <item x="206"/>
        <item x="209"/>
        <item x="551"/>
        <item x="200"/>
        <item x="204"/>
        <item x="207"/>
        <item x="211"/>
        <item x="201"/>
        <item x="550"/>
        <item x="208"/>
        <item x="170"/>
        <item x="169"/>
        <item x="171"/>
        <item x="404"/>
        <item x="398"/>
        <item x="396"/>
        <item x="313"/>
        <item x="386"/>
        <item x="374"/>
        <item x="344"/>
        <item x="349"/>
        <item x="340"/>
        <item x="341"/>
        <item x="345"/>
        <item x="348"/>
        <item x="777"/>
        <item x="339"/>
        <item x="342"/>
        <item x="781"/>
        <item x="779"/>
        <item x="780"/>
        <item x="778"/>
        <item x="567"/>
        <item x="346"/>
        <item x="347"/>
        <item x="782"/>
        <item x="338"/>
        <item x="343"/>
        <item x="532"/>
        <item x="427"/>
        <item x="275"/>
        <item x="75"/>
        <item x="77"/>
        <item x="83"/>
        <item x="15"/>
        <item x="79"/>
        <item x="81"/>
        <item x="758"/>
        <item x="80"/>
        <item x="74"/>
        <item x="759"/>
        <item x="760"/>
        <item x="762"/>
        <item x="761"/>
        <item x="576"/>
        <item x="76"/>
        <item x="78"/>
        <item x="757"/>
        <item x="82"/>
        <item x="73"/>
        <item x="368"/>
        <item x="530"/>
        <item x="362"/>
        <item x="367"/>
        <item x="373"/>
        <item x="529"/>
        <item x="369"/>
        <item x="363"/>
        <item x="662"/>
        <item x="366"/>
        <item x="372"/>
        <item x="657"/>
        <item x="659"/>
        <item x="660"/>
        <item x="658"/>
        <item x="577"/>
        <item x="370"/>
        <item x="364"/>
        <item x="661"/>
        <item x="365"/>
        <item x="371"/>
        <item x="317"/>
        <item x="385"/>
        <item x="384"/>
        <item x="422"/>
        <item x="663"/>
        <item x="429"/>
        <item x="188"/>
        <item x="670"/>
        <item x="746"/>
        <item x="747"/>
        <item x="745"/>
        <item x="748"/>
        <item x="742"/>
        <item x="753"/>
        <item x="756"/>
        <item x="755"/>
        <item x="754"/>
        <item x="744"/>
        <item x="749"/>
        <item x="750"/>
        <item x="752"/>
        <item x="751"/>
        <item x="743"/>
        <item x="669"/>
        <item x="672"/>
        <item x="179"/>
        <item x="17"/>
        <item x="730"/>
        <item x="733"/>
        <item x="732"/>
        <item x="731"/>
        <item x="727"/>
        <item x="741"/>
        <item x="739"/>
        <item x="740"/>
        <item x="738"/>
        <item x="729"/>
        <item x="734"/>
        <item x="736"/>
        <item x="737"/>
        <item x="735"/>
        <item x="728"/>
        <item x="126"/>
        <item x="123"/>
        <item x="117"/>
        <item x="119"/>
        <item x="125"/>
        <item x="124"/>
        <item x="118"/>
        <item x="120"/>
        <item x="121"/>
        <item x="127"/>
        <item x="122"/>
        <item x="58"/>
        <item x="143"/>
        <item x="146"/>
        <item x="149"/>
        <item x="140"/>
        <item x="144"/>
        <item x="554"/>
        <item x="145"/>
        <item x="148"/>
        <item x="141"/>
        <item x="142"/>
        <item x="147"/>
        <item x="150"/>
        <item x="66"/>
        <item x="71"/>
        <item x="408"/>
        <item x="414"/>
        <item x="395"/>
        <item x="807"/>
        <item x="132"/>
        <item x="135"/>
        <item x="134"/>
        <item x="129"/>
        <item x="139"/>
        <item x="137"/>
        <item x="138"/>
        <item x="130"/>
        <item x="131"/>
        <item x="136"/>
        <item x="133"/>
        <item x="128"/>
        <item x="245"/>
        <item x="242"/>
        <item x="247"/>
        <item x="250"/>
        <item x="198"/>
        <item x="103"/>
        <item x="276"/>
        <item x="65"/>
        <item x="308"/>
        <item x="114"/>
        <item x="52"/>
        <item x="336"/>
        <item x="326"/>
        <item x="355"/>
        <item x="356"/>
        <item x="271"/>
        <item x="289"/>
        <item x="288"/>
        <item x="205"/>
        <item x="210"/>
        <item x="202"/>
        <item x="321"/>
        <item x="917"/>
        <item x="880"/>
        <item x="910"/>
        <item x="946"/>
        <item x="905"/>
        <item x="883"/>
        <item x="916"/>
        <item x="897"/>
        <item x="878"/>
        <item x="902"/>
        <item x="907"/>
        <item x="884"/>
        <item x="909"/>
        <item x="893"/>
        <item x="914"/>
        <item x="912"/>
        <item x="940"/>
        <item x="906"/>
        <item x="933"/>
        <item x="932"/>
        <item x="908"/>
        <item x="886"/>
        <item x="898"/>
        <item x="876"/>
        <item x="960"/>
        <item x="955"/>
        <item x="938"/>
        <item x="915"/>
        <item x="874"/>
        <item x="921"/>
        <item x="931"/>
        <item x="943"/>
        <item x="889"/>
        <item x="881"/>
        <item x="950"/>
        <item x="956"/>
        <item x="939"/>
        <item x="870"/>
        <item x="850"/>
        <item x="925"/>
        <item x="930"/>
        <item x="866"/>
        <item x="798"/>
        <item x="799"/>
        <item x="620"/>
        <item x="601"/>
        <item x="609"/>
        <item x="618"/>
        <item x="614"/>
        <item x="608"/>
        <item x="611"/>
        <item x="619"/>
        <item x="612"/>
        <item x="594"/>
        <item x="599"/>
        <item x="600"/>
        <item x="605"/>
        <item x="595"/>
        <item x="598"/>
        <item x="603"/>
        <item x="592"/>
        <item x="596"/>
        <item x="602"/>
        <item x="591"/>
        <item x="800"/>
        <item x="899"/>
        <item x="879"/>
        <item x="919"/>
        <item x="913"/>
        <item x="875"/>
        <item x="872"/>
        <item x="918"/>
        <item x="944"/>
        <item x="942"/>
        <item x="900"/>
        <item x="894"/>
        <item x="904"/>
        <item x="890"/>
        <item x="895"/>
        <item x="828"/>
        <item x="830"/>
        <item x="829"/>
        <item x="861"/>
        <item x="862"/>
        <item x="863"/>
        <item x="891"/>
        <item x="896"/>
        <item x="941"/>
        <item x="953"/>
        <item x="936"/>
        <item x="869"/>
        <item x="825"/>
        <item x="827"/>
        <item x="826"/>
        <item x="842"/>
        <item x="924"/>
        <item x="928"/>
        <item x="853"/>
        <item x="959"/>
        <item x="951"/>
        <item x="937"/>
        <item x="809"/>
        <item x="867"/>
        <item x="958"/>
        <item x="810"/>
        <item x="831"/>
        <item x="833"/>
        <item x="832"/>
        <item x="813"/>
        <item x="815"/>
        <item x="814"/>
        <item x="837"/>
        <item x="839"/>
        <item x="838"/>
        <item x="844"/>
        <item x="846"/>
        <item x="845"/>
        <item x="819"/>
        <item x="821"/>
        <item x="820"/>
        <item x="812"/>
        <item x="840"/>
        <item x="854"/>
        <item x="858"/>
        <item x="857"/>
        <item x="835"/>
        <item x="836"/>
        <item x="834"/>
        <item x="843"/>
        <item x="841"/>
        <item x="848"/>
        <item x="849"/>
        <item x="847"/>
        <item x="920"/>
        <item x="926"/>
        <item x="852"/>
        <item x="957"/>
        <item x="856"/>
        <item x="855"/>
        <item x="851"/>
        <item x="9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42">
        <item h="1" x="1"/>
        <item h="1" x="19"/>
        <item h="1" x="5"/>
        <item h="1" x="26"/>
        <item h="1" x="23"/>
        <item h="1" x="14"/>
        <item h="1" x="4"/>
        <item h="1" x="40"/>
        <item h="1" x="11"/>
        <item h="1" x="0"/>
        <item h="1" x="17"/>
        <item h="1" x="20"/>
        <item h="1" x="15"/>
        <item h="1" x="21"/>
        <item h="1" x="34"/>
        <item h="1" x="27"/>
        <item h="1" x="36"/>
        <item h="1" x="35"/>
        <item h="1" x="38"/>
        <item h="1" x="33"/>
        <item h="1" x="37"/>
        <item h="1" x="22"/>
        <item h="1" x="13"/>
        <item x="12"/>
        <item h="1" x="18"/>
        <item h="1" x="8"/>
        <item h="1" x="2"/>
        <item h="1" x="16"/>
        <item h="1" x="10"/>
        <item h="1" x="39"/>
        <item h="1" x="31"/>
        <item h="1" x="28"/>
        <item h="1" x="24"/>
        <item h="1" x="29"/>
        <item h="1" x="7"/>
        <item h="1" x="9"/>
        <item h="1" x="25"/>
        <item h="1" x="30"/>
        <item h="1" x="6"/>
        <item h="1" x="3"/>
        <item h="1" x="3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multipleItemSelectionAllowed="1" showAll="0" sortType="descending">
      <items count="35">
        <item h="1" x="0"/>
        <item h="1" m="1" x="33"/>
        <item h="1" m="1" x="32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3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2">
    <field x="2"/>
    <field x="28"/>
  </rowFields>
  <rowItems count="3">
    <i>
      <x v="849"/>
    </i>
    <i r="1">
      <x v="23"/>
    </i>
    <i t="grand">
      <x/>
    </i>
  </rowItems>
  <colFields count="1">
    <field x="-2"/>
  </colFields>
  <colItems count="2">
    <i>
      <x/>
    </i>
    <i i="1">
      <x v="1"/>
    </i>
  </colItems>
  <pageFields count="1">
    <pageField fld="29" hier="-1"/>
  </pageFields>
  <dataFields count="2">
    <dataField name="Sum of Conversion" fld="16" baseField="0" baseItem="0"/>
    <dataField name="Sum of Cost" fld="17" baseField="0" baseItem="0"/>
  </dataFields>
  <formats count="2">
    <format dxfId="4">
      <pivotArea outline="0" collapsedLevelsAreSubtotals="1" fieldPosition="0"/>
    </format>
    <format dxfId="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BE43A-0CBA-E144-954B-A22F57F3ACA1}" name="PivotTable29" cacheId="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O3:AR6" firstHeaderRow="0" firstDataRow="1" firstDataCol="2"/>
  <pivotFields count="3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62">
        <item x="327"/>
        <item x="882"/>
        <item x="945"/>
        <item x="954"/>
        <item x="934"/>
        <item x="868"/>
        <item x="901"/>
        <item x="923"/>
        <item x="929"/>
        <item x="865"/>
        <item x="949"/>
        <item x="822"/>
        <item x="824"/>
        <item x="823"/>
        <item x="859"/>
        <item x="892"/>
        <item x="888"/>
        <item x="961"/>
        <item x="877"/>
        <item x="887"/>
        <item x="952"/>
        <item x="935"/>
        <item x="811"/>
        <item x="816"/>
        <item x="818"/>
        <item x="817"/>
        <item x="860"/>
        <item x="871"/>
        <item x="922"/>
        <item x="927"/>
        <item x="864"/>
        <item x="948"/>
        <item x="885"/>
        <item x="911"/>
        <item x="873"/>
        <item x="947"/>
        <item x="808"/>
        <item x="186"/>
        <item x="641"/>
        <item x="640"/>
        <item x="643"/>
        <item x="642"/>
        <item x="639"/>
        <item x="638"/>
        <item x="645"/>
        <item x="644"/>
        <item x="35"/>
        <item x="626"/>
        <item x="630"/>
        <item x="628"/>
        <item x="625"/>
        <item x="32"/>
        <item x="34"/>
        <item x="627"/>
        <item x="631"/>
        <item x="629"/>
        <item x="624"/>
        <item x="33"/>
        <item x="623"/>
        <item x="635"/>
        <item x="31"/>
        <item x="1"/>
        <item x="3"/>
        <item x="6"/>
        <item x="637"/>
        <item x="28"/>
        <item x="29"/>
        <item x="23"/>
        <item x="14"/>
        <item x="636"/>
        <item x="9"/>
        <item x="0"/>
        <item x="5"/>
        <item x="8"/>
        <item x="26"/>
        <item x="25"/>
        <item x="12"/>
        <item x="634"/>
        <item x="11"/>
        <item x="563"/>
        <item x="4"/>
        <item x="7"/>
        <item x="633"/>
        <item x="27"/>
        <item x="30"/>
        <item x="24"/>
        <item x="13"/>
        <item x="632"/>
        <item x="10"/>
        <item x="562"/>
        <item x="2"/>
        <item x="312"/>
        <item x="409"/>
        <item x="375"/>
        <item x="323"/>
        <item x="315"/>
        <item x="397"/>
        <item x="411"/>
        <item x="402"/>
        <item x="416"/>
        <item x="803"/>
        <item x="804"/>
        <item x="805"/>
        <item x="504"/>
        <item x="498"/>
        <item x="492"/>
        <item x="499"/>
        <item x="493"/>
        <item x="502"/>
        <item x="496"/>
        <item x="490"/>
        <item x="501"/>
        <item x="495"/>
        <item x="503"/>
        <item x="497"/>
        <item x="491"/>
        <item x="500"/>
        <item x="494"/>
        <item x="403"/>
        <item x="525"/>
        <item x="244"/>
        <item x="236"/>
        <item x="239"/>
        <item x="547"/>
        <item x="243"/>
        <item x="238"/>
        <item x="240"/>
        <item x="246"/>
        <item x="571"/>
        <item x="237"/>
        <item x="241"/>
        <item x="565"/>
        <item x="553"/>
        <item x="190"/>
        <item x="253"/>
        <item x="257"/>
        <item x="256"/>
        <item x="546"/>
        <item x="545"/>
        <item x="252"/>
        <item x="544"/>
        <item x="258"/>
        <item x="691"/>
        <item x="255"/>
        <item x="249"/>
        <item x="695"/>
        <item x="694"/>
        <item x="693"/>
        <item x="696"/>
        <item x="572"/>
        <item x="251"/>
        <item x="259"/>
        <item x="692"/>
        <item x="254"/>
        <item x="248"/>
        <item x="763"/>
        <item x="199"/>
        <item x="407"/>
        <item x="194"/>
        <item x="468"/>
        <item x="474"/>
        <item x="469"/>
        <item x="466"/>
        <item x="472"/>
        <item x="460"/>
        <item x="471"/>
        <item x="465"/>
        <item x="462"/>
        <item x="463"/>
        <item x="467"/>
        <item x="473"/>
        <item x="461"/>
        <item x="470"/>
        <item x="464"/>
        <item x="415"/>
        <item x="379"/>
        <item x="377"/>
        <item x="185"/>
        <item x="668"/>
        <item x="676"/>
        <item x="161"/>
        <item x="165"/>
        <item x="163"/>
        <item x="160"/>
        <item x="162"/>
        <item x="166"/>
        <item x="164"/>
        <item x="69"/>
        <item x="168"/>
        <item x="400"/>
        <item x="424"/>
        <item x="189"/>
        <item x="59"/>
        <item x="97"/>
        <item x="102"/>
        <item x="19"/>
        <item x="99"/>
        <item x="100"/>
        <item x="105"/>
        <item x="96"/>
        <item x="98"/>
        <item x="101"/>
        <item x="104"/>
        <item x="95"/>
        <item x="523"/>
        <item x="280"/>
        <item x="283"/>
        <item x="539"/>
        <item x="277"/>
        <item x="537"/>
        <item x="281"/>
        <item x="287"/>
        <item x="711"/>
        <item x="284"/>
        <item x="538"/>
        <item x="278"/>
        <item x="709"/>
        <item x="286"/>
        <item x="710"/>
        <item x="708"/>
        <item x="574"/>
        <item x="279"/>
        <item x="285"/>
        <item x="707"/>
        <item x="282"/>
        <item x="564"/>
        <item x="540"/>
        <item x="273"/>
        <item x="528"/>
        <item x="426"/>
        <item x="151"/>
        <item x="435"/>
        <item x="438"/>
        <item x="444"/>
        <item x="441"/>
        <item x="432"/>
        <item x="439"/>
        <item x="445"/>
        <item x="440"/>
        <item x="434"/>
        <item x="433"/>
        <item x="436"/>
        <item x="437"/>
        <item x="443"/>
        <item x="442"/>
        <item x="60"/>
        <item x="405"/>
        <item x="274"/>
        <item x="378"/>
        <item x="671"/>
        <item x="175"/>
        <item x="666"/>
        <item x="394"/>
        <item x="177"/>
        <item x="380"/>
        <item x="428"/>
        <item x="195"/>
        <item x="674"/>
        <item x="715"/>
        <item x="717"/>
        <item x="718"/>
        <item x="716"/>
        <item x="712"/>
        <item x="725"/>
        <item x="724"/>
        <item x="726"/>
        <item x="723"/>
        <item x="714"/>
        <item x="721"/>
        <item x="720"/>
        <item x="722"/>
        <item x="719"/>
        <item x="713"/>
        <item x="184"/>
        <item x="320"/>
        <item x="87"/>
        <item x="93"/>
        <item x="90"/>
        <item x="84"/>
        <item x="88"/>
        <item x="92"/>
        <item x="91"/>
        <item x="85"/>
        <item x="568"/>
        <item x="86"/>
        <item x="94"/>
        <item x="89"/>
        <item x="566"/>
        <item x="406"/>
        <item x="309"/>
        <item x="306"/>
        <item x="303"/>
        <item x="310"/>
        <item x="307"/>
        <item x="300"/>
        <item x="305"/>
        <item x="302"/>
        <item x="304"/>
        <item x="311"/>
        <item x="301"/>
        <item x="183"/>
        <item x="376"/>
        <item x="418"/>
        <item x="112"/>
        <item x="115"/>
        <item x="106"/>
        <item x="110"/>
        <item x="111"/>
        <item x="770"/>
        <item x="116"/>
        <item x="107"/>
        <item x="109"/>
        <item x="772"/>
        <item x="774"/>
        <item x="773"/>
        <item x="771"/>
        <item x="108"/>
        <item x="113"/>
        <item x="775"/>
        <item x="776"/>
        <item x="70"/>
        <item x="389"/>
        <item x="174"/>
        <item x="417"/>
        <item x="392"/>
        <item x="176"/>
        <item x="182"/>
        <item x="54"/>
        <item x="51"/>
        <item x="57"/>
        <item x="18"/>
        <item x="677"/>
        <item x="49"/>
        <item x="678"/>
        <item x="55"/>
        <item x="48"/>
        <item x="679"/>
        <item x="681"/>
        <item x="682"/>
        <item x="680"/>
        <item x="561"/>
        <item x="53"/>
        <item x="558"/>
        <item x="50"/>
        <item x="683"/>
        <item x="56"/>
        <item x="47"/>
        <item x="675"/>
        <item x="67"/>
        <item x="187"/>
        <item x="61"/>
        <item x="329"/>
        <item x="334"/>
        <item x="335"/>
        <item x="328"/>
        <item x="330"/>
        <item x="333"/>
        <item x="325"/>
        <item x="331"/>
        <item x="332"/>
        <item x="337"/>
        <item x="324"/>
        <item x="322"/>
        <item x="228"/>
        <item x="234"/>
        <item x="231"/>
        <item x="225"/>
        <item x="229"/>
        <item x="235"/>
        <item x="230"/>
        <item x="226"/>
        <item x="227"/>
        <item x="233"/>
        <item x="232"/>
        <item x="224"/>
        <item x="552"/>
        <item x="193"/>
        <item x="621"/>
        <item x="622"/>
        <item x="806"/>
        <item x="419"/>
        <item x="767"/>
        <item x="785"/>
        <item x="786"/>
        <item x="790"/>
        <item x="793"/>
        <item x="795"/>
        <item x="769"/>
        <item x="783"/>
        <item x="788"/>
        <item x="791"/>
        <item x="794"/>
        <item x="796"/>
        <item x="768"/>
        <item x="784"/>
        <item x="787"/>
        <item x="789"/>
        <item x="792"/>
        <item x="797"/>
        <item x="191"/>
        <item x="526"/>
        <item x="361"/>
        <item x="350"/>
        <item x="354"/>
        <item x="360"/>
        <item x="521"/>
        <item x="357"/>
        <item x="531"/>
        <item x="351"/>
        <item x="569"/>
        <item x="353"/>
        <item x="359"/>
        <item x="358"/>
        <item x="352"/>
        <item x="314"/>
        <item x="685"/>
        <item x="686"/>
        <item x="687"/>
        <item x="688"/>
        <item x="689"/>
        <item x="690"/>
        <item x="684"/>
        <item x="610"/>
        <item x="615"/>
        <item x="613"/>
        <item x="607"/>
        <item x="617"/>
        <item x="616"/>
        <item x="606"/>
        <item x="593"/>
        <item x="604"/>
        <item x="597"/>
        <item x="192"/>
        <item x="556"/>
        <item x="581"/>
        <item x="583"/>
        <item x="587"/>
        <item x="766"/>
        <item x="588"/>
        <item x="579"/>
        <item x="580"/>
        <item x="584"/>
        <item x="586"/>
        <item x="764"/>
        <item x="589"/>
        <item x="578"/>
        <item x="582"/>
        <item x="555"/>
        <item x="585"/>
        <item x="765"/>
        <item x="590"/>
        <item x="557"/>
        <item x="167"/>
        <item x="801"/>
        <item x="802"/>
        <item x="196"/>
        <item x="648"/>
        <item x="22"/>
        <item x="68"/>
        <item x="527"/>
        <item x="38"/>
        <item x="559"/>
        <item x="46"/>
        <item x="43"/>
        <item x="21"/>
        <item x="40"/>
        <item x="44"/>
        <item x="41"/>
        <item x="560"/>
        <item x="37"/>
        <item x="575"/>
        <item x="39"/>
        <item x="45"/>
        <item x="42"/>
        <item x="36"/>
        <item x="533"/>
        <item x="319"/>
        <item x="646"/>
        <item x="647"/>
        <item x="399"/>
        <item x="425"/>
        <item x="316"/>
        <item x="388"/>
        <item x="451"/>
        <item x="457"/>
        <item x="456"/>
        <item x="448"/>
        <item x="453"/>
        <item x="459"/>
        <item x="454"/>
        <item x="447"/>
        <item x="450"/>
        <item x="650"/>
        <item x="651"/>
        <item x="649"/>
        <item x="446"/>
        <item x="449"/>
        <item x="452"/>
        <item x="458"/>
        <item x="455"/>
        <item x="423"/>
        <item x="20"/>
        <item x="181"/>
        <item x="266"/>
        <item x="262"/>
        <item x="543"/>
        <item x="265"/>
        <item x="267"/>
        <item x="261"/>
        <item x="264"/>
        <item x="542"/>
        <item x="270"/>
        <item x="570"/>
        <item x="268"/>
        <item x="260"/>
        <item x="263"/>
        <item x="269"/>
        <item x="178"/>
        <item x="420"/>
        <item x="524"/>
        <item x="292"/>
        <item x="295"/>
        <item x="535"/>
        <item x="293"/>
        <item x="534"/>
        <item x="299"/>
        <item x="652"/>
        <item x="296"/>
        <item x="290"/>
        <item x="654"/>
        <item x="298"/>
        <item x="655"/>
        <item x="653"/>
        <item x="573"/>
        <item x="291"/>
        <item x="297"/>
        <item x="656"/>
        <item x="294"/>
        <item x="536"/>
        <item x="541"/>
        <item x="272"/>
        <item x="431"/>
        <item x="664"/>
        <item x="381"/>
        <item x="72"/>
        <item x="475"/>
        <item x="487"/>
        <item x="486"/>
        <item x="480"/>
        <item x="483"/>
        <item x="477"/>
        <item x="489"/>
        <item x="484"/>
        <item x="478"/>
        <item x="481"/>
        <item x="482"/>
        <item x="476"/>
        <item x="488"/>
        <item x="485"/>
        <item x="479"/>
        <item x="413"/>
        <item x="393"/>
        <item x="180"/>
        <item x="410"/>
        <item x="387"/>
        <item x="518"/>
        <item x="515"/>
        <item x="509"/>
        <item x="505"/>
        <item x="511"/>
        <item x="517"/>
        <item x="516"/>
        <item x="510"/>
        <item x="506"/>
        <item x="512"/>
        <item x="507"/>
        <item x="513"/>
        <item x="519"/>
        <item x="514"/>
        <item x="508"/>
        <item x="401"/>
        <item x="391"/>
        <item x="665"/>
        <item x="382"/>
        <item x="62"/>
        <item x="318"/>
        <item x="197"/>
        <item x="421"/>
        <item x="64"/>
        <item x="152"/>
        <item x="63"/>
        <item x="390"/>
        <item x="673"/>
        <item x="549"/>
        <item x="216"/>
        <item x="221"/>
        <item x="220"/>
        <item x="217"/>
        <item x="222"/>
        <item x="219"/>
        <item x="214"/>
        <item x="213"/>
        <item x="215"/>
        <item x="548"/>
        <item x="223"/>
        <item x="218"/>
        <item x="212"/>
        <item x="173"/>
        <item x="155"/>
        <item x="156"/>
        <item x="522"/>
        <item x="159"/>
        <item x="16"/>
        <item x="154"/>
        <item x="157"/>
        <item x="520"/>
        <item x="158"/>
        <item x="153"/>
        <item x="699"/>
        <item x="701"/>
        <item x="702"/>
        <item x="700"/>
        <item x="698"/>
        <item x="705"/>
        <item x="703"/>
        <item x="706"/>
        <item x="704"/>
        <item x="697"/>
        <item x="412"/>
        <item x="430"/>
        <item x="383"/>
        <item x="172"/>
        <item x="667"/>
        <item x="203"/>
        <item x="206"/>
        <item x="209"/>
        <item x="551"/>
        <item x="200"/>
        <item x="204"/>
        <item x="207"/>
        <item x="211"/>
        <item x="201"/>
        <item x="550"/>
        <item x="208"/>
        <item x="170"/>
        <item x="169"/>
        <item x="171"/>
        <item x="404"/>
        <item x="398"/>
        <item x="396"/>
        <item x="313"/>
        <item x="386"/>
        <item x="374"/>
        <item x="344"/>
        <item x="349"/>
        <item x="340"/>
        <item x="341"/>
        <item x="345"/>
        <item x="348"/>
        <item x="777"/>
        <item x="339"/>
        <item x="342"/>
        <item x="781"/>
        <item x="779"/>
        <item x="780"/>
        <item x="778"/>
        <item x="567"/>
        <item x="346"/>
        <item x="347"/>
        <item x="782"/>
        <item x="338"/>
        <item x="343"/>
        <item x="532"/>
        <item x="427"/>
        <item x="275"/>
        <item x="75"/>
        <item x="77"/>
        <item x="83"/>
        <item x="15"/>
        <item x="79"/>
        <item x="81"/>
        <item x="758"/>
        <item x="80"/>
        <item x="74"/>
        <item x="759"/>
        <item x="760"/>
        <item x="762"/>
        <item x="761"/>
        <item x="576"/>
        <item x="76"/>
        <item x="78"/>
        <item x="757"/>
        <item x="82"/>
        <item x="73"/>
        <item x="368"/>
        <item x="530"/>
        <item x="362"/>
        <item x="367"/>
        <item x="373"/>
        <item x="529"/>
        <item x="369"/>
        <item x="363"/>
        <item x="662"/>
        <item x="366"/>
        <item x="372"/>
        <item x="657"/>
        <item x="659"/>
        <item x="660"/>
        <item x="658"/>
        <item x="577"/>
        <item x="370"/>
        <item x="364"/>
        <item x="661"/>
        <item x="365"/>
        <item x="371"/>
        <item x="317"/>
        <item x="385"/>
        <item x="384"/>
        <item x="422"/>
        <item x="663"/>
        <item x="429"/>
        <item x="188"/>
        <item x="670"/>
        <item x="746"/>
        <item x="747"/>
        <item x="745"/>
        <item x="748"/>
        <item x="742"/>
        <item x="753"/>
        <item x="756"/>
        <item x="755"/>
        <item x="754"/>
        <item x="744"/>
        <item x="749"/>
        <item x="750"/>
        <item x="752"/>
        <item x="751"/>
        <item x="743"/>
        <item x="669"/>
        <item x="672"/>
        <item x="179"/>
        <item x="17"/>
        <item x="730"/>
        <item x="733"/>
        <item x="732"/>
        <item x="731"/>
        <item x="727"/>
        <item x="741"/>
        <item x="739"/>
        <item x="740"/>
        <item x="738"/>
        <item x="729"/>
        <item x="734"/>
        <item x="736"/>
        <item x="737"/>
        <item x="735"/>
        <item x="728"/>
        <item x="126"/>
        <item x="123"/>
        <item x="117"/>
        <item x="119"/>
        <item x="125"/>
        <item x="124"/>
        <item x="118"/>
        <item x="120"/>
        <item x="121"/>
        <item x="127"/>
        <item x="122"/>
        <item x="58"/>
        <item x="143"/>
        <item x="146"/>
        <item x="149"/>
        <item x="140"/>
        <item x="144"/>
        <item x="554"/>
        <item x="145"/>
        <item x="148"/>
        <item x="141"/>
        <item x="142"/>
        <item x="147"/>
        <item x="150"/>
        <item x="66"/>
        <item x="71"/>
        <item x="408"/>
        <item x="414"/>
        <item x="395"/>
        <item x="807"/>
        <item x="132"/>
        <item x="135"/>
        <item x="134"/>
        <item x="129"/>
        <item x="139"/>
        <item x="137"/>
        <item x="138"/>
        <item x="130"/>
        <item x="131"/>
        <item x="136"/>
        <item x="133"/>
        <item x="128"/>
        <item x="245"/>
        <item x="242"/>
        <item x="247"/>
        <item x="250"/>
        <item x="198"/>
        <item x="103"/>
        <item x="276"/>
        <item x="65"/>
        <item x="308"/>
        <item x="114"/>
        <item x="52"/>
        <item x="336"/>
        <item x="326"/>
        <item x="355"/>
        <item x="356"/>
        <item x="271"/>
        <item x="289"/>
        <item x="288"/>
        <item x="205"/>
        <item x="210"/>
        <item x="202"/>
        <item x="321"/>
        <item x="917"/>
        <item x="880"/>
        <item x="910"/>
        <item x="946"/>
        <item x="905"/>
        <item x="883"/>
        <item x="916"/>
        <item x="897"/>
        <item x="878"/>
        <item x="902"/>
        <item x="907"/>
        <item x="884"/>
        <item x="909"/>
        <item x="893"/>
        <item x="914"/>
        <item x="912"/>
        <item x="940"/>
        <item x="906"/>
        <item x="933"/>
        <item x="932"/>
        <item x="908"/>
        <item x="886"/>
        <item x="898"/>
        <item x="876"/>
        <item x="960"/>
        <item x="955"/>
        <item x="938"/>
        <item x="915"/>
        <item x="874"/>
        <item x="921"/>
        <item x="931"/>
        <item x="943"/>
        <item x="889"/>
        <item x="881"/>
        <item x="950"/>
        <item x="956"/>
        <item x="939"/>
        <item x="870"/>
        <item x="850"/>
        <item x="925"/>
        <item x="930"/>
        <item x="866"/>
        <item x="798"/>
        <item x="799"/>
        <item x="620"/>
        <item x="601"/>
        <item x="609"/>
        <item x="618"/>
        <item x="614"/>
        <item x="608"/>
        <item x="611"/>
        <item x="619"/>
        <item x="612"/>
        <item x="594"/>
        <item x="599"/>
        <item x="600"/>
        <item x="605"/>
        <item x="595"/>
        <item x="598"/>
        <item x="603"/>
        <item x="592"/>
        <item x="596"/>
        <item x="602"/>
        <item x="591"/>
        <item x="800"/>
        <item x="899"/>
        <item x="879"/>
        <item x="919"/>
        <item x="913"/>
        <item x="875"/>
        <item x="872"/>
        <item x="918"/>
        <item x="944"/>
        <item x="942"/>
        <item x="900"/>
        <item x="894"/>
        <item x="904"/>
        <item x="890"/>
        <item x="895"/>
        <item x="828"/>
        <item x="830"/>
        <item x="829"/>
        <item x="861"/>
        <item x="862"/>
        <item x="863"/>
        <item x="891"/>
        <item x="896"/>
        <item x="941"/>
        <item x="953"/>
        <item x="936"/>
        <item x="869"/>
        <item x="825"/>
        <item x="827"/>
        <item x="826"/>
        <item x="842"/>
        <item x="924"/>
        <item x="928"/>
        <item x="853"/>
        <item x="959"/>
        <item x="951"/>
        <item x="937"/>
        <item x="809"/>
        <item x="867"/>
        <item x="958"/>
        <item x="810"/>
        <item x="831"/>
        <item x="833"/>
        <item x="832"/>
        <item x="813"/>
        <item x="815"/>
        <item x="814"/>
        <item x="837"/>
        <item x="839"/>
        <item x="838"/>
        <item x="844"/>
        <item x="846"/>
        <item x="845"/>
        <item x="819"/>
        <item x="821"/>
        <item x="820"/>
        <item x="812"/>
        <item x="840"/>
        <item x="854"/>
        <item x="858"/>
        <item x="857"/>
        <item x="835"/>
        <item x="836"/>
        <item x="834"/>
        <item x="843"/>
        <item x="841"/>
        <item x="848"/>
        <item x="849"/>
        <item x="847"/>
        <item x="920"/>
        <item x="926"/>
        <item x="852"/>
        <item x="957"/>
        <item x="856"/>
        <item x="855"/>
        <item x="851"/>
        <item x="90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4">
        <item h="1" x="0"/>
        <item h="1" m="1" x="33"/>
        <item h="1" m="1" x="32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3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x="25"/>
        <item h="1" x="26"/>
        <item h="1" x="27"/>
        <item h="1" x="28"/>
        <item h="1" x="29"/>
        <item h="1" x="3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29"/>
  </rowFields>
  <rowItems count="3">
    <i>
      <x v="891"/>
      <x v="28"/>
    </i>
    <i>
      <x v="926"/>
      <x v="28"/>
    </i>
    <i>
      <x v="927"/>
      <x v="28"/>
    </i>
  </rowItems>
  <colFields count="1">
    <field x="-2"/>
  </colFields>
  <colItems count="2">
    <i>
      <x/>
    </i>
    <i i="1">
      <x v="1"/>
    </i>
  </colItems>
  <dataFields count="2">
    <dataField name="Sum of Conversion" fld="16" baseField="0" baseItem="0"/>
    <dataField name="Sum of Cost" fld="17" baseField="0" baseItem="0"/>
  </dataFields>
  <formats count="2">
    <format dxfId="18">
      <pivotArea outline="0" collapsedLevelsAreSubtotals="1" fieldPosition="0"/>
    </format>
    <format dxfId="1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4D7E8-C5A8-A642-A453-DA92CABE5612}" name="PivotTable24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C45" firstHeaderRow="0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 sortType="descending">
      <items count="33">
        <item x="0"/>
        <item x="3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>
      <items count="5">
        <item x="2"/>
        <item x="0"/>
        <item x="1"/>
        <item x="3"/>
        <item t="default"/>
      </items>
    </pivotField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nversion" fld="16" baseField="0" baseItem="0"/>
    <dataField name="Sum of Cost" fld="17" baseField="0" baseItem="0"/>
  </dataFields>
  <formats count="2">
    <format dxfId="108">
      <pivotArea outline="0" collapsedLevelsAreSubtotals="1" fieldPosition="0"/>
    </format>
    <format dxfId="10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408E0-452F-CD4D-9530-21D38FF8F9EC}" name="PivotTable23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J3:AL6" firstHeaderRow="0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42">
        <item x="1"/>
        <item x="19"/>
        <item x="5"/>
        <item x="26"/>
        <item x="23"/>
        <item x="14"/>
        <item x="4"/>
        <item x="40"/>
        <item x="11"/>
        <item x="0"/>
        <item x="17"/>
        <item x="20"/>
        <item x="15"/>
        <item x="21"/>
        <item x="34"/>
        <item x="27"/>
        <item x="36"/>
        <item x="35"/>
        <item x="38"/>
        <item x="33"/>
        <item x="37"/>
        <item x="22"/>
        <item x="13"/>
        <item x="12"/>
        <item x="18"/>
        <item x="8"/>
        <item x="2"/>
        <item x="16"/>
        <item x="10"/>
        <item x="39"/>
        <item x="31"/>
        <item x="28"/>
        <item x="24"/>
        <item x="29"/>
        <item x="7"/>
        <item x="9"/>
        <item x="25"/>
        <item x="30"/>
        <item x="6"/>
        <item x="3"/>
        <item x="3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multipleItemSelectionAllowed="1" showAll="0" sortType="descending">
      <items count="35">
        <item h="1" x="0"/>
        <item h="1" m="1" x="33"/>
        <item h="1" m="1" x="32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m="1" x="3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28"/>
  </rowFields>
  <rowItems count="3">
    <i>
      <x v="39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29" hier="-1"/>
  </pageFields>
  <dataFields count="2">
    <dataField name="Sum of Conversion" fld="16" baseField="0" baseItem="0"/>
    <dataField name="Sum of Cost" fld="17" baseField="0" baseItem="0"/>
  </dataFields>
  <formats count="2">
    <format dxfId="110">
      <pivotArea outline="0" collapsedLevelsAreSubtotals="1" fieldPosition="0"/>
    </format>
    <format dxfId="11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914C9-8A0B-E44B-A0CD-43153C6D1595}" name="PivotTable22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3:AG7" firstHeaderRow="0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42">
        <item x="1"/>
        <item x="19"/>
        <item x="5"/>
        <item x="26"/>
        <item x="23"/>
        <item x="14"/>
        <item x="4"/>
        <item x="40"/>
        <item x="11"/>
        <item x="0"/>
        <item x="17"/>
        <item x="20"/>
        <item x="15"/>
        <item x="21"/>
        <item x="34"/>
        <item x="27"/>
        <item x="36"/>
        <item x="35"/>
        <item x="38"/>
        <item x="33"/>
        <item x="37"/>
        <item x="22"/>
        <item x="13"/>
        <item x="12"/>
        <item x="18"/>
        <item x="8"/>
        <item x="2"/>
        <item x="16"/>
        <item x="10"/>
        <item x="39"/>
        <item x="31"/>
        <item x="28"/>
        <item x="24"/>
        <item x="29"/>
        <item x="7"/>
        <item x="9"/>
        <item x="25"/>
        <item x="30"/>
        <item x="6"/>
        <item x="3"/>
        <item x="3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multipleItemSelectionAllowed="1" showAll="0" sortType="descending">
      <items count="35">
        <item h="1" x="0"/>
        <item h="1" m="1" x="33"/>
        <item h="1" m="1" x="32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3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x="27"/>
        <item h="1" x="28"/>
        <item h="1" x="29"/>
        <item h="1" x="3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28"/>
  </rowFields>
  <rowItems count="4">
    <i>
      <x v="39"/>
    </i>
    <i>
      <x v="6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29" hier="-1"/>
  </pageFields>
  <dataFields count="2">
    <dataField name="Sum of Conversion" fld="16" baseField="0" baseItem="0"/>
    <dataField name="Sum of Cost" fld="17" baseField="0" baseItem="0"/>
  </dataFields>
  <formats count="2">
    <format dxfId="112">
      <pivotArea outline="0" collapsedLevelsAreSubtotals="1" fieldPosition="0"/>
    </format>
    <format dxfId="11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1F051-2F5B-7D47-88D4-B196B6E08E85}" name="PivotTable21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3:AB8" firstHeaderRow="0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42">
        <item x="1"/>
        <item x="19"/>
        <item x="5"/>
        <item x="26"/>
        <item x="23"/>
        <item x="14"/>
        <item x="4"/>
        <item x="40"/>
        <item x="11"/>
        <item x="0"/>
        <item x="17"/>
        <item x="20"/>
        <item x="15"/>
        <item x="21"/>
        <item x="34"/>
        <item x="27"/>
        <item x="36"/>
        <item x="35"/>
        <item x="38"/>
        <item x="33"/>
        <item x="37"/>
        <item x="22"/>
        <item x="13"/>
        <item x="12"/>
        <item x="18"/>
        <item x="8"/>
        <item x="2"/>
        <item x="16"/>
        <item x="10"/>
        <item x="39"/>
        <item x="31"/>
        <item x="28"/>
        <item x="24"/>
        <item x="29"/>
        <item x="7"/>
        <item x="9"/>
        <item x="25"/>
        <item x="30"/>
        <item x="6"/>
        <item x="3"/>
        <item x="3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multipleItemSelectionAllowed="1" showAll="0" sortType="descending">
      <items count="35">
        <item h="1" x="0"/>
        <item h="1" m="1" x="33"/>
        <item h="1" m="1" x="32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3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x="3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28"/>
  </rowFields>
  <rowItems count="5">
    <i>
      <x v="10"/>
    </i>
    <i>
      <x v="23"/>
    </i>
    <i>
      <x v="28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29" hier="-1"/>
  </pageFields>
  <dataFields count="2">
    <dataField name="Sum of Conversion" fld="16" baseField="0" baseItem="0"/>
    <dataField name="Sum of Cost" fld="17" baseField="0" baseItem="0"/>
  </dataFields>
  <formats count="2">
    <format dxfId="114">
      <pivotArea outline="0" collapsedLevelsAreSubtotals="1" fieldPosition="0"/>
    </format>
    <format dxfId="11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DFBA1-B2D5-CB46-ACD4-E46640F97A6B}" name="PivotTable20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3:W11" firstHeaderRow="0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42">
        <item x="1"/>
        <item x="19"/>
        <item x="5"/>
        <item x="26"/>
        <item x="23"/>
        <item x="14"/>
        <item x="4"/>
        <item x="40"/>
        <item x="11"/>
        <item x="0"/>
        <item x="17"/>
        <item x="20"/>
        <item x="15"/>
        <item x="21"/>
        <item x="34"/>
        <item x="27"/>
        <item x="36"/>
        <item x="35"/>
        <item x="38"/>
        <item x="33"/>
        <item x="37"/>
        <item x="22"/>
        <item x="13"/>
        <item x="12"/>
        <item x="18"/>
        <item x="8"/>
        <item x="2"/>
        <item x="16"/>
        <item x="10"/>
        <item x="39"/>
        <item x="31"/>
        <item x="28"/>
        <item x="24"/>
        <item x="29"/>
        <item x="7"/>
        <item x="9"/>
        <item x="25"/>
        <item x="30"/>
        <item x="6"/>
        <item x="3"/>
        <item x="3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multipleItemSelectionAllowed="1" showAll="0" sortType="descending">
      <items count="35">
        <item h="1" x="0"/>
        <item h="1" m="1" x="33"/>
        <item h="1" m="1" x="32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3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28"/>
  </rowFields>
  <rowItems count="8">
    <i>
      <x v="39"/>
    </i>
    <i>
      <x v="26"/>
    </i>
    <i>
      <x v="6"/>
    </i>
    <i>
      <x v="38"/>
    </i>
    <i>
      <x v="2"/>
    </i>
    <i>
      <x v="28"/>
    </i>
    <i>
      <x v="25"/>
    </i>
    <i t="grand">
      <x/>
    </i>
  </rowItems>
  <colFields count="1">
    <field x="-2"/>
  </colFields>
  <colItems count="2">
    <i>
      <x/>
    </i>
    <i i="1">
      <x v="1"/>
    </i>
  </colItems>
  <pageFields count="1">
    <pageField fld="29" hier="-1"/>
  </pageFields>
  <dataFields count="2">
    <dataField name="Sum of Conversion" fld="16" baseField="0" baseItem="0"/>
    <dataField name="Sum of Cost" fld="17" baseField="0" baseItem="0"/>
  </dataFields>
  <formats count="2">
    <format dxfId="116">
      <pivotArea outline="0" collapsedLevelsAreSubtotals="1" fieldPosition="0"/>
    </format>
    <format dxfId="11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01466-29D2-A141-8B8E-A31311477FA1}" name="PivotTable19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R24" firstHeaderRow="0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42">
        <item x="1"/>
        <item x="19"/>
        <item x="5"/>
        <item x="26"/>
        <item x="23"/>
        <item x="14"/>
        <item x="4"/>
        <item x="40"/>
        <item x="11"/>
        <item x="0"/>
        <item x="17"/>
        <item x="20"/>
        <item x="15"/>
        <item x="21"/>
        <item x="34"/>
        <item x="27"/>
        <item x="36"/>
        <item x="35"/>
        <item x="38"/>
        <item x="33"/>
        <item x="37"/>
        <item x="22"/>
        <item x="13"/>
        <item x="12"/>
        <item x="18"/>
        <item x="8"/>
        <item x="2"/>
        <item x="16"/>
        <item x="10"/>
        <item x="39"/>
        <item x="31"/>
        <item x="28"/>
        <item x="24"/>
        <item x="29"/>
        <item x="7"/>
        <item x="9"/>
        <item x="25"/>
        <item x="30"/>
        <item x="6"/>
        <item x="3"/>
        <item x="3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multipleItemSelectionAllowed="1" showAll="0" sortType="descending">
      <items count="35">
        <item h="1" x="0"/>
        <item h="1" m="1" x="33"/>
        <item h="1" m="1" x="32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3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28"/>
  </rowFields>
  <rowItems count="21">
    <i>
      <x v="10"/>
    </i>
    <i>
      <x v="23"/>
    </i>
    <i>
      <x v="1"/>
    </i>
    <i>
      <x v="8"/>
    </i>
    <i>
      <x v="28"/>
    </i>
    <i>
      <x v="5"/>
    </i>
    <i>
      <x v="13"/>
    </i>
    <i>
      <x v="24"/>
    </i>
    <i>
      <x v="22"/>
    </i>
    <i>
      <x v="37"/>
    </i>
    <i>
      <x v="2"/>
    </i>
    <i>
      <x v="30"/>
    </i>
    <i>
      <x v="27"/>
    </i>
    <i>
      <x v="32"/>
    </i>
    <i>
      <x v="21"/>
    </i>
    <i>
      <x v="12"/>
    </i>
    <i>
      <x v="11"/>
    </i>
    <i>
      <x v="40"/>
    </i>
    <i>
      <x v="14"/>
    </i>
    <i>
      <x v="19"/>
    </i>
    <i t="grand">
      <x/>
    </i>
  </rowItems>
  <colFields count="1">
    <field x="-2"/>
  </colFields>
  <colItems count="2">
    <i>
      <x/>
    </i>
    <i i="1">
      <x v="1"/>
    </i>
  </colItems>
  <pageFields count="1">
    <pageField fld="29" hier="-1"/>
  </pageFields>
  <dataFields count="2">
    <dataField name="Sum of Conversion" fld="16" baseField="0" baseItem="0"/>
    <dataField name="Sum of Cost" fld="17" baseField="0" baseItem="0"/>
  </dataFields>
  <formats count="2">
    <format dxfId="118">
      <pivotArea outline="0" collapsedLevelsAreSubtotals="1" fieldPosition="0"/>
    </format>
    <format dxfId="11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34650-42F1-2441-AFA6-226636FE9CE8}" name="PivotTable17" cacheId="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K3:M66" firstHeaderRow="0" firstDataRow="1" firstDataCol="1" rowPageCount="1" colPageCount="1"/>
  <pivotFields count="30"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962">
        <item x="327"/>
        <item x="882"/>
        <item x="945"/>
        <item x="954"/>
        <item x="934"/>
        <item x="868"/>
        <item x="901"/>
        <item x="923"/>
        <item x="929"/>
        <item x="865"/>
        <item x="949"/>
        <item x="822"/>
        <item x="824"/>
        <item x="823"/>
        <item x="859"/>
        <item x="892"/>
        <item x="888"/>
        <item x="961"/>
        <item x="877"/>
        <item x="887"/>
        <item x="952"/>
        <item x="935"/>
        <item x="811"/>
        <item x="816"/>
        <item x="818"/>
        <item x="817"/>
        <item x="860"/>
        <item x="871"/>
        <item x="922"/>
        <item x="927"/>
        <item x="864"/>
        <item x="948"/>
        <item x="885"/>
        <item x="911"/>
        <item x="873"/>
        <item x="947"/>
        <item x="808"/>
        <item x="186"/>
        <item x="641"/>
        <item x="640"/>
        <item x="643"/>
        <item x="642"/>
        <item x="639"/>
        <item x="638"/>
        <item x="645"/>
        <item x="644"/>
        <item x="35"/>
        <item x="626"/>
        <item x="630"/>
        <item x="628"/>
        <item x="625"/>
        <item x="32"/>
        <item x="34"/>
        <item x="627"/>
        <item x="631"/>
        <item x="629"/>
        <item x="624"/>
        <item x="33"/>
        <item x="623"/>
        <item x="635"/>
        <item x="31"/>
        <item x="1"/>
        <item x="3"/>
        <item x="6"/>
        <item x="637"/>
        <item x="28"/>
        <item x="29"/>
        <item x="23"/>
        <item x="14"/>
        <item x="636"/>
        <item x="9"/>
        <item x="0"/>
        <item x="5"/>
        <item x="8"/>
        <item x="26"/>
        <item x="25"/>
        <item x="12"/>
        <item x="634"/>
        <item x="11"/>
        <item x="563"/>
        <item x="4"/>
        <item x="7"/>
        <item x="633"/>
        <item x="27"/>
        <item x="30"/>
        <item x="24"/>
        <item x="13"/>
        <item x="632"/>
        <item x="10"/>
        <item x="562"/>
        <item x="2"/>
        <item x="312"/>
        <item x="409"/>
        <item x="375"/>
        <item x="323"/>
        <item x="315"/>
        <item x="397"/>
        <item x="411"/>
        <item x="402"/>
        <item x="416"/>
        <item x="803"/>
        <item x="804"/>
        <item x="805"/>
        <item x="504"/>
        <item x="498"/>
        <item x="492"/>
        <item x="499"/>
        <item x="493"/>
        <item x="502"/>
        <item x="496"/>
        <item x="490"/>
        <item x="501"/>
        <item x="495"/>
        <item x="503"/>
        <item x="497"/>
        <item x="491"/>
        <item x="500"/>
        <item x="494"/>
        <item x="403"/>
        <item x="525"/>
        <item x="244"/>
        <item x="236"/>
        <item x="239"/>
        <item x="547"/>
        <item x="243"/>
        <item x="238"/>
        <item x="240"/>
        <item x="246"/>
        <item x="571"/>
        <item x="237"/>
        <item x="241"/>
        <item x="565"/>
        <item x="553"/>
        <item x="190"/>
        <item x="253"/>
        <item x="257"/>
        <item x="256"/>
        <item x="546"/>
        <item x="545"/>
        <item x="252"/>
        <item x="544"/>
        <item x="258"/>
        <item x="691"/>
        <item x="255"/>
        <item x="249"/>
        <item x="695"/>
        <item x="694"/>
        <item x="693"/>
        <item x="696"/>
        <item x="572"/>
        <item x="251"/>
        <item x="259"/>
        <item x="692"/>
        <item x="254"/>
        <item x="248"/>
        <item x="763"/>
        <item x="199"/>
        <item x="407"/>
        <item x="194"/>
        <item x="468"/>
        <item x="474"/>
        <item x="469"/>
        <item x="466"/>
        <item x="472"/>
        <item x="460"/>
        <item x="471"/>
        <item x="465"/>
        <item x="462"/>
        <item x="463"/>
        <item x="467"/>
        <item x="473"/>
        <item x="461"/>
        <item x="470"/>
        <item x="464"/>
        <item x="415"/>
        <item x="379"/>
        <item x="377"/>
        <item x="185"/>
        <item x="668"/>
        <item x="676"/>
        <item x="161"/>
        <item x="165"/>
        <item x="163"/>
        <item x="160"/>
        <item x="162"/>
        <item x="166"/>
        <item x="164"/>
        <item x="69"/>
        <item x="168"/>
        <item x="400"/>
        <item x="424"/>
        <item x="189"/>
        <item x="59"/>
        <item x="97"/>
        <item x="102"/>
        <item x="19"/>
        <item x="99"/>
        <item x="100"/>
        <item x="105"/>
        <item x="96"/>
        <item x="98"/>
        <item x="101"/>
        <item x="104"/>
        <item x="95"/>
        <item x="523"/>
        <item x="280"/>
        <item x="283"/>
        <item x="539"/>
        <item x="277"/>
        <item x="537"/>
        <item x="281"/>
        <item x="287"/>
        <item x="711"/>
        <item x="284"/>
        <item x="538"/>
        <item x="278"/>
        <item x="709"/>
        <item x="286"/>
        <item x="710"/>
        <item x="708"/>
        <item x="574"/>
        <item x="279"/>
        <item x="285"/>
        <item x="707"/>
        <item x="282"/>
        <item x="564"/>
        <item x="540"/>
        <item x="273"/>
        <item x="528"/>
        <item x="426"/>
        <item x="151"/>
        <item x="435"/>
        <item x="438"/>
        <item x="444"/>
        <item x="441"/>
        <item x="432"/>
        <item x="439"/>
        <item x="445"/>
        <item x="440"/>
        <item x="434"/>
        <item x="433"/>
        <item x="436"/>
        <item x="437"/>
        <item x="443"/>
        <item x="442"/>
        <item x="60"/>
        <item x="405"/>
        <item x="274"/>
        <item x="378"/>
        <item x="671"/>
        <item x="175"/>
        <item x="666"/>
        <item x="394"/>
        <item x="177"/>
        <item x="380"/>
        <item x="428"/>
        <item x="195"/>
        <item x="674"/>
        <item x="715"/>
        <item x="717"/>
        <item x="718"/>
        <item x="716"/>
        <item x="712"/>
        <item x="725"/>
        <item x="724"/>
        <item x="726"/>
        <item x="723"/>
        <item x="714"/>
        <item x="721"/>
        <item x="720"/>
        <item x="722"/>
        <item x="719"/>
        <item x="713"/>
        <item x="184"/>
        <item x="320"/>
        <item x="87"/>
        <item x="93"/>
        <item x="90"/>
        <item x="84"/>
        <item x="88"/>
        <item x="92"/>
        <item x="91"/>
        <item x="85"/>
        <item x="568"/>
        <item x="86"/>
        <item x="94"/>
        <item x="89"/>
        <item x="566"/>
        <item x="406"/>
        <item x="309"/>
        <item x="306"/>
        <item x="303"/>
        <item x="310"/>
        <item x="307"/>
        <item x="300"/>
        <item x="305"/>
        <item x="302"/>
        <item x="304"/>
        <item x="311"/>
        <item x="301"/>
        <item x="183"/>
        <item x="376"/>
        <item x="418"/>
        <item x="112"/>
        <item x="115"/>
        <item x="106"/>
        <item x="110"/>
        <item x="111"/>
        <item x="770"/>
        <item x="116"/>
        <item x="107"/>
        <item x="109"/>
        <item x="772"/>
        <item x="774"/>
        <item x="773"/>
        <item x="771"/>
        <item x="108"/>
        <item x="113"/>
        <item x="775"/>
        <item x="776"/>
        <item x="70"/>
        <item x="389"/>
        <item x="174"/>
        <item x="417"/>
        <item x="392"/>
        <item x="176"/>
        <item x="182"/>
        <item x="54"/>
        <item x="51"/>
        <item x="57"/>
        <item x="18"/>
        <item x="677"/>
        <item x="49"/>
        <item x="678"/>
        <item x="55"/>
        <item x="48"/>
        <item x="679"/>
        <item x="681"/>
        <item x="682"/>
        <item x="680"/>
        <item x="561"/>
        <item x="53"/>
        <item x="558"/>
        <item x="50"/>
        <item x="683"/>
        <item x="56"/>
        <item x="47"/>
        <item x="675"/>
        <item x="67"/>
        <item x="187"/>
        <item x="61"/>
        <item x="329"/>
        <item x="334"/>
        <item x="335"/>
        <item x="328"/>
        <item x="330"/>
        <item x="333"/>
        <item x="325"/>
        <item x="331"/>
        <item x="332"/>
        <item x="337"/>
        <item x="324"/>
        <item x="322"/>
        <item x="228"/>
        <item x="234"/>
        <item x="231"/>
        <item x="225"/>
        <item x="229"/>
        <item x="235"/>
        <item x="230"/>
        <item x="226"/>
        <item x="227"/>
        <item x="233"/>
        <item x="232"/>
        <item x="224"/>
        <item x="552"/>
        <item x="193"/>
        <item x="621"/>
        <item x="622"/>
        <item x="806"/>
        <item x="419"/>
        <item x="767"/>
        <item x="785"/>
        <item x="786"/>
        <item x="790"/>
        <item x="793"/>
        <item x="795"/>
        <item x="769"/>
        <item x="783"/>
        <item x="788"/>
        <item x="791"/>
        <item x="794"/>
        <item x="796"/>
        <item x="768"/>
        <item x="784"/>
        <item x="787"/>
        <item x="789"/>
        <item x="792"/>
        <item x="797"/>
        <item x="191"/>
        <item x="526"/>
        <item x="361"/>
        <item x="350"/>
        <item x="354"/>
        <item x="360"/>
        <item x="521"/>
        <item x="357"/>
        <item x="531"/>
        <item x="351"/>
        <item x="569"/>
        <item x="353"/>
        <item x="359"/>
        <item x="358"/>
        <item x="352"/>
        <item x="314"/>
        <item x="685"/>
        <item x="686"/>
        <item x="687"/>
        <item x="688"/>
        <item x="689"/>
        <item x="690"/>
        <item x="684"/>
        <item x="610"/>
        <item x="615"/>
        <item x="613"/>
        <item x="607"/>
        <item x="617"/>
        <item x="616"/>
        <item x="606"/>
        <item x="593"/>
        <item x="604"/>
        <item x="597"/>
        <item x="192"/>
        <item x="556"/>
        <item x="581"/>
        <item x="583"/>
        <item x="587"/>
        <item x="766"/>
        <item x="588"/>
        <item x="579"/>
        <item x="580"/>
        <item x="584"/>
        <item x="586"/>
        <item x="764"/>
        <item x="589"/>
        <item x="578"/>
        <item x="582"/>
        <item x="555"/>
        <item x="585"/>
        <item x="765"/>
        <item x="590"/>
        <item x="557"/>
        <item x="167"/>
        <item x="801"/>
        <item x="802"/>
        <item x="196"/>
        <item x="648"/>
        <item x="22"/>
        <item x="68"/>
        <item x="527"/>
        <item x="38"/>
        <item x="559"/>
        <item x="46"/>
        <item x="43"/>
        <item x="21"/>
        <item x="40"/>
        <item x="44"/>
        <item x="41"/>
        <item x="560"/>
        <item x="37"/>
        <item x="575"/>
        <item x="39"/>
        <item x="45"/>
        <item x="42"/>
        <item x="36"/>
        <item x="533"/>
        <item x="319"/>
        <item x="646"/>
        <item x="647"/>
        <item x="399"/>
        <item x="425"/>
        <item x="316"/>
        <item x="388"/>
        <item x="451"/>
        <item x="457"/>
        <item x="456"/>
        <item x="448"/>
        <item x="453"/>
        <item x="459"/>
        <item x="454"/>
        <item x="447"/>
        <item x="450"/>
        <item x="650"/>
        <item x="651"/>
        <item x="649"/>
        <item x="446"/>
        <item x="449"/>
        <item x="452"/>
        <item x="458"/>
        <item x="455"/>
        <item x="423"/>
        <item x="20"/>
        <item x="181"/>
        <item x="266"/>
        <item x="262"/>
        <item x="543"/>
        <item x="265"/>
        <item x="267"/>
        <item x="261"/>
        <item x="264"/>
        <item x="542"/>
        <item x="270"/>
        <item x="570"/>
        <item x="268"/>
        <item x="260"/>
        <item x="263"/>
        <item x="269"/>
        <item x="178"/>
        <item x="420"/>
        <item x="524"/>
        <item x="292"/>
        <item x="295"/>
        <item x="535"/>
        <item x="293"/>
        <item x="534"/>
        <item x="299"/>
        <item x="652"/>
        <item x="296"/>
        <item x="290"/>
        <item x="654"/>
        <item x="298"/>
        <item x="655"/>
        <item x="653"/>
        <item x="573"/>
        <item x="291"/>
        <item x="297"/>
        <item x="656"/>
        <item x="294"/>
        <item x="536"/>
        <item x="541"/>
        <item x="272"/>
        <item x="431"/>
        <item x="664"/>
        <item x="381"/>
        <item x="72"/>
        <item x="475"/>
        <item x="487"/>
        <item x="486"/>
        <item x="480"/>
        <item x="483"/>
        <item x="477"/>
        <item x="489"/>
        <item x="484"/>
        <item x="478"/>
        <item x="481"/>
        <item x="482"/>
        <item x="476"/>
        <item x="488"/>
        <item x="485"/>
        <item x="479"/>
        <item x="413"/>
        <item x="393"/>
        <item x="180"/>
        <item x="410"/>
        <item x="387"/>
        <item x="518"/>
        <item x="515"/>
        <item x="509"/>
        <item x="505"/>
        <item x="511"/>
        <item x="517"/>
        <item x="516"/>
        <item x="510"/>
        <item x="506"/>
        <item x="512"/>
        <item x="507"/>
        <item x="513"/>
        <item x="519"/>
        <item x="514"/>
        <item x="508"/>
        <item x="401"/>
        <item x="391"/>
        <item x="665"/>
        <item x="382"/>
        <item x="62"/>
        <item x="318"/>
        <item x="197"/>
        <item x="421"/>
        <item x="64"/>
        <item x="152"/>
        <item x="63"/>
        <item x="390"/>
        <item x="673"/>
        <item x="549"/>
        <item x="216"/>
        <item x="221"/>
        <item x="220"/>
        <item x="217"/>
        <item x="222"/>
        <item x="219"/>
        <item x="214"/>
        <item x="213"/>
        <item x="215"/>
        <item x="548"/>
        <item x="223"/>
        <item x="218"/>
        <item x="212"/>
        <item x="173"/>
        <item x="155"/>
        <item x="156"/>
        <item x="522"/>
        <item x="159"/>
        <item x="16"/>
        <item x="154"/>
        <item x="157"/>
        <item x="520"/>
        <item x="158"/>
        <item x="153"/>
        <item x="699"/>
        <item x="701"/>
        <item x="702"/>
        <item x="700"/>
        <item x="698"/>
        <item x="705"/>
        <item x="703"/>
        <item x="706"/>
        <item x="704"/>
        <item x="697"/>
        <item x="412"/>
        <item x="430"/>
        <item x="383"/>
        <item x="172"/>
        <item x="667"/>
        <item x="203"/>
        <item x="206"/>
        <item x="209"/>
        <item x="551"/>
        <item x="200"/>
        <item x="204"/>
        <item x="207"/>
        <item x="211"/>
        <item x="201"/>
        <item x="550"/>
        <item x="208"/>
        <item x="170"/>
        <item x="169"/>
        <item x="171"/>
        <item x="404"/>
        <item x="398"/>
        <item x="396"/>
        <item x="313"/>
        <item x="386"/>
        <item x="374"/>
        <item x="344"/>
        <item x="349"/>
        <item x="340"/>
        <item x="341"/>
        <item x="345"/>
        <item x="348"/>
        <item x="777"/>
        <item x="339"/>
        <item x="342"/>
        <item x="781"/>
        <item x="779"/>
        <item x="780"/>
        <item x="778"/>
        <item x="567"/>
        <item x="346"/>
        <item x="347"/>
        <item x="782"/>
        <item x="338"/>
        <item x="343"/>
        <item x="532"/>
        <item x="427"/>
        <item x="275"/>
        <item x="75"/>
        <item x="77"/>
        <item x="83"/>
        <item x="15"/>
        <item x="79"/>
        <item x="81"/>
        <item x="758"/>
        <item x="80"/>
        <item x="74"/>
        <item x="759"/>
        <item x="760"/>
        <item x="762"/>
        <item x="761"/>
        <item x="576"/>
        <item x="76"/>
        <item x="78"/>
        <item x="757"/>
        <item x="82"/>
        <item x="73"/>
        <item x="368"/>
        <item x="530"/>
        <item x="362"/>
        <item x="367"/>
        <item x="373"/>
        <item x="529"/>
        <item x="369"/>
        <item x="363"/>
        <item x="662"/>
        <item x="366"/>
        <item x="372"/>
        <item x="657"/>
        <item x="659"/>
        <item x="660"/>
        <item x="658"/>
        <item x="577"/>
        <item x="370"/>
        <item x="364"/>
        <item x="661"/>
        <item x="365"/>
        <item x="371"/>
        <item x="317"/>
        <item x="385"/>
        <item x="384"/>
        <item x="422"/>
        <item x="663"/>
        <item x="429"/>
        <item x="188"/>
        <item x="670"/>
        <item x="746"/>
        <item x="747"/>
        <item x="745"/>
        <item x="748"/>
        <item x="742"/>
        <item x="753"/>
        <item x="756"/>
        <item x="755"/>
        <item x="754"/>
        <item x="744"/>
        <item x="749"/>
        <item x="750"/>
        <item x="752"/>
        <item x="751"/>
        <item x="743"/>
        <item x="669"/>
        <item x="672"/>
        <item x="179"/>
        <item x="17"/>
        <item x="730"/>
        <item x="733"/>
        <item x="732"/>
        <item x="731"/>
        <item x="727"/>
        <item x="741"/>
        <item x="739"/>
        <item x="740"/>
        <item x="738"/>
        <item x="729"/>
        <item x="734"/>
        <item x="736"/>
        <item x="737"/>
        <item x="735"/>
        <item x="728"/>
        <item x="126"/>
        <item x="123"/>
        <item x="117"/>
        <item x="119"/>
        <item x="125"/>
        <item x="124"/>
        <item x="118"/>
        <item x="120"/>
        <item x="121"/>
        <item x="127"/>
        <item x="122"/>
        <item x="58"/>
        <item x="143"/>
        <item x="146"/>
        <item x="149"/>
        <item x="140"/>
        <item x="144"/>
        <item x="554"/>
        <item x="145"/>
        <item x="148"/>
        <item x="141"/>
        <item x="142"/>
        <item x="147"/>
        <item x="150"/>
        <item x="66"/>
        <item x="71"/>
        <item x="408"/>
        <item x="414"/>
        <item x="395"/>
        <item x="807"/>
        <item x="132"/>
        <item x="135"/>
        <item x="134"/>
        <item x="129"/>
        <item x="139"/>
        <item x="137"/>
        <item x="138"/>
        <item x="130"/>
        <item x="131"/>
        <item x="136"/>
        <item x="133"/>
        <item x="128"/>
        <item x="245"/>
        <item x="242"/>
        <item x="247"/>
        <item x="250"/>
        <item x="198"/>
        <item x="103"/>
        <item x="276"/>
        <item x="65"/>
        <item x="308"/>
        <item x="114"/>
        <item x="52"/>
        <item x="336"/>
        <item x="326"/>
        <item x="355"/>
        <item x="356"/>
        <item x="271"/>
        <item x="289"/>
        <item x="288"/>
        <item x="205"/>
        <item x="210"/>
        <item x="202"/>
        <item x="321"/>
        <item x="917"/>
        <item x="880"/>
        <item x="910"/>
        <item x="946"/>
        <item x="905"/>
        <item x="883"/>
        <item x="916"/>
        <item x="897"/>
        <item x="878"/>
        <item x="902"/>
        <item x="907"/>
        <item x="884"/>
        <item x="909"/>
        <item x="893"/>
        <item x="914"/>
        <item x="912"/>
        <item x="940"/>
        <item x="906"/>
        <item x="933"/>
        <item x="932"/>
        <item x="908"/>
        <item x="886"/>
        <item x="898"/>
        <item x="876"/>
        <item x="960"/>
        <item x="955"/>
        <item x="938"/>
        <item x="915"/>
        <item x="874"/>
        <item x="921"/>
        <item x="931"/>
        <item x="943"/>
        <item x="889"/>
        <item x="881"/>
        <item x="950"/>
        <item x="956"/>
        <item x="939"/>
        <item x="870"/>
        <item x="850"/>
        <item x="925"/>
        <item x="930"/>
        <item x="866"/>
        <item x="798"/>
        <item x="799"/>
        <item x="620"/>
        <item x="601"/>
        <item x="609"/>
        <item x="618"/>
        <item x="614"/>
        <item x="608"/>
        <item x="611"/>
        <item x="619"/>
        <item x="612"/>
        <item x="594"/>
        <item x="599"/>
        <item x="600"/>
        <item x="605"/>
        <item x="595"/>
        <item x="598"/>
        <item x="603"/>
        <item x="592"/>
        <item x="596"/>
        <item x="602"/>
        <item x="591"/>
        <item x="800"/>
        <item x="899"/>
        <item x="879"/>
        <item x="919"/>
        <item x="913"/>
        <item x="875"/>
        <item x="872"/>
        <item x="918"/>
        <item x="944"/>
        <item x="942"/>
        <item x="900"/>
        <item x="894"/>
        <item x="904"/>
        <item x="890"/>
        <item x="895"/>
        <item x="828"/>
        <item x="830"/>
        <item x="829"/>
        <item x="861"/>
        <item x="862"/>
        <item x="863"/>
        <item x="891"/>
        <item x="896"/>
        <item x="941"/>
        <item x="953"/>
        <item x="936"/>
        <item x="869"/>
        <item x="825"/>
        <item x="827"/>
        <item x="826"/>
        <item x="842"/>
        <item x="924"/>
        <item x="928"/>
        <item x="853"/>
        <item x="959"/>
        <item x="951"/>
        <item x="937"/>
        <item x="809"/>
        <item x="867"/>
        <item x="958"/>
        <item x="810"/>
        <item x="831"/>
        <item x="833"/>
        <item x="832"/>
        <item x="813"/>
        <item x="815"/>
        <item x="814"/>
        <item x="837"/>
        <item x="839"/>
        <item x="838"/>
        <item x="844"/>
        <item x="846"/>
        <item x="845"/>
        <item x="819"/>
        <item x="821"/>
        <item x="820"/>
        <item x="812"/>
        <item x="840"/>
        <item x="854"/>
        <item x="858"/>
        <item x="857"/>
        <item x="835"/>
        <item x="836"/>
        <item x="834"/>
        <item x="843"/>
        <item x="841"/>
        <item x="848"/>
        <item x="849"/>
        <item x="847"/>
        <item x="920"/>
        <item x="926"/>
        <item x="852"/>
        <item x="957"/>
        <item x="856"/>
        <item x="855"/>
        <item x="851"/>
        <item x="90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 defaultSubtotal="0"/>
    <pivotField axis="axisPage" compact="0" outline="0" multipleItemSelectionAllowed="1" showAll="0" sortType="descending" defaultSubtotal="0">
      <items count="34">
        <item h="1" x="0"/>
        <item h="1" m="1" x="33"/>
        <item h="1" m="1" x="32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3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2"/>
  </rowFields>
  <rowItems count="63">
    <i>
      <x v="922"/>
    </i>
    <i>
      <x v="940"/>
    </i>
    <i>
      <x v="938"/>
    </i>
    <i>
      <x v="24"/>
    </i>
    <i>
      <x v="25"/>
    </i>
    <i>
      <x v="939"/>
    </i>
    <i>
      <x v="23"/>
    </i>
    <i>
      <x v="884"/>
    </i>
    <i>
      <x v="435"/>
    </i>
    <i>
      <x v="441"/>
    </i>
    <i>
      <x v="440"/>
    </i>
    <i>
      <x v="881"/>
    </i>
    <i>
      <x v="879"/>
    </i>
    <i>
      <x v="870"/>
    </i>
    <i>
      <x v="431"/>
    </i>
    <i>
      <x v="439"/>
    </i>
    <i>
      <x v="438"/>
    </i>
    <i>
      <x v="900"/>
    </i>
    <i>
      <x v="902"/>
    </i>
    <i>
      <x v="882"/>
    </i>
    <i>
      <x v="878"/>
    </i>
    <i>
      <x v="901"/>
    </i>
    <i>
      <x v="443"/>
    </i>
    <i>
      <x v="449"/>
    </i>
    <i>
      <x v="875"/>
    </i>
    <i>
      <x v="445"/>
    </i>
    <i>
      <x v="437"/>
    </i>
    <i>
      <x v="871"/>
    </i>
    <i>
      <x v="867"/>
    </i>
    <i>
      <x v="874"/>
    </i>
    <i>
      <x v="880"/>
    </i>
    <i>
      <x v="430"/>
    </i>
    <i>
      <x v="866"/>
    </i>
    <i>
      <x v="424"/>
    </i>
    <i>
      <x v="451"/>
    </i>
    <i>
      <x v="869"/>
    </i>
    <i>
      <x v="873"/>
    </i>
    <i>
      <x v="865"/>
    </i>
    <i>
      <x v="883"/>
    </i>
    <i>
      <x v="913"/>
    </i>
    <i>
      <x v="868"/>
    </i>
    <i>
      <x v="877"/>
    </i>
    <i>
      <x v="876"/>
    </i>
    <i>
      <x v="872"/>
    </i>
    <i>
      <x v="444"/>
    </i>
    <i>
      <x v="450"/>
    </i>
    <i>
      <x v="13"/>
    </i>
    <i>
      <x v="11"/>
    </i>
    <i>
      <x v="912"/>
    </i>
    <i>
      <x v="914"/>
    </i>
    <i>
      <x v="425"/>
    </i>
    <i>
      <x v="447"/>
    </i>
    <i>
      <x v="426"/>
    </i>
    <i>
      <x v="423"/>
    </i>
    <i>
      <x v="427"/>
    </i>
    <i>
      <x v="434"/>
    </i>
    <i>
      <x v="428"/>
    </i>
    <i>
      <x v="446"/>
    </i>
    <i>
      <x v="429"/>
    </i>
    <i>
      <x v="436"/>
    </i>
    <i>
      <x v="448"/>
    </i>
    <i>
      <x v="442"/>
    </i>
    <i>
      <x v="422"/>
    </i>
  </rowItems>
  <colFields count="1">
    <field x="-2"/>
  </colFields>
  <colItems count="2">
    <i>
      <x/>
    </i>
    <i i="1">
      <x v="1"/>
    </i>
  </colItems>
  <pageFields count="1">
    <pageField fld="29" hier="-1"/>
  </pageFields>
  <dataFields count="2">
    <dataField name="Sum of Conversion" fld="16" baseField="0" baseItem="0"/>
    <dataField name="Sum of Cost" fld="17" baseField="0" baseItem="0"/>
  </dataFields>
  <formats count="2">
    <format dxfId="120">
      <pivotArea outline="0" collapsedLevelsAreSubtotals="1" fieldPosition="0"/>
    </format>
    <format dxfId="12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51C8D-F4AA-3D40-BEC1-84C47F8724B2}" name="PivotTable14" cacheId="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F14:H33" firstHeaderRow="0" firstDataRow="1" firstDataCol="1" rowPageCount="2" colPageCount="1"/>
  <pivotFields count="3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962">
        <item x="327"/>
        <item x="882"/>
        <item x="945"/>
        <item x="954"/>
        <item x="934"/>
        <item x="868"/>
        <item x="901"/>
        <item x="923"/>
        <item x="929"/>
        <item x="865"/>
        <item x="949"/>
        <item x="822"/>
        <item x="824"/>
        <item x="823"/>
        <item x="859"/>
        <item x="892"/>
        <item x="888"/>
        <item x="961"/>
        <item x="877"/>
        <item x="887"/>
        <item x="952"/>
        <item x="935"/>
        <item x="811"/>
        <item x="816"/>
        <item x="818"/>
        <item x="817"/>
        <item x="860"/>
        <item x="871"/>
        <item x="922"/>
        <item x="927"/>
        <item x="864"/>
        <item x="948"/>
        <item x="885"/>
        <item x="911"/>
        <item x="873"/>
        <item x="947"/>
        <item x="808"/>
        <item x="186"/>
        <item x="641"/>
        <item x="640"/>
        <item x="643"/>
        <item x="642"/>
        <item x="639"/>
        <item x="638"/>
        <item x="645"/>
        <item x="644"/>
        <item x="35"/>
        <item x="626"/>
        <item x="630"/>
        <item x="628"/>
        <item x="625"/>
        <item x="32"/>
        <item x="34"/>
        <item x="627"/>
        <item x="631"/>
        <item x="629"/>
        <item x="624"/>
        <item x="33"/>
        <item x="623"/>
        <item x="635"/>
        <item x="31"/>
        <item x="1"/>
        <item x="3"/>
        <item x="6"/>
        <item x="637"/>
        <item x="28"/>
        <item x="29"/>
        <item x="23"/>
        <item x="14"/>
        <item x="636"/>
        <item x="9"/>
        <item x="0"/>
        <item x="5"/>
        <item x="8"/>
        <item x="26"/>
        <item x="25"/>
        <item x="12"/>
        <item x="634"/>
        <item x="11"/>
        <item x="563"/>
        <item x="4"/>
        <item x="7"/>
        <item x="633"/>
        <item x="27"/>
        <item x="30"/>
        <item x="24"/>
        <item x="13"/>
        <item x="632"/>
        <item x="10"/>
        <item x="562"/>
        <item x="2"/>
        <item x="312"/>
        <item x="409"/>
        <item x="375"/>
        <item x="323"/>
        <item x="315"/>
        <item x="397"/>
        <item x="411"/>
        <item x="402"/>
        <item x="416"/>
        <item x="803"/>
        <item x="804"/>
        <item x="805"/>
        <item x="504"/>
        <item x="498"/>
        <item x="492"/>
        <item x="499"/>
        <item x="493"/>
        <item x="502"/>
        <item x="496"/>
        <item x="490"/>
        <item x="501"/>
        <item x="495"/>
        <item x="503"/>
        <item x="497"/>
        <item x="491"/>
        <item x="500"/>
        <item x="494"/>
        <item x="403"/>
        <item x="525"/>
        <item x="244"/>
        <item x="236"/>
        <item x="239"/>
        <item x="547"/>
        <item x="243"/>
        <item x="238"/>
        <item x="240"/>
        <item x="246"/>
        <item x="571"/>
        <item x="237"/>
        <item x="241"/>
        <item x="565"/>
        <item x="553"/>
        <item x="190"/>
        <item x="253"/>
        <item x="257"/>
        <item x="256"/>
        <item x="546"/>
        <item x="545"/>
        <item x="252"/>
        <item x="544"/>
        <item x="258"/>
        <item x="691"/>
        <item x="255"/>
        <item x="249"/>
        <item x="695"/>
        <item x="694"/>
        <item x="693"/>
        <item x="696"/>
        <item x="572"/>
        <item x="251"/>
        <item x="259"/>
        <item x="692"/>
        <item x="254"/>
        <item x="248"/>
        <item x="763"/>
        <item x="199"/>
        <item x="407"/>
        <item x="194"/>
        <item x="468"/>
        <item x="474"/>
        <item x="469"/>
        <item x="466"/>
        <item x="472"/>
        <item x="460"/>
        <item x="471"/>
        <item x="465"/>
        <item x="462"/>
        <item x="463"/>
        <item x="467"/>
        <item x="473"/>
        <item x="461"/>
        <item x="470"/>
        <item x="464"/>
        <item x="415"/>
        <item x="379"/>
        <item x="377"/>
        <item x="185"/>
        <item x="668"/>
        <item x="676"/>
        <item x="161"/>
        <item x="165"/>
        <item x="163"/>
        <item x="160"/>
        <item x="162"/>
        <item x="166"/>
        <item x="164"/>
        <item x="69"/>
        <item x="168"/>
        <item x="400"/>
        <item x="424"/>
        <item x="189"/>
        <item x="59"/>
        <item x="97"/>
        <item x="102"/>
        <item x="19"/>
        <item x="99"/>
        <item x="100"/>
        <item x="105"/>
        <item x="96"/>
        <item x="98"/>
        <item x="101"/>
        <item x="104"/>
        <item x="95"/>
        <item x="523"/>
        <item x="280"/>
        <item x="283"/>
        <item x="539"/>
        <item x="277"/>
        <item x="537"/>
        <item x="281"/>
        <item x="287"/>
        <item x="711"/>
        <item x="284"/>
        <item x="538"/>
        <item x="278"/>
        <item x="709"/>
        <item x="286"/>
        <item x="710"/>
        <item x="708"/>
        <item x="574"/>
        <item x="279"/>
        <item x="285"/>
        <item x="707"/>
        <item x="282"/>
        <item x="564"/>
        <item x="540"/>
        <item x="273"/>
        <item x="528"/>
        <item x="426"/>
        <item x="151"/>
        <item x="435"/>
        <item x="438"/>
        <item x="444"/>
        <item x="441"/>
        <item x="432"/>
        <item x="439"/>
        <item x="445"/>
        <item x="440"/>
        <item x="434"/>
        <item x="433"/>
        <item x="436"/>
        <item x="437"/>
        <item x="443"/>
        <item x="442"/>
        <item x="60"/>
        <item x="405"/>
        <item x="274"/>
        <item x="378"/>
        <item x="671"/>
        <item x="175"/>
        <item x="666"/>
        <item x="394"/>
        <item x="177"/>
        <item x="380"/>
        <item x="428"/>
        <item x="195"/>
        <item x="674"/>
        <item x="715"/>
        <item x="717"/>
        <item x="718"/>
        <item x="716"/>
        <item x="712"/>
        <item x="725"/>
        <item x="724"/>
        <item x="726"/>
        <item x="723"/>
        <item x="714"/>
        <item x="721"/>
        <item x="720"/>
        <item x="722"/>
        <item x="719"/>
        <item x="713"/>
        <item x="184"/>
        <item x="320"/>
        <item x="87"/>
        <item x="93"/>
        <item x="90"/>
        <item x="84"/>
        <item x="88"/>
        <item x="92"/>
        <item x="91"/>
        <item x="85"/>
        <item x="568"/>
        <item x="86"/>
        <item x="94"/>
        <item x="89"/>
        <item x="566"/>
        <item x="406"/>
        <item x="309"/>
        <item x="306"/>
        <item x="303"/>
        <item x="310"/>
        <item x="307"/>
        <item x="300"/>
        <item x="305"/>
        <item x="302"/>
        <item x="304"/>
        <item x="311"/>
        <item x="301"/>
        <item x="183"/>
        <item x="376"/>
        <item x="418"/>
        <item x="112"/>
        <item x="115"/>
        <item x="106"/>
        <item x="110"/>
        <item x="111"/>
        <item x="770"/>
        <item x="116"/>
        <item x="107"/>
        <item x="109"/>
        <item x="772"/>
        <item x="774"/>
        <item x="773"/>
        <item x="771"/>
        <item x="108"/>
        <item x="113"/>
        <item x="775"/>
        <item x="776"/>
        <item x="70"/>
        <item x="389"/>
        <item x="174"/>
        <item x="417"/>
        <item x="392"/>
        <item x="176"/>
        <item x="182"/>
        <item x="54"/>
        <item x="51"/>
        <item x="57"/>
        <item x="18"/>
        <item x="677"/>
        <item x="49"/>
        <item x="678"/>
        <item x="55"/>
        <item x="48"/>
        <item x="679"/>
        <item x="681"/>
        <item x="682"/>
        <item x="680"/>
        <item x="561"/>
        <item x="53"/>
        <item x="558"/>
        <item x="50"/>
        <item x="683"/>
        <item x="56"/>
        <item x="47"/>
        <item x="675"/>
        <item x="67"/>
        <item x="187"/>
        <item x="61"/>
        <item x="329"/>
        <item x="334"/>
        <item x="335"/>
        <item x="328"/>
        <item x="330"/>
        <item x="333"/>
        <item x="325"/>
        <item x="331"/>
        <item x="332"/>
        <item x="337"/>
        <item x="324"/>
        <item x="322"/>
        <item x="228"/>
        <item x="234"/>
        <item x="231"/>
        <item x="225"/>
        <item x="229"/>
        <item x="235"/>
        <item x="230"/>
        <item x="226"/>
        <item x="227"/>
        <item x="233"/>
        <item x="232"/>
        <item x="224"/>
        <item x="552"/>
        <item x="193"/>
        <item x="621"/>
        <item x="622"/>
        <item x="806"/>
        <item x="419"/>
        <item x="767"/>
        <item x="785"/>
        <item x="786"/>
        <item x="790"/>
        <item x="793"/>
        <item x="795"/>
        <item x="769"/>
        <item x="783"/>
        <item x="788"/>
        <item x="791"/>
        <item x="794"/>
        <item x="796"/>
        <item x="768"/>
        <item x="784"/>
        <item x="787"/>
        <item x="789"/>
        <item x="792"/>
        <item x="797"/>
        <item x="191"/>
        <item x="526"/>
        <item x="361"/>
        <item x="350"/>
        <item x="354"/>
        <item x="360"/>
        <item x="521"/>
        <item x="357"/>
        <item x="531"/>
        <item x="351"/>
        <item x="569"/>
        <item x="353"/>
        <item x="359"/>
        <item x="358"/>
        <item x="352"/>
        <item x="314"/>
        <item x="685"/>
        <item x="686"/>
        <item x="687"/>
        <item x="688"/>
        <item x="689"/>
        <item x="690"/>
        <item x="684"/>
        <item x="610"/>
        <item x="615"/>
        <item x="613"/>
        <item x="607"/>
        <item x="617"/>
        <item x="616"/>
        <item x="606"/>
        <item x="593"/>
        <item x="604"/>
        <item x="597"/>
        <item x="192"/>
        <item x="556"/>
        <item x="581"/>
        <item x="583"/>
        <item x="587"/>
        <item x="766"/>
        <item x="588"/>
        <item x="579"/>
        <item x="580"/>
        <item x="584"/>
        <item x="586"/>
        <item x="764"/>
        <item x="589"/>
        <item x="578"/>
        <item x="582"/>
        <item x="555"/>
        <item x="585"/>
        <item x="765"/>
        <item x="590"/>
        <item x="557"/>
        <item x="167"/>
        <item x="801"/>
        <item x="802"/>
        <item x="196"/>
        <item x="648"/>
        <item x="22"/>
        <item x="68"/>
        <item x="527"/>
        <item x="38"/>
        <item x="559"/>
        <item x="46"/>
        <item x="43"/>
        <item x="21"/>
        <item x="40"/>
        <item x="44"/>
        <item x="41"/>
        <item x="560"/>
        <item x="37"/>
        <item x="575"/>
        <item x="39"/>
        <item x="45"/>
        <item x="42"/>
        <item x="36"/>
        <item x="533"/>
        <item x="319"/>
        <item x="646"/>
        <item x="647"/>
        <item x="399"/>
        <item x="425"/>
        <item x="316"/>
        <item x="388"/>
        <item x="451"/>
        <item x="457"/>
        <item x="456"/>
        <item x="448"/>
        <item x="453"/>
        <item x="459"/>
        <item x="454"/>
        <item x="447"/>
        <item x="450"/>
        <item x="650"/>
        <item x="651"/>
        <item x="649"/>
        <item x="446"/>
        <item x="449"/>
        <item x="452"/>
        <item x="458"/>
        <item x="455"/>
        <item x="423"/>
        <item x="20"/>
        <item x="181"/>
        <item x="266"/>
        <item x="262"/>
        <item x="543"/>
        <item x="265"/>
        <item x="267"/>
        <item x="261"/>
        <item x="264"/>
        <item x="542"/>
        <item x="270"/>
        <item x="570"/>
        <item x="268"/>
        <item x="260"/>
        <item x="263"/>
        <item x="269"/>
        <item x="178"/>
        <item x="420"/>
        <item x="524"/>
        <item x="292"/>
        <item x="295"/>
        <item x="535"/>
        <item x="293"/>
        <item x="534"/>
        <item x="299"/>
        <item x="652"/>
        <item x="296"/>
        <item x="290"/>
        <item x="654"/>
        <item x="298"/>
        <item x="655"/>
        <item x="653"/>
        <item x="573"/>
        <item x="291"/>
        <item x="297"/>
        <item x="656"/>
        <item x="294"/>
        <item x="536"/>
        <item x="541"/>
        <item x="272"/>
        <item x="431"/>
        <item x="664"/>
        <item x="381"/>
        <item x="72"/>
        <item x="475"/>
        <item x="487"/>
        <item x="486"/>
        <item x="480"/>
        <item x="483"/>
        <item x="477"/>
        <item x="489"/>
        <item x="484"/>
        <item x="478"/>
        <item x="481"/>
        <item x="482"/>
        <item x="476"/>
        <item x="488"/>
        <item x="485"/>
        <item x="479"/>
        <item x="413"/>
        <item x="393"/>
        <item x="180"/>
        <item x="410"/>
        <item x="387"/>
        <item x="518"/>
        <item x="515"/>
        <item x="509"/>
        <item x="505"/>
        <item x="511"/>
        <item x="517"/>
        <item x="516"/>
        <item x="510"/>
        <item x="506"/>
        <item x="512"/>
        <item x="507"/>
        <item x="513"/>
        <item x="519"/>
        <item x="514"/>
        <item x="508"/>
        <item x="401"/>
        <item x="391"/>
        <item x="665"/>
        <item x="382"/>
        <item x="62"/>
        <item x="318"/>
        <item x="197"/>
        <item x="421"/>
        <item x="64"/>
        <item x="152"/>
        <item x="63"/>
        <item x="390"/>
        <item x="673"/>
        <item x="549"/>
        <item x="216"/>
        <item x="221"/>
        <item x="220"/>
        <item x="217"/>
        <item x="222"/>
        <item x="219"/>
        <item x="214"/>
        <item x="213"/>
        <item x="215"/>
        <item x="548"/>
        <item x="223"/>
        <item x="218"/>
        <item x="212"/>
        <item x="173"/>
        <item x="155"/>
        <item x="156"/>
        <item x="522"/>
        <item x="159"/>
        <item x="16"/>
        <item x="154"/>
        <item x="157"/>
        <item x="520"/>
        <item x="158"/>
        <item x="153"/>
        <item x="699"/>
        <item x="701"/>
        <item x="702"/>
        <item x="700"/>
        <item x="698"/>
        <item x="705"/>
        <item x="703"/>
        <item x="706"/>
        <item x="704"/>
        <item x="697"/>
        <item x="412"/>
        <item x="430"/>
        <item x="383"/>
        <item x="172"/>
        <item x="667"/>
        <item x="203"/>
        <item x="206"/>
        <item x="209"/>
        <item x="551"/>
        <item x="200"/>
        <item x="204"/>
        <item x="207"/>
        <item x="211"/>
        <item x="201"/>
        <item x="550"/>
        <item x="208"/>
        <item x="170"/>
        <item x="169"/>
        <item x="171"/>
        <item x="404"/>
        <item x="398"/>
        <item x="396"/>
        <item x="313"/>
        <item x="386"/>
        <item x="374"/>
        <item x="344"/>
        <item x="349"/>
        <item x="340"/>
        <item x="341"/>
        <item x="345"/>
        <item x="348"/>
        <item x="777"/>
        <item x="339"/>
        <item x="342"/>
        <item x="781"/>
        <item x="779"/>
        <item x="780"/>
        <item x="778"/>
        <item x="567"/>
        <item x="346"/>
        <item x="347"/>
        <item x="782"/>
        <item x="338"/>
        <item x="343"/>
        <item x="532"/>
        <item x="427"/>
        <item x="275"/>
        <item x="75"/>
        <item x="77"/>
        <item x="83"/>
        <item x="15"/>
        <item x="79"/>
        <item x="81"/>
        <item x="758"/>
        <item x="80"/>
        <item x="74"/>
        <item x="759"/>
        <item x="760"/>
        <item x="762"/>
        <item x="761"/>
        <item x="576"/>
        <item x="76"/>
        <item x="78"/>
        <item x="757"/>
        <item x="82"/>
        <item x="73"/>
        <item x="368"/>
        <item x="530"/>
        <item x="362"/>
        <item x="367"/>
        <item x="373"/>
        <item x="529"/>
        <item x="369"/>
        <item x="363"/>
        <item x="662"/>
        <item x="366"/>
        <item x="372"/>
        <item x="657"/>
        <item x="659"/>
        <item x="660"/>
        <item x="658"/>
        <item x="577"/>
        <item x="370"/>
        <item x="364"/>
        <item x="661"/>
        <item x="365"/>
        <item x="371"/>
        <item x="317"/>
        <item x="385"/>
        <item x="384"/>
        <item x="422"/>
        <item x="663"/>
        <item x="429"/>
        <item x="188"/>
        <item x="670"/>
        <item x="746"/>
        <item x="747"/>
        <item x="745"/>
        <item x="748"/>
        <item x="742"/>
        <item x="753"/>
        <item x="756"/>
        <item x="755"/>
        <item x="754"/>
        <item x="744"/>
        <item x="749"/>
        <item x="750"/>
        <item x="752"/>
        <item x="751"/>
        <item x="743"/>
        <item x="669"/>
        <item x="672"/>
        <item x="179"/>
        <item x="17"/>
        <item x="730"/>
        <item x="733"/>
        <item x="732"/>
        <item x="731"/>
        <item x="727"/>
        <item x="741"/>
        <item x="739"/>
        <item x="740"/>
        <item x="738"/>
        <item x="729"/>
        <item x="734"/>
        <item x="736"/>
        <item x="737"/>
        <item x="735"/>
        <item x="728"/>
        <item x="126"/>
        <item x="123"/>
        <item x="117"/>
        <item x="119"/>
        <item x="125"/>
        <item x="124"/>
        <item x="118"/>
        <item x="120"/>
        <item x="121"/>
        <item x="127"/>
        <item x="122"/>
        <item x="58"/>
        <item x="143"/>
        <item x="146"/>
        <item x="149"/>
        <item x="140"/>
        <item x="144"/>
        <item x="554"/>
        <item x="145"/>
        <item x="148"/>
        <item x="141"/>
        <item x="142"/>
        <item x="147"/>
        <item x="150"/>
        <item x="66"/>
        <item x="71"/>
        <item x="408"/>
        <item x="414"/>
        <item x="395"/>
        <item x="807"/>
        <item x="132"/>
        <item x="135"/>
        <item x="134"/>
        <item x="129"/>
        <item x="139"/>
        <item x="137"/>
        <item x="138"/>
        <item x="130"/>
        <item x="131"/>
        <item x="136"/>
        <item x="133"/>
        <item x="128"/>
        <item x="245"/>
        <item x="242"/>
        <item x="247"/>
        <item x="250"/>
        <item x="198"/>
        <item x="103"/>
        <item x="276"/>
        <item x="65"/>
        <item x="308"/>
        <item x="114"/>
        <item x="52"/>
        <item x="336"/>
        <item x="326"/>
        <item x="355"/>
        <item x="356"/>
        <item x="271"/>
        <item x="289"/>
        <item x="288"/>
        <item x="205"/>
        <item x="210"/>
        <item x="202"/>
        <item x="321"/>
        <item x="917"/>
        <item x="880"/>
        <item x="910"/>
        <item x="946"/>
        <item x="905"/>
        <item x="883"/>
        <item x="916"/>
        <item x="897"/>
        <item x="878"/>
        <item x="902"/>
        <item x="907"/>
        <item x="884"/>
        <item x="909"/>
        <item x="893"/>
        <item x="914"/>
        <item x="912"/>
        <item x="940"/>
        <item x="906"/>
        <item x="933"/>
        <item x="932"/>
        <item x="908"/>
        <item x="886"/>
        <item x="898"/>
        <item x="876"/>
        <item x="960"/>
        <item x="955"/>
        <item x="938"/>
        <item x="915"/>
        <item x="874"/>
        <item x="921"/>
        <item x="931"/>
        <item x="943"/>
        <item x="889"/>
        <item x="881"/>
        <item x="950"/>
        <item x="956"/>
        <item x="939"/>
        <item x="870"/>
        <item x="850"/>
        <item x="925"/>
        <item x="930"/>
        <item x="866"/>
        <item x="798"/>
        <item x="799"/>
        <item x="620"/>
        <item x="601"/>
        <item x="609"/>
        <item x="618"/>
        <item x="614"/>
        <item x="608"/>
        <item x="611"/>
        <item x="619"/>
        <item x="612"/>
        <item x="594"/>
        <item x="599"/>
        <item x="600"/>
        <item x="605"/>
        <item x="595"/>
        <item x="598"/>
        <item x="603"/>
        <item x="592"/>
        <item x="596"/>
        <item x="602"/>
        <item x="591"/>
        <item x="800"/>
        <item x="899"/>
        <item x="879"/>
        <item x="919"/>
        <item x="913"/>
        <item x="875"/>
        <item x="872"/>
        <item x="918"/>
        <item x="944"/>
        <item x="942"/>
        <item x="900"/>
        <item x="894"/>
        <item x="904"/>
        <item x="890"/>
        <item x="895"/>
        <item x="828"/>
        <item x="830"/>
        <item x="829"/>
        <item x="861"/>
        <item x="862"/>
        <item x="863"/>
        <item x="891"/>
        <item x="896"/>
        <item x="941"/>
        <item x="953"/>
        <item x="936"/>
        <item x="869"/>
        <item x="825"/>
        <item x="827"/>
        <item x="826"/>
        <item x="842"/>
        <item x="924"/>
        <item x="928"/>
        <item x="853"/>
        <item x="959"/>
        <item x="951"/>
        <item x="937"/>
        <item x="809"/>
        <item x="867"/>
        <item x="958"/>
        <item x="810"/>
        <item x="831"/>
        <item x="833"/>
        <item x="832"/>
        <item x="813"/>
        <item x="815"/>
        <item x="814"/>
        <item x="837"/>
        <item x="839"/>
        <item x="838"/>
        <item x="844"/>
        <item x="846"/>
        <item x="845"/>
        <item x="819"/>
        <item x="821"/>
        <item x="820"/>
        <item x="812"/>
        <item x="840"/>
        <item x="854"/>
        <item x="858"/>
        <item x="857"/>
        <item x="835"/>
        <item x="836"/>
        <item x="834"/>
        <item x="843"/>
        <item x="841"/>
        <item x="848"/>
        <item x="849"/>
        <item x="847"/>
        <item x="920"/>
        <item x="926"/>
        <item x="852"/>
        <item x="957"/>
        <item x="856"/>
        <item x="855"/>
        <item x="851"/>
        <item x="90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41">
        <item h="1" x="1"/>
        <item h="1" x="19"/>
        <item h="1" x="5"/>
        <item h="1" x="26"/>
        <item h="1" x="23"/>
        <item h="1" x="14"/>
        <item h="1" x="4"/>
        <item h="1" x="40"/>
        <item h="1" x="11"/>
        <item h="1" x="0"/>
        <item h="1" x="17"/>
        <item h="1" x="20"/>
        <item h="1" x="15"/>
        <item h="1" x="21"/>
        <item h="1" x="34"/>
        <item h="1" x="27"/>
        <item h="1" x="36"/>
        <item h="1" x="35"/>
        <item h="1" x="38"/>
        <item h="1" x="33"/>
        <item h="1" x="37"/>
        <item h="1" x="22"/>
        <item h="1" x="13"/>
        <item h="1" x="12"/>
        <item h="1" x="18"/>
        <item h="1" x="8"/>
        <item h="1" x="2"/>
        <item h="1" x="16"/>
        <item h="1" x="10"/>
        <item h="1" x="39"/>
        <item h="1" x="31"/>
        <item h="1" x="28"/>
        <item h="1" x="24"/>
        <item h="1" x="29"/>
        <item h="1" x="7"/>
        <item h="1" x="9"/>
        <item h="1" x="25"/>
        <item h="1" x="30"/>
        <item h="1" x="6"/>
        <item x="3"/>
        <item h="1"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descending" defaultSubtotal="0">
      <items count="34">
        <item h="1" x="0"/>
        <item h="1" m="1" x="33"/>
        <item h="1" m="1" x="32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m="1" x="3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9">
    <i>
      <x v="949"/>
    </i>
    <i>
      <x v="935"/>
    </i>
    <i>
      <x v="934"/>
    </i>
    <i>
      <x v="929"/>
    </i>
    <i>
      <x v="933"/>
    </i>
    <i>
      <x v="937"/>
    </i>
    <i>
      <x v="931"/>
    </i>
    <i>
      <x v="930"/>
    </i>
    <i>
      <x v="941"/>
    </i>
    <i>
      <x v="936"/>
    </i>
    <i>
      <x v="950"/>
    </i>
    <i>
      <x v="942"/>
    </i>
    <i>
      <x v="932"/>
    </i>
    <i>
      <x v="952"/>
    </i>
    <i>
      <x v="953"/>
    </i>
    <i>
      <x v="951"/>
    </i>
    <i>
      <x v="946"/>
    </i>
    <i>
      <x v="948"/>
    </i>
    <i>
      <x v="947"/>
    </i>
  </rowItems>
  <colFields count="1">
    <field x="-2"/>
  </colFields>
  <colItems count="2">
    <i>
      <x/>
    </i>
    <i i="1">
      <x v="1"/>
    </i>
  </colItems>
  <pageFields count="2">
    <pageField fld="29" hier="-1"/>
    <pageField fld="28" hier="-1"/>
  </pageFields>
  <dataFields count="2">
    <dataField name="Sum of Conversion" fld="16" baseField="0" baseItem="0"/>
    <dataField name="Sum of Cost" fld="17" baseField="0" baseItem="0"/>
  </dataFields>
  <formats count="2">
    <format dxfId="122">
      <pivotArea outline="0" collapsedLevelsAreSubtotals="1" fieldPosition="0"/>
    </format>
    <format dxfId="12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045F9-E6D2-B141-9020-9194F30E77F4}" name="PivotTable13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9" firstHeaderRow="0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>
      <items count="42">
        <item x="1"/>
        <item x="19"/>
        <item x="5"/>
        <item x="26"/>
        <item x="23"/>
        <item x="14"/>
        <item x="4"/>
        <item x="40"/>
        <item x="11"/>
        <item x="0"/>
        <item x="17"/>
        <item x="20"/>
        <item x="15"/>
        <item x="21"/>
        <item x="34"/>
        <item x="27"/>
        <item x="36"/>
        <item x="35"/>
        <item x="38"/>
        <item x="33"/>
        <item x="37"/>
        <item x="22"/>
        <item x="13"/>
        <item x="12"/>
        <item x="18"/>
        <item x="8"/>
        <item x="2"/>
        <item x="16"/>
        <item x="10"/>
        <item x="39"/>
        <item x="31"/>
        <item x="28"/>
        <item x="24"/>
        <item x="29"/>
        <item x="7"/>
        <item x="9"/>
        <item x="25"/>
        <item x="30"/>
        <item x="6"/>
        <item x="3"/>
        <item x="32"/>
        <item t="default"/>
      </items>
    </pivotField>
    <pivotField axis="axisPage" multipleItemSelectionAllowed="1" showAll="0" sortType="descending">
      <items count="35">
        <item h="1" x="0"/>
        <item h="1" m="1" x="33"/>
        <item h="1" m="1" x="32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m="1" x="3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28"/>
  </rowFields>
  <rowItems count="6">
    <i>
      <x v="2"/>
    </i>
    <i>
      <x v="9"/>
    </i>
    <i>
      <x v="25"/>
    </i>
    <i>
      <x v="38"/>
    </i>
    <i>
      <x v="39"/>
    </i>
    <i t="grand">
      <x/>
    </i>
  </rowItems>
  <colFields count="1">
    <field x="-2"/>
  </colFields>
  <colItems count="2">
    <i>
      <x/>
    </i>
    <i i="1">
      <x v="1"/>
    </i>
  </colItems>
  <pageFields count="1">
    <pageField fld="29" hier="-1"/>
  </pageFields>
  <dataFields count="2">
    <dataField name="Sum of Conversion" fld="16" baseField="0" baseItem="0"/>
    <dataField name="Sum of Cost" fld="17" baseField="0" baseItem="0"/>
  </dataFields>
  <formats count="2">
    <format dxfId="124">
      <pivotArea outline="0" collapsedLevelsAreSubtotals="1" fieldPosition="0"/>
    </format>
    <format dxfId="12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35E76-4CF3-C844-8678-5A49729713D3}" name="PivotTable11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5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axis="axisRow" showAll="0" sortType="descending">
      <items count="35">
        <item x="0"/>
        <item m="1" x="33"/>
        <item m="1" x="32"/>
        <item x="1"/>
        <item x="2"/>
        <item x="3"/>
        <item x="4"/>
        <item x="5"/>
        <item x="6"/>
        <item x="7"/>
        <item x="8"/>
        <item x="9"/>
        <item x="10"/>
        <item x="11"/>
        <item m="1" x="3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29"/>
  </rowFields>
  <rowItems count="32">
    <i>
      <x v="5"/>
    </i>
    <i>
      <x v="25"/>
    </i>
    <i>
      <x v="15"/>
    </i>
    <i>
      <x v="32"/>
    </i>
    <i>
      <x v="23"/>
    </i>
    <i>
      <x v="29"/>
    </i>
    <i>
      <x v="17"/>
    </i>
    <i>
      <x v="28"/>
    </i>
    <i>
      <x v="33"/>
    </i>
    <i>
      <x v="30"/>
    </i>
    <i>
      <x v="8"/>
    </i>
    <i>
      <x v="4"/>
    </i>
    <i>
      <x/>
    </i>
    <i>
      <x v="16"/>
    </i>
    <i>
      <x v="26"/>
    </i>
    <i>
      <x v="6"/>
    </i>
    <i>
      <x v="10"/>
    </i>
    <i>
      <x v="31"/>
    </i>
    <i>
      <x v="7"/>
    </i>
    <i>
      <x v="11"/>
    </i>
    <i>
      <x v="19"/>
    </i>
    <i>
      <x v="13"/>
    </i>
    <i>
      <x v="27"/>
    </i>
    <i>
      <x v="3"/>
    </i>
    <i>
      <x v="24"/>
    </i>
    <i>
      <x v="12"/>
    </i>
    <i>
      <x v="9"/>
    </i>
    <i>
      <x v="22"/>
    </i>
    <i>
      <x v="20"/>
    </i>
    <i>
      <x v="21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nversion" fld="16" baseField="0" baseItem="0"/>
    <dataField name="Sum of Cost" fld="17" baseField="0" baseItem="0"/>
  </dataFields>
  <formats count="2">
    <format dxfId="127">
      <pivotArea outline="0" collapsedLevelsAreSubtotals="1" fieldPosition="0"/>
    </format>
    <format dxfId="12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12" Type="http://schemas.openxmlformats.org/officeDocument/2006/relationships/pivotTable" Target="../pivotTables/pivotTable16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11" Type="http://schemas.openxmlformats.org/officeDocument/2006/relationships/pivotTable" Target="../pivotTables/pivotTable15.xml"/><Relationship Id="rId5" Type="http://schemas.openxmlformats.org/officeDocument/2006/relationships/pivotTable" Target="../pivotTables/pivotTable9.xml"/><Relationship Id="rId10" Type="http://schemas.openxmlformats.org/officeDocument/2006/relationships/pivotTable" Target="../pivotTables/pivotTable14.xml"/><Relationship Id="rId4" Type="http://schemas.openxmlformats.org/officeDocument/2006/relationships/pivotTable" Target="../pivotTables/pivotTable8.xml"/><Relationship Id="rId9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8703-B3A1-5848-AAFD-ECF4C6BDC59F}">
  <dimension ref="A1:W160"/>
  <sheetViews>
    <sheetView topLeftCell="L15" workbookViewId="0">
      <selection activeCell="V41" sqref="V41:W41"/>
    </sheetView>
  </sheetViews>
  <sheetFormatPr baseColWidth="10" defaultRowHeight="16" x14ac:dyDescent="0.2"/>
  <cols>
    <col min="1" max="1" width="10.1640625" bestFit="1" customWidth="1"/>
    <col min="2" max="5" width="16.6640625" bestFit="1" customWidth="1"/>
    <col min="6" max="7" width="10.83203125" style="6" customWidth="1"/>
    <col min="8" max="8" width="3.1640625" customWidth="1"/>
    <col min="9" max="9" width="15.5" bestFit="1" customWidth="1"/>
    <col min="17" max="17" width="52" bestFit="1" customWidth="1"/>
    <col min="18" max="21" width="17.1640625" bestFit="1" customWidth="1"/>
  </cols>
  <sheetData>
    <row r="1" spans="1:23" x14ac:dyDescent="0.2">
      <c r="J1" s="2" t="s">
        <v>1117</v>
      </c>
      <c r="K1" s="2" t="s">
        <v>1120</v>
      </c>
      <c r="N1" s="6"/>
      <c r="O1" s="6"/>
      <c r="R1" s="2" t="s">
        <v>1117</v>
      </c>
      <c r="S1" s="2" t="s">
        <v>1120</v>
      </c>
      <c r="V1" s="6"/>
      <c r="W1" s="6"/>
    </row>
    <row r="2" spans="1:23" x14ac:dyDescent="0.2">
      <c r="J2" s="15" t="s">
        <v>1119</v>
      </c>
      <c r="K2" s="15" t="s">
        <v>1119</v>
      </c>
      <c r="L2" t="s">
        <v>1118</v>
      </c>
      <c r="M2" t="s">
        <v>1118</v>
      </c>
      <c r="N2" s="16" t="s">
        <v>1119</v>
      </c>
      <c r="O2" s="17" t="s">
        <v>1118</v>
      </c>
      <c r="R2" s="15" t="s">
        <v>1119</v>
      </c>
      <c r="S2" s="15" t="s">
        <v>1119</v>
      </c>
      <c r="T2" t="s">
        <v>1118</v>
      </c>
      <c r="U2" t="s">
        <v>1118</v>
      </c>
      <c r="V2" s="16" t="s">
        <v>1119</v>
      </c>
      <c r="W2" s="17" t="s">
        <v>1118</v>
      </c>
    </row>
    <row r="3" spans="1:23" x14ac:dyDescent="0.2">
      <c r="B3" s="2" t="s">
        <v>1117</v>
      </c>
      <c r="C3" s="2" t="s">
        <v>1120</v>
      </c>
      <c r="I3" s="2" t="s">
        <v>1072</v>
      </c>
      <c r="J3" s="15" t="s">
        <v>1062</v>
      </c>
      <c r="K3" s="15" t="s">
        <v>1061</v>
      </c>
      <c r="L3" t="s">
        <v>1062</v>
      </c>
      <c r="M3" t="s">
        <v>1061</v>
      </c>
      <c r="N3" s="16" t="s">
        <v>1121</v>
      </c>
      <c r="O3" s="17" t="s">
        <v>1121</v>
      </c>
      <c r="Q3" s="2" t="s">
        <v>28</v>
      </c>
      <c r="R3" s="15" t="s">
        <v>1062</v>
      </c>
      <c r="S3" s="15" t="s">
        <v>1061</v>
      </c>
      <c r="T3" t="s">
        <v>1062</v>
      </c>
      <c r="U3" t="s">
        <v>1061</v>
      </c>
      <c r="V3" s="16" t="s">
        <v>1121</v>
      </c>
      <c r="W3" s="17" t="s">
        <v>1121</v>
      </c>
    </row>
    <row r="4" spans="1:23" x14ac:dyDescent="0.2">
      <c r="B4" s="15" t="s">
        <v>1119</v>
      </c>
      <c r="C4" s="15" t="s">
        <v>1119</v>
      </c>
      <c r="D4" t="s">
        <v>1118</v>
      </c>
      <c r="E4" t="s">
        <v>1118</v>
      </c>
      <c r="F4" s="16" t="s">
        <v>1119</v>
      </c>
      <c r="G4" s="17" t="s">
        <v>1118</v>
      </c>
      <c r="I4" t="s">
        <v>1112</v>
      </c>
      <c r="J4" s="5">
        <v>50</v>
      </c>
      <c r="K4" s="5">
        <v>7307.5499999999984</v>
      </c>
      <c r="L4" s="5">
        <v>29</v>
      </c>
      <c r="M4" s="5">
        <v>7205.579999999999</v>
      </c>
      <c r="N4" s="6">
        <f>IFERROR(K4/J4,200)</f>
        <v>146.15099999999995</v>
      </c>
      <c r="O4" s="6">
        <f>IFERROR(M4/L4,200)</f>
        <v>248.46827586206894</v>
      </c>
      <c r="Q4" t="s">
        <v>1068</v>
      </c>
      <c r="R4" s="5">
        <v>20</v>
      </c>
      <c r="S4" s="5">
        <v>2048.33</v>
      </c>
      <c r="T4" s="5">
        <v>9</v>
      </c>
      <c r="U4" s="5">
        <v>3727.0599999999995</v>
      </c>
      <c r="V4" s="6">
        <f>IFERROR(S4/R4,200)</f>
        <v>102.4165</v>
      </c>
      <c r="W4" s="6">
        <f>IFERROR(U4/T4,200)</f>
        <v>414.11777777777775</v>
      </c>
    </row>
    <row r="5" spans="1:23" x14ac:dyDescent="0.2">
      <c r="A5" s="2" t="s">
        <v>1115</v>
      </c>
      <c r="B5" s="15" t="s">
        <v>1062</v>
      </c>
      <c r="C5" s="15" t="s">
        <v>1061</v>
      </c>
      <c r="D5" t="s">
        <v>1062</v>
      </c>
      <c r="E5" t="s">
        <v>1061</v>
      </c>
      <c r="F5" s="16" t="s">
        <v>1121</v>
      </c>
      <c r="G5" s="17" t="s">
        <v>1121</v>
      </c>
      <c r="I5" t="s">
        <v>1082</v>
      </c>
      <c r="J5" s="5">
        <v>36</v>
      </c>
      <c r="K5" s="5">
        <v>2635.3599999999988</v>
      </c>
      <c r="L5" s="5">
        <v>19</v>
      </c>
      <c r="M5" s="5">
        <v>2723.5900000000006</v>
      </c>
      <c r="N5" s="6">
        <f t="shared" ref="N5:N44" si="0">IFERROR(K5/J5,200)</f>
        <v>73.204444444444405</v>
      </c>
      <c r="O5" s="6">
        <f t="shared" ref="O5:O44" si="1">IFERROR(M5/L5,200)</f>
        <v>143.34684210526319</v>
      </c>
      <c r="Q5" t="s">
        <v>760</v>
      </c>
      <c r="R5" s="5">
        <v>25</v>
      </c>
      <c r="S5" s="5">
        <v>3403.6900000000005</v>
      </c>
      <c r="T5" s="5">
        <v>15</v>
      </c>
      <c r="U5" s="5">
        <v>2210.8400000000011</v>
      </c>
      <c r="V5" s="6">
        <f t="shared" ref="V5:V44" si="2">IFERROR(S5/R5,200)</f>
        <v>136.14760000000001</v>
      </c>
      <c r="W5" s="6">
        <f t="shared" ref="W5:W44" si="3">IFERROR(U5/T5,200)</f>
        <v>147.38933333333341</v>
      </c>
    </row>
    <row r="6" spans="1:23" x14ac:dyDescent="0.2">
      <c r="A6" t="s">
        <v>1091</v>
      </c>
      <c r="B6" s="5">
        <v>21</v>
      </c>
      <c r="C6" s="5">
        <v>2966.3399999999997</v>
      </c>
      <c r="D6" s="5">
        <v>16</v>
      </c>
      <c r="E6" s="5">
        <v>4411.6999999999989</v>
      </c>
      <c r="F6" s="6">
        <f>C6/B6</f>
        <v>141.25428571428569</v>
      </c>
      <c r="G6" s="6">
        <f>E6/D6</f>
        <v>275.73124999999993</v>
      </c>
      <c r="I6" t="s">
        <v>1083</v>
      </c>
      <c r="J6" s="5">
        <v>5</v>
      </c>
      <c r="K6" s="5">
        <v>677.64</v>
      </c>
      <c r="L6" s="5">
        <v>7</v>
      </c>
      <c r="M6" s="5">
        <v>600</v>
      </c>
      <c r="N6" s="6">
        <f t="shared" si="0"/>
        <v>135.52799999999999</v>
      </c>
      <c r="O6" s="6">
        <f t="shared" si="1"/>
        <v>85.714285714285708</v>
      </c>
      <c r="Q6" t="s">
        <v>1064</v>
      </c>
      <c r="R6" s="5">
        <v>26</v>
      </c>
      <c r="S6" s="5">
        <v>2304.6300000000006</v>
      </c>
      <c r="T6" s="5">
        <v>8</v>
      </c>
      <c r="U6" s="5">
        <v>1638.84</v>
      </c>
      <c r="V6" s="6">
        <f t="shared" si="2"/>
        <v>88.639615384615411</v>
      </c>
      <c r="W6" s="6">
        <f t="shared" si="3"/>
        <v>204.85499999999999</v>
      </c>
    </row>
    <row r="7" spans="1:23" x14ac:dyDescent="0.2">
      <c r="A7" t="s">
        <v>1067</v>
      </c>
      <c r="B7" s="5">
        <v>46</v>
      </c>
      <c r="C7" s="5">
        <v>3260.7899999999995</v>
      </c>
      <c r="D7" s="5">
        <v>22</v>
      </c>
      <c r="E7" s="5">
        <v>3064.06</v>
      </c>
      <c r="F7" s="6">
        <f>C7/B7</f>
        <v>70.886739130434776</v>
      </c>
      <c r="G7" s="6">
        <f>E7/D7</f>
        <v>139.27545454545455</v>
      </c>
      <c r="I7" t="s">
        <v>1079</v>
      </c>
      <c r="J7" s="5">
        <v>13</v>
      </c>
      <c r="K7" s="5">
        <v>679.57</v>
      </c>
      <c r="L7" s="5">
        <v>2</v>
      </c>
      <c r="M7" s="5">
        <v>493.22</v>
      </c>
      <c r="N7" s="6">
        <f t="shared" si="0"/>
        <v>52.274615384615387</v>
      </c>
      <c r="O7" s="6">
        <f t="shared" si="1"/>
        <v>246.61</v>
      </c>
      <c r="Q7" t="s">
        <v>1066</v>
      </c>
      <c r="R7" s="5">
        <v>8</v>
      </c>
      <c r="S7" s="5">
        <v>1749.6499999999996</v>
      </c>
      <c r="T7" s="5">
        <v>10</v>
      </c>
      <c r="U7" s="5">
        <v>1514.1200000000001</v>
      </c>
      <c r="V7" s="6">
        <f t="shared" si="2"/>
        <v>218.70624999999995</v>
      </c>
      <c r="W7" s="6">
        <f t="shared" si="3"/>
        <v>151.41200000000001</v>
      </c>
    </row>
    <row r="8" spans="1:23" x14ac:dyDescent="0.2">
      <c r="A8" t="s">
        <v>1116</v>
      </c>
      <c r="B8" s="5">
        <v>66</v>
      </c>
      <c r="C8" s="5">
        <v>9773.9699999999993</v>
      </c>
      <c r="D8" s="5">
        <v>44</v>
      </c>
      <c r="E8" s="5">
        <v>7391.4099999999989</v>
      </c>
      <c r="F8" s="6">
        <f>C8/B8</f>
        <v>148.09045454545455</v>
      </c>
      <c r="G8" s="6">
        <f>E8/D8</f>
        <v>167.98659090909089</v>
      </c>
      <c r="I8" t="s">
        <v>1101</v>
      </c>
      <c r="J8" s="5">
        <v>2</v>
      </c>
      <c r="K8" s="5">
        <v>559.49</v>
      </c>
      <c r="L8" s="5">
        <v>0</v>
      </c>
      <c r="M8" s="5">
        <v>497.03000000000003</v>
      </c>
      <c r="N8" s="6">
        <f t="shared" si="0"/>
        <v>279.745</v>
      </c>
      <c r="O8" s="6">
        <f t="shared" si="1"/>
        <v>200</v>
      </c>
      <c r="Q8" t="s">
        <v>618</v>
      </c>
      <c r="R8" s="5">
        <v>21</v>
      </c>
      <c r="S8" s="5">
        <v>1647.2300000000005</v>
      </c>
      <c r="T8" s="5">
        <v>7</v>
      </c>
      <c r="U8" s="5">
        <v>1226.6499999999999</v>
      </c>
      <c r="V8" s="6">
        <f t="shared" si="2"/>
        <v>78.439523809523834</v>
      </c>
      <c r="W8" s="6">
        <f t="shared" si="3"/>
        <v>175.23571428571427</v>
      </c>
    </row>
    <row r="9" spans="1:23" x14ac:dyDescent="0.2">
      <c r="I9" t="s">
        <v>1099</v>
      </c>
      <c r="J9" s="5">
        <v>10</v>
      </c>
      <c r="K9" s="5">
        <v>625.41999999999996</v>
      </c>
      <c r="L9" s="5">
        <v>3</v>
      </c>
      <c r="M9" s="5">
        <v>340.46999999999997</v>
      </c>
      <c r="N9" s="6">
        <f t="shared" si="0"/>
        <v>62.541999999999994</v>
      </c>
      <c r="O9" s="6">
        <f t="shared" si="1"/>
        <v>113.49</v>
      </c>
      <c r="Q9" t="s">
        <v>1070</v>
      </c>
      <c r="R9" s="5">
        <v>2</v>
      </c>
      <c r="S9" s="5">
        <v>1453.71</v>
      </c>
      <c r="T9" s="5">
        <v>4</v>
      </c>
      <c r="U9" s="5">
        <v>1188.3600000000001</v>
      </c>
      <c r="V9" s="6">
        <f t="shared" si="2"/>
        <v>726.85500000000002</v>
      </c>
      <c r="W9" s="6">
        <f t="shared" si="3"/>
        <v>297.09000000000003</v>
      </c>
    </row>
    <row r="10" spans="1:23" x14ac:dyDescent="0.2">
      <c r="I10" t="s">
        <v>1096</v>
      </c>
      <c r="J10" s="5">
        <v>2</v>
      </c>
      <c r="K10" s="5">
        <v>412.47999999999996</v>
      </c>
      <c r="L10" s="5">
        <v>2</v>
      </c>
      <c r="M10" s="5">
        <v>370.01000000000005</v>
      </c>
      <c r="N10" s="6">
        <f t="shared" si="0"/>
        <v>206.23999999999998</v>
      </c>
      <c r="O10" s="6">
        <f t="shared" si="1"/>
        <v>185.00500000000002</v>
      </c>
      <c r="Q10" t="s">
        <v>849</v>
      </c>
      <c r="R10" s="5">
        <v>12</v>
      </c>
      <c r="S10" s="5">
        <v>862.25999999999988</v>
      </c>
      <c r="T10" s="5">
        <v>10</v>
      </c>
      <c r="U10" s="5">
        <v>1210.58</v>
      </c>
      <c r="V10" s="6">
        <f t="shared" si="2"/>
        <v>71.85499999999999</v>
      </c>
      <c r="W10" s="6">
        <f t="shared" si="3"/>
        <v>121.05799999999999</v>
      </c>
    </row>
    <row r="11" spans="1:23" x14ac:dyDescent="0.2">
      <c r="I11" t="s">
        <v>1075</v>
      </c>
      <c r="J11" s="5">
        <v>4</v>
      </c>
      <c r="K11" s="5">
        <v>407.66999999999996</v>
      </c>
      <c r="L11" s="5">
        <v>6</v>
      </c>
      <c r="M11" s="5">
        <v>249.18000000000004</v>
      </c>
      <c r="N11" s="6">
        <f t="shared" si="0"/>
        <v>101.91749999999999</v>
      </c>
      <c r="O11" s="6">
        <f t="shared" si="1"/>
        <v>41.530000000000008</v>
      </c>
      <c r="Q11" t="s">
        <v>1065</v>
      </c>
      <c r="R11" s="5">
        <v>4</v>
      </c>
      <c r="S11" s="5">
        <v>661.37</v>
      </c>
      <c r="T11" s="5">
        <v>4</v>
      </c>
      <c r="U11" s="5">
        <v>575.53</v>
      </c>
      <c r="V11" s="6">
        <f t="shared" si="2"/>
        <v>165.3425</v>
      </c>
      <c r="W11" s="6">
        <f t="shared" si="3"/>
        <v>143.88249999999999</v>
      </c>
    </row>
    <row r="12" spans="1:23" x14ac:dyDescent="0.2">
      <c r="I12" t="s">
        <v>1085</v>
      </c>
      <c r="J12" s="5">
        <v>0</v>
      </c>
      <c r="K12" s="5">
        <v>232.68</v>
      </c>
      <c r="L12" s="5">
        <v>0</v>
      </c>
      <c r="M12" s="5">
        <v>218.45999999999998</v>
      </c>
      <c r="N12" s="6">
        <f t="shared" si="0"/>
        <v>200</v>
      </c>
      <c r="O12" s="6">
        <f t="shared" si="1"/>
        <v>200</v>
      </c>
      <c r="Q12" t="s">
        <v>1069</v>
      </c>
      <c r="R12" s="5">
        <v>1</v>
      </c>
      <c r="S12" s="5">
        <v>503.02</v>
      </c>
      <c r="T12" s="5">
        <v>1</v>
      </c>
      <c r="U12" s="5">
        <v>437.52</v>
      </c>
      <c r="V12" s="6">
        <f t="shared" si="2"/>
        <v>503.02</v>
      </c>
      <c r="W12" s="6">
        <f t="shared" si="3"/>
        <v>437.52</v>
      </c>
    </row>
    <row r="13" spans="1:23" x14ac:dyDescent="0.2">
      <c r="I13" t="s">
        <v>1093</v>
      </c>
      <c r="J13" s="5">
        <v>0</v>
      </c>
      <c r="K13" s="5">
        <v>239.94</v>
      </c>
      <c r="L13" s="5">
        <v>1</v>
      </c>
      <c r="M13" s="5">
        <v>194.71</v>
      </c>
      <c r="N13" s="6">
        <f t="shared" si="0"/>
        <v>200</v>
      </c>
      <c r="O13" s="6">
        <f t="shared" si="1"/>
        <v>194.71</v>
      </c>
      <c r="Q13" t="s">
        <v>946</v>
      </c>
      <c r="R13" s="5">
        <v>3</v>
      </c>
      <c r="S13" s="5">
        <v>388.42</v>
      </c>
      <c r="T13" s="5">
        <v>3</v>
      </c>
      <c r="U13" s="5">
        <v>352.25000000000006</v>
      </c>
      <c r="V13" s="6">
        <f t="shared" si="2"/>
        <v>129.47333333333333</v>
      </c>
      <c r="W13" s="6">
        <f t="shared" si="3"/>
        <v>117.41666666666669</v>
      </c>
    </row>
    <row r="14" spans="1:23" x14ac:dyDescent="0.2">
      <c r="I14" t="s">
        <v>1095</v>
      </c>
      <c r="J14" s="5">
        <v>0</v>
      </c>
      <c r="K14" s="5">
        <v>214.18</v>
      </c>
      <c r="L14" s="5">
        <v>1</v>
      </c>
      <c r="M14" s="5">
        <v>196.23000000000002</v>
      </c>
      <c r="N14" s="6">
        <f t="shared" si="0"/>
        <v>200</v>
      </c>
      <c r="O14" s="6">
        <f t="shared" si="1"/>
        <v>196.23000000000002</v>
      </c>
      <c r="Q14" t="s">
        <v>789</v>
      </c>
      <c r="R14" s="5">
        <v>4</v>
      </c>
      <c r="S14" s="5">
        <v>370.97</v>
      </c>
      <c r="T14" s="5">
        <v>1</v>
      </c>
      <c r="U14" s="5">
        <v>221</v>
      </c>
      <c r="V14" s="6">
        <f t="shared" si="2"/>
        <v>92.742500000000007</v>
      </c>
      <c r="W14" s="6">
        <f t="shared" si="3"/>
        <v>221</v>
      </c>
    </row>
    <row r="15" spans="1:23" x14ac:dyDescent="0.2">
      <c r="I15" t="s">
        <v>1111</v>
      </c>
      <c r="J15" s="5">
        <v>1</v>
      </c>
      <c r="K15" s="5">
        <v>195.28</v>
      </c>
      <c r="L15" s="5">
        <v>0</v>
      </c>
      <c r="M15" s="5">
        <v>194.88000000000002</v>
      </c>
      <c r="N15" s="6">
        <f t="shared" si="0"/>
        <v>195.28</v>
      </c>
      <c r="O15" s="6">
        <f t="shared" si="1"/>
        <v>200</v>
      </c>
      <c r="Q15" t="s">
        <v>60</v>
      </c>
      <c r="R15" s="5">
        <v>2</v>
      </c>
      <c r="S15" s="5">
        <v>275.83</v>
      </c>
      <c r="T15" s="5">
        <v>7</v>
      </c>
      <c r="U15" s="5">
        <v>309.56</v>
      </c>
      <c r="V15" s="6">
        <f t="shared" si="2"/>
        <v>137.91499999999999</v>
      </c>
      <c r="W15" s="6">
        <f t="shared" si="3"/>
        <v>44.222857142857144</v>
      </c>
    </row>
    <row r="16" spans="1:23" x14ac:dyDescent="0.2">
      <c r="I16" t="s">
        <v>1081</v>
      </c>
      <c r="J16" s="5">
        <v>1</v>
      </c>
      <c r="K16" s="5">
        <v>182.9</v>
      </c>
      <c r="L16" s="5">
        <v>0</v>
      </c>
      <c r="M16" s="5">
        <v>160.34000000000003</v>
      </c>
      <c r="N16" s="6">
        <f t="shared" si="0"/>
        <v>182.9</v>
      </c>
      <c r="O16" s="6">
        <f t="shared" si="1"/>
        <v>200</v>
      </c>
      <c r="Q16" t="s">
        <v>687</v>
      </c>
      <c r="R16" s="5">
        <v>3</v>
      </c>
      <c r="S16" s="5">
        <v>164.76000000000002</v>
      </c>
      <c r="T16" s="5">
        <v>0</v>
      </c>
      <c r="U16" s="5">
        <v>126.25</v>
      </c>
      <c r="V16" s="6">
        <f t="shared" si="2"/>
        <v>54.920000000000009</v>
      </c>
      <c r="W16" s="6">
        <f t="shared" si="3"/>
        <v>200</v>
      </c>
    </row>
    <row r="17" spans="9:23" x14ac:dyDescent="0.2">
      <c r="I17" t="s">
        <v>1100</v>
      </c>
      <c r="J17" s="5">
        <v>0</v>
      </c>
      <c r="K17" s="5">
        <v>181.05</v>
      </c>
      <c r="L17" s="5">
        <v>0</v>
      </c>
      <c r="M17" s="5">
        <v>154.38999999999999</v>
      </c>
      <c r="N17" s="6">
        <f t="shared" si="0"/>
        <v>200</v>
      </c>
      <c r="O17" s="6">
        <f t="shared" si="1"/>
        <v>200</v>
      </c>
      <c r="Q17" t="s">
        <v>38</v>
      </c>
      <c r="R17" s="5">
        <v>1</v>
      </c>
      <c r="S17" s="5">
        <v>143.51</v>
      </c>
      <c r="T17" s="5">
        <v>3</v>
      </c>
      <c r="U17" s="5">
        <v>110.37000000000002</v>
      </c>
      <c r="V17" s="6">
        <f t="shared" si="2"/>
        <v>143.51</v>
      </c>
      <c r="W17" s="6">
        <f t="shared" si="3"/>
        <v>36.790000000000006</v>
      </c>
    </row>
    <row r="18" spans="9:23" x14ac:dyDescent="0.2">
      <c r="I18" t="s">
        <v>1074</v>
      </c>
      <c r="J18" s="5">
        <v>2</v>
      </c>
      <c r="K18" s="5">
        <v>150.73999999999998</v>
      </c>
      <c r="L18" s="5">
        <v>1</v>
      </c>
      <c r="M18" s="5">
        <v>124.44999999999999</v>
      </c>
      <c r="N18" s="6">
        <f t="shared" si="0"/>
        <v>75.36999999999999</v>
      </c>
      <c r="O18" s="6">
        <f t="shared" si="1"/>
        <v>124.44999999999999</v>
      </c>
      <c r="Q18" t="s">
        <v>884</v>
      </c>
      <c r="R18" s="5">
        <v>0</v>
      </c>
      <c r="S18" s="5">
        <v>17.899999999999999</v>
      </c>
      <c r="T18" s="5">
        <v>0</v>
      </c>
      <c r="U18" s="5">
        <v>13.77</v>
      </c>
      <c r="V18" s="6">
        <f t="shared" si="2"/>
        <v>200</v>
      </c>
      <c r="W18" s="6">
        <f t="shared" si="3"/>
        <v>200</v>
      </c>
    </row>
    <row r="19" spans="9:23" x14ac:dyDescent="0.2">
      <c r="I19" t="s">
        <v>1078</v>
      </c>
      <c r="J19" s="5">
        <v>0</v>
      </c>
      <c r="K19" s="5">
        <v>153.19</v>
      </c>
      <c r="L19" s="5">
        <v>0</v>
      </c>
      <c r="M19" s="5">
        <v>113.48</v>
      </c>
      <c r="N19" s="6">
        <f t="shared" si="0"/>
        <v>200</v>
      </c>
      <c r="O19" s="6">
        <f t="shared" si="1"/>
        <v>200</v>
      </c>
      <c r="Q19" t="s">
        <v>172</v>
      </c>
      <c r="R19" s="5">
        <v>0</v>
      </c>
      <c r="S19" s="5">
        <v>3</v>
      </c>
      <c r="T19" s="5">
        <v>0</v>
      </c>
      <c r="U19" s="5">
        <v>2.7300000000000004</v>
      </c>
      <c r="V19" s="6">
        <f t="shared" si="2"/>
        <v>200</v>
      </c>
      <c r="W19" s="6">
        <f t="shared" si="3"/>
        <v>200</v>
      </c>
    </row>
    <row r="20" spans="9:23" x14ac:dyDescent="0.2">
      <c r="I20" t="s">
        <v>1097</v>
      </c>
      <c r="J20" s="5">
        <v>0</v>
      </c>
      <c r="K20" s="5">
        <v>117.19000000000001</v>
      </c>
      <c r="L20" s="5">
        <v>1</v>
      </c>
      <c r="M20" s="5">
        <v>120.62</v>
      </c>
      <c r="N20" s="6">
        <f t="shared" si="0"/>
        <v>200</v>
      </c>
      <c r="O20" s="6">
        <f t="shared" si="1"/>
        <v>120.62</v>
      </c>
      <c r="Q20" t="s">
        <v>96</v>
      </c>
      <c r="R20" s="5">
        <v>1</v>
      </c>
      <c r="S20" s="5">
        <v>2.82</v>
      </c>
      <c r="T20" s="5">
        <v>0</v>
      </c>
      <c r="U20" s="5">
        <v>1.74</v>
      </c>
      <c r="V20" s="6">
        <f t="shared" si="2"/>
        <v>2.82</v>
      </c>
      <c r="W20" s="6">
        <f t="shared" si="3"/>
        <v>200</v>
      </c>
    </row>
    <row r="21" spans="9:23" x14ac:dyDescent="0.2">
      <c r="I21" t="s">
        <v>1084</v>
      </c>
      <c r="J21" s="5">
        <v>0</v>
      </c>
      <c r="K21" s="5">
        <v>122.03</v>
      </c>
      <c r="L21" s="5">
        <v>0</v>
      </c>
      <c r="M21" s="5">
        <v>95.9</v>
      </c>
      <c r="N21" s="6">
        <f t="shared" si="0"/>
        <v>200</v>
      </c>
      <c r="O21" s="6">
        <f t="shared" si="1"/>
        <v>200</v>
      </c>
      <c r="Q21" t="s">
        <v>158</v>
      </c>
      <c r="R21" s="5"/>
      <c r="S21" s="5">
        <v>0</v>
      </c>
      <c r="T21" s="5"/>
      <c r="U21" s="5">
        <v>0</v>
      </c>
      <c r="V21" s="6">
        <f t="shared" si="2"/>
        <v>200</v>
      </c>
      <c r="W21" s="6">
        <f t="shared" si="3"/>
        <v>200</v>
      </c>
    </row>
    <row r="22" spans="9:23" x14ac:dyDescent="0.2">
      <c r="I22" t="s">
        <v>1105</v>
      </c>
      <c r="J22" s="5">
        <v>0</v>
      </c>
      <c r="K22" s="5">
        <v>114.87</v>
      </c>
      <c r="L22" s="5">
        <v>0</v>
      </c>
      <c r="M22" s="5">
        <v>94.580000000000013</v>
      </c>
      <c r="N22" s="6">
        <f t="shared" si="0"/>
        <v>200</v>
      </c>
      <c r="O22" s="6">
        <f t="shared" si="1"/>
        <v>200</v>
      </c>
      <c r="Q22" t="s">
        <v>348</v>
      </c>
      <c r="R22" s="5"/>
      <c r="S22" s="5">
        <v>0</v>
      </c>
      <c r="T22" s="5"/>
      <c r="U22" s="5">
        <v>0</v>
      </c>
      <c r="V22" s="6">
        <f t="shared" si="2"/>
        <v>200</v>
      </c>
      <c r="W22" s="6">
        <f t="shared" si="3"/>
        <v>200</v>
      </c>
    </row>
    <row r="23" spans="9:23" x14ac:dyDescent="0.2">
      <c r="I23" t="s">
        <v>1086</v>
      </c>
      <c r="J23" s="5">
        <v>1</v>
      </c>
      <c r="K23" s="5">
        <v>109.64999999999999</v>
      </c>
      <c r="L23" s="5">
        <v>1</v>
      </c>
      <c r="M23" s="5">
        <v>89.55</v>
      </c>
      <c r="N23" s="6">
        <f t="shared" si="0"/>
        <v>109.64999999999999</v>
      </c>
      <c r="O23" s="6">
        <f t="shared" si="1"/>
        <v>89.55</v>
      </c>
      <c r="Q23" t="s">
        <v>791</v>
      </c>
      <c r="R23" s="5"/>
      <c r="S23" s="5">
        <v>0</v>
      </c>
      <c r="T23" s="5"/>
      <c r="U23" s="5">
        <v>0</v>
      </c>
      <c r="V23" s="6">
        <f t="shared" si="2"/>
        <v>200</v>
      </c>
      <c r="W23" s="6">
        <f t="shared" si="3"/>
        <v>200</v>
      </c>
    </row>
    <row r="24" spans="9:23" x14ac:dyDescent="0.2">
      <c r="I24" t="s">
        <v>1094</v>
      </c>
      <c r="J24" s="5">
        <v>0</v>
      </c>
      <c r="K24" s="5">
        <v>99.68</v>
      </c>
      <c r="L24" s="5">
        <v>0</v>
      </c>
      <c r="M24" s="5">
        <v>88.789999999999992</v>
      </c>
      <c r="N24" s="6">
        <f t="shared" si="0"/>
        <v>200</v>
      </c>
      <c r="O24" s="6">
        <f t="shared" si="1"/>
        <v>200</v>
      </c>
      <c r="Q24" t="s">
        <v>303</v>
      </c>
      <c r="R24" s="5"/>
      <c r="S24" s="5">
        <v>0</v>
      </c>
      <c r="T24" s="5"/>
      <c r="U24" s="5">
        <v>0</v>
      </c>
      <c r="V24" s="6">
        <f t="shared" si="2"/>
        <v>200</v>
      </c>
      <c r="W24" s="6">
        <f t="shared" si="3"/>
        <v>200</v>
      </c>
    </row>
    <row r="25" spans="9:23" x14ac:dyDescent="0.2">
      <c r="I25" t="s">
        <v>1110</v>
      </c>
      <c r="J25" s="5">
        <v>0</v>
      </c>
      <c r="K25" s="5">
        <v>75.02000000000001</v>
      </c>
      <c r="L25" s="5">
        <v>2</v>
      </c>
      <c r="M25" s="5">
        <v>75.410000000000011</v>
      </c>
      <c r="N25" s="6">
        <f t="shared" si="0"/>
        <v>200</v>
      </c>
      <c r="O25" s="6">
        <f t="shared" si="1"/>
        <v>37.705000000000005</v>
      </c>
      <c r="Q25" t="s">
        <v>807</v>
      </c>
      <c r="R25" s="5"/>
      <c r="S25" s="5">
        <v>0</v>
      </c>
      <c r="T25" s="5"/>
      <c r="U25" s="5">
        <v>0</v>
      </c>
      <c r="V25" s="6">
        <f t="shared" si="2"/>
        <v>200</v>
      </c>
      <c r="W25" s="6">
        <f t="shared" si="3"/>
        <v>200</v>
      </c>
    </row>
    <row r="26" spans="9:23" x14ac:dyDescent="0.2">
      <c r="I26" t="s">
        <v>1103</v>
      </c>
      <c r="J26" s="5">
        <v>1</v>
      </c>
      <c r="K26" s="5">
        <v>73.7</v>
      </c>
      <c r="L26" s="5">
        <v>0</v>
      </c>
      <c r="M26" s="5">
        <v>60.89</v>
      </c>
      <c r="N26" s="6">
        <f t="shared" si="0"/>
        <v>73.7</v>
      </c>
      <c r="O26" s="6">
        <f t="shared" si="1"/>
        <v>200</v>
      </c>
      <c r="Q26" t="s">
        <v>888</v>
      </c>
      <c r="R26" s="5"/>
      <c r="S26" s="5">
        <v>0</v>
      </c>
      <c r="T26" s="5"/>
      <c r="U26" s="5">
        <v>0</v>
      </c>
      <c r="V26" s="6">
        <f t="shared" si="2"/>
        <v>200</v>
      </c>
      <c r="W26" s="6">
        <f t="shared" si="3"/>
        <v>200</v>
      </c>
    </row>
    <row r="27" spans="9:23" x14ac:dyDescent="0.2">
      <c r="I27" t="s">
        <v>1076</v>
      </c>
      <c r="J27" s="5">
        <v>1</v>
      </c>
      <c r="K27" s="5">
        <v>55.15</v>
      </c>
      <c r="L27" s="5">
        <v>1</v>
      </c>
      <c r="M27" s="5">
        <v>48.06</v>
      </c>
      <c r="N27" s="6">
        <f t="shared" si="0"/>
        <v>55.15</v>
      </c>
      <c r="O27" s="6">
        <f t="shared" si="1"/>
        <v>48.06</v>
      </c>
      <c r="Q27" t="s">
        <v>823</v>
      </c>
      <c r="R27" s="5"/>
      <c r="S27" s="5">
        <v>0</v>
      </c>
      <c r="T27" s="5"/>
      <c r="U27" s="5">
        <v>0</v>
      </c>
      <c r="V27" s="6">
        <f t="shared" si="2"/>
        <v>200</v>
      </c>
      <c r="W27" s="6">
        <f t="shared" si="3"/>
        <v>200</v>
      </c>
    </row>
    <row r="28" spans="9:23" x14ac:dyDescent="0.2">
      <c r="I28" t="s">
        <v>1109</v>
      </c>
      <c r="J28" s="5">
        <v>0</v>
      </c>
      <c r="K28" s="5">
        <v>50.11</v>
      </c>
      <c r="L28" s="5">
        <v>0</v>
      </c>
      <c r="M28" s="5">
        <v>48.04</v>
      </c>
      <c r="N28" s="6">
        <f t="shared" si="0"/>
        <v>200</v>
      </c>
      <c r="O28" s="6">
        <f t="shared" si="1"/>
        <v>200</v>
      </c>
      <c r="Q28" t="s">
        <v>484</v>
      </c>
      <c r="R28" s="5"/>
      <c r="S28" s="5">
        <v>0</v>
      </c>
      <c r="T28" s="5"/>
      <c r="U28" s="5">
        <v>0</v>
      </c>
      <c r="V28" s="6">
        <f t="shared" si="2"/>
        <v>200</v>
      </c>
      <c r="W28" s="6">
        <f t="shared" si="3"/>
        <v>200</v>
      </c>
    </row>
    <row r="29" spans="9:23" x14ac:dyDescent="0.2">
      <c r="I29" t="s">
        <v>1077</v>
      </c>
      <c r="J29" s="5">
        <v>0</v>
      </c>
      <c r="K29" s="5">
        <v>49.23</v>
      </c>
      <c r="L29" s="5">
        <v>0</v>
      </c>
      <c r="M29" s="5">
        <v>39.07</v>
      </c>
      <c r="N29" s="6">
        <f t="shared" si="0"/>
        <v>200</v>
      </c>
      <c r="O29" s="6">
        <f t="shared" si="1"/>
        <v>200</v>
      </c>
      <c r="Q29" t="s">
        <v>954</v>
      </c>
      <c r="R29" s="5"/>
      <c r="S29" s="5">
        <v>0</v>
      </c>
      <c r="T29" s="5"/>
      <c r="U29" s="5">
        <v>0</v>
      </c>
      <c r="V29" s="6">
        <f t="shared" si="2"/>
        <v>200</v>
      </c>
      <c r="W29" s="6">
        <f t="shared" si="3"/>
        <v>200</v>
      </c>
    </row>
    <row r="30" spans="9:23" x14ac:dyDescent="0.2">
      <c r="I30" t="s">
        <v>1089</v>
      </c>
      <c r="J30" s="5">
        <v>0</v>
      </c>
      <c r="K30" s="5">
        <v>45.37</v>
      </c>
      <c r="L30" s="5">
        <v>0</v>
      </c>
      <c r="M30" s="5">
        <v>41.75</v>
      </c>
      <c r="N30" s="6">
        <f t="shared" si="0"/>
        <v>200</v>
      </c>
      <c r="O30" s="6">
        <f t="shared" si="1"/>
        <v>200</v>
      </c>
      <c r="Q30" t="s">
        <v>783</v>
      </c>
      <c r="R30" s="5"/>
      <c r="S30" s="5">
        <v>0</v>
      </c>
      <c r="T30" s="5"/>
      <c r="U30" s="5">
        <v>0</v>
      </c>
      <c r="V30" s="6">
        <f t="shared" si="2"/>
        <v>200</v>
      </c>
      <c r="W30" s="6">
        <f t="shared" si="3"/>
        <v>200</v>
      </c>
    </row>
    <row r="31" spans="9:23" x14ac:dyDescent="0.2">
      <c r="I31" t="s">
        <v>1088</v>
      </c>
      <c r="J31" s="5">
        <v>0</v>
      </c>
      <c r="K31" s="5">
        <v>35.840000000000003</v>
      </c>
      <c r="L31" s="5">
        <v>0</v>
      </c>
      <c r="M31" s="5">
        <v>26.56</v>
      </c>
      <c r="N31" s="6">
        <f t="shared" si="0"/>
        <v>200</v>
      </c>
      <c r="O31" s="6">
        <f t="shared" si="1"/>
        <v>200</v>
      </c>
      <c r="Q31" t="s">
        <v>119</v>
      </c>
      <c r="R31" s="5"/>
      <c r="S31" s="5">
        <v>0</v>
      </c>
      <c r="T31" s="5"/>
      <c r="U31" s="5">
        <v>0</v>
      </c>
      <c r="V31" s="6">
        <f t="shared" si="2"/>
        <v>200</v>
      </c>
      <c r="W31" s="6">
        <f t="shared" si="3"/>
        <v>200</v>
      </c>
    </row>
    <row r="32" spans="9:23" x14ac:dyDescent="0.2">
      <c r="I32" t="s">
        <v>1106</v>
      </c>
      <c r="J32" s="5">
        <v>0</v>
      </c>
      <c r="K32" s="5">
        <v>34.21</v>
      </c>
      <c r="L32" s="5">
        <v>0</v>
      </c>
      <c r="M32" s="5">
        <v>25.88</v>
      </c>
      <c r="N32" s="6">
        <f t="shared" si="0"/>
        <v>200</v>
      </c>
      <c r="O32" s="6">
        <f t="shared" si="1"/>
        <v>200</v>
      </c>
      <c r="Q32" t="s">
        <v>43</v>
      </c>
      <c r="R32" s="5"/>
      <c r="S32" s="5">
        <v>0</v>
      </c>
      <c r="T32" s="5"/>
      <c r="U32" s="5">
        <v>0</v>
      </c>
      <c r="V32" s="6">
        <f t="shared" si="2"/>
        <v>200</v>
      </c>
      <c r="W32" s="6">
        <f t="shared" si="3"/>
        <v>200</v>
      </c>
    </row>
    <row r="33" spans="9:23" x14ac:dyDescent="0.2">
      <c r="I33" t="s">
        <v>1087</v>
      </c>
      <c r="J33" s="5">
        <v>0</v>
      </c>
      <c r="K33" s="5">
        <v>32.97</v>
      </c>
      <c r="L33" s="5">
        <v>0</v>
      </c>
      <c r="M33" s="5">
        <v>25.66</v>
      </c>
      <c r="N33" s="6">
        <f t="shared" si="0"/>
        <v>200</v>
      </c>
      <c r="O33" s="6">
        <f t="shared" si="1"/>
        <v>200</v>
      </c>
      <c r="Q33" t="s">
        <v>401</v>
      </c>
      <c r="R33" s="5"/>
      <c r="S33" s="5">
        <v>0</v>
      </c>
      <c r="T33" s="5"/>
      <c r="U33" s="5">
        <v>0</v>
      </c>
      <c r="V33" s="6">
        <f t="shared" si="2"/>
        <v>200</v>
      </c>
      <c r="W33" s="6">
        <f t="shared" si="3"/>
        <v>200</v>
      </c>
    </row>
    <row r="34" spans="9:23" x14ac:dyDescent="0.2">
      <c r="I34" t="s">
        <v>1113</v>
      </c>
      <c r="J34" s="5">
        <v>0</v>
      </c>
      <c r="K34" s="5">
        <v>30.29</v>
      </c>
      <c r="L34" s="5">
        <v>1</v>
      </c>
      <c r="M34" s="5">
        <v>25.98</v>
      </c>
      <c r="N34" s="6">
        <f t="shared" si="0"/>
        <v>200</v>
      </c>
      <c r="O34" s="6">
        <f t="shared" si="1"/>
        <v>25.98</v>
      </c>
      <c r="Q34" t="s">
        <v>606</v>
      </c>
      <c r="R34" s="5"/>
      <c r="S34" s="5">
        <v>0</v>
      </c>
      <c r="T34" s="5"/>
      <c r="U34" s="5">
        <v>0</v>
      </c>
      <c r="V34" s="6">
        <f t="shared" si="2"/>
        <v>200</v>
      </c>
      <c r="W34" s="6">
        <f t="shared" si="3"/>
        <v>200</v>
      </c>
    </row>
    <row r="35" spans="9:23" x14ac:dyDescent="0.2">
      <c r="I35" t="s">
        <v>1098</v>
      </c>
      <c r="J35" s="5">
        <v>1</v>
      </c>
      <c r="K35" s="5">
        <v>20.420000000000002</v>
      </c>
      <c r="L35" s="5">
        <v>2</v>
      </c>
      <c r="M35" s="5">
        <v>35.380000000000003</v>
      </c>
      <c r="N35" s="6">
        <f t="shared" si="0"/>
        <v>20.420000000000002</v>
      </c>
      <c r="O35" s="6">
        <f t="shared" si="1"/>
        <v>17.690000000000001</v>
      </c>
      <c r="V35" s="6"/>
      <c r="W35" s="6"/>
    </row>
    <row r="36" spans="9:23" x14ac:dyDescent="0.2">
      <c r="I36" t="s">
        <v>1107</v>
      </c>
      <c r="J36" s="5">
        <v>1</v>
      </c>
      <c r="K36" s="5">
        <v>26.82</v>
      </c>
      <c r="L36" s="5">
        <v>1</v>
      </c>
      <c r="M36" s="5">
        <v>23.779999999999998</v>
      </c>
      <c r="N36" s="6">
        <f t="shared" si="0"/>
        <v>26.82</v>
      </c>
      <c r="O36" s="6">
        <f t="shared" si="1"/>
        <v>23.779999999999998</v>
      </c>
      <c r="Q36" s="2" t="s">
        <v>28</v>
      </c>
      <c r="R36" t="s">
        <v>1068</v>
      </c>
      <c r="V36" s="6"/>
      <c r="W36" s="6"/>
    </row>
    <row r="37" spans="9:23" x14ac:dyDescent="0.2">
      <c r="I37" t="s">
        <v>1092</v>
      </c>
      <c r="J37" s="5">
        <v>0</v>
      </c>
      <c r="K37" s="5">
        <v>21.3</v>
      </c>
      <c r="L37" s="5">
        <v>1</v>
      </c>
      <c r="M37" s="5">
        <v>29.28</v>
      </c>
      <c r="N37" s="6">
        <f t="shared" si="0"/>
        <v>200</v>
      </c>
      <c r="O37" s="6">
        <f t="shared" si="1"/>
        <v>29.28</v>
      </c>
      <c r="V37" s="6"/>
      <c r="W37" s="6"/>
    </row>
    <row r="38" spans="9:23" x14ac:dyDescent="0.2">
      <c r="I38" t="s">
        <v>1090</v>
      </c>
      <c r="J38" s="5">
        <v>1</v>
      </c>
      <c r="K38" s="5">
        <v>15.82</v>
      </c>
      <c r="L38" s="5">
        <v>0</v>
      </c>
      <c r="M38" s="5">
        <v>10.87</v>
      </c>
      <c r="N38" s="6">
        <f t="shared" si="0"/>
        <v>15.82</v>
      </c>
      <c r="O38" s="6">
        <f t="shared" si="1"/>
        <v>200</v>
      </c>
      <c r="R38" s="2" t="s">
        <v>1117</v>
      </c>
      <c r="S38" s="2" t="s">
        <v>1120</v>
      </c>
      <c r="V38" s="6"/>
      <c r="W38" s="6"/>
    </row>
    <row r="39" spans="9:23" x14ac:dyDescent="0.2">
      <c r="I39" t="s">
        <v>1104</v>
      </c>
      <c r="J39" s="5">
        <v>1</v>
      </c>
      <c r="K39" s="5">
        <v>15.7</v>
      </c>
      <c r="L39" s="5">
        <v>0</v>
      </c>
      <c r="M39" s="5">
        <v>10.89</v>
      </c>
      <c r="N39" s="6">
        <f t="shared" si="0"/>
        <v>15.7</v>
      </c>
      <c r="O39" s="6">
        <f t="shared" si="1"/>
        <v>200</v>
      </c>
      <c r="R39" s="15" t="s">
        <v>1119</v>
      </c>
      <c r="S39" s="15" t="s">
        <v>1119</v>
      </c>
      <c r="T39" t="s">
        <v>1118</v>
      </c>
      <c r="U39" t="s">
        <v>1118</v>
      </c>
      <c r="V39" s="16" t="s">
        <v>1119</v>
      </c>
      <c r="W39" s="17" t="s">
        <v>1118</v>
      </c>
    </row>
    <row r="40" spans="9:23" x14ac:dyDescent="0.2">
      <c r="I40" t="s">
        <v>1102</v>
      </c>
      <c r="J40" s="5">
        <v>0</v>
      </c>
      <c r="K40" s="5">
        <v>0.27</v>
      </c>
      <c r="L40" s="5">
        <v>1</v>
      </c>
      <c r="M40" s="5">
        <v>9.34</v>
      </c>
      <c r="N40" s="6">
        <f t="shared" si="0"/>
        <v>200</v>
      </c>
      <c r="O40" s="6">
        <f t="shared" si="1"/>
        <v>9.34</v>
      </c>
      <c r="Q40" s="2" t="s">
        <v>2</v>
      </c>
      <c r="R40" s="15" t="s">
        <v>1062</v>
      </c>
      <c r="S40" s="15" t="s">
        <v>1061</v>
      </c>
      <c r="T40" t="s">
        <v>1062</v>
      </c>
      <c r="U40" t="s">
        <v>1061</v>
      </c>
      <c r="V40" s="16" t="s">
        <v>1121</v>
      </c>
      <c r="W40" s="17" t="s">
        <v>1121</v>
      </c>
    </row>
    <row r="41" spans="9:23" x14ac:dyDescent="0.2">
      <c r="I41" t="s">
        <v>1080</v>
      </c>
      <c r="J41" s="5">
        <v>0</v>
      </c>
      <c r="K41" s="5">
        <v>0.31</v>
      </c>
      <c r="L41" s="5">
        <v>0</v>
      </c>
      <c r="M41" s="5">
        <v>4.87</v>
      </c>
      <c r="N41" s="6">
        <f t="shared" si="0"/>
        <v>200</v>
      </c>
      <c r="O41" s="6">
        <f t="shared" si="1"/>
        <v>200</v>
      </c>
      <c r="Q41" t="s">
        <v>931</v>
      </c>
      <c r="R41" s="5">
        <v>1</v>
      </c>
      <c r="S41" s="5">
        <v>101.22</v>
      </c>
      <c r="T41" s="5">
        <v>5</v>
      </c>
      <c r="U41" s="5">
        <v>2129.4699999999998</v>
      </c>
      <c r="V41" s="6">
        <f>IFERROR(S41/R41,200)</f>
        <v>101.22</v>
      </c>
      <c r="W41" s="6">
        <f>IFERROR(U41/T41,200)</f>
        <v>425.89399999999995</v>
      </c>
    </row>
    <row r="42" spans="9:23" x14ac:dyDescent="0.2">
      <c r="I42" t="s">
        <v>1091</v>
      </c>
      <c r="J42" s="5">
        <v>0</v>
      </c>
      <c r="K42" s="5">
        <v>0.01</v>
      </c>
      <c r="L42" s="5"/>
      <c r="M42" s="5">
        <v>0</v>
      </c>
      <c r="N42" s="6">
        <f t="shared" si="0"/>
        <v>200</v>
      </c>
      <c r="O42" s="6">
        <f t="shared" si="1"/>
        <v>200</v>
      </c>
      <c r="Q42" t="s">
        <v>739</v>
      </c>
      <c r="R42" s="5">
        <v>9</v>
      </c>
      <c r="S42" s="5">
        <v>321.58999999999997</v>
      </c>
      <c r="T42" s="5">
        <v>1</v>
      </c>
      <c r="U42" s="5">
        <v>217.82</v>
      </c>
      <c r="V42" s="6">
        <f t="shared" ref="V42:V105" si="4">IFERROR(S42/R42,200)</f>
        <v>35.732222222222219</v>
      </c>
      <c r="W42" s="6">
        <f t="shared" ref="W42:W105" si="5">IFERROR(U42/T42,200)</f>
        <v>217.82</v>
      </c>
    </row>
    <row r="43" spans="9:23" x14ac:dyDescent="0.2">
      <c r="I43" t="s">
        <v>1108</v>
      </c>
      <c r="J43" s="5"/>
      <c r="K43" s="5">
        <v>0</v>
      </c>
      <c r="L43" s="5"/>
      <c r="M43" s="5">
        <v>0</v>
      </c>
      <c r="N43" s="6">
        <f t="shared" si="0"/>
        <v>200</v>
      </c>
      <c r="O43" s="6">
        <f t="shared" si="1"/>
        <v>200</v>
      </c>
      <c r="Q43" t="s">
        <v>932</v>
      </c>
      <c r="R43" s="5">
        <v>0</v>
      </c>
      <c r="S43" s="5">
        <v>158.16999999999999</v>
      </c>
      <c r="T43" s="5">
        <v>0</v>
      </c>
      <c r="U43" s="5">
        <v>140.69</v>
      </c>
      <c r="V43" s="6">
        <f t="shared" si="4"/>
        <v>200</v>
      </c>
      <c r="W43" s="6">
        <f t="shared" si="5"/>
        <v>200</v>
      </c>
    </row>
    <row r="44" spans="9:23" x14ac:dyDescent="0.2">
      <c r="I44" t="s">
        <v>1073</v>
      </c>
      <c r="J44" s="5"/>
      <c r="K44" s="5">
        <v>0</v>
      </c>
      <c r="L44" s="5"/>
      <c r="M44" s="5">
        <v>0</v>
      </c>
      <c r="N44" s="6">
        <f t="shared" si="0"/>
        <v>200</v>
      </c>
      <c r="O44" s="6">
        <f t="shared" si="1"/>
        <v>200</v>
      </c>
      <c r="Q44" t="s">
        <v>899</v>
      </c>
      <c r="R44" s="5">
        <v>2</v>
      </c>
      <c r="S44" s="5">
        <v>137.4</v>
      </c>
      <c r="T44" s="5">
        <v>0</v>
      </c>
      <c r="U44" s="5">
        <v>141</v>
      </c>
      <c r="V44" s="6">
        <f t="shared" si="4"/>
        <v>68.7</v>
      </c>
      <c r="W44" s="6">
        <f t="shared" si="5"/>
        <v>200</v>
      </c>
    </row>
    <row r="45" spans="9:23" x14ac:dyDescent="0.2">
      <c r="Q45" t="s">
        <v>934</v>
      </c>
      <c r="R45" s="5">
        <v>0</v>
      </c>
      <c r="S45" s="5">
        <v>111.18</v>
      </c>
      <c r="T45" s="5">
        <v>0</v>
      </c>
      <c r="U45" s="5">
        <v>99.49</v>
      </c>
      <c r="V45" s="6">
        <f t="shared" si="4"/>
        <v>200</v>
      </c>
      <c r="W45" s="6">
        <f t="shared" si="5"/>
        <v>200</v>
      </c>
    </row>
    <row r="46" spans="9:23" x14ac:dyDescent="0.2">
      <c r="Q46" t="s">
        <v>901</v>
      </c>
      <c r="R46" s="5">
        <v>0</v>
      </c>
      <c r="S46" s="5">
        <v>88.28</v>
      </c>
      <c r="T46" s="5">
        <v>1</v>
      </c>
      <c r="U46" s="5">
        <v>91.59</v>
      </c>
      <c r="V46" s="6">
        <f t="shared" si="4"/>
        <v>200</v>
      </c>
      <c r="W46" s="6">
        <f t="shared" si="5"/>
        <v>91.59</v>
      </c>
    </row>
    <row r="47" spans="9:23" x14ac:dyDescent="0.2">
      <c r="Q47" t="s">
        <v>157</v>
      </c>
      <c r="R47" s="5">
        <v>0</v>
      </c>
      <c r="S47" s="5">
        <v>98.63</v>
      </c>
      <c r="T47" s="5">
        <v>0</v>
      </c>
      <c r="U47" s="5">
        <v>81.16</v>
      </c>
      <c r="V47" s="6">
        <f t="shared" si="4"/>
        <v>200</v>
      </c>
      <c r="W47" s="6">
        <f t="shared" si="5"/>
        <v>200</v>
      </c>
    </row>
    <row r="48" spans="9:23" x14ac:dyDescent="0.2">
      <c r="Q48" t="s">
        <v>927</v>
      </c>
      <c r="R48" s="5">
        <v>2</v>
      </c>
      <c r="S48" s="5">
        <v>99.94</v>
      </c>
      <c r="T48" s="5">
        <v>1</v>
      </c>
      <c r="U48" s="5">
        <v>52.43</v>
      </c>
      <c r="V48" s="6">
        <f t="shared" si="4"/>
        <v>49.97</v>
      </c>
      <c r="W48" s="6">
        <f t="shared" si="5"/>
        <v>52.43</v>
      </c>
    </row>
    <row r="49" spans="4:23" x14ac:dyDescent="0.2">
      <c r="Q49" t="s">
        <v>926</v>
      </c>
      <c r="R49" s="5">
        <v>0</v>
      </c>
      <c r="S49" s="5">
        <v>84.05</v>
      </c>
      <c r="T49" s="5">
        <v>0</v>
      </c>
      <c r="U49" s="5">
        <v>65.430000000000007</v>
      </c>
      <c r="V49" s="6">
        <f t="shared" si="4"/>
        <v>200</v>
      </c>
      <c r="W49" s="6">
        <f t="shared" si="5"/>
        <v>200</v>
      </c>
    </row>
    <row r="50" spans="4:23" x14ac:dyDescent="0.2">
      <c r="Q50" t="s">
        <v>898</v>
      </c>
      <c r="R50" s="5">
        <v>0</v>
      </c>
      <c r="S50" s="5">
        <v>76.56</v>
      </c>
      <c r="T50" s="5">
        <v>0</v>
      </c>
      <c r="U50" s="5">
        <v>63.16</v>
      </c>
      <c r="V50" s="6">
        <f t="shared" si="4"/>
        <v>200</v>
      </c>
      <c r="W50" s="6">
        <f t="shared" si="5"/>
        <v>200</v>
      </c>
    </row>
    <row r="51" spans="4:23" x14ac:dyDescent="0.2">
      <c r="Q51" t="s">
        <v>595</v>
      </c>
      <c r="R51" s="5">
        <v>0</v>
      </c>
      <c r="S51" s="5">
        <v>72.05</v>
      </c>
      <c r="T51" s="5">
        <v>0</v>
      </c>
      <c r="U51" s="5">
        <v>39</v>
      </c>
      <c r="V51" s="6">
        <f t="shared" si="4"/>
        <v>200</v>
      </c>
      <c r="W51" s="6">
        <f t="shared" si="5"/>
        <v>200</v>
      </c>
    </row>
    <row r="52" spans="4:23" x14ac:dyDescent="0.2">
      <c r="Q52" t="s">
        <v>902</v>
      </c>
      <c r="R52" s="5">
        <v>0</v>
      </c>
      <c r="S52" s="5">
        <v>57.74</v>
      </c>
      <c r="T52" s="5">
        <v>0</v>
      </c>
      <c r="U52" s="5">
        <v>37.72</v>
      </c>
      <c r="V52" s="6">
        <f t="shared" si="4"/>
        <v>200</v>
      </c>
      <c r="W52" s="6">
        <f t="shared" si="5"/>
        <v>200</v>
      </c>
    </row>
    <row r="53" spans="4:23" x14ac:dyDescent="0.2">
      <c r="Q53" t="s">
        <v>929</v>
      </c>
      <c r="R53" s="5">
        <v>1</v>
      </c>
      <c r="S53" s="5">
        <v>48.24</v>
      </c>
      <c r="T53" s="5">
        <v>0</v>
      </c>
      <c r="U53" s="5">
        <v>46.48</v>
      </c>
      <c r="V53" s="6">
        <f t="shared" si="4"/>
        <v>48.24</v>
      </c>
      <c r="W53" s="6">
        <f t="shared" si="5"/>
        <v>200</v>
      </c>
    </row>
    <row r="54" spans="4:23" x14ac:dyDescent="0.2">
      <c r="Q54" t="s">
        <v>351</v>
      </c>
      <c r="R54" s="5">
        <v>1</v>
      </c>
      <c r="S54" s="5">
        <v>47</v>
      </c>
      <c r="T54" s="5">
        <v>0</v>
      </c>
      <c r="U54" s="5">
        <v>46.6</v>
      </c>
      <c r="V54" s="6">
        <f t="shared" si="4"/>
        <v>47</v>
      </c>
      <c r="W54" s="6">
        <f t="shared" si="5"/>
        <v>200</v>
      </c>
    </row>
    <row r="55" spans="4:23" x14ac:dyDescent="0.2">
      <c r="D55" s="6"/>
      <c r="Q55" t="s">
        <v>407</v>
      </c>
      <c r="R55" s="5">
        <v>1</v>
      </c>
      <c r="S55" s="5">
        <v>59.88</v>
      </c>
      <c r="T55" s="5">
        <v>0</v>
      </c>
      <c r="U55" s="5">
        <v>22.02</v>
      </c>
      <c r="V55" s="6">
        <f t="shared" si="4"/>
        <v>59.88</v>
      </c>
      <c r="W55" s="6">
        <f t="shared" si="5"/>
        <v>200</v>
      </c>
    </row>
    <row r="56" spans="4:23" x14ac:dyDescent="0.2">
      <c r="D56" s="6"/>
      <c r="Q56" t="s">
        <v>354</v>
      </c>
      <c r="R56" s="5">
        <v>0</v>
      </c>
      <c r="S56" s="5">
        <v>40.590000000000003</v>
      </c>
      <c r="T56" s="5">
        <v>0</v>
      </c>
      <c r="U56" s="5">
        <v>37.409999999999997</v>
      </c>
      <c r="V56" s="6">
        <f t="shared" si="4"/>
        <v>200</v>
      </c>
      <c r="W56" s="6">
        <f t="shared" si="5"/>
        <v>200</v>
      </c>
    </row>
    <row r="57" spans="4:23" x14ac:dyDescent="0.2">
      <c r="D57" s="6"/>
      <c r="Q57" t="s">
        <v>935</v>
      </c>
      <c r="R57" s="5">
        <v>1</v>
      </c>
      <c r="S57" s="5">
        <v>42.45</v>
      </c>
      <c r="T57" s="5">
        <v>0</v>
      </c>
      <c r="U57" s="5">
        <v>27.83</v>
      </c>
      <c r="V57" s="6">
        <f t="shared" si="4"/>
        <v>42.45</v>
      </c>
      <c r="W57" s="6">
        <f t="shared" si="5"/>
        <v>200</v>
      </c>
    </row>
    <row r="58" spans="4:23" x14ac:dyDescent="0.2">
      <c r="D58" s="6"/>
      <c r="Q58" t="s">
        <v>928</v>
      </c>
      <c r="R58" s="5">
        <v>0</v>
      </c>
      <c r="S58" s="5">
        <v>30.82</v>
      </c>
      <c r="T58" s="5">
        <v>0</v>
      </c>
      <c r="U58" s="5">
        <v>20.34</v>
      </c>
      <c r="V58" s="6">
        <f t="shared" si="4"/>
        <v>200</v>
      </c>
      <c r="W58" s="6">
        <f t="shared" si="5"/>
        <v>200</v>
      </c>
    </row>
    <row r="59" spans="4:23" x14ac:dyDescent="0.2">
      <c r="D59" s="6"/>
      <c r="Q59" t="s">
        <v>624</v>
      </c>
      <c r="R59" s="5">
        <v>0</v>
      </c>
      <c r="S59" s="5">
        <v>29.94</v>
      </c>
      <c r="T59" s="5">
        <v>0</v>
      </c>
      <c r="U59" s="5">
        <v>19.91</v>
      </c>
      <c r="V59" s="6">
        <f t="shared" si="4"/>
        <v>200</v>
      </c>
      <c r="W59" s="6">
        <f t="shared" si="5"/>
        <v>200</v>
      </c>
    </row>
    <row r="60" spans="4:23" x14ac:dyDescent="0.2">
      <c r="D60" s="6"/>
      <c r="Q60" t="s">
        <v>911</v>
      </c>
      <c r="R60" s="5">
        <v>0</v>
      </c>
      <c r="S60" s="5">
        <v>25.82</v>
      </c>
      <c r="T60" s="5">
        <v>0</v>
      </c>
      <c r="U60" s="5">
        <v>21.93</v>
      </c>
      <c r="V60" s="6">
        <f t="shared" si="4"/>
        <v>200</v>
      </c>
      <c r="W60" s="6">
        <f t="shared" si="5"/>
        <v>200</v>
      </c>
    </row>
    <row r="61" spans="4:23" x14ac:dyDescent="0.2">
      <c r="D61" s="6"/>
      <c r="Q61" t="s">
        <v>889</v>
      </c>
      <c r="R61" s="5">
        <v>0</v>
      </c>
      <c r="S61" s="5">
        <v>0</v>
      </c>
      <c r="T61" s="5">
        <v>0</v>
      </c>
      <c r="U61" s="5">
        <v>45.63</v>
      </c>
      <c r="V61" s="6">
        <f t="shared" si="4"/>
        <v>200</v>
      </c>
      <c r="W61" s="6">
        <f t="shared" si="5"/>
        <v>200</v>
      </c>
    </row>
    <row r="62" spans="4:23" x14ac:dyDescent="0.2">
      <c r="D62" s="6"/>
      <c r="Q62" t="s">
        <v>939</v>
      </c>
      <c r="R62" s="5">
        <v>0</v>
      </c>
      <c r="S62" s="5">
        <v>24.75</v>
      </c>
      <c r="T62" s="5">
        <v>0</v>
      </c>
      <c r="U62" s="5">
        <v>17.100000000000001</v>
      </c>
      <c r="V62" s="6">
        <f t="shared" si="4"/>
        <v>200</v>
      </c>
      <c r="W62" s="6">
        <f t="shared" si="5"/>
        <v>200</v>
      </c>
    </row>
    <row r="63" spans="4:23" x14ac:dyDescent="0.2">
      <c r="D63" s="6"/>
      <c r="Q63" t="s">
        <v>397</v>
      </c>
      <c r="R63" s="5">
        <v>0</v>
      </c>
      <c r="S63" s="5">
        <v>21.54</v>
      </c>
      <c r="T63" s="5">
        <v>0</v>
      </c>
      <c r="U63" s="5">
        <v>19.170000000000002</v>
      </c>
      <c r="V63" s="6">
        <f t="shared" si="4"/>
        <v>200</v>
      </c>
      <c r="W63" s="6">
        <f t="shared" si="5"/>
        <v>200</v>
      </c>
    </row>
    <row r="64" spans="4:23" x14ac:dyDescent="0.2">
      <c r="D64" s="6"/>
      <c r="Q64" t="s">
        <v>508</v>
      </c>
      <c r="R64" s="5">
        <v>2</v>
      </c>
      <c r="S64" s="5">
        <v>25.39</v>
      </c>
      <c r="T64" s="5">
        <v>0</v>
      </c>
      <c r="U64" s="5">
        <v>15.09</v>
      </c>
      <c r="V64" s="6">
        <f t="shared" si="4"/>
        <v>12.695</v>
      </c>
      <c r="W64" s="6">
        <f t="shared" si="5"/>
        <v>200</v>
      </c>
    </row>
    <row r="65" spans="4:23" x14ac:dyDescent="0.2">
      <c r="D65" s="6"/>
      <c r="Q65" t="s">
        <v>347</v>
      </c>
      <c r="R65" s="5">
        <v>0</v>
      </c>
      <c r="S65" s="5">
        <v>20.75</v>
      </c>
      <c r="T65" s="5">
        <v>0</v>
      </c>
      <c r="U65" s="5">
        <v>13.37</v>
      </c>
      <c r="V65" s="6">
        <f t="shared" si="4"/>
        <v>200</v>
      </c>
      <c r="W65" s="6">
        <f t="shared" si="5"/>
        <v>200</v>
      </c>
    </row>
    <row r="66" spans="4:23" x14ac:dyDescent="0.2">
      <c r="D66" s="6"/>
      <c r="Q66" t="s">
        <v>404</v>
      </c>
      <c r="R66" s="5">
        <v>0</v>
      </c>
      <c r="S66" s="5">
        <v>17.170000000000002</v>
      </c>
      <c r="T66" s="5">
        <v>0</v>
      </c>
      <c r="U66" s="5">
        <v>15.33</v>
      </c>
      <c r="V66" s="6">
        <f t="shared" si="4"/>
        <v>200</v>
      </c>
      <c r="W66" s="6">
        <f t="shared" si="5"/>
        <v>200</v>
      </c>
    </row>
    <row r="67" spans="4:23" x14ac:dyDescent="0.2">
      <c r="D67" s="6"/>
      <c r="Q67" t="s">
        <v>571</v>
      </c>
      <c r="R67" s="5">
        <v>0</v>
      </c>
      <c r="S67" s="5">
        <v>17.940000000000001</v>
      </c>
      <c r="T67" s="5">
        <v>0</v>
      </c>
      <c r="U67" s="5">
        <v>12.06</v>
      </c>
      <c r="V67" s="6">
        <f t="shared" si="4"/>
        <v>200</v>
      </c>
      <c r="W67" s="6">
        <f t="shared" si="5"/>
        <v>200</v>
      </c>
    </row>
    <row r="68" spans="4:23" x14ac:dyDescent="0.2">
      <c r="D68" s="6"/>
      <c r="Q68" t="s">
        <v>162</v>
      </c>
      <c r="R68" s="5">
        <v>0</v>
      </c>
      <c r="S68" s="5">
        <v>15.62</v>
      </c>
      <c r="T68" s="5">
        <v>0</v>
      </c>
      <c r="U68" s="5">
        <v>12.43</v>
      </c>
      <c r="V68" s="6">
        <f t="shared" si="4"/>
        <v>200</v>
      </c>
      <c r="W68" s="6">
        <f t="shared" si="5"/>
        <v>200</v>
      </c>
    </row>
    <row r="69" spans="4:23" x14ac:dyDescent="0.2">
      <c r="D69" s="6"/>
      <c r="Q69" t="s">
        <v>400</v>
      </c>
      <c r="R69" s="5">
        <v>0</v>
      </c>
      <c r="S69" s="5">
        <v>17.2</v>
      </c>
      <c r="T69" s="5">
        <v>0</v>
      </c>
      <c r="U69" s="5">
        <v>9.51</v>
      </c>
      <c r="V69" s="6">
        <f t="shared" si="4"/>
        <v>200</v>
      </c>
      <c r="W69" s="6">
        <f t="shared" si="5"/>
        <v>200</v>
      </c>
    </row>
    <row r="70" spans="4:23" x14ac:dyDescent="0.2">
      <c r="D70" s="6"/>
      <c r="Q70" t="s">
        <v>936</v>
      </c>
      <c r="R70" s="5">
        <v>0</v>
      </c>
      <c r="S70" s="5">
        <v>16.29</v>
      </c>
      <c r="T70" s="5">
        <v>0</v>
      </c>
      <c r="U70" s="5">
        <v>9.11</v>
      </c>
      <c r="V70" s="6">
        <f t="shared" si="4"/>
        <v>200</v>
      </c>
      <c r="W70" s="6">
        <f t="shared" si="5"/>
        <v>200</v>
      </c>
    </row>
    <row r="71" spans="4:23" x14ac:dyDescent="0.2">
      <c r="D71" s="6"/>
      <c r="Q71" t="s">
        <v>887</v>
      </c>
      <c r="R71" s="5">
        <v>0</v>
      </c>
      <c r="S71" s="5">
        <v>0</v>
      </c>
      <c r="T71" s="5">
        <v>0</v>
      </c>
      <c r="U71" s="5">
        <v>23.92</v>
      </c>
      <c r="V71" s="6">
        <f t="shared" si="4"/>
        <v>200</v>
      </c>
      <c r="W71" s="6">
        <f t="shared" si="5"/>
        <v>200</v>
      </c>
    </row>
    <row r="72" spans="4:23" x14ac:dyDescent="0.2">
      <c r="Q72" t="s">
        <v>514</v>
      </c>
      <c r="R72" s="5">
        <v>0</v>
      </c>
      <c r="S72" s="5">
        <v>13.81</v>
      </c>
      <c r="T72" s="5">
        <v>1</v>
      </c>
      <c r="U72" s="5">
        <v>10.02</v>
      </c>
      <c r="V72" s="6">
        <f t="shared" si="4"/>
        <v>200</v>
      </c>
      <c r="W72" s="6">
        <f t="shared" si="5"/>
        <v>10.02</v>
      </c>
    </row>
    <row r="73" spans="4:23" x14ac:dyDescent="0.2">
      <c r="Q73" t="s">
        <v>793</v>
      </c>
      <c r="R73" s="5">
        <v>0</v>
      </c>
      <c r="S73" s="5">
        <v>1.1399999999999999</v>
      </c>
      <c r="T73" s="5">
        <v>0</v>
      </c>
      <c r="U73" s="5">
        <v>22.45</v>
      </c>
      <c r="V73" s="6">
        <f t="shared" si="4"/>
        <v>200</v>
      </c>
      <c r="W73" s="6">
        <f t="shared" si="5"/>
        <v>200</v>
      </c>
    </row>
    <row r="74" spans="4:23" x14ac:dyDescent="0.2">
      <c r="Q74" t="s">
        <v>809</v>
      </c>
      <c r="R74" s="5">
        <v>0</v>
      </c>
      <c r="S74" s="5">
        <v>10.72</v>
      </c>
      <c r="T74" s="5">
        <v>0</v>
      </c>
      <c r="U74" s="5">
        <v>8.61</v>
      </c>
      <c r="V74" s="6">
        <f t="shared" si="4"/>
        <v>200</v>
      </c>
      <c r="W74" s="6">
        <f t="shared" si="5"/>
        <v>200</v>
      </c>
    </row>
    <row r="75" spans="4:23" x14ac:dyDescent="0.2">
      <c r="Q75" t="s">
        <v>94</v>
      </c>
      <c r="R75" s="5">
        <v>0</v>
      </c>
      <c r="S75" s="5">
        <v>8.4600000000000009</v>
      </c>
      <c r="T75" s="5">
        <v>0</v>
      </c>
      <c r="U75" s="5">
        <v>7.25</v>
      </c>
      <c r="V75" s="6">
        <f t="shared" si="4"/>
        <v>200</v>
      </c>
      <c r="W75" s="6">
        <f t="shared" si="5"/>
        <v>200</v>
      </c>
    </row>
    <row r="76" spans="4:23" x14ac:dyDescent="0.2">
      <c r="Q76" t="s">
        <v>751</v>
      </c>
      <c r="R76" s="5">
        <v>0</v>
      </c>
      <c r="S76" s="5">
        <v>7.99</v>
      </c>
      <c r="T76" s="5">
        <v>0</v>
      </c>
      <c r="U76" s="5">
        <v>6.92</v>
      </c>
      <c r="V76" s="6">
        <f t="shared" si="4"/>
        <v>200</v>
      </c>
      <c r="W76" s="6">
        <f t="shared" si="5"/>
        <v>200</v>
      </c>
    </row>
    <row r="77" spans="4:23" x14ac:dyDescent="0.2">
      <c r="Q77" t="s">
        <v>940</v>
      </c>
      <c r="R77" s="5">
        <v>0</v>
      </c>
      <c r="S77" s="5">
        <v>7.75</v>
      </c>
      <c r="T77" s="5">
        <v>0</v>
      </c>
      <c r="U77" s="5">
        <v>6.69</v>
      </c>
      <c r="V77" s="6">
        <f t="shared" si="4"/>
        <v>200</v>
      </c>
      <c r="W77" s="6">
        <f t="shared" si="5"/>
        <v>200</v>
      </c>
    </row>
    <row r="78" spans="4:23" x14ac:dyDescent="0.2">
      <c r="Q78" t="s">
        <v>365</v>
      </c>
      <c r="R78" s="5">
        <v>0</v>
      </c>
      <c r="S78" s="5">
        <v>7.35</v>
      </c>
      <c r="T78" s="5">
        <v>0</v>
      </c>
      <c r="U78" s="5">
        <v>7.02</v>
      </c>
      <c r="V78" s="6">
        <f t="shared" si="4"/>
        <v>200</v>
      </c>
      <c r="W78" s="6">
        <f t="shared" si="5"/>
        <v>200</v>
      </c>
    </row>
    <row r="79" spans="4:23" x14ac:dyDescent="0.2">
      <c r="Q79" t="s">
        <v>573</v>
      </c>
      <c r="R79" s="5">
        <v>0</v>
      </c>
      <c r="S79" s="5">
        <v>7.77</v>
      </c>
      <c r="T79" s="5">
        <v>0</v>
      </c>
      <c r="U79" s="5">
        <v>6.09</v>
      </c>
      <c r="V79" s="6">
        <f t="shared" si="4"/>
        <v>200</v>
      </c>
      <c r="W79" s="6">
        <f t="shared" si="5"/>
        <v>200</v>
      </c>
    </row>
    <row r="80" spans="4:23" x14ac:dyDescent="0.2">
      <c r="Q80" t="s">
        <v>721</v>
      </c>
      <c r="R80" s="5">
        <v>0</v>
      </c>
      <c r="S80" s="5">
        <v>5.99</v>
      </c>
      <c r="T80" s="5">
        <v>0</v>
      </c>
      <c r="U80" s="5">
        <v>3.66</v>
      </c>
      <c r="V80" s="6">
        <f t="shared" si="4"/>
        <v>200</v>
      </c>
      <c r="W80" s="6">
        <f t="shared" si="5"/>
        <v>200</v>
      </c>
    </row>
    <row r="81" spans="17:23" x14ac:dyDescent="0.2">
      <c r="Q81" t="s">
        <v>799</v>
      </c>
      <c r="R81" s="5">
        <v>0</v>
      </c>
      <c r="S81" s="5">
        <v>4.2300000000000004</v>
      </c>
      <c r="T81" s="5">
        <v>0</v>
      </c>
      <c r="U81" s="5">
        <v>3.59</v>
      </c>
      <c r="V81" s="6">
        <f t="shared" si="4"/>
        <v>200</v>
      </c>
      <c r="W81" s="6">
        <f t="shared" si="5"/>
        <v>200</v>
      </c>
    </row>
    <row r="82" spans="17:23" x14ac:dyDescent="0.2">
      <c r="Q82" t="s">
        <v>831</v>
      </c>
      <c r="R82" s="5">
        <v>0</v>
      </c>
      <c r="S82" s="5">
        <v>4.16</v>
      </c>
      <c r="T82" s="5">
        <v>0</v>
      </c>
      <c r="U82" s="5">
        <v>3.37</v>
      </c>
      <c r="V82" s="6">
        <f t="shared" si="4"/>
        <v>200</v>
      </c>
      <c r="W82" s="6">
        <f t="shared" si="5"/>
        <v>200</v>
      </c>
    </row>
    <row r="83" spans="17:23" x14ac:dyDescent="0.2">
      <c r="Q83" t="s">
        <v>837</v>
      </c>
      <c r="R83" s="5">
        <v>0</v>
      </c>
      <c r="S83" s="5">
        <v>4.3</v>
      </c>
      <c r="T83" s="5">
        <v>0</v>
      </c>
      <c r="U83" s="5">
        <v>3.22</v>
      </c>
      <c r="V83" s="6">
        <f t="shared" si="4"/>
        <v>200</v>
      </c>
      <c r="W83" s="6">
        <f t="shared" si="5"/>
        <v>200</v>
      </c>
    </row>
    <row r="84" spans="17:23" x14ac:dyDescent="0.2">
      <c r="Q84" t="s">
        <v>816</v>
      </c>
      <c r="R84" s="5">
        <v>0</v>
      </c>
      <c r="S84" s="5">
        <v>3.99</v>
      </c>
      <c r="T84" s="5">
        <v>0</v>
      </c>
      <c r="U84" s="5">
        <v>3.17</v>
      </c>
      <c r="V84" s="6">
        <f t="shared" si="4"/>
        <v>200</v>
      </c>
      <c r="W84" s="6">
        <f t="shared" si="5"/>
        <v>200</v>
      </c>
    </row>
    <row r="85" spans="17:23" x14ac:dyDescent="0.2">
      <c r="Q85" t="s">
        <v>511</v>
      </c>
      <c r="R85" s="5">
        <v>0</v>
      </c>
      <c r="S85" s="5">
        <v>3.65</v>
      </c>
      <c r="T85" s="5">
        <v>0</v>
      </c>
      <c r="U85" s="5">
        <v>3.45</v>
      </c>
      <c r="V85" s="6">
        <f t="shared" si="4"/>
        <v>200</v>
      </c>
      <c r="W85" s="6">
        <f t="shared" si="5"/>
        <v>200</v>
      </c>
    </row>
    <row r="86" spans="17:23" x14ac:dyDescent="0.2">
      <c r="Q86" t="s">
        <v>97</v>
      </c>
      <c r="R86" s="5">
        <v>0</v>
      </c>
      <c r="S86" s="5">
        <v>3.96</v>
      </c>
      <c r="T86" s="5">
        <v>0</v>
      </c>
      <c r="U86" s="5">
        <v>3.01</v>
      </c>
      <c r="V86" s="6">
        <f t="shared" si="4"/>
        <v>200</v>
      </c>
      <c r="W86" s="6">
        <f t="shared" si="5"/>
        <v>200</v>
      </c>
    </row>
    <row r="87" spans="17:23" x14ac:dyDescent="0.2">
      <c r="Q87" t="s">
        <v>738</v>
      </c>
      <c r="R87" s="5">
        <v>0</v>
      </c>
      <c r="S87" s="5">
        <v>3.89</v>
      </c>
      <c r="T87" s="5">
        <v>0</v>
      </c>
      <c r="U87" s="5">
        <v>2.29</v>
      </c>
      <c r="V87" s="6">
        <f t="shared" si="4"/>
        <v>200</v>
      </c>
      <c r="W87" s="6">
        <f t="shared" si="5"/>
        <v>200</v>
      </c>
    </row>
    <row r="88" spans="17:23" x14ac:dyDescent="0.2">
      <c r="Q88" t="s">
        <v>566</v>
      </c>
      <c r="R88" s="5">
        <v>0</v>
      </c>
      <c r="S88" s="5">
        <v>3.34</v>
      </c>
      <c r="T88" s="5">
        <v>0</v>
      </c>
      <c r="U88" s="5">
        <v>2.76</v>
      </c>
      <c r="V88" s="6">
        <f t="shared" si="4"/>
        <v>200</v>
      </c>
      <c r="W88" s="6">
        <f t="shared" si="5"/>
        <v>200</v>
      </c>
    </row>
    <row r="89" spans="17:23" x14ac:dyDescent="0.2">
      <c r="Q89" t="s">
        <v>923</v>
      </c>
      <c r="R89" s="5">
        <v>0</v>
      </c>
      <c r="S89" s="5">
        <v>3.98</v>
      </c>
      <c r="T89" s="5">
        <v>0</v>
      </c>
      <c r="U89" s="5">
        <v>1.3</v>
      </c>
      <c r="V89" s="6">
        <f t="shared" si="4"/>
        <v>200</v>
      </c>
      <c r="W89" s="6">
        <f t="shared" si="5"/>
        <v>200</v>
      </c>
    </row>
    <row r="90" spans="17:23" x14ac:dyDescent="0.2">
      <c r="Q90" t="s">
        <v>803</v>
      </c>
      <c r="R90" s="5">
        <v>0</v>
      </c>
      <c r="S90" s="5">
        <v>2.83</v>
      </c>
      <c r="T90" s="5">
        <v>0</v>
      </c>
      <c r="U90" s="5">
        <v>2.39</v>
      </c>
      <c r="V90" s="6">
        <f t="shared" si="4"/>
        <v>200</v>
      </c>
      <c r="W90" s="6">
        <f t="shared" si="5"/>
        <v>200</v>
      </c>
    </row>
    <row r="91" spans="17:23" x14ac:dyDescent="0.2">
      <c r="Q91" t="s">
        <v>523</v>
      </c>
      <c r="R91" s="5">
        <v>0</v>
      </c>
      <c r="S91" s="5">
        <v>2.5499999999999998</v>
      </c>
      <c r="T91" s="5">
        <v>0</v>
      </c>
      <c r="U91" s="5">
        <v>2.13</v>
      </c>
      <c r="V91" s="6">
        <f t="shared" si="4"/>
        <v>200</v>
      </c>
      <c r="W91" s="6">
        <f t="shared" si="5"/>
        <v>200</v>
      </c>
    </row>
    <row r="92" spans="17:23" x14ac:dyDescent="0.2">
      <c r="Q92" t="s">
        <v>768</v>
      </c>
      <c r="R92" s="5">
        <v>0</v>
      </c>
      <c r="S92" s="5">
        <v>2.23</v>
      </c>
      <c r="T92" s="5">
        <v>0</v>
      </c>
      <c r="U92" s="5">
        <v>2.25</v>
      </c>
      <c r="V92" s="6">
        <f t="shared" si="4"/>
        <v>200</v>
      </c>
      <c r="W92" s="6">
        <f t="shared" si="5"/>
        <v>200</v>
      </c>
    </row>
    <row r="93" spans="17:23" x14ac:dyDescent="0.2">
      <c r="Q93" t="s">
        <v>806</v>
      </c>
      <c r="R93" s="5">
        <v>0</v>
      </c>
      <c r="S93" s="5">
        <v>2.3199999999999998</v>
      </c>
      <c r="T93" s="5">
        <v>0</v>
      </c>
      <c r="U93" s="5">
        <v>1.51</v>
      </c>
      <c r="V93" s="6">
        <f t="shared" si="4"/>
        <v>200</v>
      </c>
      <c r="W93" s="6">
        <f t="shared" si="5"/>
        <v>200</v>
      </c>
    </row>
    <row r="94" spans="17:23" x14ac:dyDescent="0.2">
      <c r="Q94" t="s">
        <v>819</v>
      </c>
      <c r="R94" s="5">
        <v>0</v>
      </c>
      <c r="S94" s="5">
        <v>2.11</v>
      </c>
      <c r="T94" s="5">
        <v>0</v>
      </c>
      <c r="U94" s="5">
        <v>1.63</v>
      </c>
      <c r="V94" s="6">
        <f t="shared" si="4"/>
        <v>200</v>
      </c>
      <c r="W94" s="6">
        <f t="shared" si="5"/>
        <v>200</v>
      </c>
    </row>
    <row r="95" spans="17:23" x14ac:dyDescent="0.2">
      <c r="Q95" t="s">
        <v>742</v>
      </c>
      <c r="R95" s="5">
        <v>0</v>
      </c>
      <c r="S95" s="5">
        <v>2.29</v>
      </c>
      <c r="T95" s="5">
        <v>0</v>
      </c>
      <c r="U95" s="5">
        <v>1.44</v>
      </c>
      <c r="V95" s="6">
        <f t="shared" si="4"/>
        <v>200</v>
      </c>
      <c r="W95" s="6">
        <f t="shared" si="5"/>
        <v>200</v>
      </c>
    </row>
    <row r="96" spans="17:23" x14ac:dyDescent="0.2">
      <c r="Q96" t="s">
        <v>167</v>
      </c>
      <c r="R96" s="5">
        <v>0</v>
      </c>
      <c r="S96" s="5">
        <v>1.78</v>
      </c>
      <c r="T96" s="5">
        <v>0</v>
      </c>
      <c r="U96" s="5">
        <v>1.79</v>
      </c>
      <c r="V96" s="6">
        <f t="shared" si="4"/>
        <v>200</v>
      </c>
      <c r="W96" s="6">
        <f t="shared" si="5"/>
        <v>200</v>
      </c>
    </row>
    <row r="97" spans="17:23" x14ac:dyDescent="0.2">
      <c r="Q97" t="s">
        <v>160</v>
      </c>
      <c r="R97" s="5">
        <v>0</v>
      </c>
      <c r="S97" s="5">
        <v>1.91</v>
      </c>
      <c r="T97" s="5">
        <v>0</v>
      </c>
      <c r="U97" s="5">
        <v>1.63</v>
      </c>
      <c r="V97" s="6">
        <f t="shared" si="4"/>
        <v>200</v>
      </c>
      <c r="W97" s="6">
        <f t="shared" si="5"/>
        <v>200</v>
      </c>
    </row>
    <row r="98" spans="17:23" x14ac:dyDescent="0.2">
      <c r="Q98" t="s">
        <v>796</v>
      </c>
      <c r="R98" s="5">
        <v>0</v>
      </c>
      <c r="S98" s="5">
        <v>1.61</v>
      </c>
      <c r="T98" s="5">
        <v>0</v>
      </c>
      <c r="U98" s="5">
        <v>1.24</v>
      </c>
      <c r="V98" s="6">
        <f t="shared" si="4"/>
        <v>200</v>
      </c>
      <c r="W98" s="6">
        <f t="shared" si="5"/>
        <v>200</v>
      </c>
    </row>
    <row r="99" spans="17:23" x14ac:dyDescent="0.2">
      <c r="Q99" t="s">
        <v>828</v>
      </c>
      <c r="R99" s="5">
        <v>0</v>
      </c>
      <c r="S99" s="5">
        <v>1.4</v>
      </c>
      <c r="T99" s="5">
        <v>0</v>
      </c>
      <c r="U99" s="5">
        <v>1.07</v>
      </c>
      <c r="V99" s="6">
        <f t="shared" si="4"/>
        <v>200</v>
      </c>
      <c r="W99" s="6">
        <f t="shared" si="5"/>
        <v>200</v>
      </c>
    </row>
    <row r="100" spans="17:23" x14ac:dyDescent="0.2">
      <c r="Q100" t="s">
        <v>515</v>
      </c>
      <c r="R100" s="5">
        <v>0</v>
      </c>
      <c r="S100" s="5">
        <v>1.21</v>
      </c>
      <c r="T100" s="5">
        <v>0</v>
      </c>
      <c r="U100" s="5">
        <v>1.1299999999999999</v>
      </c>
      <c r="V100" s="6">
        <f t="shared" si="4"/>
        <v>200</v>
      </c>
      <c r="W100" s="6">
        <f t="shared" si="5"/>
        <v>200</v>
      </c>
    </row>
    <row r="101" spans="17:23" x14ac:dyDescent="0.2">
      <c r="Q101" t="s">
        <v>827</v>
      </c>
      <c r="R101" s="5">
        <v>0</v>
      </c>
      <c r="S101" s="5">
        <v>1.01</v>
      </c>
      <c r="T101" s="5">
        <v>0</v>
      </c>
      <c r="U101" s="5">
        <v>0.85</v>
      </c>
      <c r="V101" s="6">
        <f t="shared" si="4"/>
        <v>200</v>
      </c>
      <c r="W101" s="6">
        <f t="shared" si="5"/>
        <v>200</v>
      </c>
    </row>
    <row r="102" spans="17:23" x14ac:dyDescent="0.2">
      <c r="Q102" t="s">
        <v>794</v>
      </c>
      <c r="R102" s="5">
        <v>0</v>
      </c>
      <c r="S102" s="5">
        <v>0.86</v>
      </c>
      <c r="T102" s="5">
        <v>0</v>
      </c>
      <c r="U102" s="5">
        <v>0.77</v>
      </c>
      <c r="V102" s="6">
        <f t="shared" si="4"/>
        <v>200</v>
      </c>
      <c r="W102" s="6">
        <f t="shared" si="5"/>
        <v>200</v>
      </c>
    </row>
    <row r="103" spans="17:23" x14ac:dyDescent="0.2">
      <c r="Q103" t="s">
        <v>528</v>
      </c>
      <c r="R103" s="5">
        <v>0</v>
      </c>
      <c r="S103" s="5">
        <v>0.84</v>
      </c>
      <c r="T103" s="5">
        <v>0</v>
      </c>
      <c r="U103" s="5">
        <v>0.77</v>
      </c>
      <c r="V103" s="6">
        <f t="shared" si="4"/>
        <v>200</v>
      </c>
      <c r="W103" s="6">
        <f t="shared" si="5"/>
        <v>200</v>
      </c>
    </row>
    <row r="104" spans="17:23" x14ac:dyDescent="0.2">
      <c r="Q104" t="s">
        <v>510</v>
      </c>
      <c r="R104" s="5">
        <v>0</v>
      </c>
      <c r="S104" s="5">
        <v>0.81</v>
      </c>
      <c r="T104" s="5">
        <v>0</v>
      </c>
      <c r="U104" s="5">
        <v>0.75</v>
      </c>
      <c r="V104" s="6">
        <f t="shared" si="4"/>
        <v>200</v>
      </c>
      <c r="W104" s="6">
        <f t="shared" si="5"/>
        <v>200</v>
      </c>
    </row>
    <row r="105" spans="17:23" x14ac:dyDescent="0.2">
      <c r="Q105" t="s">
        <v>550</v>
      </c>
      <c r="R105" s="5">
        <v>0</v>
      </c>
      <c r="S105" s="5">
        <v>0.85</v>
      </c>
      <c r="T105" s="5">
        <v>0</v>
      </c>
      <c r="U105" s="5">
        <v>0.69</v>
      </c>
      <c r="V105" s="6">
        <f t="shared" si="4"/>
        <v>200</v>
      </c>
      <c r="W105" s="6">
        <f t="shared" si="5"/>
        <v>200</v>
      </c>
    </row>
    <row r="106" spans="17:23" x14ac:dyDescent="0.2">
      <c r="Q106" t="s">
        <v>767</v>
      </c>
      <c r="R106" s="5">
        <v>0</v>
      </c>
      <c r="S106" s="5">
        <v>0.81</v>
      </c>
      <c r="T106" s="5">
        <v>0</v>
      </c>
      <c r="U106" s="5">
        <v>0.73</v>
      </c>
      <c r="V106" s="6">
        <f t="shared" ref="V106:V160" si="6">IFERROR(S106/R106,200)</f>
        <v>200</v>
      </c>
      <c r="W106" s="6">
        <f t="shared" ref="W106:W160" si="7">IFERROR(U106/T106,200)</f>
        <v>200</v>
      </c>
    </row>
    <row r="107" spans="17:23" x14ac:dyDescent="0.2">
      <c r="Q107" t="s">
        <v>924</v>
      </c>
      <c r="R107" s="5">
        <v>0</v>
      </c>
      <c r="S107" s="5">
        <v>0.77</v>
      </c>
      <c r="T107" s="5">
        <v>0</v>
      </c>
      <c r="U107" s="5">
        <v>0.68</v>
      </c>
      <c r="V107" s="6">
        <f t="shared" si="6"/>
        <v>200</v>
      </c>
      <c r="W107" s="6">
        <f t="shared" si="7"/>
        <v>200</v>
      </c>
    </row>
    <row r="108" spans="17:23" x14ac:dyDescent="0.2">
      <c r="Q108" t="s">
        <v>567</v>
      </c>
      <c r="R108" s="5">
        <v>0</v>
      </c>
      <c r="S108" s="5">
        <v>0.66</v>
      </c>
      <c r="T108" s="5">
        <v>0</v>
      </c>
      <c r="U108" s="5">
        <v>0.56999999999999995</v>
      </c>
      <c r="V108" s="6">
        <f t="shared" si="6"/>
        <v>200</v>
      </c>
      <c r="W108" s="6">
        <f t="shared" si="7"/>
        <v>200</v>
      </c>
    </row>
    <row r="109" spans="17:23" x14ac:dyDescent="0.2">
      <c r="Q109" t="s">
        <v>922</v>
      </c>
      <c r="R109" s="5">
        <v>0</v>
      </c>
      <c r="S109" s="5">
        <v>0.74</v>
      </c>
      <c r="T109" s="5">
        <v>0</v>
      </c>
      <c r="U109" s="5">
        <v>0.47</v>
      </c>
      <c r="V109" s="6">
        <f t="shared" si="6"/>
        <v>200</v>
      </c>
      <c r="W109" s="6">
        <f t="shared" si="7"/>
        <v>200</v>
      </c>
    </row>
    <row r="110" spans="17:23" x14ac:dyDescent="0.2">
      <c r="Q110" t="s">
        <v>788</v>
      </c>
      <c r="R110" s="5">
        <v>0</v>
      </c>
      <c r="S110" s="5">
        <v>0.5</v>
      </c>
      <c r="T110" s="5">
        <v>0</v>
      </c>
      <c r="U110" s="5">
        <v>0.48</v>
      </c>
      <c r="V110" s="6">
        <f t="shared" si="6"/>
        <v>200</v>
      </c>
      <c r="W110" s="6">
        <f t="shared" si="7"/>
        <v>200</v>
      </c>
    </row>
    <row r="111" spans="17:23" x14ac:dyDescent="0.2">
      <c r="Q111" t="s">
        <v>724</v>
      </c>
      <c r="R111" s="5">
        <v>0</v>
      </c>
      <c r="S111" s="5">
        <v>0.41</v>
      </c>
      <c r="T111" s="5">
        <v>0</v>
      </c>
      <c r="U111" s="5">
        <v>0.41</v>
      </c>
      <c r="V111" s="6">
        <f t="shared" si="6"/>
        <v>200</v>
      </c>
      <c r="W111" s="6">
        <f t="shared" si="7"/>
        <v>200</v>
      </c>
    </row>
    <row r="112" spans="17:23" x14ac:dyDescent="0.2">
      <c r="Q112" t="s">
        <v>859</v>
      </c>
      <c r="R112" s="5">
        <v>0</v>
      </c>
      <c r="S112" s="5">
        <v>0.36</v>
      </c>
      <c r="T112" s="5">
        <v>0</v>
      </c>
      <c r="U112" s="5">
        <v>0.35</v>
      </c>
      <c r="V112" s="6">
        <f t="shared" si="6"/>
        <v>200</v>
      </c>
      <c r="W112" s="6">
        <f t="shared" si="7"/>
        <v>200</v>
      </c>
    </row>
    <row r="113" spans="17:23" x14ac:dyDescent="0.2">
      <c r="Q113" t="s">
        <v>103</v>
      </c>
      <c r="R113" s="5">
        <v>0</v>
      </c>
      <c r="S113" s="5">
        <v>0.28999999999999998</v>
      </c>
      <c r="T113" s="5">
        <v>0</v>
      </c>
      <c r="U113" s="5">
        <v>0.31</v>
      </c>
      <c r="V113" s="6">
        <f t="shared" si="6"/>
        <v>200</v>
      </c>
      <c r="W113" s="6">
        <f t="shared" si="7"/>
        <v>200</v>
      </c>
    </row>
    <row r="114" spans="17:23" x14ac:dyDescent="0.2">
      <c r="Q114" t="s">
        <v>860</v>
      </c>
      <c r="R114" s="5">
        <v>0</v>
      </c>
      <c r="S114" s="5">
        <v>0.32</v>
      </c>
      <c r="T114" s="5">
        <v>0</v>
      </c>
      <c r="U114" s="5">
        <v>0.27</v>
      </c>
      <c r="V114" s="6">
        <f t="shared" si="6"/>
        <v>200</v>
      </c>
      <c r="W114" s="6">
        <f t="shared" si="7"/>
        <v>200</v>
      </c>
    </row>
    <row r="115" spans="17:23" x14ac:dyDescent="0.2">
      <c r="Q115" t="s">
        <v>813</v>
      </c>
      <c r="R115" s="5">
        <v>0</v>
      </c>
      <c r="S115" s="5">
        <v>0.35</v>
      </c>
      <c r="T115" s="5">
        <v>0</v>
      </c>
      <c r="U115" s="5">
        <v>0.23</v>
      </c>
      <c r="V115" s="6">
        <f t="shared" si="6"/>
        <v>200</v>
      </c>
      <c r="W115" s="6">
        <f t="shared" si="7"/>
        <v>200</v>
      </c>
    </row>
    <row r="116" spans="17:23" x14ac:dyDescent="0.2">
      <c r="Q116" t="s">
        <v>73</v>
      </c>
      <c r="R116" s="5">
        <v>0</v>
      </c>
      <c r="S116" s="5">
        <v>0.28000000000000003</v>
      </c>
      <c r="T116" s="5">
        <v>0</v>
      </c>
      <c r="U116" s="5">
        <v>0.21</v>
      </c>
      <c r="V116" s="6">
        <f t="shared" si="6"/>
        <v>200</v>
      </c>
      <c r="W116" s="6">
        <f t="shared" si="7"/>
        <v>200</v>
      </c>
    </row>
    <row r="117" spans="17:23" x14ac:dyDescent="0.2">
      <c r="Q117" t="s">
        <v>436</v>
      </c>
      <c r="R117" s="5">
        <v>0</v>
      </c>
      <c r="S117" s="5">
        <v>0.31</v>
      </c>
      <c r="T117" s="5">
        <v>0</v>
      </c>
      <c r="U117" s="5">
        <v>0.13</v>
      </c>
      <c r="V117" s="6">
        <f t="shared" si="6"/>
        <v>200</v>
      </c>
      <c r="W117" s="6">
        <f t="shared" si="7"/>
        <v>200</v>
      </c>
    </row>
    <row r="118" spans="17:23" x14ac:dyDescent="0.2">
      <c r="Q118" t="s">
        <v>795</v>
      </c>
      <c r="R118" s="5">
        <v>0</v>
      </c>
      <c r="S118" s="5">
        <v>0.21</v>
      </c>
      <c r="T118" s="5">
        <v>0</v>
      </c>
      <c r="U118" s="5">
        <v>0.22</v>
      </c>
      <c r="V118" s="6">
        <f t="shared" si="6"/>
        <v>200</v>
      </c>
      <c r="W118" s="6">
        <f t="shared" si="7"/>
        <v>200</v>
      </c>
    </row>
    <row r="119" spans="17:23" x14ac:dyDescent="0.2">
      <c r="Q119" t="s">
        <v>492</v>
      </c>
      <c r="R119" s="5">
        <v>0</v>
      </c>
      <c r="S119" s="5">
        <v>0.24</v>
      </c>
      <c r="T119" s="5">
        <v>0</v>
      </c>
      <c r="U119" s="5">
        <v>0.17</v>
      </c>
      <c r="V119" s="6">
        <f t="shared" si="6"/>
        <v>200</v>
      </c>
      <c r="W119" s="6">
        <f t="shared" si="7"/>
        <v>200</v>
      </c>
    </row>
    <row r="120" spans="17:23" x14ac:dyDescent="0.2">
      <c r="Q120" t="s">
        <v>810</v>
      </c>
      <c r="R120" s="5">
        <v>0</v>
      </c>
      <c r="S120" s="5">
        <v>0.12</v>
      </c>
      <c r="T120" s="5">
        <v>0</v>
      </c>
      <c r="U120" s="5">
        <v>0.13</v>
      </c>
      <c r="V120" s="6">
        <f t="shared" si="6"/>
        <v>200</v>
      </c>
      <c r="W120" s="6">
        <f t="shared" si="7"/>
        <v>200</v>
      </c>
    </row>
    <row r="121" spans="17:23" x14ac:dyDescent="0.2">
      <c r="Q121" t="s">
        <v>516</v>
      </c>
      <c r="R121" s="5">
        <v>0</v>
      </c>
      <c r="S121" s="5">
        <v>0.1</v>
      </c>
      <c r="T121" s="5">
        <v>0</v>
      </c>
      <c r="U121" s="5">
        <v>0.12</v>
      </c>
      <c r="V121" s="6">
        <f t="shared" si="6"/>
        <v>200</v>
      </c>
      <c r="W121" s="6">
        <f t="shared" si="7"/>
        <v>200</v>
      </c>
    </row>
    <row r="122" spans="17:23" x14ac:dyDescent="0.2">
      <c r="Q122" t="s">
        <v>722</v>
      </c>
      <c r="R122" s="5">
        <v>0</v>
      </c>
      <c r="S122" s="5">
        <v>0.09</v>
      </c>
      <c r="T122" s="5">
        <v>0</v>
      </c>
      <c r="U122" s="5">
        <v>0.1</v>
      </c>
      <c r="V122" s="6">
        <f t="shared" si="6"/>
        <v>200</v>
      </c>
      <c r="W122" s="6">
        <f t="shared" si="7"/>
        <v>200</v>
      </c>
    </row>
    <row r="123" spans="17:23" x14ac:dyDescent="0.2">
      <c r="Q123" t="s">
        <v>829</v>
      </c>
      <c r="R123" s="5">
        <v>0</v>
      </c>
      <c r="S123" s="5">
        <v>7.0000000000000007E-2</v>
      </c>
      <c r="T123" s="5">
        <v>0</v>
      </c>
      <c r="U123" s="5">
        <v>0.09</v>
      </c>
      <c r="V123" s="6">
        <f t="shared" si="6"/>
        <v>200</v>
      </c>
      <c r="W123" s="6">
        <f t="shared" si="7"/>
        <v>200</v>
      </c>
    </row>
    <row r="124" spans="17:23" x14ac:dyDescent="0.2">
      <c r="Q124" t="s">
        <v>811</v>
      </c>
      <c r="R124" s="5">
        <v>0</v>
      </c>
      <c r="S124" s="5">
        <v>0.09</v>
      </c>
      <c r="T124" s="5">
        <v>0</v>
      </c>
      <c r="U124" s="5">
        <v>0.04</v>
      </c>
      <c r="V124" s="6">
        <f t="shared" si="6"/>
        <v>200</v>
      </c>
      <c r="W124" s="6">
        <f t="shared" si="7"/>
        <v>200</v>
      </c>
    </row>
    <row r="125" spans="17:23" x14ac:dyDescent="0.2">
      <c r="Q125" t="s">
        <v>720</v>
      </c>
      <c r="R125" s="5">
        <v>0</v>
      </c>
      <c r="S125" s="5">
        <v>7.0000000000000007E-2</v>
      </c>
      <c r="T125" s="5">
        <v>0</v>
      </c>
      <c r="U125" s="5">
        <v>0.06</v>
      </c>
      <c r="V125" s="6">
        <f t="shared" si="6"/>
        <v>200</v>
      </c>
      <c r="W125" s="6">
        <f t="shared" si="7"/>
        <v>200</v>
      </c>
    </row>
    <row r="126" spans="17:23" x14ac:dyDescent="0.2">
      <c r="Q126" t="s">
        <v>862</v>
      </c>
      <c r="R126" s="5">
        <v>0</v>
      </c>
      <c r="S126" s="5">
        <v>0.06</v>
      </c>
      <c r="T126" s="5">
        <v>0</v>
      </c>
      <c r="U126" s="5">
        <v>0.06</v>
      </c>
      <c r="V126" s="6">
        <f t="shared" si="6"/>
        <v>200</v>
      </c>
      <c r="W126" s="6">
        <f t="shared" si="7"/>
        <v>200</v>
      </c>
    </row>
    <row r="127" spans="17:23" x14ac:dyDescent="0.2">
      <c r="Q127" t="s">
        <v>159</v>
      </c>
      <c r="R127" s="5">
        <v>0</v>
      </c>
      <c r="S127" s="5">
        <v>0.05</v>
      </c>
      <c r="T127" s="5">
        <v>0</v>
      </c>
      <c r="U127" s="5">
        <v>0.02</v>
      </c>
      <c r="V127" s="6">
        <f t="shared" si="6"/>
        <v>200</v>
      </c>
      <c r="W127" s="6">
        <f t="shared" si="7"/>
        <v>200</v>
      </c>
    </row>
    <row r="128" spans="17:23" x14ac:dyDescent="0.2">
      <c r="Q128" t="s">
        <v>752</v>
      </c>
      <c r="R128" s="5">
        <v>0</v>
      </c>
      <c r="S128" s="5">
        <v>0.04</v>
      </c>
      <c r="T128" s="5">
        <v>0</v>
      </c>
      <c r="U128" s="5">
        <v>0.02</v>
      </c>
      <c r="V128" s="6">
        <f t="shared" si="6"/>
        <v>200</v>
      </c>
      <c r="W128" s="6">
        <f t="shared" si="7"/>
        <v>200</v>
      </c>
    </row>
    <row r="129" spans="17:23" x14ac:dyDescent="0.2">
      <c r="Q129" t="s">
        <v>864</v>
      </c>
      <c r="R129" s="5">
        <v>0</v>
      </c>
      <c r="S129" s="5">
        <v>0.02</v>
      </c>
      <c r="T129" s="5">
        <v>0</v>
      </c>
      <c r="U129" s="5">
        <v>0.03</v>
      </c>
      <c r="V129" s="6">
        <f t="shared" si="6"/>
        <v>200</v>
      </c>
      <c r="W129" s="6">
        <f t="shared" si="7"/>
        <v>200</v>
      </c>
    </row>
    <row r="130" spans="17:23" x14ac:dyDescent="0.2">
      <c r="Q130" t="s">
        <v>852</v>
      </c>
      <c r="R130" s="5">
        <v>0</v>
      </c>
      <c r="S130" s="5">
        <v>0.03</v>
      </c>
      <c r="T130" s="5">
        <v>0</v>
      </c>
      <c r="U130" s="5">
        <v>0.02</v>
      </c>
      <c r="V130" s="6">
        <f t="shared" si="6"/>
        <v>200</v>
      </c>
      <c r="W130" s="6">
        <f t="shared" si="7"/>
        <v>200</v>
      </c>
    </row>
    <row r="131" spans="17:23" x14ac:dyDescent="0.2">
      <c r="Q131" t="s">
        <v>855</v>
      </c>
      <c r="R131" s="5">
        <v>0</v>
      </c>
      <c r="S131" s="5">
        <v>0.01</v>
      </c>
      <c r="T131" s="5">
        <v>0</v>
      </c>
      <c r="U131" s="5">
        <v>0.02</v>
      </c>
      <c r="V131" s="6">
        <f t="shared" si="6"/>
        <v>200</v>
      </c>
      <c r="W131" s="6">
        <f t="shared" si="7"/>
        <v>200</v>
      </c>
    </row>
    <row r="132" spans="17:23" x14ac:dyDescent="0.2">
      <c r="Q132" t="s">
        <v>826</v>
      </c>
      <c r="R132" s="5">
        <v>0</v>
      </c>
      <c r="S132" s="5">
        <v>0.01</v>
      </c>
      <c r="T132" s="5">
        <v>0</v>
      </c>
      <c r="U132" s="5">
        <v>0.01</v>
      </c>
      <c r="V132" s="6">
        <f t="shared" si="6"/>
        <v>200</v>
      </c>
      <c r="W132" s="6">
        <f t="shared" si="7"/>
        <v>200</v>
      </c>
    </row>
    <row r="133" spans="17:23" x14ac:dyDescent="0.2">
      <c r="Q133" t="s">
        <v>101</v>
      </c>
      <c r="R133" s="5">
        <v>0</v>
      </c>
      <c r="S133" s="5">
        <v>0.02</v>
      </c>
      <c r="T133" s="5">
        <v>0</v>
      </c>
      <c r="U133" s="5">
        <v>0</v>
      </c>
      <c r="V133" s="6">
        <f t="shared" si="6"/>
        <v>200</v>
      </c>
      <c r="W133" s="6">
        <f t="shared" si="7"/>
        <v>200</v>
      </c>
    </row>
    <row r="134" spans="17:23" x14ac:dyDescent="0.2">
      <c r="Q134" t="s">
        <v>753</v>
      </c>
      <c r="R134" s="5">
        <v>0</v>
      </c>
      <c r="S134" s="5">
        <v>0.01</v>
      </c>
      <c r="T134" s="5">
        <v>0</v>
      </c>
      <c r="U134" s="5">
        <v>0</v>
      </c>
      <c r="V134" s="6">
        <f t="shared" si="6"/>
        <v>200</v>
      </c>
      <c r="W134" s="6">
        <f t="shared" si="7"/>
        <v>200</v>
      </c>
    </row>
    <row r="135" spans="17:23" x14ac:dyDescent="0.2">
      <c r="Q135" t="s">
        <v>802</v>
      </c>
      <c r="R135" s="5">
        <v>0</v>
      </c>
      <c r="S135" s="5">
        <v>0</v>
      </c>
      <c r="T135" s="5"/>
      <c r="U135" s="5">
        <v>0</v>
      </c>
      <c r="V135" s="6">
        <f t="shared" si="6"/>
        <v>200</v>
      </c>
      <c r="W135" s="6">
        <f t="shared" si="7"/>
        <v>200</v>
      </c>
    </row>
    <row r="136" spans="17:23" x14ac:dyDescent="0.2">
      <c r="Q136" t="s">
        <v>756</v>
      </c>
      <c r="R136" s="5">
        <v>0</v>
      </c>
      <c r="S136" s="5">
        <v>0</v>
      </c>
      <c r="T136" s="5">
        <v>0</v>
      </c>
      <c r="U136" s="5">
        <v>0</v>
      </c>
      <c r="V136" s="6">
        <f t="shared" si="6"/>
        <v>200</v>
      </c>
      <c r="W136" s="6">
        <f t="shared" si="7"/>
        <v>200</v>
      </c>
    </row>
    <row r="137" spans="17:23" x14ac:dyDescent="0.2">
      <c r="Q137" t="s">
        <v>598</v>
      </c>
      <c r="R137" s="5">
        <v>0</v>
      </c>
      <c r="S137" s="5">
        <v>0</v>
      </c>
      <c r="T137" s="5"/>
      <c r="U137" s="5">
        <v>0</v>
      </c>
      <c r="V137" s="6">
        <f t="shared" si="6"/>
        <v>200</v>
      </c>
      <c r="W137" s="6">
        <f t="shared" si="7"/>
        <v>200</v>
      </c>
    </row>
    <row r="138" spans="17:23" x14ac:dyDescent="0.2">
      <c r="Q138" t="s">
        <v>857</v>
      </c>
      <c r="R138" s="5">
        <v>0</v>
      </c>
      <c r="S138" s="5">
        <v>0</v>
      </c>
      <c r="T138" s="5">
        <v>0</v>
      </c>
      <c r="U138" s="5">
        <v>0</v>
      </c>
      <c r="V138" s="6">
        <f t="shared" si="6"/>
        <v>200</v>
      </c>
      <c r="W138" s="6">
        <f t="shared" si="7"/>
        <v>200</v>
      </c>
    </row>
    <row r="139" spans="17:23" x14ac:dyDescent="0.2">
      <c r="Q139" t="s">
        <v>754</v>
      </c>
      <c r="R139" s="5">
        <v>0</v>
      </c>
      <c r="S139" s="5">
        <v>0</v>
      </c>
      <c r="T139" s="5">
        <v>0</v>
      </c>
      <c r="U139" s="5">
        <v>0</v>
      </c>
      <c r="V139" s="6">
        <f t="shared" si="6"/>
        <v>200</v>
      </c>
      <c r="W139" s="6">
        <f t="shared" si="7"/>
        <v>200</v>
      </c>
    </row>
    <row r="140" spans="17:23" x14ac:dyDescent="0.2">
      <c r="Q140" t="s">
        <v>830</v>
      </c>
      <c r="R140" s="5">
        <v>0</v>
      </c>
      <c r="S140" s="5">
        <v>0</v>
      </c>
      <c r="T140" s="5"/>
      <c r="U140" s="5">
        <v>0</v>
      </c>
      <c r="V140" s="6">
        <f t="shared" si="6"/>
        <v>200</v>
      </c>
      <c r="W140" s="6">
        <f t="shared" si="7"/>
        <v>200</v>
      </c>
    </row>
    <row r="141" spans="17:23" x14ac:dyDescent="0.2">
      <c r="Q141" t="s">
        <v>800</v>
      </c>
      <c r="R141" s="5">
        <v>0</v>
      </c>
      <c r="S141" s="5">
        <v>0</v>
      </c>
      <c r="T141" s="5">
        <v>0</v>
      </c>
      <c r="U141" s="5">
        <v>0</v>
      </c>
      <c r="V141" s="6">
        <f t="shared" si="6"/>
        <v>200</v>
      </c>
      <c r="W141" s="6">
        <f t="shared" si="7"/>
        <v>200</v>
      </c>
    </row>
    <row r="142" spans="17:23" x14ac:dyDescent="0.2">
      <c r="Q142" t="s">
        <v>856</v>
      </c>
      <c r="R142" s="5">
        <v>0</v>
      </c>
      <c r="S142" s="5">
        <v>0</v>
      </c>
      <c r="T142" s="5">
        <v>0</v>
      </c>
      <c r="U142" s="5">
        <v>0</v>
      </c>
      <c r="V142" s="6">
        <f t="shared" si="6"/>
        <v>200</v>
      </c>
      <c r="W142" s="6">
        <f t="shared" si="7"/>
        <v>200</v>
      </c>
    </row>
    <row r="143" spans="17:23" x14ac:dyDescent="0.2">
      <c r="Q143" t="s">
        <v>822</v>
      </c>
      <c r="R143" s="5">
        <v>0</v>
      </c>
      <c r="S143" s="5">
        <v>0</v>
      </c>
      <c r="T143" s="5"/>
      <c r="U143" s="5">
        <v>0</v>
      </c>
      <c r="V143" s="6">
        <f t="shared" si="6"/>
        <v>200</v>
      </c>
      <c r="W143" s="6">
        <f t="shared" si="7"/>
        <v>200</v>
      </c>
    </row>
    <row r="144" spans="17:23" x14ac:dyDescent="0.2">
      <c r="Q144" t="s">
        <v>817</v>
      </c>
      <c r="R144" s="5"/>
      <c r="S144" s="5">
        <v>0</v>
      </c>
      <c r="T144" s="5"/>
      <c r="U144" s="5">
        <v>0</v>
      </c>
      <c r="V144" s="6">
        <f t="shared" si="6"/>
        <v>200</v>
      </c>
      <c r="W144" s="6">
        <f t="shared" si="7"/>
        <v>200</v>
      </c>
    </row>
    <row r="145" spans="17:23" x14ac:dyDescent="0.2">
      <c r="Q145" t="s">
        <v>804</v>
      </c>
      <c r="R145" s="5">
        <v>0</v>
      </c>
      <c r="S145" s="5">
        <v>0</v>
      </c>
      <c r="T145" s="5"/>
      <c r="U145" s="5">
        <v>0</v>
      </c>
      <c r="V145" s="6">
        <f t="shared" si="6"/>
        <v>200</v>
      </c>
      <c r="W145" s="6">
        <f t="shared" si="7"/>
        <v>200</v>
      </c>
    </row>
    <row r="146" spans="17:23" x14ac:dyDescent="0.2">
      <c r="Q146" t="s">
        <v>820</v>
      </c>
      <c r="R146" s="5"/>
      <c r="S146" s="5">
        <v>0</v>
      </c>
      <c r="T146" s="5"/>
      <c r="U146" s="5">
        <v>0</v>
      </c>
      <c r="V146" s="6">
        <f t="shared" si="6"/>
        <v>200</v>
      </c>
      <c r="W146" s="6">
        <f t="shared" si="7"/>
        <v>200</v>
      </c>
    </row>
    <row r="147" spans="17:23" x14ac:dyDescent="0.2">
      <c r="Q147" t="s">
        <v>805</v>
      </c>
      <c r="R147" s="5"/>
      <c r="S147" s="5">
        <v>0</v>
      </c>
      <c r="T147" s="5"/>
      <c r="U147" s="5">
        <v>0</v>
      </c>
      <c r="V147" s="6">
        <f t="shared" si="6"/>
        <v>200</v>
      </c>
      <c r="W147" s="6">
        <f t="shared" si="7"/>
        <v>200</v>
      </c>
    </row>
    <row r="148" spans="17:23" x14ac:dyDescent="0.2">
      <c r="Q148" t="s">
        <v>930</v>
      </c>
      <c r="R148" s="5">
        <v>0</v>
      </c>
      <c r="S148" s="5">
        <v>0</v>
      </c>
      <c r="T148" s="5">
        <v>0</v>
      </c>
      <c r="U148" s="5">
        <v>0</v>
      </c>
      <c r="V148" s="6">
        <f t="shared" si="6"/>
        <v>200</v>
      </c>
      <c r="W148" s="6">
        <f t="shared" si="7"/>
        <v>200</v>
      </c>
    </row>
    <row r="149" spans="17:23" x14ac:dyDescent="0.2">
      <c r="Q149" t="s">
        <v>812</v>
      </c>
      <c r="R149" s="5">
        <v>0</v>
      </c>
      <c r="S149" s="5">
        <v>0</v>
      </c>
      <c r="T149" s="5"/>
      <c r="U149" s="5">
        <v>0</v>
      </c>
      <c r="V149" s="6">
        <f t="shared" si="6"/>
        <v>200</v>
      </c>
      <c r="W149" s="6">
        <f t="shared" si="7"/>
        <v>200</v>
      </c>
    </row>
    <row r="150" spans="17:23" x14ac:dyDescent="0.2">
      <c r="Q150" t="s">
        <v>833</v>
      </c>
      <c r="R150" s="5"/>
      <c r="S150" s="5">
        <v>0</v>
      </c>
      <c r="T150" s="5"/>
      <c r="U150" s="5">
        <v>0</v>
      </c>
      <c r="V150" s="6">
        <f t="shared" si="6"/>
        <v>200</v>
      </c>
      <c r="W150" s="6">
        <f t="shared" si="7"/>
        <v>200</v>
      </c>
    </row>
    <row r="151" spans="17:23" x14ac:dyDescent="0.2">
      <c r="Q151" t="s">
        <v>836</v>
      </c>
      <c r="R151" s="5">
        <v>0</v>
      </c>
      <c r="S151" s="5">
        <v>0</v>
      </c>
      <c r="T151" s="5"/>
      <c r="U151" s="5">
        <v>0</v>
      </c>
      <c r="V151" s="6">
        <f t="shared" si="6"/>
        <v>200</v>
      </c>
      <c r="W151" s="6">
        <f t="shared" si="7"/>
        <v>200</v>
      </c>
    </row>
    <row r="152" spans="17:23" x14ac:dyDescent="0.2">
      <c r="Q152" t="s">
        <v>757</v>
      </c>
      <c r="R152" s="5">
        <v>0</v>
      </c>
      <c r="S152" s="5">
        <v>0</v>
      </c>
      <c r="T152" s="5">
        <v>0</v>
      </c>
      <c r="U152" s="5">
        <v>0</v>
      </c>
      <c r="V152" s="6">
        <f t="shared" si="6"/>
        <v>200</v>
      </c>
      <c r="W152" s="6">
        <f t="shared" si="7"/>
        <v>200</v>
      </c>
    </row>
    <row r="153" spans="17:23" x14ac:dyDescent="0.2">
      <c r="Q153" t="s">
        <v>818</v>
      </c>
      <c r="R153" s="5">
        <v>0</v>
      </c>
      <c r="S153" s="5">
        <v>0</v>
      </c>
      <c r="T153" s="5"/>
      <c r="U153" s="5">
        <v>0</v>
      </c>
      <c r="V153" s="6">
        <f t="shared" si="6"/>
        <v>200</v>
      </c>
      <c r="W153" s="6">
        <f t="shared" si="7"/>
        <v>200</v>
      </c>
    </row>
    <row r="154" spans="17:23" x14ac:dyDescent="0.2">
      <c r="Q154" t="s">
        <v>801</v>
      </c>
      <c r="R154" s="5">
        <v>0</v>
      </c>
      <c r="S154" s="5">
        <v>0</v>
      </c>
      <c r="T154" s="5"/>
      <c r="U154" s="5">
        <v>0</v>
      </c>
      <c r="V154" s="6">
        <f t="shared" si="6"/>
        <v>200</v>
      </c>
      <c r="W154" s="6">
        <f t="shared" si="7"/>
        <v>200</v>
      </c>
    </row>
    <row r="155" spans="17:23" x14ac:dyDescent="0.2">
      <c r="Q155" t="s">
        <v>605</v>
      </c>
      <c r="R155" s="5">
        <v>0</v>
      </c>
      <c r="S155" s="5">
        <v>0</v>
      </c>
      <c r="T155" s="5"/>
      <c r="U155" s="5">
        <v>0</v>
      </c>
      <c r="V155" s="6">
        <f t="shared" si="6"/>
        <v>200</v>
      </c>
      <c r="W155" s="6">
        <f t="shared" si="7"/>
        <v>200</v>
      </c>
    </row>
    <row r="156" spans="17:23" x14ac:dyDescent="0.2">
      <c r="Q156" t="s">
        <v>938</v>
      </c>
      <c r="R156" s="5"/>
      <c r="S156" s="5">
        <v>0</v>
      </c>
      <c r="T156" s="5">
        <v>0</v>
      </c>
      <c r="U156" s="5">
        <v>0</v>
      </c>
      <c r="V156" s="6">
        <f t="shared" si="6"/>
        <v>200</v>
      </c>
      <c r="W156" s="6">
        <f t="shared" si="7"/>
        <v>200</v>
      </c>
    </row>
    <row r="157" spans="17:23" x14ac:dyDescent="0.2">
      <c r="Q157" t="s">
        <v>797</v>
      </c>
      <c r="R157" s="5">
        <v>0</v>
      </c>
      <c r="S157" s="5">
        <v>0</v>
      </c>
      <c r="T157" s="5">
        <v>0</v>
      </c>
      <c r="U157" s="5">
        <v>0</v>
      </c>
      <c r="V157" s="6">
        <f t="shared" si="6"/>
        <v>200</v>
      </c>
      <c r="W157" s="6">
        <f t="shared" si="7"/>
        <v>200</v>
      </c>
    </row>
    <row r="158" spans="17:23" x14ac:dyDescent="0.2">
      <c r="Q158" t="s">
        <v>821</v>
      </c>
      <c r="R158" s="5">
        <v>0</v>
      </c>
      <c r="S158" s="5">
        <v>0</v>
      </c>
      <c r="T158" s="5">
        <v>0</v>
      </c>
      <c r="U158" s="5">
        <v>0</v>
      </c>
      <c r="V158" s="6">
        <f t="shared" si="6"/>
        <v>200</v>
      </c>
      <c r="W158" s="6">
        <f t="shared" si="7"/>
        <v>200</v>
      </c>
    </row>
    <row r="159" spans="17:23" x14ac:dyDescent="0.2">
      <c r="Q159" t="s">
        <v>925</v>
      </c>
      <c r="R159" s="5">
        <v>0</v>
      </c>
      <c r="S159" s="5">
        <v>0</v>
      </c>
      <c r="T159" s="5"/>
      <c r="U159" s="5">
        <v>0</v>
      </c>
      <c r="V159" s="6">
        <f t="shared" si="6"/>
        <v>200</v>
      </c>
      <c r="W159" s="6">
        <f t="shared" si="7"/>
        <v>200</v>
      </c>
    </row>
    <row r="160" spans="17:23" x14ac:dyDescent="0.2">
      <c r="Q160" t="s">
        <v>814</v>
      </c>
      <c r="R160" s="5">
        <v>0</v>
      </c>
      <c r="S160" s="5">
        <v>0</v>
      </c>
      <c r="T160" s="5"/>
      <c r="U160" s="5">
        <v>0</v>
      </c>
      <c r="V160" s="6">
        <f t="shared" si="6"/>
        <v>200</v>
      </c>
      <c r="W160" s="6">
        <f t="shared" si="7"/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E04E1-0A14-F84D-AF8E-8B6D2A296191}">
  <dimension ref="A1:AR71"/>
  <sheetViews>
    <sheetView tabSelected="1" workbookViewId="0">
      <selection activeCell="D11" sqref="A11:D11"/>
    </sheetView>
  </sheetViews>
  <sheetFormatPr baseColWidth="10" defaultRowHeight="16" x14ac:dyDescent="0.2"/>
  <cols>
    <col min="1" max="1" width="13" bestFit="1" customWidth="1"/>
    <col min="2" max="2" width="16.6640625" bestFit="1" customWidth="1"/>
    <col min="3" max="3" width="11.1640625" bestFit="1" customWidth="1"/>
    <col min="6" max="6" width="49.1640625" bestFit="1" customWidth="1"/>
    <col min="7" max="7" width="17.1640625" bestFit="1" customWidth="1"/>
    <col min="8" max="9" width="11.1640625" bestFit="1" customWidth="1"/>
    <col min="11" max="11" width="51.6640625" bestFit="1" customWidth="1"/>
    <col min="12" max="12" width="16.6640625" bestFit="1" customWidth="1"/>
    <col min="13" max="14" width="11.1640625" bestFit="1" customWidth="1"/>
    <col min="16" max="16" width="46.6640625" bestFit="1" customWidth="1"/>
    <col min="17" max="17" width="16.6640625" bestFit="1" customWidth="1"/>
    <col min="18" max="18" width="11.1640625" bestFit="1" customWidth="1"/>
    <col min="21" max="21" width="13" bestFit="1" customWidth="1"/>
    <col min="22" max="22" width="19.1640625" bestFit="1" customWidth="1"/>
    <col min="23" max="23" width="11.1640625" bestFit="1" customWidth="1"/>
    <col min="26" max="26" width="13" bestFit="1" customWidth="1"/>
    <col min="27" max="27" width="16.6640625" bestFit="1" customWidth="1"/>
    <col min="28" max="28" width="11.1640625" bestFit="1" customWidth="1"/>
    <col min="31" max="31" width="13" bestFit="1" customWidth="1"/>
    <col min="32" max="32" width="16.6640625" bestFit="1" customWidth="1"/>
    <col min="33" max="33" width="11.1640625" bestFit="1" customWidth="1"/>
    <col min="36" max="36" width="13" bestFit="1" customWidth="1"/>
    <col min="37" max="37" width="16.6640625" bestFit="1" customWidth="1"/>
    <col min="38" max="38" width="11.1640625" bestFit="1" customWidth="1"/>
    <col min="41" max="41" width="46.1640625" bestFit="1" customWidth="1"/>
    <col min="42" max="42" width="15" bestFit="1" customWidth="1"/>
    <col min="43" max="43" width="16.6640625" bestFit="1" customWidth="1"/>
    <col min="44" max="44" width="11.1640625" bestFit="1" customWidth="1"/>
  </cols>
  <sheetData>
    <row r="1" spans="1:44" x14ac:dyDescent="0.2">
      <c r="F1" s="2" t="s">
        <v>28</v>
      </c>
      <c r="G1" t="s">
        <v>1068</v>
      </c>
      <c r="K1" s="2" t="s">
        <v>28</v>
      </c>
      <c r="L1" t="s">
        <v>618</v>
      </c>
      <c r="P1" s="2" t="s">
        <v>28</v>
      </c>
      <c r="Q1" t="s">
        <v>1066</v>
      </c>
      <c r="U1" s="2" t="s">
        <v>28</v>
      </c>
      <c r="V1" t="s">
        <v>1064</v>
      </c>
      <c r="Z1" s="2" t="s">
        <v>28</v>
      </c>
      <c r="AA1" t="s">
        <v>1065</v>
      </c>
      <c r="AE1" s="2" t="s">
        <v>28</v>
      </c>
      <c r="AF1" t="s">
        <v>946</v>
      </c>
      <c r="AJ1" s="2" t="s">
        <v>28</v>
      </c>
      <c r="AK1" t="s">
        <v>789</v>
      </c>
    </row>
    <row r="3" spans="1:44" x14ac:dyDescent="0.2">
      <c r="A3" s="2" t="s">
        <v>1059</v>
      </c>
      <c r="B3" t="s">
        <v>1062</v>
      </c>
      <c r="C3" t="s">
        <v>1061</v>
      </c>
      <c r="F3" s="2" t="s">
        <v>1059</v>
      </c>
      <c r="G3" t="s">
        <v>1062</v>
      </c>
      <c r="H3" t="s">
        <v>1061</v>
      </c>
      <c r="K3" s="2" t="s">
        <v>2</v>
      </c>
      <c r="L3" t="s">
        <v>1062</v>
      </c>
      <c r="M3" t="s">
        <v>1061</v>
      </c>
      <c r="P3" s="2" t="s">
        <v>1059</v>
      </c>
      <c r="Q3" t="s">
        <v>1062</v>
      </c>
      <c r="R3" t="s">
        <v>1061</v>
      </c>
      <c r="U3" s="2" t="s">
        <v>1059</v>
      </c>
      <c r="V3" t="s">
        <v>1062</v>
      </c>
      <c r="W3" t="s">
        <v>1061</v>
      </c>
      <c r="Z3" s="2" t="s">
        <v>1059</v>
      </c>
      <c r="AA3" t="s">
        <v>1062</v>
      </c>
      <c r="AB3" t="s">
        <v>1061</v>
      </c>
      <c r="AE3" s="2" t="s">
        <v>1059</v>
      </c>
      <c r="AF3" t="s">
        <v>1062</v>
      </c>
      <c r="AG3" t="s">
        <v>1061</v>
      </c>
      <c r="AJ3" s="2" t="s">
        <v>1059</v>
      </c>
      <c r="AK3" t="s">
        <v>1062</v>
      </c>
      <c r="AL3" t="s">
        <v>1061</v>
      </c>
      <c r="AO3" s="2" t="s">
        <v>2</v>
      </c>
      <c r="AP3" s="2" t="s">
        <v>28</v>
      </c>
      <c r="AQ3" t="s">
        <v>1062</v>
      </c>
      <c r="AR3" t="s">
        <v>1061</v>
      </c>
    </row>
    <row r="4" spans="1:44" x14ac:dyDescent="0.2">
      <c r="A4" s="3" t="s">
        <v>1068</v>
      </c>
      <c r="B4" s="5">
        <v>254</v>
      </c>
      <c r="C4" s="5">
        <v>33304.19</v>
      </c>
      <c r="D4" s="8">
        <f>C4/B4</f>
        <v>131.11885826771655</v>
      </c>
      <c r="F4" s="3" t="s">
        <v>1075</v>
      </c>
      <c r="G4" s="5">
        <v>2</v>
      </c>
      <c r="H4" s="5">
        <v>348.76</v>
      </c>
      <c r="I4" s="10">
        <f>H4/G4</f>
        <v>174.38</v>
      </c>
      <c r="K4" t="s">
        <v>895</v>
      </c>
      <c r="L4" s="5">
        <v>31</v>
      </c>
      <c r="M4" s="5">
        <v>2475.5500000000002</v>
      </c>
      <c r="N4" s="6">
        <f>M4/L4</f>
        <v>79.856451612903228</v>
      </c>
      <c r="P4" s="3" t="s">
        <v>1083</v>
      </c>
      <c r="Q4" s="5">
        <v>27</v>
      </c>
      <c r="R4" s="5">
        <v>2989.78</v>
      </c>
      <c r="S4" s="10">
        <f>R4/Q4</f>
        <v>110.7325925925926</v>
      </c>
      <c r="U4" s="3" t="s">
        <v>1112</v>
      </c>
      <c r="V4" s="5">
        <v>99</v>
      </c>
      <c r="W4" s="5">
        <v>12367.4</v>
      </c>
      <c r="X4" s="10">
        <f t="shared" ref="X4:X24" si="0">W4/V4</f>
        <v>124.92323232323231</v>
      </c>
      <c r="Z4" s="3" t="s">
        <v>1083</v>
      </c>
      <c r="AA4" s="5">
        <v>24</v>
      </c>
      <c r="AB4" s="5">
        <v>2990.22</v>
      </c>
      <c r="AC4" s="10">
        <f>AB4/AA4</f>
        <v>124.59249999999999</v>
      </c>
      <c r="AE4" s="3" t="s">
        <v>1112</v>
      </c>
      <c r="AF4" s="5">
        <v>40</v>
      </c>
      <c r="AG4" s="5">
        <v>5441.14</v>
      </c>
      <c r="AH4" s="10">
        <f>AG4/AF4</f>
        <v>136.02850000000001</v>
      </c>
      <c r="AJ4" s="3" t="s">
        <v>1112</v>
      </c>
      <c r="AK4" s="5">
        <v>25</v>
      </c>
      <c r="AL4" s="5">
        <v>3146.1400000000003</v>
      </c>
      <c r="AM4" s="10">
        <f>AL4/AK4</f>
        <v>125.84560000000002</v>
      </c>
      <c r="AO4" t="s">
        <v>966</v>
      </c>
      <c r="AP4" t="s">
        <v>1069</v>
      </c>
      <c r="AQ4" s="5">
        <v>4</v>
      </c>
      <c r="AR4" s="5">
        <v>2870.98</v>
      </c>
    </row>
    <row r="5" spans="1:44" x14ac:dyDescent="0.2">
      <c r="A5" s="3" t="s">
        <v>1064</v>
      </c>
      <c r="B5" s="5">
        <v>214</v>
      </c>
      <c r="C5" s="5">
        <v>22926.6</v>
      </c>
      <c r="D5" s="6">
        <f t="shared" ref="D5:D34" si="1">C5/B5</f>
        <v>107.13364485981307</v>
      </c>
      <c r="F5" s="3" t="s">
        <v>1082</v>
      </c>
      <c r="G5" s="5">
        <v>155</v>
      </c>
      <c r="H5" s="5">
        <v>12801.010000000004</v>
      </c>
      <c r="I5" s="10">
        <f>H5/G5</f>
        <v>82.587161290322612</v>
      </c>
      <c r="K5" t="s">
        <v>907</v>
      </c>
      <c r="L5" s="5">
        <v>20</v>
      </c>
      <c r="M5" s="5">
        <v>2396.11</v>
      </c>
      <c r="N5" s="6">
        <f t="shared" ref="N5:N66" si="2">M5/L5</f>
        <v>119.80550000000001</v>
      </c>
      <c r="P5" s="3" t="s">
        <v>1096</v>
      </c>
      <c r="Q5" s="5">
        <v>4</v>
      </c>
      <c r="R5" s="5">
        <v>1780.44</v>
      </c>
      <c r="S5" s="14">
        <f t="shared" ref="S5:S28" si="3">R5/Q5</f>
        <v>445.11</v>
      </c>
      <c r="U5" s="3" t="s">
        <v>1099</v>
      </c>
      <c r="V5" s="5">
        <v>61</v>
      </c>
      <c r="W5" s="5">
        <v>4988.7299999999996</v>
      </c>
      <c r="X5" s="10">
        <f t="shared" si="0"/>
        <v>81.782459016393432</v>
      </c>
      <c r="Z5" s="3" t="s">
        <v>1096</v>
      </c>
      <c r="AA5" s="5">
        <v>7</v>
      </c>
      <c r="AB5" s="5">
        <v>1780.63</v>
      </c>
      <c r="AC5" s="14">
        <f t="shared" ref="AC5:AC24" si="4">AB5/AA5</f>
        <v>254.37571428571431</v>
      </c>
      <c r="AE5" s="3" t="s">
        <v>1079</v>
      </c>
      <c r="AF5" s="5">
        <v>3</v>
      </c>
      <c r="AG5" s="5">
        <v>273.26</v>
      </c>
      <c r="AH5" s="14">
        <f t="shared" ref="AH5:AH8" si="5">AG5/AF5</f>
        <v>91.086666666666659</v>
      </c>
      <c r="AJ5" s="3" t="s">
        <v>1082</v>
      </c>
      <c r="AK5" s="5">
        <v>13</v>
      </c>
      <c r="AL5" s="5">
        <v>2065.3700000000003</v>
      </c>
      <c r="AM5" s="10">
        <f>AL5/AK5</f>
        <v>158.87461538461542</v>
      </c>
      <c r="AO5" t="s">
        <v>918</v>
      </c>
      <c r="AP5" t="s">
        <v>1069</v>
      </c>
      <c r="AQ5" s="5">
        <v>1</v>
      </c>
      <c r="AR5" s="5">
        <v>471.67</v>
      </c>
    </row>
    <row r="6" spans="1:44" x14ac:dyDescent="0.2">
      <c r="A6" s="3" t="s">
        <v>618</v>
      </c>
      <c r="B6" s="5">
        <v>219</v>
      </c>
      <c r="C6" s="5">
        <v>20489.91</v>
      </c>
      <c r="D6" s="8">
        <f t="shared" si="1"/>
        <v>93.561232876712324</v>
      </c>
      <c r="F6" s="3" t="s">
        <v>1098</v>
      </c>
      <c r="G6" s="5">
        <v>2</v>
      </c>
      <c r="H6" s="5">
        <v>271.92</v>
      </c>
      <c r="I6" s="10">
        <f>H6/G6</f>
        <v>135.96</v>
      </c>
      <c r="K6" t="s">
        <v>906</v>
      </c>
      <c r="L6" s="5">
        <v>11</v>
      </c>
      <c r="M6" s="5">
        <v>2299.9</v>
      </c>
      <c r="N6" s="9">
        <f t="shared" si="2"/>
        <v>209.08181818181819</v>
      </c>
      <c r="P6" s="3" t="s">
        <v>1074</v>
      </c>
      <c r="Q6" s="5">
        <v>7</v>
      </c>
      <c r="R6" s="5">
        <v>1335.47</v>
      </c>
      <c r="S6" s="14">
        <f t="shared" si="3"/>
        <v>190.78142857142856</v>
      </c>
      <c r="U6" s="3" t="s">
        <v>1079</v>
      </c>
      <c r="V6" s="5">
        <v>23</v>
      </c>
      <c r="W6" s="5">
        <v>1838.67</v>
      </c>
      <c r="X6" s="10">
        <f t="shared" si="0"/>
        <v>79.942173913043476</v>
      </c>
      <c r="Z6" s="3" t="s">
        <v>1101</v>
      </c>
      <c r="AA6" s="5">
        <v>1</v>
      </c>
      <c r="AB6" s="5">
        <v>869.04</v>
      </c>
      <c r="AC6" s="14">
        <f t="shared" si="4"/>
        <v>869.04</v>
      </c>
      <c r="AE6" s="3" t="s">
        <v>1075</v>
      </c>
      <c r="AF6" s="5">
        <v>1</v>
      </c>
      <c r="AG6" s="5">
        <v>82.89</v>
      </c>
      <c r="AH6" s="14">
        <f t="shared" si="5"/>
        <v>82.89</v>
      </c>
      <c r="AJ6" s="4" t="s">
        <v>1060</v>
      </c>
      <c r="AK6" s="5">
        <v>38</v>
      </c>
      <c r="AL6" s="5">
        <v>5211.51</v>
      </c>
      <c r="AM6" s="10">
        <f>AL6/AK6</f>
        <v>137.14500000000001</v>
      </c>
      <c r="AO6" t="s">
        <v>921</v>
      </c>
      <c r="AP6" t="s">
        <v>1069</v>
      </c>
      <c r="AQ6" s="5">
        <v>12</v>
      </c>
      <c r="AR6" s="5">
        <v>3227.23</v>
      </c>
    </row>
    <row r="7" spans="1:44" x14ac:dyDescent="0.2">
      <c r="A7" s="3" t="s">
        <v>1066</v>
      </c>
      <c r="B7" s="5">
        <v>133</v>
      </c>
      <c r="C7" s="5">
        <v>16042.999999999998</v>
      </c>
      <c r="D7" s="8">
        <f t="shared" si="1"/>
        <v>120.62406015037593</v>
      </c>
      <c r="F7" s="3" t="s">
        <v>1111</v>
      </c>
      <c r="G7" s="5">
        <v>0</v>
      </c>
      <c r="H7" s="5">
        <v>115.9</v>
      </c>
      <c r="I7" s="10" t="e">
        <f>H7/G7</f>
        <v>#DIV/0!</v>
      </c>
      <c r="K7" t="s">
        <v>905</v>
      </c>
      <c r="L7" s="5">
        <v>20</v>
      </c>
      <c r="M7" s="5">
        <v>1896.53</v>
      </c>
      <c r="N7" s="6">
        <f t="shared" si="2"/>
        <v>94.826499999999996</v>
      </c>
      <c r="P7" s="3" t="s">
        <v>1081</v>
      </c>
      <c r="Q7" s="5">
        <v>4</v>
      </c>
      <c r="R7" s="5">
        <v>1091.8399999999999</v>
      </c>
      <c r="S7" s="14">
        <f t="shared" si="3"/>
        <v>272.95999999999998</v>
      </c>
      <c r="U7" s="3" t="s">
        <v>1111</v>
      </c>
      <c r="V7" s="5">
        <v>7</v>
      </c>
      <c r="W7" s="5">
        <v>1422.93</v>
      </c>
      <c r="X7" s="14">
        <f t="shared" si="0"/>
        <v>203.27571428571429</v>
      </c>
      <c r="Z7" s="3" t="s">
        <v>1085</v>
      </c>
      <c r="AA7" s="5">
        <v>0</v>
      </c>
      <c r="AB7" s="5">
        <v>361.71</v>
      </c>
      <c r="AC7" s="14" t="e">
        <f t="shared" si="4"/>
        <v>#DIV/0!</v>
      </c>
      <c r="AE7" s="4" t="s">
        <v>1060</v>
      </c>
      <c r="AF7" s="5">
        <v>44</v>
      </c>
      <c r="AG7" s="5">
        <v>5797.29</v>
      </c>
      <c r="AH7" s="14">
        <f t="shared" si="5"/>
        <v>131.7565909090909</v>
      </c>
      <c r="AM7" s="10"/>
    </row>
    <row r="8" spans="1:44" x14ac:dyDescent="0.2">
      <c r="A8" s="3" t="s">
        <v>849</v>
      </c>
      <c r="B8" s="5">
        <v>142</v>
      </c>
      <c r="C8" s="5">
        <v>14571.96</v>
      </c>
      <c r="D8" s="6">
        <f t="shared" si="1"/>
        <v>102.6194366197183</v>
      </c>
      <c r="F8" s="3" t="s">
        <v>1112</v>
      </c>
      <c r="G8" s="5">
        <v>95</v>
      </c>
      <c r="H8" s="5">
        <v>19766.599999999999</v>
      </c>
      <c r="I8" s="11">
        <f>H8/G8</f>
        <v>208.06947368421052</v>
      </c>
      <c r="K8" t="s">
        <v>904</v>
      </c>
      <c r="L8" s="5">
        <v>14</v>
      </c>
      <c r="M8" s="5">
        <v>1804.2</v>
      </c>
      <c r="N8" s="6">
        <f t="shared" si="2"/>
        <v>128.87142857142857</v>
      </c>
      <c r="P8" s="3" t="s">
        <v>1101</v>
      </c>
      <c r="Q8" s="5">
        <v>2</v>
      </c>
      <c r="R8" s="5">
        <v>869.07</v>
      </c>
      <c r="S8" s="14">
        <f t="shared" si="3"/>
        <v>434.53500000000003</v>
      </c>
      <c r="U8" s="3" t="s">
        <v>1075</v>
      </c>
      <c r="V8" s="5">
        <v>18</v>
      </c>
      <c r="W8" s="5">
        <v>1376.19</v>
      </c>
      <c r="X8" s="10">
        <f t="shared" si="0"/>
        <v>76.454999999999998</v>
      </c>
      <c r="Z8" s="4" t="s">
        <v>1060</v>
      </c>
      <c r="AA8" s="5">
        <v>32</v>
      </c>
      <c r="AB8" s="5">
        <v>6001.5999999999995</v>
      </c>
      <c r="AC8" s="14">
        <f t="shared" si="4"/>
        <v>187.54999999999998</v>
      </c>
      <c r="AH8" s="14" t="e">
        <f t="shared" si="5"/>
        <v>#DIV/0!</v>
      </c>
      <c r="AM8" s="10"/>
    </row>
    <row r="9" spans="1:44" x14ac:dyDescent="0.2">
      <c r="A9" s="3" t="s">
        <v>1070</v>
      </c>
      <c r="B9" s="5">
        <v>41</v>
      </c>
      <c r="C9" s="5">
        <v>12438.07</v>
      </c>
      <c r="D9" s="9">
        <f t="shared" si="1"/>
        <v>303.36756097560976</v>
      </c>
      <c r="F9" s="4" t="s">
        <v>1060</v>
      </c>
      <c r="G9" s="5">
        <v>254</v>
      </c>
      <c r="H9" s="5">
        <v>33304.19</v>
      </c>
      <c r="I9" s="10"/>
      <c r="K9" t="s">
        <v>908</v>
      </c>
      <c r="L9" s="5">
        <v>13</v>
      </c>
      <c r="M9" s="5">
        <v>1681.39</v>
      </c>
      <c r="N9" s="6">
        <f t="shared" si="2"/>
        <v>129.33769230769232</v>
      </c>
      <c r="P9" s="3" t="s">
        <v>1078</v>
      </c>
      <c r="Q9" s="5">
        <v>2</v>
      </c>
      <c r="R9" s="5">
        <v>868.85</v>
      </c>
      <c r="S9" s="14">
        <f t="shared" si="3"/>
        <v>434.42500000000001</v>
      </c>
      <c r="U9" s="3" t="s">
        <v>1101</v>
      </c>
      <c r="V9" s="5">
        <v>3</v>
      </c>
      <c r="W9" s="5">
        <v>869.04</v>
      </c>
      <c r="X9" s="14">
        <f t="shared" si="0"/>
        <v>289.68</v>
      </c>
      <c r="AC9" s="10"/>
      <c r="AH9" s="10"/>
      <c r="AM9" s="10"/>
    </row>
    <row r="10" spans="1:44" x14ac:dyDescent="0.2">
      <c r="A10" s="3" t="s">
        <v>760</v>
      </c>
      <c r="B10" s="5">
        <v>70</v>
      </c>
      <c r="C10" s="5">
        <v>10142.540000000001</v>
      </c>
      <c r="D10" s="6">
        <f t="shared" si="1"/>
        <v>144.89342857142859</v>
      </c>
      <c r="I10" s="10"/>
      <c r="K10" t="s">
        <v>903</v>
      </c>
      <c r="L10" s="5">
        <v>13</v>
      </c>
      <c r="M10" s="5">
        <v>1068.28</v>
      </c>
      <c r="N10" s="6">
        <f t="shared" si="2"/>
        <v>82.175384615384615</v>
      </c>
      <c r="P10" s="3" t="s">
        <v>1086</v>
      </c>
      <c r="Q10" s="5">
        <v>9</v>
      </c>
      <c r="R10" s="5">
        <v>856.24</v>
      </c>
      <c r="S10" s="10">
        <f t="shared" si="3"/>
        <v>95.137777777777785</v>
      </c>
      <c r="U10" s="3" t="s">
        <v>1098</v>
      </c>
      <c r="V10" s="5">
        <v>3</v>
      </c>
      <c r="W10" s="5">
        <v>63.64</v>
      </c>
      <c r="X10" s="10">
        <f t="shared" si="0"/>
        <v>21.213333333333335</v>
      </c>
      <c r="AC10" s="10"/>
      <c r="AH10" s="10"/>
      <c r="AM10" s="10"/>
    </row>
    <row r="11" spans="1:44" x14ac:dyDescent="0.2">
      <c r="A11" s="3" t="s">
        <v>1069</v>
      </c>
      <c r="B11" s="5">
        <v>17</v>
      </c>
      <c r="C11" s="5">
        <v>6569.88</v>
      </c>
      <c r="D11" s="9">
        <f t="shared" si="1"/>
        <v>386.46352941176474</v>
      </c>
      <c r="F11" s="2" t="s">
        <v>28</v>
      </c>
      <c r="G11" t="s">
        <v>1068</v>
      </c>
      <c r="I11" s="10"/>
      <c r="K11" t="s">
        <v>655</v>
      </c>
      <c r="L11" s="5">
        <v>15</v>
      </c>
      <c r="M11" s="5">
        <v>909.68</v>
      </c>
      <c r="N11" s="6">
        <f t="shared" si="2"/>
        <v>60.645333333333333</v>
      </c>
      <c r="P11" s="3" t="s">
        <v>1097</v>
      </c>
      <c r="Q11" s="5">
        <v>7</v>
      </c>
      <c r="R11" s="5">
        <v>727.52</v>
      </c>
      <c r="S11" s="14">
        <f t="shared" si="3"/>
        <v>103.93142857142857</v>
      </c>
      <c r="U11" s="4" t="s">
        <v>1060</v>
      </c>
      <c r="V11" s="5">
        <v>214</v>
      </c>
      <c r="W11" s="5">
        <v>22926.6</v>
      </c>
      <c r="X11" s="10">
        <f t="shared" si="0"/>
        <v>107.13364485981307</v>
      </c>
      <c r="AC11" s="10"/>
      <c r="AH11" s="10"/>
      <c r="AM11" s="10"/>
    </row>
    <row r="12" spans="1:44" x14ac:dyDescent="0.2">
      <c r="A12" s="3" t="s">
        <v>1065</v>
      </c>
      <c r="B12" s="5">
        <v>32</v>
      </c>
      <c r="C12" s="5">
        <v>6001.6</v>
      </c>
      <c r="D12" s="8">
        <f t="shared" si="1"/>
        <v>187.55</v>
      </c>
      <c r="F12" s="2" t="s">
        <v>1072</v>
      </c>
      <c r="G12" t="s">
        <v>1112</v>
      </c>
      <c r="I12" s="10"/>
      <c r="K12" t="s">
        <v>647</v>
      </c>
      <c r="L12" s="5">
        <v>10</v>
      </c>
      <c r="M12" s="5">
        <v>835.61</v>
      </c>
      <c r="N12" s="6">
        <f t="shared" si="2"/>
        <v>83.561000000000007</v>
      </c>
      <c r="P12" s="3" t="s">
        <v>1095</v>
      </c>
      <c r="Q12" s="5">
        <v>2</v>
      </c>
      <c r="R12" s="5">
        <v>667.48</v>
      </c>
      <c r="S12" s="14">
        <f t="shared" si="3"/>
        <v>333.74</v>
      </c>
      <c r="X12" s="10"/>
      <c r="AC12" s="10"/>
      <c r="AH12" s="10"/>
      <c r="AM12" s="10"/>
    </row>
    <row r="13" spans="1:44" x14ac:dyDescent="0.2">
      <c r="A13" s="3" t="s">
        <v>946</v>
      </c>
      <c r="B13" s="5">
        <v>44</v>
      </c>
      <c r="C13" s="5">
        <v>5797.2900000000009</v>
      </c>
      <c r="D13" s="6">
        <f t="shared" si="1"/>
        <v>131.75659090909093</v>
      </c>
      <c r="I13" s="10"/>
      <c r="K13" t="s">
        <v>648</v>
      </c>
      <c r="L13" s="5">
        <v>8</v>
      </c>
      <c r="M13" s="5">
        <v>778.91</v>
      </c>
      <c r="N13" s="6">
        <f t="shared" si="2"/>
        <v>97.363749999999996</v>
      </c>
      <c r="P13" s="3" t="s">
        <v>1110</v>
      </c>
      <c r="Q13" s="5">
        <v>14</v>
      </c>
      <c r="R13" s="5">
        <v>659.8</v>
      </c>
      <c r="S13" s="10">
        <f t="shared" si="3"/>
        <v>47.128571428571426</v>
      </c>
      <c r="X13" s="10"/>
      <c r="AC13" s="10"/>
      <c r="AH13" s="10"/>
      <c r="AM13" s="10"/>
    </row>
    <row r="14" spans="1:44" x14ac:dyDescent="0.2">
      <c r="A14" s="3" t="s">
        <v>789</v>
      </c>
      <c r="B14" s="5">
        <v>38</v>
      </c>
      <c r="C14" s="5">
        <v>5211.51</v>
      </c>
      <c r="D14" s="6">
        <f t="shared" si="1"/>
        <v>137.14500000000001</v>
      </c>
      <c r="F14" s="2" t="s">
        <v>2</v>
      </c>
      <c r="G14" t="s">
        <v>1062</v>
      </c>
      <c r="H14" t="s">
        <v>1061</v>
      </c>
      <c r="I14" s="10"/>
      <c r="J14" s="6"/>
      <c r="K14" t="s">
        <v>644</v>
      </c>
      <c r="L14" s="5">
        <v>7</v>
      </c>
      <c r="M14" s="5">
        <v>625.13</v>
      </c>
      <c r="N14" s="6">
        <f t="shared" si="2"/>
        <v>89.304285714285712</v>
      </c>
      <c r="P14" s="3" t="s">
        <v>1075</v>
      </c>
      <c r="Q14" s="5">
        <v>20</v>
      </c>
      <c r="R14" s="5">
        <v>632.61</v>
      </c>
      <c r="S14" s="10">
        <f t="shared" si="3"/>
        <v>31.630500000000001</v>
      </c>
      <c r="X14" s="10"/>
      <c r="AC14" s="10"/>
      <c r="AH14" s="10"/>
      <c r="AM14" s="10"/>
    </row>
    <row r="15" spans="1:44" x14ac:dyDescent="0.2">
      <c r="A15" s="3" t="s">
        <v>60</v>
      </c>
      <c r="B15" s="5">
        <v>52</v>
      </c>
      <c r="C15" s="5">
        <v>4442.2100000000019</v>
      </c>
      <c r="D15" s="6">
        <f t="shared" si="1"/>
        <v>85.427115384615419</v>
      </c>
      <c r="F15" t="s">
        <v>931</v>
      </c>
      <c r="G15" s="5">
        <v>26</v>
      </c>
      <c r="H15" s="5">
        <v>5794.67</v>
      </c>
      <c r="I15" s="12">
        <f>H15/G15</f>
        <v>222.87192307692308</v>
      </c>
      <c r="J15" s="6"/>
      <c r="K15" t="s">
        <v>656</v>
      </c>
      <c r="L15" s="5">
        <v>8</v>
      </c>
      <c r="M15" s="5">
        <v>483.06</v>
      </c>
      <c r="N15" s="6">
        <f t="shared" si="2"/>
        <v>60.3825</v>
      </c>
      <c r="P15" s="3" t="s">
        <v>1103</v>
      </c>
      <c r="Q15" s="5">
        <v>21</v>
      </c>
      <c r="R15" s="5">
        <v>627.21</v>
      </c>
      <c r="S15" s="14">
        <f t="shared" si="3"/>
        <v>29.867142857142859</v>
      </c>
      <c r="X15" s="10"/>
      <c r="AC15" s="10"/>
      <c r="AH15" s="10"/>
      <c r="AM15" s="10"/>
    </row>
    <row r="16" spans="1:44" x14ac:dyDescent="0.2">
      <c r="A16" s="3" t="s">
        <v>38</v>
      </c>
      <c r="B16" s="5">
        <v>27</v>
      </c>
      <c r="C16" s="5">
        <v>1744.47</v>
      </c>
      <c r="D16" s="6">
        <f t="shared" si="1"/>
        <v>64.61</v>
      </c>
      <c r="F16" t="s">
        <v>932</v>
      </c>
      <c r="G16" s="5">
        <v>7</v>
      </c>
      <c r="H16" s="5">
        <v>1983.37</v>
      </c>
      <c r="I16" s="13">
        <f t="shared" ref="I16:I33" si="6">H16/G16</f>
        <v>283.33857142857141</v>
      </c>
      <c r="J16" s="6"/>
      <c r="K16" t="s">
        <v>662</v>
      </c>
      <c r="L16" s="5">
        <v>5</v>
      </c>
      <c r="M16" s="5">
        <v>456.61</v>
      </c>
      <c r="N16" s="6">
        <f t="shared" si="2"/>
        <v>91.322000000000003</v>
      </c>
      <c r="P16" s="3" t="s">
        <v>1100</v>
      </c>
      <c r="Q16" s="5">
        <v>1</v>
      </c>
      <c r="R16" s="5">
        <v>556.22</v>
      </c>
      <c r="S16" s="10">
        <f t="shared" si="3"/>
        <v>556.22</v>
      </c>
      <c r="X16" s="10"/>
      <c r="AC16" s="10"/>
      <c r="AH16" s="10"/>
      <c r="AM16" s="10"/>
    </row>
    <row r="17" spans="1:39" x14ac:dyDescent="0.2">
      <c r="A17" s="3" t="s">
        <v>687</v>
      </c>
      <c r="B17" s="5">
        <v>18</v>
      </c>
      <c r="C17" s="5">
        <v>1450.9100000000003</v>
      </c>
      <c r="D17" s="6">
        <f t="shared" si="1"/>
        <v>80.606111111111133</v>
      </c>
      <c r="F17" t="s">
        <v>926</v>
      </c>
      <c r="G17" s="5">
        <v>9</v>
      </c>
      <c r="H17" s="5">
        <v>1906.98</v>
      </c>
      <c r="I17" s="13">
        <f t="shared" si="6"/>
        <v>211.88666666666666</v>
      </c>
      <c r="J17" s="6"/>
      <c r="K17" t="s">
        <v>673</v>
      </c>
      <c r="L17" s="5">
        <v>6</v>
      </c>
      <c r="M17" s="5">
        <v>440.88</v>
      </c>
      <c r="N17" s="6">
        <f t="shared" si="2"/>
        <v>73.48</v>
      </c>
      <c r="P17" s="3" t="s">
        <v>1105</v>
      </c>
      <c r="Q17" s="5">
        <v>1</v>
      </c>
      <c r="R17" s="5">
        <v>443.59</v>
      </c>
      <c r="S17" s="10">
        <f t="shared" si="3"/>
        <v>443.59</v>
      </c>
      <c r="X17" s="10"/>
      <c r="AC17" s="10"/>
      <c r="AH17" s="10"/>
      <c r="AM17" s="10"/>
    </row>
    <row r="18" spans="1:39" x14ac:dyDescent="0.2">
      <c r="A18" s="3" t="s">
        <v>884</v>
      </c>
      <c r="B18" s="5">
        <v>6</v>
      </c>
      <c r="C18" s="5">
        <v>246.78</v>
      </c>
      <c r="D18" s="6">
        <f t="shared" si="1"/>
        <v>41.13</v>
      </c>
      <c r="F18" t="s">
        <v>899</v>
      </c>
      <c r="G18" s="5">
        <v>6</v>
      </c>
      <c r="H18" s="5">
        <v>1629.76</v>
      </c>
      <c r="I18" s="13">
        <f t="shared" si="6"/>
        <v>271.62666666666667</v>
      </c>
      <c r="J18" s="6"/>
      <c r="K18" t="s">
        <v>661</v>
      </c>
      <c r="L18" s="5">
        <v>1</v>
      </c>
      <c r="M18" s="5">
        <v>339.59</v>
      </c>
      <c r="N18" s="6">
        <f t="shared" si="2"/>
        <v>339.59</v>
      </c>
      <c r="P18" s="3" t="s">
        <v>1094</v>
      </c>
      <c r="Q18" s="5">
        <v>0</v>
      </c>
      <c r="R18" s="5">
        <v>365.8</v>
      </c>
      <c r="S18" s="10" t="e">
        <f t="shared" si="3"/>
        <v>#DIV/0!</v>
      </c>
      <c r="X18" s="10"/>
      <c r="AC18" s="10"/>
      <c r="AH18" s="10"/>
      <c r="AM18" s="10"/>
    </row>
    <row r="19" spans="1:39" x14ac:dyDescent="0.2">
      <c r="A19" s="3" t="s">
        <v>96</v>
      </c>
      <c r="B19" s="5">
        <v>2</v>
      </c>
      <c r="C19" s="5">
        <v>46.87</v>
      </c>
      <c r="D19" s="6">
        <f t="shared" si="1"/>
        <v>23.434999999999999</v>
      </c>
      <c r="F19" t="s">
        <v>927</v>
      </c>
      <c r="G19" s="5">
        <v>16</v>
      </c>
      <c r="H19" s="5">
        <v>1591.8</v>
      </c>
      <c r="I19" s="13">
        <f t="shared" si="6"/>
        <v>99.487499999999997</v>
      </c>
      <c r="J19" s="6"/>
      <c r="K19" t="s">
        <v>643</v>
      </c>
      <c r="L19" s="5">
        <v>6</v>
      </c>
      <c r="M19" s="5">
        <v>288.16000000000003</v>
      </c>
      <c r="N19" s="6">
        <f t="shared" si="2"/>
        <v>48.026666666666671</v>
      </c>
      <c r="P19" s="3" t="s">
        <v>1085</v>
      </c>
      <c r="Q19" s="5">
        <v>1</v>
      </c>
      <c r="R19" s="5">
        <v>361.6</v>
      </c>
      <c r="S19" s="10">
        <f t="shared" si="3"/>
        <v>361.6</v>
      </c>
      <c r="X19" s="10"/>
      <c r="AC19" s="10"/>
      <c r="AH19" s="10"/>
      <c r="AM19" s="10"/>
    </row>
    <row r="20" spans="1:39" x14ac:dyDescent="0.2">
      <c r="A20" s="3" t="s">
        <v>172</v>
      </c>
      <c r="B20" s="5">
        <v>0</v>
      </c>
      <c r="C20" s="5">
        <v>43.31</v>
      </c>
      <c r="D20" s="6" t="e">
        <f t="shared" si="1"/>
        <v>#DIV/0!</v>
      </c>
      <c r="F20" t="s">
        <v>934</v>
      </c>
      <c r="G20" s="5">
        <v>0</v>
      </c>
      <c r="H20" s="5">
        <v>1129.73</v>
      </c>
      <c r="I20" s="13" t="e">
        <f t="shared" si="6"/>
        <v>#DIV/0!</v>
      </c>
      <c r="J20" s="6"/>
      <c r="K20" t="s">
        <v>652</v>
      </c>
      <c r="L20" s="5">
        <v>2</v>
      </c>
      <c r="M20" s="5">
        <v>165.41</v>
      </c>
      <c r="N20" s="6">
        <f t="shared" si="2"/>
        <v>82.704999999999998</v>
      </c>
      <c r="P20" s="3" t="s">
        <v>1084</v>
      </c>
      <c r="Q20" s="5">
        <v>1</v>
      </c>
      <c r="R20" s="5">
        <v>347.3</v>
      </c>
      <c r="S20" s="10">
        <f t="shared" si="3"/>
        <v>347.3</v>
      </c>
      <c r="X20" s="10"/>
      <c r="AC20" s="10"/>
      <c r="AH20" s="10"/>
      <c r="AM20" s="10"/>
    </row>
    <row r="21" spans="1:39" x14ac:dyDescent="0.2">
      <c r="A21" s="3" t="s">
        <v>954</v>
      </c>
      <c r="B21" s="5">
        <v>0</v>
      </c>
      <c r="C21" s="5">
        <v>0.02</v>
      </c>
      <c r="D21" s="6" t="e">
        <f t="shared" si="1"/>
        <v>#DIV/0!</v>
      </c>
      <c r="F21" t="s">
        <v>901</v>
      </c>
      <c r="G21" s="5">
        <v>4</v>
      </c>
      <c r="H21" s="5">
        <v>896.52</v>
      </c>
      <c r="I21" s="13">
        <f t="shared" si="6"/>
        <v>224.13</v>
      </c>
      <c r="J21" s="6"/>
      <c r="K21" t="s">
        <v>915</v>
      </c>
      <c r="L21" s="5">
        <v>5</v>
      </c>
      <c r="M21" s="5">
        <v>130.09</v>
      </c>
      <c r="N21" s="6">
        <f t="shared" si="2"/>
        <v>26.018000000000001</v>
      </c>
      <c r="P21" s="3" t="s">
        <v>1113</v>
      </c>
      <c r="Q21" s="5">
        <v>4</v>
      </c>
      <c r="R21" s="5">
        <v>317.92</v>
      </c>
      <c r="S21" s="10">
        <f t="shared" si="3"/>
        <v>79.48</v>
      </c>
      <c r="X21" s="10"/>
      <c r="AC21" s="10"/>
      <c r="AH21" s="10"/>
      <c r="AM21" s="10"/>
    </row>
    <row r="22" spans="1:39" x14ac:dyDescent="0.2">
      <c r="A22" s="3" t="s">
        <v>119</v>
      </c>
      <c r="B22" s="5">
        <v>0</v>
      </c>
      <c r="C22" s="5">
        <v>0</v>
      </c>
      <c r="D22" s="6" t="e">
        <f t="shared" si="1"/>
        <v>#DIV/0!</v>
      </c>
      <c r="F22" t="s">
        <v>902</v>
      </c>
      <c r="G22" s="5">
        <v>7</v>
      </c>
      <c r="H22" s="5">
        <v>869.13</v>
      </c>
      <c r="I22" s="13">
        <f t="shared" si="6"/>
        <v>124.16142857142857</v>
      </c>
      <c r="J22" s="6"/>
      <c r="K22" t="s">
        <v>916</v>
      </c>
      <c r="L22" s="5">
        <v>1</v>
      </c>
      <c r="M22" s="5">
        <v>122.16</v>
      </c>
      <c r="N22" s="6">
        <f t="shared" si="2"/>
        <v>122.16</v>
      </c>
      <c r="P22" s="3" t="s">
        <v>1087</v>
      </c>
      <c r="Q22" s="5">
        <v>3</v>
      </c>
      <c r="R22" s="5">
        <v>300.10000000000002</v>
      </c>
      <c r="S22" s="10">
        <f t="shared" si="3"/>
        <v>100.03333333333335</v>
      </c>
      <c r="X22" s="10"/>
      <c r="AC22" s="10"/>
      <c r="AH22" s="10"/>
      <c r="AM22" s="10"/>
    </row>
    <row r="23" spans="1:39" x14ac:dyDescent="0.2">
      <c r="A23" s="3" t="s">
        <v>303</v>
      </c>
      <c r="B23" s="5">
        <v>0</v>
      </c>
      <c r="C23" s="5">
        <v>0</v>
      </c>
      <c r="D23" s="6" t="e">
        <f t="shared" si="1"/>
        <v>#DIV/0!</v>
      </c>
      <c r="F23" t="s">
        <v>898</v>
      </c>
      <c r="G23" s="5">
        <v>2</v>
      </c>
      <c r="H23" s="5">
        <v>764.22</v>
      </c>
      <c r="I23" s="13">
        <f t="shared" si="6"/>
        <v>382.11</v>
      </c>
      <c r="J23" s="6"/>
      <c r="K23" t="s">
        <v>660</v>
      </c>
      <c r="L23" s="5">
        <v>2</v>
      </c>
      <c r="M23" s="5">
        <v>113.27</v>
      </c>
      <c r="N23" s="6">
        <f t="shared" si="2"/>
        <v>56.634999999999998</v>
      </c>
      <c r="P23" s="3" t="s">
        <v>1092</v>
      </c>
      <c r="Q23" s="5">
        <v>3</v>
      </c>
      <c r="R23" s="5">
        <v>244.16</v>
      </c>
      <c r="S23" s="10">
        <f t="shared" si="3"/>
        <v>81.38666666666667</v>
      </c>
      <c r="X23" s="10"/>
      <c r="AC23" s="10"/>
      <c r="AH23" s="10"/>
      <c r="AM23" s="10"/>
    </row>
    <row r="24" spans="1:39" x14ac:dyDescent="0.2">
      <c r="A24" s="3" t="s">
        <v>783</v>
      </c>
      <c r="B24" s="5"/>
      <c r="C24" s="5">
        <v>0</v>
      </c>
      <c r="D24" s="6" t="e">
        <f t="shared" si="1"/>
        <v>#DIV/0!</v>
      </c>
      <c r="F24" t="s">
        <v>935</v>
      </c>
      <c r="G24" s="5">
        <v>9</v>
      </c>
      <c r="H24" s="5">
        <v>693.57</v>
      </c>
      <c r="I24" s="13">
        <f t="shared" si="6"/>
        <v>77.063333333333333</v>
      </c>
      <c r="J24" s="6"/>
      <c r="K24" t="s">
        <v>659</v>
      </c>
      <c r="L24" s="5">
        <v>3</v>
      </c>
      <c r="M24" s="5">
        <v>106.32</v>
      </c>
      <c r="N24" s="6">
        <f t="shared" si="2"/>
        <v>35.44</v>
      </c>
      <c r="P24" s="4" t="s">
        <v>1060</v>
      </c>
      <c r="Q24" s="5">
        <v>133</v>
      </c>
      <c r="R24" s="5">
        <v>16042.999999999998</v>
      </c>
      <c r="S24" s="10">
        <f t="shared" si="3"/>
        <v>120.62406015037593</v>
      </c>
      <c r="X24" s="10"/>
      <c r="AC24" s="10"/>
      <c r="AH24" s="10"/>
      <c r="AM24" s="10"/>
    </row>
    <row r="25" spans="1:39" x14ac:dyDescent="0.2">
      <c r="A25" s="3" t="s">
        <v>484</v>
      </c>
      <c r="B25" s="5"/>
      <c r="C25" s="5">
        <v>0</v>
      </c>
      <c r="D25" s="6" t="e">
        <f t="shared" si="1"/>
        <v>#DIV/0!</v>
      </c>
      <c r="F25" t="s">
        <v>929</v>
      </c>
      <c r="G25" s="5">
        <v>2</v>
      </c>
      <c r="H25" s="5">
        <v>485.6</v>
      </c>
      <c r="I25" s="13">
        <f t="shared" si="6"/>
        <v>242.8</v>
      </c>
      <c r="J25" s="6"/>
      <c r="K25" t="s">
        <v>917</v>
      </c>
      <c r="L25" s="5">
        <v>2</v>
      </c>
      <c r="M25" s="5">
        <v>102.12</v>
      </c>
      <c r="N25" s="6">
        <f t="shared" si="2"/>
        <v>51.06</v>
      </c>
      <c r="S25" s="10"/>
      <c r="X25" s="10"/>
      <c r="AC25" s="10"/>
      <c r="AH25" s="10"/>
      <c r="AM25" s="10"/>
    </row>
    <row r="26" spans="1:39" x14ac:dyDescent="0.2">
      <c r="A26" s="3" t="s">
        <v>888</v>
      </c>
      <c r="B26" s="5"/>
      <c r="C26" s="5">
        <v>0</v>
      </c>
      <c r="D26" s="6" t="e">
        <f t="shared" si="1"/>
        <v>#DIV/0!</v>
      </c>
      <c r="F26" t="s">
        <v>928</v>
      </c>
      <c r="G26" s="5">
        <v>2</v>
      </c>
      <c r="H26" s="5">
        <v>478.45</v>
      </c>
      <c r="I26" s="13">
        <f t="shared" si="6"/>
        <v>239.22499999999999</v>
      </c>
      <c r="J26" s="6"/>
      <c r="K26" t="s">
        <v>845</v>
      </c>
      <c r="L26" s="5">
        <v>1</v>
      </c>
      <c r="M26" s="5">
        <v>99.37</v>
      </c>
      <c r="N26" s="6">
        <f t="shared" si="2"/>
        <v>99.37</v>
      </c>
      <c r="P26" s="3" t="s">
        <v>1114</v>
      </c>
      <c r="S26" s="10"/>
      <c r="U26" s="3"/>
      <c r="X26" s="10"/>
      <c r="Z26" s="3" t="s">
        <v>1114</v>
      </c>
      <c r="AC26" s="10"/>
      <c r="AE26" s="3" t="s">
        <v>1114</v>
      </c>
      <c r="AH26" s="10"/>
      <c r="AJ26" s="3"/>
      <c r="AM26" s="10"/>
    </row>
    <row r="27" spans="1:39" x14ac:dyDescent="0.2">
      <c r="A27" s="3" t="s">
        <v>43</v>
      </c>
      <c r="B27" s="5">
        <v>0</v>
      </c>
      <c r="C27" s="5">
        <v>0</v>
      </c>
      <c r="D27" s="6" t="e">
        <f t="shared" si="1"/>
        <v>#DIV/0!</v>
      </c>
      <c r="F27" t="s">
        <v>925</v>
      </c>
      <c r="G27" s="5">
        <v>2</v>
      </c>
      <c r="H27" s="5">
        <v>466.44</v>
      </c>
      <c r="I27" s="13">
        <f t="shared" si="6"/>
        <v>233.22</v>
      </c>
      <c r="J27" s="6"/>
      <c r="K27" t="s">
        <v>846</v>
      </c>
      <c r="L27" s="5">
        <v>0</v>
      </c>
      <c r="M27" s="5">
        <v>90.44</v>
      </c>
      <c r="N27" s="6" t="e">
        <f t="shared" si="2"/>
        <v>#DIV/0!</v>
      </c>
      <c r="S27" s="10"/>
      <c r="X27" s="10"/>
      <c r="AC27" s="10"/>
      <c r="AH27" s="10"/>
      <c r="AM27" s="10"/>
    </row>
    <row r="28" spans="1:39" x14ac:dyDescent="0.2">
      <c r="A28" s="3" t="s">
        <v>401</v>
      </c>
      <c r="B28" s="5"/>
      <c r="C28" s="5">
        <v>0</v>
      </c>
      <c r="D28" s="6" t="e">
        <f t="shared" si="1"/>
        <v>#DIV/0!</v>
      </c>
      <c r="F28" t="s">
        <v>939</v>
      </c>
      <c r="G28" s="5">
        <v>1</v>
      </c>
      <c r="H28" s="5">
        <v>370.85</v>
      </c>
      <c r="I28" s="13">
        <f t="shared" si="6"/>
        <v>370.85</v>
      </c>
      <c r="J28" s="6"/>
      <c r="K28" t="s">
        <v>663</v>
      </c>
      <c r="L28" s="5">
        <v>0</v>
      </c>
      <c r="M28" s="5">
        <v>83.24</v>
      </c>
      <c r="N28" s="6" t="e">
        <f t="shared" si="2"/>
        <v>#DIV/0!</v>
      </c>
      <c r="P28" s="2" t="s">
        <v>28</v>
      </c>
      <c r="Q28" t="s">
        <v>1066</v>
      </c>
      <c r="S28" s="10"/>
      <c r="X28" s="10"/>
      <c r="AC28" s="10"/>
      <c r="AH28" s="10"/>
      <c r="AM28" s="10"/>
    </row>
    <row r="29" spans="1:39" x14ac:dyDescent="0.2">
      <c r="A29" s="3" t="s">
        <v>348</v>
      </c>
      <c r="B29" s="5"/>
      <c r="C29" s="5">
        <v>0</v>
      </c>
      <c r="D29" s="6" t="e">
        <f t="shared" si="1"/>
        <v>#DIV/0!</v>
      </c>
      <c r="F29" t="s">
        <v>936</v>
      </c>
      <c r="G29" s="5">
        <v>0</v>
      </c>
      <c r="H29" s="5">
        <v>230.7</v>
      </c>
      <c r="I29" s="13" t="e">
        <f t="shared" si="6"/>
        <v>#DIV/0!</v>
      </c>
      <c r="J29" s="6"/>
      <c r="K29" t="s">
        <v>642</v>
      </c>
      <c r="L29" s="5">
        <v>4</v>
      </c>
      <c r="M29" s="5">
        <v>77.319999999999993</v>
      </c>
      <c r="N29" s="6">
        <f t="shared" si="2"/>
        <v>19.329999999999998</v>
      </c>
    </row>
    <row r="30" spans="1:39" x14ac:dyDescent="0.2">
      <c r="A30" s="3" t="s">
        <v>158</v>
      </c>
      <c r="B30" s="5">
        <v>0</v>
      </c>
      <c r="C30" s="5">
        <v>0</v>
      </c>
      <c r="D30" s="6" t="e">
        <f t="shared" si="1"/>
        <v>#DIV/0!</v>
      </c>
      <c r="F30" t="s">
        <v>938</v>
      </c>
      <c r="G30" s="5">
        <v>1</v>
      </c>
      <c r="H30" s="5">
        <v>186.98</v>
      </c>
      <c r="I30" s="13">
        <f t="shared" si="6"/>
        <v>186.98</v>
      </c>
      <c r="J30" s="6"/>
      <c r="K30" t="s">
        <v>847</v>
      </c>
      <c r="L30" s="5">
        <v>2</v>
      </c>
      <c r="M30" s="5">
        <v>70.95</v>
      </c>
      <c r="N30" s="6">
        <f t="shared" si="2"/>
        <v>35.475000000000001</v>
      </c>
      <c r="P30" s="2" t="s">
        <v>1059</v>
      </c>
      <c r="Q30" t="s">
        <v>1062</v>
      </c>
      <c r="R30" t="s">
        <v>1061</v>
      </c>
    </row>
    <row r="31" spans="1:39" x14ac:dyDescent="0.2">
      <c r="A31" s="3" t="s">
        <v>823</v>
      </c>
      <c r="B31" s="5">
        <v>0</v>
      </c>
      <c r="C31" s="5">
        <v>0</v>
      </c>
      <c r="D31" s="6" t="e">
        <f t="shared" si="1"/>
        <v>#DIV/0!</v>
      </c>
      <c r="F31" t="s">
        <v>923</v>
      </c>
      <c r="G31" s="5">
        <v>0</v>
      </c>
      <c r="H31" s="5">
        <v>181.27</v>
      </c>
      <c r="I31" s="13" t="e">
        <f t="shared" si="6"/>
        <v>#DIV/0!</v>
      </c>
      <c r="J31" s="6"/>
      <c r="K31" t="s">
        <v>676</v>
      </c>
      <c r="L31" s="5">
        <v>0</v>
      </c>
      <c r="M31" s="5">
        <v>62.39</v>
      </c>
      <c r="N31" s="6" t="e">
        <f t="shared" si="2"/>
        <v>#DIV/0!</v>
      </c>
      <c r="P31" s="3" t="s">
        <v>968</v>
      </c>
      <c r="Q31" s="5">
        <v>4</v>
      </c>
      <c r="R31" s="5">
        <v>1780.44</v>
      </c>
    </row>
    <row r="32" spans="1:39" x14ac:dyDescent="0.2">
      <c r="A32" s="3" t="s">
        <v>791</v>
      </c>
      <c r="B32" s="5">
        <v>0</v>
      </c>
      <c r="C32" s="5">
        <v>0</v>
      </c>
      <c r="D32" s="6" t="e">
        <f t="shared" si="1"/>
        <v>#DIV/0!</v>
      </c>
      <c r="F32" t="s">
        <v>922</v>
      </c>
      <c r="G32" s="5">
        <v>1</v>
      </c>
      <c r="H32" s="5">
        <v>86.65</v>
      </c>
      <c r="I32" s="13">
        <f t="shared" si="6"/>
        <v>86.65</v>
      </c>
      <c r="J32" s="6"/>
      <c r="K32" t="s">
        <v>674</v>
      </c>
      <c r="L32" s="5">
        <v>3</v>
      </c>
      <c r="M32" s="5">
        <v>60.42</v>
      </c>
      <c r="N32" s="6">
        <f t="shared" si="2"/>
        <v>20.14</v>
      </c>
      <c r="P32" s="7" t="s">
        <v>1096</v>
      </c>
      <c r="Q32" s="5">
        <v>4</v>
      </c>
      <c r="R32" s="5">
        <v>1780.44</v>
      </c>
    </row>
    <row r="33" spans="1:18" x14ac:dyDescent="0.2">
      <c r="A33" s="3" t="s">
        <v>807</v>
      </c>
      <c r="B33" s="5"/>
      <c r="C33" s="5">
        <v>0</v>
      </c>
      <c r="D33" s="6" t="e">
        <f t="shared" si="1"/>
        <v>#DIV/0!</v>
      </c>
      <c r="F33" t="s">
        <v>924</v>
      </c>
      <c r="G33" s="5">
        <v>0</v>
      </c>
      <c r="H33" s="5">
        <v>19.91</v>
      </c>
      <c r="I33" s="13" t="e">
        <f t="shared" si="6"/>
        <v>#DIV/0!</v>
      </c>
      <c r="K33" t="s">
        <v>658</v>
      </c>
      <c r="L33" s="5">
        <v>0</v>
      </c>
      <c r="M33" s="5">
        <v>49.67</v>
      </c>
      <c r="N33" s="6" t="e">
        <f t="shared" si="2"/>
        <v>#DIV/0!</v>
      </c>
      <c r="P33" s="4" t="s">
        <v>1060</v>
      </c>
      <c r="Q33" s="5">
        <v>4</v>
      </c>
      <c r="R33" s="5">
        <v>1780.44</v>
      </c>
    </row>
    <row r="34" spans="1:18" x14ac:dyDescent="0.2">
      <c r="A34" s="3" t="s">
        <v>606</v>
      </c>
      <c r="B34" s="5"/>
      <c r="C34" s="5">
        <v>0</v>
      </c>
      <c r="D34" s="6" t="e">
        <f t="shared" si="1"/>
        <v>#DIV/0!</v>
      </c>
      <c r="K34" t="s">
        <v>667</v>
      </c>
      <c r="L34" s="5">
        <v>1</v>
      </c>
      <c r="M34" s="5">
        <v>42.06</v>
      </c>
      <c r="N34" s="6">
        <f t="shared" si="2"/>
        <v>42.06</v>
      </c>
    </row>
    <row r="35" spans="1:18" x14ac:dyDescent="0.2">
      <c r="A35" s="4" t="s">
        <v>1060</v>
      </c>
      <c r="B35" s="5">
        <v>1309</v>
      </c>
      <c r="C35" s="5">
        <v>161471.12000000002</v>
      </c>
      <c r="K35" t="s">
        <v>668</v>
      </c>
      <c r="L35" s="5">
        <v>2</v>
      </c>
      <c r="M35" s="5">
        <v>37.96</v>
      </c>
      <c r="N35" s="6">
        <f t="shared" si="2"/>
        <v>18.98</v>
      </c>
    </row>
    <row r="36" spans="1:18" x14ac:dyDescent="0.2">
      <c r="K36" t="s">
        <v>665</v>
      </c>
      <c r="L36" s="5">
        <v>0</v>
      </c>
      <c r="M36" s="5">
        <v>31.77</v>
      </c>
      <c r="N36" s="6" t="e">
        <f t="shared" si="2"/>
        <v>#DIV/0!</v>
      </c>
    </row>
    <row r="37" spans="1:18" x14ac:dyDescent="0.2">
      <c r="K37" t="s">
        <v>678</v>
      </c>
      <c r="L37" s="5">
        <v>0</v>
      </c>
      <c r="M37" s="5">
        <v>31.6</v>
      </c>
      <c r="N37" s="6" t="e">
        <f t="shared" si="2"/>
        <v>#DIV/0!</v>
      </c>
    </row>
    <row r="38" spans="1:18" x14ac:dyDescent="0.2">
      <c r="K38" t="s">
        <v>620</v>
      </c>
      <c r="L38" s="5">
        <v>2</v>
      </c>
      <c r="M38" s="5">
        <v>30.39</v>
      </c>
      <c r="N38" s="6">
        <f t="shared" si="2"/>
        <v>15.195</v>
      </c>
    </row>
    <row r="39" spans="1:18" x14ac:dyDescent="0.2">
      <c r="K39" t="s">
        <v>679</v>
      </c>
      <c r="L39" s="5">
        <v>0</v>
      </c>
      <c r="M39" s="5">
        <v>26.59</v>
      </c>
      <c r="N39" s="6" t="e">
        <f t="shared" si="2"/>
        <v>#DIV/0!</v>
      </c>
    </row>
    <row r="40" spans="1:18" x14ac:dyDescent="0.2">
      <c r="A40" s="2" t="s">
        <v>1059</v>
      </c>
      <c r="B40" t="s">
        <v>1062</v>
      </c>
      <c r="C40" t="s">
        <v>1061</v>
      </c>
      <c r="K40" t="s">
        <v>677</v>
      </c>
      <c r="L40" s="5">
        <v>0</v>
      </c>
      <c r="M40" s="5">
        <v>25.96</v>
      </c>
      <c r="N40" s="6" t="e">
        <f t="shared" si="2"/>
        <v>#DIV/0!</v>
      </c>
    </row>
    <row r="41" spans="1:18" x14ac:dyDescent="0.2">
      <c r="A41" s="3" t="s">
        <v>1091</v>
      </c>
      <c r="B41" s="5">
        <v>271</v>
      </c>
      <c r="C41" s="5">
        <v>43958.43</v>
      </c>
      <c r="D41" s="6">
        <f t="shared" ref="D41:D71" si="7">C41/B41</f>
        <v>162.20822878228782</v>
      </c>
      <c r="K41" t="s">
        <v>685</v>
      </c>
      <c r="L41" s="5">
        <v>0</v>
      </c>
      <c r="M41" s="5">
        <v>23.27</v>
      </c>
      <c r="N41" s="6" t="e">
        <f t="shared" si="2"/>
        <v>#DIV/0!</v>
      </c>
    </row>
    <row r="42" spans="1:18" x14ac:dyDescent="0.2">
      <c r="A42" s="3" t="s">
        <v>1067</v>
      </c>
      <c r="B42" s="5">
        <v>526</v>
      </c>
      <c r="C42" s="5">
        <v>45690.829999999965</v>
      </c>
      <c r="D42" s="6">
        <f t="shared" si="7"/>
        <v>86.864695817490428</v>
      </c>
      <c r="K42" t="s">
        <v>666</v>
      </c>
      <c r="L42" s="5">
        <v>1</v>
      </c>
      <c r="M42" s="5">
        <v>21.97</v>
      </c>
      <c r="N42" s="6">
        <f t="shared" si="2"/>
        <v>21.97</v>
      </c>
    </row>
    <row r="43" spans="1:18" x14ac:dyDescent="0.2">
      <c r="A43" s="3" t="s">
        <v>1116</v>
      </c>
      <c r="B43" s="5">
        <v>512</v>
      </c>
      <c r="C43" s="5">
        <v>71821.86</v>
      </c>
      <c r="D43" s="6">
        <f t="shared" si="7"/>
        <v>140.2770703125</v>
      </c>
      <c r="K43" t="s">
        <v>914</v>
      </c>
      <c r="L43" s="5">
        <v>0</v>
      </c>
      <c r="M43" s="5">
        <v>19.239999999999998</v>
      </c>
      <c r="N43" s="6" t="e">
        <f t="shared" si="2"/>
        <v>#DIV/0!</v>
      </c>
    </row>
    <row r="44" spans="1:18" x14ac:dyDescent="0.2">
      <c r="A44" s="3" t="s">
        <v>1071</v>
      </c>
      <c r="B44" s="5"/>
      <c r="C44" s="5"/>
      <c r="D44" s="6"/>
      <c r="K44" t="s">
        <v>683</v>
      </c>
      <c r="L44" s="5">
        <v>0</v>
      </c>
      <c r="M44" s="5">
        <v>18.32</v>
      </c>
      <c r="N44" s="6" t="e">
        <f t="shared" si="2"/>
        <v>#DIV/0!</v>
      </c>
    </row>
    <row r="45" spans="1:18" x14ac:dyDescent="0.2">
      <c r="A45" s="4" t="s">
        <v>1060</v>
      </c>
      <c r="B45" s="5">
        <v>1309</v>
      </c>
      <c r="C45" s="5">
        <v>161471.11999999997</v>
      </c>
      <c r="D45" s="6">
        <f t="shared" si="7"/>
        <v>123.35456073338423</v>
      </c>
      <c r="K45" t="s">
        <v>669</v>
      </c>
      <c r="L45" s="5">
        <v>0</v>
      </c>
      <c r="M45" s="5">
        <v>16.36</v>
      </c>
      <c r="N45" s="6" t="e">
        <f t="shared" si="2"/>
        <v>#DIV/0!</v>
      </c>
    </row>
    <row r="46" spans="1:18" x14ac:dyDescent="0.2">
      <c r="D46" s="6"/>
      <c r="K46" t="s">
        <v>664</v>
      </c>
      <c r="L46" s="5">
        <v>0</v>
      </c>
      <c r="M46" s="5">
        <v>14.06</v>
      </c>
      <c r="N46" s="6" t="e">
        <f t="shared" si="2"/>
        <v>#DIV/0!</v>
      </c>
    </row>
    <row r="47" spans="1:18" x14ac:dyDescent="0.2">
      <c r="D47" s="6"/>
      <c r="K47" t="s">
        <v>684</v>
      </c>
      <c r="L47" s="5">
        <v>0</v>
      </c>
      <c r="M47" s="5">
        <v>12.96</v>
      </c>
      <c r="N47" s="6" t="e">
        <f t="shared" si="2"/>
        <v>#DIV/0!</v>
      </c>
    </row>
    <row r="48" spans="1:18" x14ac:dyDescent="0.2">
      <c r="D48" s="6"/>
      <c r="K48" t="s">
        <v>653</v>
      </c>
      <c r="L48" s="5">
        <v>0</v>
      </c>
      <c r="M48" s="5">
        <v>12.5</v>
      </c>
      <c r="N48" s="6" t="e">
        <f t="shared" si="2"/>
        <v>#DIV/0!</v>
      </c>
    </row>
    <row r="49" spans="4:14" x14ac:dyDescent="0.2">
      <c r="D49" s="6"/>
      <c r="K49" t="s">
        <v>654</v>
      </c>
      <c r="L49" s="5">
        <v>0</v>
      </c>
      <c r="M49" s="5">
        <v>6.71</v>
      </c>
      <c r="N49" s="6" t="e">
        <f t="shared" si="2"/>
        <v>#DIV/0!</v>
      </c>
    </row>
    <row r="50" spans="4:14" x14ac:dyDescent="0.2">
      <c r="D50" s="6"/>
      <c r="K50" t="s">
        <v>910</v>
      </c>
      <c r="L50" s="5">
        <v>0</v>
      </c>
      <c r="M50" s="5">
        <v>3.01</v>
      </c>
      <c r="N50" s="6" t="e">
        <f t="shared" si="2"/>
        <v>#DIV/0!</v>
      </c>
    </row>
    <row r="51" spans="4:14" x14ac:dyDescent="0.2">
      <c r="D51" s="6"/>
      <c r="K51" t="s">
        <v>909</v>
      </c>
      <c r="L51" s="5">
        <v>0</v>
      </c>
      <c r="M51" s="5">
        <v>2.3199999999999998</v>
      </c>
      <c r="N51" s="6" t="e">
        <f t="shared" si="2"/>
        <v>#DIV/0!</v>
      </c>
    </row>
    <row r="52" spans="4:14" x14ac:dyDescent="0.2">
      <c r="D52" s="6"/>
      <c r="K52" t="s">
        <v>912</v>
      </c>
      <c r="L52" s="5">
        <v>0</v>
      </c>
      <c r="M52" s="5">
        <v>0.1</v>
      </c>
      <c r="N52" s="6" t="e">
        <f t="shared" si="2"/>
        <v>#DIV/0!</v>
      </c>
    </row>
    <row r="53" spans="4:14" x14ac:dyDescent="0.2">
      <c r="D53" s="6"/>
      <c r="K53" t="s">
        <v>913</v>
      </c>
      <c r="L53" s="5"/>
      <c r="M53" s="5">
        <v>0</v>
      </c>
      <c r="N53" s="6" t="e">
        <f t="shared" si="2"/>
        <v>#DIV/0!</v>
      </c>
    </row>
    <row r="54" spans="4:14" x14ac:dyDescent="0.2">
      <c r="D54" s="6"/>
      <c r="K54" t="s">
        <v>672</v>
      </c>
      <c r="L54" s="5"/>
      <c r="M54" s="5">
        <v>0</v>
      </c>
      <c r="N54" s="6" t="e">
        <f t="shared" si="2"/>
        <v>#DIV/0!</v>
      </c>
    </row>
    <row r="55" spans="4:14" x14ac:dyDescent="0.2">
      <c r="D55" s="6"/>
      <c r="K55" t="s">
        <v>617</v>
      </c>
      <c r="L55" s="5"/>
      <c r="M55" s="5">
        <v>0</v>
      </c>
      <c r="N55" s="6" t="e">
        <f t="shared" si="2"/>
        <v>#DIV/0!</v>
      </c>
    </row>
    <row r="56" spans="4:14" x14ac:dyDescent="0.2">
      <c r="D56" s="6"/>
      <c r="K56" t="s">
        <v>682</v>
      </c>
      <c r="L56" s="5"/>
      <c r="M56" s="5">
        <v>0</v>
      </c>
      <c r="N56" s="6" t="e">
        <f t="shared" si="2"/>
        <v>#DIV/0!</v>
      </c>
    </row>
    <row r="57" spans="4:14" x14ac:dyDescent="0.2">
      <c r="D57" s="6"/>
      <c r="K57" t="s">
        <v>680</v>
      </c>
      <c r="L57" s="5"/>
      <c r="M57" s="5">
        <v>0</v>
      </c>
      <c r="N57" s="6" t="e">
        <f t="shared" si="2"/>
        <v>#DIV/0!</v>
      </c>
    </row>
    <row r="58" spans="4:14" x14ac:dyDescent="0.2">
      <c r="D58" s="6"/>
      <c r="K58" t="s">
        <v>681</v>
      </c>
      <c r="L58" s="5"/>
      <c r="M58" s="5">
        <v>0</v>
      </c>
      <c r="N58" s="6" t="e">
        <f t="shared" si="2"/>
        <v>#DIV/0!</v>
      </c>
    </row>
    <row r="59" spans="4:14" x14ac:dyDescent="0.2">
      <c r="D59" s="6"/>
      <c r="K59" t="s">
        <v>645</v>
      </c>
      <c r="L59" s="5"/>
      <c r="M59" s="5">
        <v>0</v>
      </c>
      <c r="N59" s="6" t="e">
        <f t="shared" si="2"/>
        <v>#DIV/0!</v>
      </c>
    </row>
    <row r="60" spans="4:14" x14ac:dyDescent="0.2">
      <c r="D60" s="6"/>
      <c r="K60" t="s">
        <v>670</v>
      </c>
      <c r="L60" s="5"/>
      <c r="M60" s="5">
        <v>0</v>
      </c>
      <c r="N60" s="6" t="e">
        <f t="shared" si="2"/>
        <v>#DIV/0!</v>
      </c>
    </row>
    <row r="61" spans="4:14" x14ac:dyDescent="0.2">
      <c r="D61" s="6"/>
      <c r="K61" t="s">
        <v>646</v>
      </c>
      <c r="L61" s="5"/>
      <c r="M61" s="5">
        <v>0</v>
      </c>
      <c r="N61" s="6" t="e">
        <f t="shared" si="2"/>
        <v>#DIV/0!</v>
      </c>
    </row>
    <row r="62" spans="4:14" x14ac:dyDescent="0.2">
      <c r="D62" s="6"/>
      <c r="K62" t="s">
        <v>657</v>
      </c>
      <c r="L62" s="5"/>
      <c r="M62" s="5">
        <v>0</v>
      </c>
      <c r="N62" s="6" t="e">
        <f t="shared" si="2"/>
        <v>#DIV/0!</v>
      </c>
    </row>
    <row r="63" spans="4:14" x14ac:dyDescent="0.2">
      <c r="D63" s="6"/>
      <c r="K63" t="s">
        <v>651</v>
      </c>
      <c r="L63" s="5"/>
      <c r="M63" s="5">
        <v>0</v>
      </c>
      <c r="N63" s="6" t="e">
        <f t="shared" si="2"/>
        <v>#DIV/0!</v>
      </c>
    </row>
    <row r="64" spans="4:14" x14ac:dyDescent="0.2">
      <c r="D64" s="6"/>
      <c r="K64" t="s">
        <v>649</v>
      </c>
      <c r="L64" s="5"/>
      <c r="M64" s="5">
        <v>0</v>
      </c>
      <c r="N64" s="6" t="e">
        <f t="shared" si="2"/>
        <v>#DIV/0!</v>
      </c>
    </row>
    <row r="65" spans="4:14" x14ac:dyDescent="0.2">
      <c r="D65" s="6"/>
      <c r="K65" t="s">
        <v>650</v>
      </c>
      <c r="L65" s="5"/>
      <c r="M65" s="5">
        <v>0</v>
      </c>
      <c r="N65" s="6" t="e">
        <f t="shared" si="2"/>
        <v>#DIV/0!</v>
      </c>
    </row>
    <row r="66" spans="4:14" x14ac:dyDescent="0.2">
      <c r="D66" s="6"/>
      <c r="K66" t="s">
        <v>675</v>
      </c>
      <c r="L66" s="5"/>
      <c r="M66" s="5">
        <v>0</v>
      </c>
      <c r="N66" s="6" t="e">
        <f t="shared" si="2"/>
        <v>#DIV/0!</v>
      </c>
    </row>
    <row r="67" spans="4:14" x14ac:dyDescent="0.2">
      <c r="D67" s="6"/>
    </row>
    <row r="68" spans="4:14" x14ac:dyDescent="0.2">
      <c r="D68" s="6"/>
    </row>
    <row r="69" spans="4:14" x14ac:dyDescent="0.2">
      <c r="D69" s="6"/>
    </row>
    <row r="70" spans="4:14" x14ac:dyDescent="0.2">
      <c r="D70" s="6"/>
    </row>
    <row r="71" spans="4:14" x14ac:dyDescent="0.2">
      <c r="D7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8F86-FC54-5742-B80E-9101F39552E9}">
  <dimension ref="A1:AE1044"/>
  <sheetViews>
    <sheetView workbookViewId="0">
      <selection activeCell="AB1" sqref="AB1:AE1048576"/>
    </sheetView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1072</v>
      </c>
      <c r="AD1" t="s">
        <v>28</v>
      </c>
      <c r="AE1" t="s">
        <v>1115</v>
      </c>
    </row>
    <row r="2" spans="1:31" x14ac:dyDescent="0.2">
      <c r="A2" t="s">
        <v>29</v>
      </c>
      <c r="B2">
        <v>1011737002</v>
      </c>
      <c r="C2" t="s">
        <v>30</v>
      </c>
      <c r="D2" t="s">
        <v>31</v>
      </c>
      <c r="E2" s="1">
        <v>0.67291666666666672</v>
      </c>
      <c r="F2" t="s">
        <v>32</v>
      </c>
      <c r="G2" t="s">
        <v>33</v>
      </c>
      <c r="H2" t="s">
        <v>34</v>
      </c>
      <c r="I2" t="s">
        <v>35</v>
      </c>
      <c r="J2">
        <v>230</v>
      </c>
      <c r="K2">
        <v>0</v>
      </c>
      <c r="L2" t="s">
        <v>36</v>
      </c>
      <c r="M2" t="s">
        <v>37</v>
      </c>
      <c r="N2">
        <v>49512</v>
      </c>
      <c r="O2">
        <v>2730</v>
      </c>
      <c r="P2">
        <v>5.5138100000000003</v>
      </c>
      <c r="Q2">
        <v>7</v>
      </c>
      <c r="R2">
        <v>213.56</v>
      </c>
      <c r="S2">
        <v>4.3129999999999997</v>
      </c>
      <c r="T2">
        <v>7.8E-2</v>
      </c>
      <c r="U2">
        <v>30.507999999999999</v>
      </c>
      <c r="V2">
        <v>1</v>
      </c>
      <c r="W2">
        <v>0</v>
      </c>
      <c r="X2" t="s">
        <v>36</v>
      </c>
      <c r="Y2">
        <v>49511</v>
      </c>
      <c r="Z2">
        <v>39008</v>
      </c>
      <c r="AA2">
        <v>5936</v>
      </c>
      <c r="AB2" t="s">
        <v>38</v>
      </c>
      <c r="AC2" t="str">
        <f>LEFT(C2,2)</f>
        <v>CP</v>
      </c>
      <c r="AD2" t="str">
        <f>_xlfn.XLOOKUP(C2,Mapping!A:A,Mapping!D:D,0,0)</f>
        <v>AI</v>
      </c>
      <c r="AE2" t="str">
        <f>IFERROR(IF(SEARCH("_TJ",C2)&gt;0,"TJ",NA()),IFERROR(IF(SEARCH("_JB",C2)&gt;0,"JB",NA()),"OLD"))</f>
        <v>OLD</v>
      </c>
    </row>
    <row r="3" spans="1:31" x14ac:dyDescent="0.2">
      <c r="A3" t="s">
        <v>39</v>
      </c>
      <c r="B3">
        <v>1011737052</v>
      </c>
      <c r="C3" t="s">
        <v>40</v>
      </c>
      <c r="D3" t="s">
        <v>31</v>
      </c>
      <c r="E3" s="1">
        <v>0.67291666666666672</v>
      </c>
      <c r="F3" t="s">
        <v>32</v>
      </c>
      <c r="G3" t="s">
        <v>33</v>
      </c>
      <c r="H3" t="s">
        <v>41</v>
      </c>
      <c r="I3" t="s">
        <v>42</v>
      </c>
      <c r="J3">
        <v>308</v>
      </c>
      <c r="K3">
        <v>0</v>
      </c>
      <c r="L3" t="s">
        <v>36</v>
      </c>
      <c r="M3" t="s">
        <v>37</v>
      </c>
      <c r="N3">
        <v>0</v>
      </c>
      <c r="O3">
        <v>0</v>
      </c>
      <c r="P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 t="s">
        <v>36</v>
      </c>
      <c r="AB3" t="s">
        <v>43</v>
      </c>
      <c r="AC3" t="str">
        <f t="shared" ref="AC3:AC66" si="0">LEFT(C3,2)</f>
        <v>CP</v>
      </c>
      <c r="AD3" t="str">
        <f>_xlfn.XLOOKUP(C3,Mapping!A:A,Mapping!D:D,0,0)</f>
        <v>Bin</v>
      </c>
      <c r="AE3" t="str">
        <f t="shared" ref="AE3:AE66" si="1">IFERROR(IF(SEARCH("_TJ",C3)&gt;0,"TJ",NA()),IFERROR(IF(SEARCH("_JB",C3)&gt;0,"JB",NA()),"OLD"))</f>
        <v>OLD</v>
      </c>
    </row>
    <row r="4" spans="1:31" x14ac:dyDescent="0.2">
      <c r="A4" t="s">
        <v>39</v>
      </c>
      <c r="B4">
        <v>1011737062</v>
      </c>
      <c r="C4" t="s">
        <v>44</v>
      </c>
      <c r="D4" t="s">
        <v>31</v>
      </c>
      <c r="E4" s="1">
        <v>0.67291666666666672</v>
      </c>
      <c r="F4" t="s">
        <v>32</v>
      </c>
      <c r="G4" t="s">
        <v>33</v>
      </c>
      <c r="H4" t="s">
        <v>41</v>
      </c>
      <c r="I4" t="s">
        <v>42</v>
      </c>
      <c r="J4">
        <v>308</v>
      </c>
      <c r="K4">
        <v>0</v>
      </c>
      <c r="L4" t="s">
        <v>36</v>
      </c>
      <c r="M4" t="s">
        <v>37</v>
      </c>
      <c r="N4">
        <v>0</v>
      </c>
      <c r="O4">
        <v>0</v>
      </c>
      <c r="P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 t="s">
        <v>36</v>
      </c>
      <c r="AB4" t="s">
        <v>43</v>
      </c>
      <c r="AC4" t="str">
        <f t="shared" si="0"/>
        <v>CP</v>
      </c>
      <c r="AD4" t="str">
        <f>_xlfn.XLOOKUP(C4,Mapping!A:A,Mapping!D:D,0,0)</f>
        <v>Bin</v>
      </c>
      <c r="AE4" t="str">
        <f t="shared" si="1"/>
        <v>OLD</v>
      </c>
    </row>
    <row r="5" spans="1:31" x14ac:dyDescent="0.2">
      <c r="A5" t="s">
        <v>29</v>
      </c>
      <c r="B5">
        <v>1011737262</v>
      </c>
      <c r="C5" t="s">
        <v>45</v>
      </c>
      <c r="D5" t="s">
        <v>31</v>
      </c>
      <c r="E5" s="1">
        <v>0.67291666666666672</v>
      </c>
      <c r="F5" t="s">
        <v>32</v>
      </c>
      <c r="G5" t="s">
        <v>33</v>
      </c>
      <c r="H5" t="s">
        <v>34</v>
      </c>
      <c r="I5" t="s">
        <v>35</v>
      </c>
      <c r="J5">
        <v>215</v>
      </c>
      <c r="K5">
        <v>0</v>
      </c>
      <c r="L5" t="s">
        <v>36</v>
      </c>
      <c r="M5" t="s">
        <v>37</v>
      </c>
      <c r="N5">
        <v>5627</v>
      </c>
      <c r="O5">
        <v>312</v>
      </c>
      <c r="P5">
        <v>5.5446999999999997</v>
      </c>
      <c r="Q5">
        <v>0</v>
      </c>
      <c r="R5">
        <v>15.32</v>
      </c>
      <c r="S5">
        <v>2.7229999999999999</v>
      </c>
      <c r="T5">
        <v>4.9000000000000002E-2</v>
      </c>
      <c r="U5">
        <v>0</v>
      </c>
      <c r="V5">
        <v>1</v>
      </c>
      <c r="W5">
        <v>0</v>
      </c>
      <c r="X5" t="s">
        <v>36</v>
      </c>
      <c r="Y5">
        <v>5627</v>
      </c>
      <c r="Z5">
        <v>4466</v>
      </c>
      <c r="AA5">
        <v>668</v>
      </c>
      <c r="AB5" t="s">
        <v>38</v>
      </c>
      <c r="AC5" t="str">
        <f t="shared" si="0"/>
        <v>CP</v>
      </c>
      <c r="AD5" t="str">
        <f>_xlfn.XLOOKUP(C5,Mapping!A:A,Mapping!D:D,0,0)</f>
        <v>AI</v>
      </c>
      <c r="AE5" t="str">
        <f t="shared" si="1"/>
        <v>OLD</v>
      </c>
    </row>
    <row r="6" spans="1:31" x14ac:dyDescent="0.2">
      <c r="A6" t="s">
        <v>29</v>
      </c>
      <c r="B6">
        <v>1011737272</v>
      </c>
      <c r="C6" t="s">
        <v>46</v>
      </c>
      <c r="D6" t="s">
        <v>31</v>
      </c>
      <c r="E6" s="1">
        <v>0.67291666666666672</v>
      </c>
      <c r="F6" t="s">
        <v>32</v>
      </c>
      <c r="G6" t="s">
        <v>33</v>
      </c>
      <c r="H6" t="s">
        <v>41</v>
      </c>
      <c r="I6" t="s">
        <v>42</v>
      </c>
      <c r="J6">
        <v>638</v>
      </c>
      <c r="K6">
        <v>0</v>
      </c>
      <c r="L6" t="s">
        <v>36</v>
      </c>
      <c r="M6" t="s">
        <v>37</v>
      </c>
      <c r="N6">
        <v>11261</v>
      </c>
      <c r="O6">
        <v>518</v>
      </c>
      <c r="P6">
        <v>4.5999499999999998</v>
      </c>
      <c r="Q6">
        <v>1</v>
      </c>
      <c r="R6">
        <v>39.159999999999997</v>
      </c>
      <c r="S6">
        <v>3.4769999999999999</v>
      </c>
      <c r="T6">
        <v>7.5999999999999998E-2</v>
      </c>
      <c r="U6">
        <v>39.158000000000001</v>
      </c>
      <c r="V6">
        <v>1</v>
      </c>
      <c r="W6">
        <v>0</v>
      </c>
      <c r="X6" t="s">
        <v>36</v>
      </c>
      <c r="Y6">
        <v>11261</v>
      </c>
      <c r="Z6">
        <v>9916</v>
      </c>
      <c r="AA6">
        <v>1073</v>
      </c>
      <c r="AB6" t="s">
        <v>38</v>
      </c>
      <c r="AC6" t="str">
        <f t="shared" si="0"/>
        <v>CP</v>
      </c>
      <c r="AD6" t="str">
        <f>_xlfn.XLOOKUP(C6,Mapping!A:A,Mapping!D:D,0,0)</f>
        <v>AI</v>
      </c>
      <c r="AE6" t="str">
        <f t="shared" si="1"/>
        <v>OLD</v>
      </c>
    </row>
    <row r="7" spans="1:31" x14ac:dyDescent="0.2">
      <c r="A7" t="s">
        <v>29</v>
      </c>
      <c r="B7">
        <v>1011737322</v>
      </c>
      <c r="C7" t="s">
        <v>47</v>
      </c>
      <c r="D7" t="s">
        <v>31</v>
      </c>
      <c r="E7" s="1">
        <v>0.67291666666666672</v>
      </c>
      <c r="F7" t="s">
        <v>32</v>
      </c>
      <c r="G7" t="s">
        <v>33</v>
      </c>
      <c r="H7" t="s">
        <v>41</v>
      </c>
      <c r="I7" t="s">
        <v>42</v>
      </c>
      <c r="J7">
        <v>638</v>
      </c>
      <c r="K7">
        <v>0</v>
      </c>
      <c r="L7" t="s">
        <v>36</v>
      </c>
      <c r="M7" t="s">
        <v>37</v>
      </c>
      <c r="N7">
        <v>11408</v>
      </c>
      <c r="O7">
        <v>538</v>
      </c>
      <c r="P7">
        <v>4.7159800000000001</v>
      </c>
      <c r="Q7">
        <v>1</v>
      </c>
      <c r="R7">
        <v>45.48</v>
      </c>
      <c r="S7">
        <v>3.9870000000000001</v>
      </c>
      <c r="T7">
        <v>8.5000000000000006E-2</v>
      </c>
      <c r="U7">
        <v>45.484999999999999</v>
      </c>
      <c r="V7">
        <v>1</v>
      </c>
      <c r="W7">
        <v>0</v>
      </c>
      <c r="X7" t="s">
        <v>36</v>
      </c>
      <c r="Y7">
        <v>11408</v>
      </c>
      <c r="Z7">
        <v>9960</v>
      </c>
      <c r="AA7">
        <v>1131</v>
      </c>
      <c r="AB7" t="s">
        <v>38</v>
      </c>
      <c r="AC7" t="str">
        <f t="shared" si="0"/>
        <v>CP</v>
      </c>
      <c r="AD7" t="str">
        <f>_xlfn.XLOOKUP(C7,Mapping!A:A,Mapping!D:D,0,0)</f>
        <v>AI</v>
      </c>
      <c r="AE7" t="str">
        <f t="shared" si="1"/>
        <v>OLD</v>
      </c>
    </row>
    <row r="8" spans="1:31" x14ac:dyDescent="0.2">
      <c r="A8" t="s">
        <v>29</v>
      </c>
      <c r="B8">
        <v>1011744802</v>
      </c>
      <c r="C8" t="s">
        <v>48</v>
      </c>
      <c r="D8" t="s">
        <v>31</v>
      </c>
      <c r="E8" s="1">
        <v>0.67291666666666672</v>
      </c>
      <c r="F8" t="s">
        <v>32</v>
      </c>
      <c r="G8" t="s">
        <v>33</v>
      </c>
      <c r="H8" t="s">
        <v>34</v>
      </c>
      <c r="I8" t="s">
        <v>35</v>
      </c>
      <c r="J8">
        <v>285</v>
      </c>
      <c r="K8">
        <v>0</v>
      </c>
      <c r="L8" t="s">
        <v>36</v>
      </c>
      <c r="M8" t="s">
        <v>37</v>
      </c>
      <c r="N8">
        <v>15510</v>
      </c>
      <c r="O8">
        <v>889</v>
      </c>
      <c r="P8">
        <v>5.7317900000000002</v>
      </c>
      <c r="Q8">
        <v>1</v>
      </c>
      <c r="R8">
        <v>69.8</v>
      </c>
      <c r="S8">
        <v>4.5</v>
      </c>
      <c r="T8">
        <v>7.9000000000000001E-2</v>
      </c>
      <c r="U8">
        <v>69.8</v>
      </c>
      <c r="V8">
        <v>1</v>
      </c>
      <c r="W8">
        <v>0</v>
      </c>
      <c r="X8" t="s">
        <v>36</v>
      </c>
      <c r="Y8">
        <v>15510</v>
      </c>
      <c r="Z8">
        <v>12253</v>
      </c>
      <c r="AA8">
        <v>1897</v>
      </c>
      <c r="AB8" t="s">
        <v>38</v>
      </c>
      <c r="AC8" t="str">
        <f t="shared" si="0"/>
        <v>CP</v>
      </c>
      <c r="AD8" t="str">
        <f>_xlfn.XLOOKUP(C8,Mapping!A:A,Mapping!D:D,0,0)</f>
        <v>AI</v>
      </c>
      <c r="AE8" t="str">
        <f t="shared" si="1"/>
        <v>OLD</v>
      </c>
    </row>
    <row r="9" spans="1:31" x14ac:dyDescent="0.2">
      <c r="A9" t="s">
        <v>39</v>
      </c>
      <c r="B9">
        <v>1011744812</v>
      </c>
      <c r="C9" t="s">
        <v>49</v>
      </c>
      <c r="D9" t="s">
        <v>31</v>
      </c>
      <c r="E9" s="1">
        <v>0.67291666666666672</v>
      </c>
      <c r="F9" t="s">
        <v>32</v>
      </c>
      <c r="G9" t="s">
        <v>33</v>
      </c>
      <c r="H9" t="s">
        <v>41</v>
      </c>
      <c r="I9" t="s">
        <v>42</v>
      </c>
      <c r="J9">
        <v>539</v>
      </c>
      <c r="K9">
        <v>0</v>
      </c>
      <c r="L9" t="s">
        <v>36</v>
      </c>
      <c r="M9" t="s">
        <v>37</v>
      </c>
      <c r="N9">
        <v>0</v>
      </c>
      <c r="O9">
        <v>0</v>
      </c>
      <c r="P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 t="s">
        <v>36</v>
      </c>
      <c r="AB9" t="s">
        <v>43</v>
      </c>
      <c r="AC9" t="str">
        <f t="shared" si="0"/>
        <v>CP</v>
      </c>
      <c r="AD9" t="str">
        <f>_xlfn.XLOOKUP(C9,Mapping!A:A,Mapping!D:D,0,0)</f>
        <v>Bin</v>
      </c>
      <c r="AE9" t="str">
        <f t="shared" si="1"/>
        <v>OLD</v>
      </c>
    </row>
    <row r="10" spans="1:31" x14ac:dyDescent="0.2">
      <c r="A10" t="s">
        <v>39</v>
      </c>
      <c r="B10">
        <v>1011744822</v>
      </c>
      <c r="C10" t="s">
        <v>50</v>
      </c>
      <c r="D10" t="s">
        <v>31</v>
      </c>
      <c r="E10" s="1">
        <v>0.67291666666666672</v>
      </c>
      <c r="F10" t="s">
        <v>32</v>
      </c>
      <c r="G10" t="s">
        <v>33</v>
      </c>
      <c r="H10" t="s">
        <v>41</v>
      </c>
      <c r="I10" t="s">
        <v>42</v>
      </c>
      <c r="J10">
        <v>638</v>
      </c>
      <c r="K10">
        <v>0</v>
      </c>
      <c r="L10" t="s">
        <v>36</v>
      </c>
      <c r="M10" t="s">
        <v>37</v>
      </c>
      <c r="N10">
        <v>0</v>
      </c>
      <c r="O10">
        <v>0</v>
      </c>
      <c r="P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 t="s">
        <v>36</v>
      </c>
      <c r="AB10" t="s">
        <v>38</v>
      </c>
      <c r="AC10" t="str">
        <f t="shared" si="0"/>
        <v>CP</v>
      </c>
      <c r="AD10" t="str">
        <f>_xlfn.XLOOKUP(C10,Mapping!A:A,Mapping!D:D,0,0)</f>
        <v>AI</v>
      </c>
      <c r="AE10" t="str">
        <f t="shared" si="1"/>
        <v>OLD</v>
      </c>
    </row>
    <row r="11" spans="1:31" x14ac:dyDescent="0.2">
      <c r="A11" t="s">
        <v>29</v>
      </c>
      <c r="B11">
        <v>1011744832</v>
      </c>
      <c r="C11" t="s">
        <v>51</v>
      </c>
      <c r="D11" t="s">
        <v>31</v>
      </c>
      <c r="E11" s="1">
        <v>0.67291666666666672</v>
      </c>
      <c r="F11" t="s">
        <v>32</v>
      </c>
      <c r="G11" t="s">
        <v>33</v>
      </c>
      <c r="H11" t="s">
        <v>34</v>
      </c>
      <c r="I11" t="s">
        <v>35</v>
      </c>
      <c r="J11">
        <v>215</v>
      </c>
      <c r="K11">
        <v>0</v>
      </c>
      <c r="L11" t="s">
        <v>36</v>
      </c>
      <c r="M11" t="s">
        <v>37</v>
      </c>
      <c r="N11">
        <v>2477</v>
      </c>
      <c r="O11">
        <v>113</v>
      </c>
      <c r="P11">
        <v>4.56196</v>
      </c>
      <c r="Q11">
        <v>0</v>
      </c>
      <c r="R11">
        <v>11.28</v>
      </c>
      <c r="S11">
        <v>4.5549999999999997</v>
      </c>
      <c r="T11">
        <v>0.1</v>
      </c>
      <c r="U11">
        <v>0</v>
      </c>
      <c r="V11">
        <v>1</v>
      </c>
      <c r="W11">
        <v>0</v>
      </c>
      <c r="X11" t="s">
        <v>36</v>
      </c>
      <c r="Y11">
        <v>2477</v>
      </c>
      <c r="Z11">
        <v>1935</v>
      </c>
      <c r="AA11">
        <v>342</v>
      </c>
      <c r="AB11" t="s">
        <v>38</v>
      </c>
      <c r="AC11" t="str">
        <f t="shared" si="0"/>
        <v>CP</v>
      </c>
      <c r="AD11" t="str">
        <f>_xlfn.XLOOKUP(C11,Mapping!A:A,Mapping!D:D,0,0)</f>
        <v>AI</v>
      </c>
      <c r="AE11" t="str">
        <f t="shared" si="1"/>
        <v>OLD</v>
      </c>
    </row>
    <row r="12" spans="1:31" x14ac:dyDescent="0.2">
      <c r="A12" t="s">
        <v>39</v>
      </c>
      <c r="B12">
        <v>1011744842</v>
      </c>
      <c r="C12" t="s">
        <v>52</v>
      </c>
      <c r="D12" t="s">
        <v>31</v>
      </c>
      <c r="E12" s="1">
        <v>0.67291666666666672</v>
      </c>
      <c r="F12" t="s">
        <v>32</v>
      </c>
      <c r="G12" t="s">
        <v>33</v>
      </c>
      <c r="H12" t="s">
        <v>41</v>
      </c>
      <c r="I12" t="s">
        <v>42</v>
      </c>
      <c r="J12">
        <v>539</v>
      </c>
      <c r="K12">
        <v>0</v>
      </c>
      <c r="L12" t="s">
        <v>36</v>
      </c>
      <c r="M12" t="s">
        <v>37</v>
      </c>
      <c r="N12">
        <v>0</v>
      </c>
      <c r="O12">
        <v>0</v>
      </c>
      <c r="P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 t="s">
        <v>36</v>
      </c>
      <c r="AB12" t="s">
        <v>43</v>
      </c>
      <c r="AC12" t="str">
        <f t="shared" si="0"/>
        <v>CP</v>
      </c>
      <c r="AD12" t="str">
        <f>_xlfn.XLOOKUP(C12,Mapping!A:A,Mapping!D:D,0,0)</f>
        <v>Bin</v>
      </c>
      <c r="AE12" t="str">
        <f t="shared" si="1"/>
        <v>OLD</v>
      </c>
    </row>
    <row r="13" spans="1:31" x14ac:dyDescent="0.2">
      <c r="A13" t="s">
        <v>29</v>
      </c>
      <c r="B13">
        <v>1011744852</v>
      </c>
      <c r="C13" t="s">
        <v>53</v>
      </c>
      <c r="D13" t="s">
        <v>31</v>
      </c>
      <c r="E13" s="1">
        <v>0.67291666666666672</v>
      </c>
      <c r="F13" t="s">
        <v>32</v>
      </c>
      <c r="G13" t="s">
        <v>33</v>
      </c>
      <c r="H13" t="s">
        <v>41</v>
      </c>
      <c r="I13" t="s">
        <v>42</v>
      </c>
      <c r="J13">
        <v>638</v>
      </c>
      <c r="K13">
        <v>0</v>
      </c>
      <c r="L13" t="s">
        <v>36</v>
      </c>
      <c r="M13" t="s">
        <v>37</v>
      </c>
      <c r="N13">
        <v>7148</v>
      </c>
      <c r="O13">
        <v>354</v>
      </c>
      <c r="P13">
        <v>4.95242</v>
      </c>
      <c r="Q13">
        <v>1</v>
      </c>
      <c r="R13">
        <v>29.31</v>
      </c>
      <c r="S13">
        <v>4.101</v>
      </c>
      <c r="T13">
        <v>8.3000000000000004E-2</v>
      </c>
      <c r="U13">
        <v>29.314</v>
      </c>
      <c r="V13">
        <v>1</v>
      </c>
      <c r="W13">
        <v>0</v>
      </c>
      <c r="X13" t="s">
        <v>36</v>
      </c>
      <c r="Y13">
        <v>7148</v>
      </c>
      <c r="Z13">
        <v>6451</v>
      </c>
      <c r="AA13">
        <v>512</v>
      </c>
      <c r="AB13" t="s">
        <v>38</v>
      </c>
      <c r="AC13" t="str">
        <f t="shared" si="0"/>
        <v>CP</v>
      </c>
      <c r="AD13" t="str">
        <f>_xlfn.XLOOKUP(C13,Mapping!A:A,Mapping!D:D,0,0)</f>
        <v>AI</v>
      </c>
      <c r="AE13" t="str">
        <f t="shared" si="1"/>
        <v>OLD</v>
      </c>
    </row>
    <row r="14" spans="1:31" x14ac:dyDescent="0.2">
      <c r="A14" t="s">
        <v>39</v>
      </c>
      <c r="B14">
        <v>1011744862</v>
      </c>
      <c r="C14" t="s">
        <v>54</v>
      </c>
      <c r="D14" t="s">
        <v>31</v>
      </c>
      <c r="E14" s="1">
        <v>0.67291666666666672</v>
      </c>
      <c r="F14" t="s">
        <v>32</v>
      </c>
      <c r="G14" t="s">
        <v>33</v>
      </c>
      <c r="H14" t="s">
        <v>41</v>
      </c>
      <c r="I14" t="s">
        <v>42</v>
      </c>
      <c r="J14">
        <v>539</v>
      </c>
      <c r="K14">
        <v>0</v>
      </c>
      <c r="L14" t="s">
        <v>36</v>
      </c>
      <c r="M14" t="s">
        <v>37</v>
      </c>
      <c r="N14">
        <v>0</v>
      </c>
      <c r="O14">
        <v>0</v>
      </c>
      <c r="P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 t="s">
        <v>36</v>
      </c>
      <c r="AB14" t="s">
        <v>43</v>
      </c>
      <c r="AC14" t="str">
        <f t="shared" si="0"/>
        <v>CP</v>
      </c>
      <c r="AD14" t="str">
        <f>_xlfn.XLOOKUP(C14,Mapping!A:A,Mapping!D:D,0,0)</f>
        <v>Bin</v>
      </c>
      <c r="AE14" t="str">
        <f t="shared" si="1"/>
        <v>OLD</v>
      </c>
    </row>
    <row r="15" spans="1:31" x14ac:dyDescent="0.2">
      <c r="A15" t="s">
        <v>39</v>
      </c>
      <c r="B15">
        <v>1011744872</v>
      </c>
      <c r="C15" t="s">
        <v>55</v>
      </c>
      <c r="D15" t="s">
        <v>31</v>
      </c>
      <c r="E15" s="1">
        <v>0.67291666666666672</v>
      </c>
      <c r="F15" t="s">
        <v>32</v>
      </c>
      <c r="G15" t="s">
        <v>33</v>
      </c>
      <c r="H15" t="s">
        <v>41</v>
      </c>
      <c r="I15" t="s">
        <v>42</v>
      </c>
      <c r="J15">
        <v>539</v>
      </c>
      <c r="K15">
        <v>0</v>
      </c>
      <c r="L15" t="s">
        <v>36</v>
      </c>
      <c r="M15" t="s">
        <v>37</v>
      </c>
      <c r="N15">
        <v>0</v>
      </c>
      <c r="O15">
        <v>0</v>
      </c>
      <c r="P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 t="s">
        <v>36</v>
      </c>
      <c r="AB15" t="s">
        <v>43</v>
      </c>
      <c r="AC15" t="str">
        <f t="shared" si="0"/>
        <v>CP</v>
      </c>
      <c r="AD15" t="str">
        <f>_xlfn.XLOOKUP(C15,Mapping!A:A,Mapping!D:D,0,0)</f>
        <v>Bin</v>
      </c>
      <c r="AE15" t="str">
        <f t="shared" si="1"/>
        <v>OLD</v>
      </c>
    </row>
    <row r="16" spans="1:31" x14ac:dyDescent="0.2">
      <c r="A16" t="s">
        <v>39</v>
      </c>
      <c r="B16">
        <v>1011744882</v>
      </c>
      <c r="C16" t="s">
        <v>56</v>
      </c>
      <c r="D16" t="s">
        <v>31</v>
      </c>
      <c r="E16" s="1">
        <v>0.67291666666666672</v>
      </c>
      <c r="F16" t="s">
        <v>32</v>
      </c>
      <c r="G16" t="s">
        <v>33</v>
      </c>
      <c r="H16" t="s">
        <v>34</v>
      </c>
      <c r="I16" t="s">
        <v>35</v>
      </c>
      <c r="J16">
        <v>240</v>
      </c>
      <c r="K16">
        <v>0</v>
      </c>
      <c r="L16" t="s">
        <v>36</v>
      </c>
      <c r="M16" t="s">
        <v>37</v>
      </c>
      <c r="N16">
        <v>0</v>
      </c>
      <c r="O16">
        <v>0</v>
      </c>
      <c r="P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 t="s">
        <v>36</v>
      </c>
      <c r="AB16" t="s">
        <v>43</v>
      </c>
      <c r="AC16" t="str">
        <f t="shared" si="0"/>
        <v>CP</v>
      </c>
      <c r="AD16" t="str">
        <f>_xlfn.XLOOKUP(C16,Mapping!A:A,Mapping!D:D,0,0)</f>
        <v>Bin</v>
      </c>
      <c r="AE16" t="str">
        <f t="shared" si="1"/>
        <v>OLD</v>
      </c>
    </row>
    <row r="17" spans="1:31" x14ac:dyDescent="0.2">
      <c r="A17" t="s">
        <v>39</v>
      </c>
      <c r="B17">
        <v>1011813152</v>
      </c>
      <c r="C17" t="s">
        <v>57</v>
      </c>
      <c r="D17" t="s">
        <v>31</v>
      </c>
      <c r="E17" s="1">
        <v>0.67291666666666672</v>
      </c>
      <c r="F17" t="s">
        <v>32</v>
      </c>
      <c r="G17" t="s">
        <v>33</v>
      </c>
      <c r="H17" t="s">
        <v>41</v>
      </c>
      <c r="I17" t="s">
        <v>58</v>
      </c>
      <c r="J17">
        <v>352</v>
      </c>
      <c r="K17">
        <v>0</v>
      </c>
      <c r="L17" t="s">
        <v>36</v>
      </c>
      <c r="M17" t="s">
        <v>37</v>
      </c>
      <c r="N17">
        <v>0</v>
      </c>
      <c r="O17">
        <v>0</v>
      </c>
      <c r="P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 t="s">
        <v>36</v>
      </c>
      <c r="AB17" t="s">
        <v>43</v>
      </c>
      <c r="AC17" t="str">
        <f t="shared" si="0"/>
        <v>CP</v>
      </c>
      <c r="AD17" t="str">
        <f>_xlfn.XLOOKUP(C17,Mapping!A:A,Mapping!D:D,0,0)</f>
        <v>Bin</v>
      </c>
      <c r="AE17" t="str">
        <f t="shared" si="1"/>
        <v>OLD</v>
      </c>
    </row>
    <row r="18" spans="1:31" x14ac:dyDescent="0.2">
      <c r="A18" t="s">
        <v>39</v>
      </c>
      <c r="B18">
        <v>1011813182</v>
      </c>
      <c r="C18" t="s">
        <v>59</v>
      </c>
      <c r="D18" t="s">
        <v>31</v>
      </c>
      <c r="E18" s="1">
        <v>0.38611111111111113</v>
      </c>
      <c r="F18" t="s">
        <v>32</v>
      </c>
      <c r="G18" t="s">
        <v>33</v>
      </c>
      <c r="H18" t="s">
        <v>41</v>
      </c>
      <c r="I18" t="s">
        <v>58</v>
      </c>
      <c r="J18">
        <v>11</v>
      </c>
      <c r="K18">
        <v>0</v>
      </c>
      <c r="L18" t="s">
        <v>36</v>
      </c>
      <c r="M18" t="s">
        <v>37</v>
      </c>
      <c r="N18">
        <v>0</v>
      </c>
      <c r="O18">
        <v>0</v>
      </c>
      <c r="P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 t="s">
        <v>36</v>
      </c>
      <c r="AB18" t="s">
        <v>60</v>
      </c>
      <c r="AC18" t="str">
        <f t="shared" si="0"/>
        <v>CP</v>
      </c>
      <c r="AD18" t="str">
        <f>_xlfn.XLOOKUP(C18,Mapping!A:A,Mapping!D:D,0,0)</f>
        <v>Shorties</v>
      </c>
      <c r="AE18" t="str">
        <f t="shared" si="1"/>
        <v>OLD</v>
      </c>
    </row>
    <row r="19" spans="1:31" x14ac:dyDescent="0.2">
      <c r="A19" t="s">
        <v>39</v>
      </c>
      <c r="B19">
        <v>1011813292</v>
      </c>
      <c r="C19" t="s">
        <v>61</v>
      </c>
      <c r="D19" t="s">
        <v>31</v>
      </c>
      <c r="E19" s="1">
        <v>0.67291666666666672</v>
      </c>
      <c r="F19" t="s">
        <v>32</v>
      </c>
      <c r="G19" t="s">
        <v>33</v>
      </c>
      <c r="H19" t="s">
        <v>41</v>
      </c>
      <c r="I19" t="s">
        <v>62</v>
      </c>
      <c r="J19">
        <v>117</v>
      </c>
      <c r="K19">
        <v>0</v>
      </c>
      <c r="L19" t="s">
        <v>63</v>
      </c>
      <c r="M19">
        <v>100</v>
      </c>
      <c r="N19">
        <v>0</v>
      </c>
      <c r="O19">
        <v>0</v>
      </c>
      <c r="P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 t="s">
        <v>36</v>
      </c>
      <c r="AB19" t="s">
        <v>43</v>
      </c>
      <c r="AC19" t="str">
        <f t="shared" si="0"/>
        <v>CP</v>
      </c>
      <c r="AD19" t="str">
        <f>_xlfn.XLOOKUP(C19,Mapping!A:A,Mapping!D:D,0,0)</f>
        <v>Bin</v>
      </c>
      <c r="AE19" t="str">
        <f t="shared" si="1"/>
        <v>OLD</v>
      </c>
    </row>
    <row r="20" spans="1:31" x14ac:dyDescent="0.2">
      <c r="A20" t="s">
        <v>39</v>
      </c>
      <c r="B20">
        <v>1011813302</v>
      </c>
      <c r="C20" t="s">
        <v>64</v>
      </c>
      <c r="D20" t="s">
        <v>31</v>
      </c>
      <c r="E20" s="1">
        <v>0.67291666666666672</v>
      </c>
      <c r="F20" t="s">
        <v>32</v>
      </c>
      <c r="G20" t="s">
        <v>33</v>
      </c>
      <c r="H20" t="s">
        <v>41</v>
      </c>
      <c r="I20" t="s">
        <v>62</v>
      </c>
      <c r="J20">
        <v>308</v>
      </c>
      <c r="K20">
        <v>0</v>
      </c>
      <c r="L20" t="s">
        <v>36</v>
      </c>
      <c r="M20" t="s">
        <v>37</v>
      </c>
      <c r="N20">
        <v>0</v>
      </c>
      <c r="O20">
        <v>0</v>
      </c>
      <c r="P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 t="s">
        <v>36</v>
      </c>
      <c r="AB20" t="s">
        <v>43</v>
      </c>
      <c r="AC20" t="str">
        <f t="shared" si="0"/>
        <v>CP</v>
      </c>
      <c r="AD20" t="str">
        <f>_xlfn.XLOOKUP(C20,Mapping!A:A,Mapping!D:D,0,0)</f>
        <v>Bin</v>
      </c>
      <c r="AE20" t="str">
        <f t="shared" si="1"/>
        <v>OLD</v>
      </c>
    </row>
    <row r="21" spans="1:31" x14ac:dyDescent="0.2">
      <c r="A21" t="s">
        <v>39</v>
      </c>
      <c r="B21">
        <v>1011813312</v>
      </c>
      <c r="C21" t="s">
        <v>65</v>
      </c>
      <c r="D21" t="s">
        <v>31</v>
      </c>
      <c r="E21" s="1">
        <v>0.67291666666666672</v>
      </c>
      <c r="F21" t="s">
        <v>32</v>
      </c>
      <c r="G21" t="s">
        <v>33</v>
      </c>
      <c r="H21" t="s">
        <v>41</v>
      </c>
      <c r="I21" t="s">
        <v>62</v>
      </c>
      <c r="J21">
        <v>658</v>
      </c>
      <c r="K21">
        <v>0</v>
      </c>
      <c r="L21" t="s">
        <v>36</v>
      </c>
      <c r="M21" t="s">
        <v>37</v>
      </c>
      <c r="N21">
        <v>0</v>
      </c>
      <c r="O21">
        <v>0</v>
      </c>
      <c r="P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 t="s">
        <v>36</v>
      </c>
      <c r="AB21" t="s">
        <v>43</v>
      </c>
      <c r="AC21" t="str">
        <f t="shared" si="0"/>
        <v>CP</v>
      </c>
      <c r="AD21" t="str">
        <f>_xlfn.XLOOKUP(C21,Mapping!A:A,Mapping!D:D,0,0)</f>
        <v>Bin</v>
      </c>
      <c r="AE21" t="str">
        <f t="shared" si="1"/>
        <v>OLD</v>
      </c>
    </row>
    <row r="22" spans="1:31" x14ac:dyDescent="0.2">
      <c r="A22" t="s">
        <v>39</v>
      </c>
      <c r="B22">
        <v>1011813322</v>
      </c>
      <c r="C22" t="s">
        <v>66</v>
      </c>
      <c r="D22" t="s">
        <v>31</v>
      </c>
      <c r="E22" s="1">
        <v>0.67291666666666672</v>
      </c>
      <c r="F22" t="s">
        <v>32</v>
      </c>
      <c r="G22" t="s">
        <v>33</v>
      </c>
      <c r="H22" t="s">
        <v>41</v>
      </c>
      <c r="I22" t="s">
        <v>62</v>
      </c>
      <c r="J22">
        <v>64</v>
      </c>
      <c r="K22">
        <v>0</v>
      </c>
      <c r="L22" t="s">
        <v>63</v>
      </c>
      <c r="M22">
        <v>100</v>
      </c>
      <c r="N22">
        <v>0</v>
      </c>
      <c r="O22">
        <v>0</v>
      </c>
      <c r="P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 t="s">
        <v>36</v>
      </c>
      <c r="AB22" t="s">
        <v>43</v>
      </c>
      <c r="AC22" t="str">
        <f t="shared" si="0"/>
        <v>CP</v>
      </c>
      <c r="AD22" t="str">
        <f>_xlfn.XLOOKUP(C22,Mapping!A:A,Mapping!D:D,0,0)</f>
        <v>Bin</v>
      </c>
      <c r="AE22" t="str">
        <f t="shared" si="1"/>
        <v>OLD</v>
      </c>
    </row>
    <row r="23" spans="1:31" x14ac:dyDescent="0.2">
      <c r="A23" t="s">
        <v>39</v>
      </c>
      <c r="B23">
        <v>1011813332</v>
      </c>
      <c r="C23" t="s">
        <v>67</v>
      </c>
      <c r="D23" t="s">
        <v>31</v>
      </c>
      <c r="E23" s="1">
        <v>0.67291666666666672</v>
      </c>
      <c r="F23" t="s">
        <v>32</v>
      </c>
      <c r="G23" t="s">
        <v>33</v>
      </c>
      <c r="H23" t="s">
        <v>41</v>
      </c>
      <c r="I23" t="s">
        <v>62</v>
      </c>
      <c r="J23">
        <v>80</v>
      </c>
      <c r="K23">
        <v>0</v>
      </c>
      <c r="L23" t="s">
        <v>36</v>
      </c>
      <c r="M23" t="s">
        <v>37</v>
      </c>
      <c r="N23">
        <v>0</v>
      </c>
      <c r="O23">
        <v>0</v>
      </c>
      <c r="P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 t="s">
        <v>36</v>
      </c>
      <c r="AB23" t="s">
        <v>43</v>
      </c>
      <c r="AC23" t="str">
        <f t="shared" si="0"/>
        <v>CP</v>
      </c>
      <c r="AD23" t="str">
        <f>_xlfn.XLOOKUP(C23,Mapping!A:A,Mapping!D:D,0,0)</f>
        <v>Bin</v>
      </c>
      <c r="AE23" t="str">
        <f t="shared" si="1"/>
        <v>OLD</v>
      </c>
    </row>
    <row r="24" spans="1:31" x14ac:dyDescent="0.2">
      <c r="A24" t="s">
        <v>39</v>
      </c>
      <c r="B24">
        <v>1011813342</v>
      </c>
      <c r="C24" t="s">
        <v>68</v>
      </c>
      <c r="D24" t="s">
        <v>31</v>
      </c>
      <c r="E24" s="1">
        <v>0.67291666666666672</v>
      </c>
      <c r="F24" t="s">
        <v>32</v>
      </c>
      <c r="G24" t="s">
        <v>33</v>
      </c>
      <c r="H24" t="s">
        <v>41</v>
      </c>
      <c r="I24" t="s">
        <v>62</v>
      </c>
      <c r="J24">
        <v>117</v>
      </c>
      <c r="K24">
        <v>0</v>
      </c>
      <c r="L24" t="s">
        <v>63</v>
      </c>
      <c r="M24">
        <v>100</v>
      </c>
      <c r="N24">
        <v>0</v>
      </c>
      <c r="O24">
        <v>0</v>
      </c>
      <c r="P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 t="s">
        <v>36</v>
      </c>
      <c r="AB24" t="s">
        <v>43</v>
      </c>
      <c r="AC24" t="str">
        <f t="shared" si="0"/>
        <v>CP</v>
      </c>
      <c r="AD24" t="str">
        <f>_xlfn.XLOOKUP(C24,Mapping!A:A,Mapping!D:D,0,0)</f>
        <v>Bin</v>
      </c>
      <c r="AE24" t="str">
        <f t="shared" si="1"/>
        <v>OLD</v>
      </c>
    </row>
    <row r="25" spans="1:31" x14ac:dyDescent="0.2">
      <c r="A25" t="s">
        <v>39</v>
      </c>
      <c r="B25">
        <v>1011813352</v>
      </c>
      <c r="C25" t="s">
        <v>69</v>
      </c>
      <c r="D25" t="s">
        <v>31</v>
      </c>
      <c r="E25" s="1">
        <v>0.67291666666666672</v>
      </c>
      <c r="F25" t="s">
        <v>32</v>
      </c>
      <c r="G25" t="s">
        <v>33</v>
      </c>
      <c r="H25" t="s">
        <v>34</v>
      </c>
      <c r="I25" t="s">
        <v>35</v>
      </c>
      <c r="J25">
        <v>215</v>
      </c>
      <c r="K25">
        <v>0</v>
      </c>
      <c r="L25" t="s">
        <v>36</v>
      </c>
      <c r="M25" t="s">
        <v>37</v>
      </c>
      <c r="N25">
        <v>0</v>
      </c>
      <c r="O25">
        <v>0</v>
      </c>
      <c r="P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 t="s">
        <v>36</v>
      </c>
      <c r="AB25" t="s">
        <v>43</v>
      </c>
      <c r="AC25" t="str">
        <f t="shared" si="0"/>
        <v>CP</v>
      </c>
      <c r="AD25" t="str">
        <f>_xlfn.XLOOKUP(C25,Mapping!A:A,Mapping!D:D,0,0)</f>
        <v>Bin</v>
      </c>
      <c r="AE25" t="str">
        <f t="shared" si="1"/>
        <v>OLD</v>
      </c>
    </row>
    <row r="26" spans="1:31" x14ac:dyDescent="0.2">
      <c r="A26" t="s">
        <v>39</v>
      </c>
      <c r="B26">
        <v>1011813362</v>
      </c>
      <c r="C26" t="s">
        <v>70</v>
      </c>
      <c r="D26" t="s">
        <v>31</v>
      </c>
      <c r="E26" s="1">
        <v>0.67291666666666672</v>
      </c>
      <c r="F26" t="s">
        <v>32</v>
      </c>
      <c r="G26" t="s">
        <v>33</v>
      </c>
      <c r="H26" t="s">
        <v>41</v>
      </c>
      <c r="I26" t="s">
        <v>42</v>
      </c>
      <c r="J26">
        <v>539</v>
      </c>
      <c r="K26">
        <v>0</v>
      </c>
      <c r="L26" t="s">
        <v>36</v>
      </c>
      <c r="M26" t="s">
        <v>37</v>
      </c>
      <c r="N26">
        <v>0</v>
      </c>
      <c r="O26">
        <v>0</v>
      </c>
      <c r="P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 t="s">
        <v>36</v>
      </c>
      <c r="AB26" t="s">
        <v>43</v>
      </c>
      <c r="AC26" t="str">
        <f t="shared" si="0"/>
        <v>CP</v>
      </c>
      <c r="AD26" t="str">
        <f>_xlfn.XLOOKUP(C26,Mapping!A:A,Mapping!D:D,0,0)</f>
        <v>Bin</v>
      </c>
      <c r="AE26" t="str">
        <f t="shared" si="1"/>
        <v>OLD</v>
      </c>
    </row>
    <row r="27" spans="1:31" x14ac:dyDescent="0.2">
      <c r="A27" t="s">
        <v>39</v>
      </c>
      <c r="B27">
        <v>1011813372</v>
      </c>
      <c r="C27" t="s">
        <v>71</v>
      </c>
      <c r="D27" t="s">
        <v>31</v>
      </c>
      <c r="E27" s="1">
        <v>0.67291666666666672</v>
      </c>
      <c r="F27" t="s">
        <v>32</v>
      </c>
      <c r="G27" t="s">
        <v>33</v>
      </c>
      <c r="H27" t="s">
        <v>41</v>
      </c>
      <c r="I27" t="s">
        <v>42</v>
      </c>
      <c r="J27">
        <v>539</v>
      </c>
      <c r="K27">
        <v>0</v>
      </c>
      <c r="L27" t="s">
        <v>36</v>
      </c>
      <c r="M27" t="s">
        <v>37</v>
      </c>
      <c r="N27">
        <v>0</v>
      </c>
      <c r="O27">
        <v>0</v>
      </c>
      <c r="P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 t="s">
        <v>36</v>
      </c>
      <c r="AB27" t="s">
        <v>43</v>
      </c>
      <c r="AC27" t="str">
        <f t="shared" si="0"/>
        <v>CP</v>
      </c>
      <c r="AD27" t="str">
        <f>_xlfn.XLOOKUP(C27,Mapping!A:A,Mapping!D:D,0,0)</f>
        <v>Bin</v>
      </c>
      <c r="AE27" t="str">
        <f t="shared" si="1"/>
        <v>OLD</v>
      </c>
    </row>
    <row r="28" spans="1:31" x14ac:dyDescent="0.2">
      <c r="A28" t="s">
        <v>29</v>
      </c>
      <c r="B28">
        <v>1011813382</v>
      </c>
      <c r="C28" t="s">
        <v>72</v>
      </c>
      <c r="D28" t="s">
        <v>31</v>
      </c>
      <c r="E28" s="1">
        <v>0.67291666666666672</v>
      </c>
      <c r="F28" t="s">
        <v>32</v>
      </c>
      <c r="G28" t="s">
        <v>33</v>
      </c>
      <c r="H28" t="s">
        <v>41</v>
      </c>
      <c r="I28" t="s">
        <v>42</v>
      </c>
      <c r="J28">
        <v>539</v>
      </c>
      <c r="K28">
        <v>0</v>
      </c>
      <c r="L28" t="s">
        <v>36</v>
      </c>
      <c r="M28" t="s">
        <v>37</v>
      </c>
      <c r="N28">
        <v>1045</v>
      </c>
      <c r="O28">
        <v>83</v>
      </c>
      <c r="P28">
        <v>7.9425800000000004</v>
      </c>
      <c r="Q28">
        <v>0</v>
      </c>
      <c r="R28">
        <v>4.04</v>
      </c>
      <c r="S28">
        <v>3.8690000000000002</v>
      </c>
      <c r="T28">
        <v>4.9000000000000002E-2</v>
      </c>
      <c r="U28">
        <v>0</v>
      </c>
      <c r="V28">
        <v>1</v>
      </c>
      <c r="W28">
        <v>0</v>
      </c>
      <c r="X28" t="s">
        <v>36</v>
      </c>
      <c r="Y28">
        <v>1045</v>
      </c>
      <c r="Z28">
        <v>899</v>
      </c>
      <c r="AA28">
        <v>107</v>
      </c>
      <c r="AB28" t="s">
        <v>43</v>
      </c>
      <c r="AC28" t="str">
        <f t="shared" si="0"/>
        <v>CP</v>
      </c>
      <c r="AD28" t="str">
        <f>_xlfn.XLOOKUP(C28,Mapping!A:A,Mapping!D:D,0,0)</f>
        <v>AI</v>
      </c>
      <c r="AE28" t="str">
        <f t="shared" si="1"/>
        <v>OLD</v>
      </c>
    </row>
    <row r="29" spans="1:31" x14ac:dyDescent="0.2">
      <c r="A29" t="s">
        <v>29</v>
      </c>
      <c r="B29">
        <v>1011813392</v>
      </c>
      <c r="C29" t="s">
        <v>73</v>
      </c>
      <c r="D29" t="s">
        <v>31</v>
      </c>
      <c r="E29" s="1">
        <v>0.67291666666666672</v>
      </c>
      <c r="F29" t="s">
        <v>32</v>
      </c>
      <c r="G29" t="s">
        <v>33</v>
      </c>
      <c r="H29" t="s">
        <v>41</v>
      </c>
      <c r="I29" t="s">
        <v>42</v>
      </c>
      <c r="J29">
        <v>539</v>
      </c>
      <c r="K29">
        <v>0</v>
      </c>
      <c r="L29" t="s">
        <v>36</v>
      </c>
      <c r="M29" t="s">
        <v>37</v>
      </c>
      <c r="N29">
        <v>812</v>
      </c>
      <c r="O29">
        <v>38</v>
      </c>
      <c r="P29">
        <v>4.6798000000000002</v>
      </c>
      <c r="Q29">
        <v>0</v>
      </c>
      <c r="R29">
        <v>3.24</v>
      </c>
      <c r="S29">
        <v>3.9860000000000002</v>
      </c>
      <c r="T29">
        <v>8.5000000000000006E-2</v>
      </c>
      <c r="U29">
        <v>0</v>
      </c>
      <c r="V29">
        <v>1</v>
      </c>
      <c r="W29">
        <v>0</v>
      </c>
      <c r="X29" t="s">
        <v>36</v>
      </c>
      <c r="Y29">
        <v>812</v>
      </c>
      <c r="Z29">
        <v>708</v>
      </c>
      <c r="AA29">
        <v>77</v>
      </c>
      <c r="AB29" t="s">
        <v>43</v>
      </c>
      <c r="AC29" t="str">
        <f t="shared" si="0"/>
        <v>CP</v>
      </c>
      <c r="AD29" t="str">
        <f>_xlfn.XLOOKUP(C29,Mapping!A:A,Mapping!D:D,0,0)</f>
        <v>Keyword - Preroll</v>
      </c>
      <c r="AE29" t="str">
        <f t="shared" si="1"/>
        <v>OLD</v>
      </c>
    </row>
    <row r="30" spans="1:31" x14ac:dyDescent="0.2">
      <c r="A30" t="s">
        <v>39</v>
      </c>
      <c r="B30">
        <v>1011813402</v>
      </c>
      <c r="C30" t="s">
        <v>74</v>
      </c>
      <c r="D30" t="s">
        <v>31</v>
      </c>
      <c r="E30" s="1">
        <v>0.67291666666666672</v>
      </c>
      <c r="F30" t="s">
        <v>32</v>
      </c>
      <c r="G30" t="s">
        <v>33</v>
      </c>
      <c r="H30" t="s">
        <v>34</v>
      </c>
      <c r="I30" t="s">
        <v>35</v>
      </c>
      <c r="J30">
        <v>240</v>
      </c>
      <c r="K30">
        <v>0</v>
      </c>
      <c r="L30" t="s">
        <v>36</v>
      </c>
      <c r="M30" t="s">
        <v>37</v>
      </c>
      <c r="N30">
        <v>0</v>
      </c>
      <c r="O30">
        <v>0</v>
      </c>
      <c r="P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 t="s">
        <v>36</v>
      </c>
      <c r="AB30" t="s">
        <v>43</v>
      </c>
      <c r="AC30" t="str">
        <f t="shared" si="0"/>
        <v>CP</v>
      </c>
      <c r="AD30" t="str">
        <f>_xlfn.XLOOKUP(C30,Mapping!A:A,Mapping!D:D,0,0)</f>
        <v>Bin</v>
      </c>
      <c r="AE30" t="str">
        <f t="shared" si="1"/>
        <v>OLD</v>
      </c>
    </row>
    <row r="31" spans="1:31" x14ac:dyDescent="0.2">
      <c r="A31" t="s">
        <v>39</v>
      </c>
      <c r="B31">
        <v>1011813412</v>
      </c>
      <c r="C31" t="s">
        <v>75</v>
      </c>
      <c r="D31" t="s">
        <v>31</v>
      </c>
      <c r="E31" s="1">
        <v>0.67291666666666672</v>
      </c>
      <c r="F31" t="s">
        <v>32</v>
      </c>
      <c r="G31" t="s">
        <v>33</v>
      </c>
      <c r="H31" t="s">
        <v>34</v>
      </c>
      <c r="I31" t="s">
        <v>35</v>
      </c>
      <c r="J31">
        <v>215</v>
      </c>
      <c r="K31">
        <v>0</v>
      </c>
      <c r="L31" t="s">
        <v>36</v>
      </c>
      <c r="M31" t="s">
        <v>37</v>
      </c>
      <c r="N31">
        <v>0</v>
      </c>
      <c r="O31">
        <v>0</v>
      </c>
      <c r="P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 t="s">
        <v>36</v>
      </c>
      <c r="AB31" t="s">
        <v>43</v>
      </c>
      <c r="AC31" t="str">
        <f t="shared" si="0"/>
        <v>CP</v>
      </c>
      <c r="AD31" t="str">
        <f>_xlfn.XLOOKUP(C31,Mapping!A:A,Mapping!D:D,0,0)</f>
        <v>Bin</v>
      </c>
      <c r="AE31" t="str">
        <f t="shared" si="1"/>
        <v>OLD</v>
      </c>
    </row>
    <row r="32" spans="1:31" x14ac:dyDescent="0.2">
      <c r="A32" t="s">
        <v>39</v>
      </c>
      <c r="B32">
        <v>1011813422</v>
      </c>
      <c r="C32" t="s">
        <v>76</v>
      </c>
      <c r="D32" t="s">
        <v>31</v>
      </c>
      <c r="E32" s="1">
        <v>0.67291666666666672</v>
      </c>
      <c r="F32" t="s">
        <v>32</v>
      </c>
      <c r="G32" t="s">
        <v>33</v>
      </c>
      <c r="H32" t="s">
        <v>41</v>
      </c>
      <c r="I32" t="s">
        <v>42</v>
      </c>
      <c r="J32">
        <v>539</v>
      </c>
      <c r="K32">
        <v>0</v>
      </c>
      <c r="L32" t="s">
        <v>36</v>
      </c>
      <c r="M32" t="s">
        <v>37</v>
      </c>
      <c r="N32">
        <v>0</v>
      </c>
      <c r="O32">
        <v>0</v>
      </c>
      <c r="P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 t="s">
        <v>36</v>
      </c>
      <c r="AB32" t="s">
        <v>43</v>
      </c>
      <c r="AC32" t="str">
        <f t="shared" si="0"/>
        <v>CP</v>
      </c>
      <c r="AD32" t="str">
        <f>_xlfn.XLOOKUP(C32,Mapping!A:A,Mapping!D:D,0,0)</f>
        <v>Bin</v>
      </c>
      <c r="AE32" t="str">
        <f t="shared" si="1"/>
        <v>OLD</v>
      </c>
    </row>
    <row r="33" spans="1:31" x14ac:dyDescent="0.2">
      <c r="A33" t="s">
        <v>39</v>
      </c>
      <c r="B33">
        <v>1011813432</v>
      </c>
      <c r="C33" t="s">
        <v>77</v>
      </c>
      <c r="D33" t="s">
        <v>31</v>
      </c>
      <c r="E33" s="1">
        <v>0.67291666666666672</v>
      </c>
      <c r="F33" t="s">
        <v>32</v>
      </c>
      <c r="G33" t="s">
        <v>33</v>
      </c>
      <c r="H33" t="s">
        <v>41</v>
      </c>
      <c r="I33" t="s">
        <v>42</v>
      </c>
      <c r="J33">
        <v>539</v>
      </c>
      <c r="K33">
        <v>0</v>
      </c>
      <c r="L33" t="s">
        <v>36</v>
      </c>
      <c r="M33" t="s">
        <v>37</v>
      </c>
      <c r="N33">
        <v>0</v>
      </c>
      <c r="O33">
        <v>0</v>
      </c>
      <c r="P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 t="s">
        <v>36</v>
      </c>
      <c r="AB33" t="s">
        <v>43</v>
      </c>
      <c r="AC33" t="str">
        <f t="shared" si="0"/>
        <v>CP</v>
      </c>
      <c r="AD33" t="str">
        <f>_xlfn.XLOOKUP(C33,Mapping!A:A,Mapping!D:D,0,0)</f>
        <v>Bin</v>
      </c>
      <c r="AE33" t="str">
        <f t="shared" si="1"/>
        <v>OLD</v>
      </c>
    </row>
    <row r="34" spans="1:31" x14ac:dyDescent="0.2">
      <c r="A34" t="s">
        <v>39</v>
      </c>
      <c r="B34">
        <v>1011822352</v>
      </c>
      <c r="C34" t="s">
        <v>78</v>
      </c>
      <c r="D34" t="s">
        <v>31</v>
      </c>
      <c r="E34" s="1">
        <v>0.38611111111111113</v>
      </c>
      <c r="F34" t="s">
        <v>32</v>
      </c>
      <c r="G34" t="s">
        <v>33</v>
      </c>
      <c r="H34" t="s">
        <v>41</v>
      </c>
      <c r="I34" t="s">
        <v>42</v>
      </c>
      <c r="J34">
        <v>2</v>
      </c>
      <c r="K34">
        <v>0</v>
      </c>
      <c r="L34" t="s">
        <v>36</v>
      </c>
      <c r="M34" t="s">
        <v>37</v>
      </c>
      <c r="N34">
        <v>0</v>
      </c>
      <c r="O34">
        <v>0</v>
      </c>
      <c r="P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 t="s">
        <v>36</v>
      </c>
      <c r="AB34" t="s">
        <v>43</v>
      </c>
      <c r="AC34" t="str">
        <f t="shared" si="0"/>
        <v>CP</v>
      </c>
      <c r="AD34" t="str">
        <f>_xlfn.XLOOKUP(C34,Mapping!A:A,Mapping!D:D,0,0)</f>
        <v>Bin</v>
      </c>
      <c r="AE34" t="str">
        <f t="shared" si="1"/>
        <v>OLD</v>
      </c>
    </row>
    <row r="35" spans="1:31" x14ac:dyDescent="0.2">
      <c r="A35" t="s">
        <v>39</v>
      </c>
      <c r="B35">
        <v>1011822362</v>
      </c>
      <c r="C35" t="s">
        <v>79</v>
      </c>
      <c r="D35" t="s">
        <v>31</v>
      </c>
      <c r="E35" s="1">
        <v>0.38611111111111113</v>
      </c>
      <c r="F35" t="s">
        <v>32</v>
      </c>
      <c r="G35" t="s">
        <v>33</v>
      </c>
      <c r="H35" t="s">
        <v>41</v>
      </c>
      <c r="I35" t="s">
        <v>42</v>
      </c>
      <c r="J35">
        <v>2</v>
      </c>
      <c r="K35">
        <v>0</v>
      </c>
      <c r="L35" t="s">
        <v>36</v>
      </c>
      <c r="M35" t="s">
        <v>37</v>
      </c>
      <c r="N35">
        <v>0</v>
      </c>
      <c r="O35">
        <v>0</v>
      </c>
      <c r="P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 t="s">
        <v>36</v>
      </c>
      <c r="AB35" t="s">
        <v>43</v>
      </c>
      <c r="AC35" t="str">
        <f t="shared" si="0"/>
        <v>CP</v>
      </c>
      <c r="AD35" t="str">
        <f>_xlfn.XLOOKUP(C35,Mapping!A:A,Mapping!D:D,0,0)</f>
        <v>Bin</v>
      </c>
      <c r="AE35" t="str">
        <f t="shared" si="1"/>
        <v>OLD</v>
      </c>
    </row>
    <row r="36" spans="1:31" x14ac:dyDescent="0.2">
      <c r="A36" t="s">
        <v>39</v>
      </c>
      <c r="B36">
        <v>1011822372</v>
      </c>
      <c r="C36" t="s">
        <v>80</v>
      </c>
      <c r="D36" t="s">
        <v>31</v>
      </c>
      <c r="E36" s="1">
        <v>0.38611111111111113</v>
      </c>
      <c r="F36" t="s">
        <v>32</v>
      </c>
      <c r="G36" t="s">
        <v>33</v>
      </c>
      <c r="H36" t="s">
        <v>41</v>
      </c>
      <c r="I36" t="s">
        <v>42</v>
      </c>
      <c r="J36">
        <v>2</v>
      </c>
      <c r="K36">
        <v>0</v>
      </c>
      <c r="L36" t="s">
        <v>36</v>
      </c>
      <c r="M36" t="s">
        <v>37</v>
      </c>
      <c r="N36">
        <v>0</v>
      </c>
      <c r="O36">
        <v>0</v>
      </c>
      <c r="P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 t="s">
        <v>36</v>
      </c>
      <c r="AB36" t="s">
        <v>43</v>
      </c>
      <c r="AC36" t="str">
        <f t="shared" si="0"/>
        <v>CP</v>
      </c>
      <c r="AD36" t="str">
        <f>_xlfn.XLOOKUP(C36,Mapping!A:A,Mapping!D:D,0,0)</f>
        <v>Bin</v>
      </c>
      <c r="AE36" t="str">
        <f t="shared" si="1"/>
        <v>OLD</v>
      </c>
    </row>
    <row r="37" spans="1:31" x14ac:dyDescent="0.2">
      <c r="A37" t="s">
        <v>39</v>
      </c>
      <c r="B37">
        <v>1011822382</v>
      </c>
      <c r="C37" t="s">
        <v>81</v>
      </c>
      <c r="D37" t="s">
        <v>31</v>
      </c>
      <c r="E37" s="1">
        <v>0.38611111111111113</v>
      </c>
      <c r="F37" t="s">
        <v>32</v>
      </c>
      <c r="G37" t="s">
        <v>33</v>
      </c>
      <c r="H37" t="s">
        <v>41</v>
      </c>
      <c r="I37" t="s">
        <v>42</v>
      </c>
      <c r="J37">
        <v>2</v>
      </c>
      <c r="K37">
        <v>0</v>
      </c>
      <c r="L37" t="s">
        <v>36</v>
      </c>
      <c r="M37" t="s">
        <v>37</v>
      </c>
      <c r="N37">
        <v>0</v>
      </c>
      <c r="O37">
        <v>0</v>
      </c>
      <c r="P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 t="s">
        <v>36</v>
      </c>
      <c r="AB37" t="s">
        <v>43</v>
      </c>
      <c r="AC37" t="str">
        <f t="shared" si="0"/>
        <v>CP</v>
      </c>
      <c r="AD37" t="str">
        <f>_xlfn.XLOOKUP(C37,Mapping!A:A,Mapping!D:D,0,0)</f>
        <v>Bin</v>
      </c>
      <c r="AE37" t="str">
        <f t="shared" si="1"/>
        <v>OLD</v>
      </c>
    </row>
    <row r="38" spans="1:31" x14ac:dyDescent="0.2">
      <c r="A38" t="s">
        <v>39</v>
      </c>
      <c r="B38">
        <v>1011822392</v>
      </c>
      <c r="C38" t="s">
        <v>82</v>
      </c>
      <c r="D38" t="s">
        <v>31</v>
      </c>
      <c r="E38" s="1">
        <v>0.67291666666666672</v>
      </c>
      <c r="F38" t="s">
        <v>32</v>
      </c>
      <c r="G38" t="s">
        <v>33</v>
      </c>
      <c r="H38" t="s">
        <v>41</v>
      </c>
      <c r="I38" t="s">
        <v>62</v>
      </c>
      <c r="J38">
        <v>72</v>
      </c>
      <c r="K38">
        <v>0</v>
      </c>
      <c r="L38" t="s">
        <v>63</v>
      </c>
      <c r="M38">
        <v>100</v>
      </c>
      <c r="N38">
        <v>0</v>
      </c>
      <c r="O38">
        <v>0</v>
      </c>
      <c r="P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 t="s">
        <v>36</v>
      </c>
      <c r="AB38" t="s">
        <v>43</v>
      </c>
      <c r="AC38" t="str">
        <f t="shared" si="0"/>
        <v>CP</v>
      </c>
      <c r="AD38" t="str">
        <f>_xlfn.XLOOKUP(C38,Mapping!A:A,Mapping!D:D,0,0)</f>
        <v>Bin</v>
      </c>
      <c r="AE38" t="str">
        <f t="shared" si="1"/>
        <v>OLD</v>
      </c>
    </row>
    <row r="39" spans="1:31" x14ac:dyDescent="0.2">
      <c r="A39" t="s">
        <v>39</v>
      </c>
      <c r="B39">
        <v>1011822412</v>
      </c>
      <c r="C39" t="s">
        <v>83</v>
      </c>
      <c r="D39" t="s">
        <v>31</v>
      </c>
      <c r="E39" s="1">
        <v>0.67291666666666672</v>
      </c>
      <c r="F39" t="s">
        <v>32</v>
      </c>
      <c r="G39" t="s">
        <v>33</v>
      </c>
      <c r="H39" t="s">
        <v>34</v>
      </c>
      <c r="I39" t="s">
        <v>84</v>
      </c>
      <c r="J39">
        <v>140</v>
      </c>
      <c r="K39">
        <v>0</v>
      </c>
      <c r="L39" t="s">
        <v>36</v>
      </c>
      <c r="M39" t="s">
        <v>37</v>
      </c>
      <c r="N39">
        <v>0</v>
      </c>
      <c r="O39">
        <v>0</v>
      </c>
      <c r="P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 t="s">
        <v>36</v>
      </c>
      <c r="AB39" t="s">
        <v>43</v>
      </c>
      <c r="AC39" t="str">
        <f t="shared" si="0"/>
        <v>CP</v>
      </c>
      <c r="AD39" t="str">
        <f>_xlfn.XLOOKUP(C39,Mapping!A:A,Mapping!D:D,0,0)</f>
        <v>Bin</v>
      </c>
      <c r="AE39" t="str">
        <f t="shared" si="1"/>
        <v>OLD</v>
      </c>
    </row>
    <row r="40" spans="1:31" x14ac:dyDescent="0.2">
      <c r="A40" t="s">
        <v>39</v>
      </c>
      <c r="B40">
        <v>1011822422</v>
      </c>
      <c r="C40" t="s">
        <v>85</v>
      </c>
      <c r="D40" t="s">
        <v>31</v>
      </c>
      <c r="E40" s="1">
        <v>0.67291666666666672</v>
      </c>
      <c r="F40" t="s">
        <v>32</v>
      </c>
      <c r="G40" t="s">
        <v>33</v>
      </c>
      <c r="H40" t="s">
        <v>41</v>
      </c>
      <c r="I40" t="s">
        <v>62</v>
      </c>
      <c r="J40">
        <v>468</v>
      </c>
      <c r="K40">
        <v>0</v>
      </c>
      <c r="L40" t="s">
        <v>36</v>
      </c>
      <c r="M40" t="s">
        <v>37</v>
      </c>
      <c r="N40">
        <v>0</v>
      </c>
      <c r="O40">
        <v>0</v>
      </c>
      <c r="P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 t="s">
        <v>36</v>
      </c>
      <c r="AB40" t="s">
        <v>43</v>
      </c>
      <c r="AC40" t="str">
        <f t="shared" si="0"/>
        <v>CP</v>
      </c>
      <c r="AD40" t="str">
        <f>_xlfn.XLOOKUP(C40,Mapping!A:A,Mapping!D:D,0,0)</f>
        <v>Bin</v>
      </c>
      <c r="AE40" t="str">
        <f t="shared" si="1"/>
        <v>OLD</v>
      </c>
    </row>
    <row r="41" spans="1:31" x14ac:dyDescent="0.2">
      <c r="A41" t="s">
        <v>39</v>
      </c>
      <c r="B41">
        <v>1011822432</v>
      </c>
      <c r="C41" t="s">
        <v>86</v>
      </c>
      <c r="D41" t="s">
        <v>31</v>
      </c>
      <c r="E41" s="1">
        <v>0.67291666666666672</v>
      </c>
      <c r="F41" t="s">
        <v>32</v>
      </c>
      <c r="G41" t="s">
        <v>33</v>
      </c>
      <c r="H41" t="s">
        <v>41</v>
      </c>
      <c r="I41" t="s">
        <v>84</v>
      </c>
      <c r="J41">
        <v>468</v>
      </c>
      <c r="K41">
        <v>0</v>
      </c>
      <c r="L41" t="s">
        <v>36</v>
      </c>
      <c r="M41" t="s">
        <v>37</v>
      </c>
      <c r="N41">
        <v>0</v>
      </c>
      <c r="O41">
        <v>0</v>
      </c>
      <c r="P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 t="s">
        <v>36</v>
      </c>
      <c r="AB41" t="s">
        <v>43</v>
      </c>
      <c r="AC41" t="str">
        <f t="shared" si="0"/>
        <v>CP</v>
      </c>
      <c r="AD41" t="str">
        <f>_xlfn.XLOOKUP(C41,Mapping!A:A,Mapping!D:D,0,0)</f>
        <v>Bin</v>
      </c>
      <c r="AE41" t="str">
        <f t="shared" si="1"/>
        <v>OLD</v>
      </c>
    </row>
    <row r="42" spans="1:31" x14ac:dyDescent="0.2">
      <c r="A42" t="s">
        <v>39</v>
      </c>
      <c r="B42">
        <v>1011822442</v>
      </c>
      <c r="C42" t="s">
        <v>87</v>
      </c>
      <c r="D42" t="s">
        <v>31</v>
      </c>
      <c r="E42" s="1">
        <v>0.67291666666666672</v>
      </c>
      <c r="F42" t="s">
        <v>32</v>
      </c>
      <c r="G42" t="s">
        <v>33</v>
      </c>
      <c r="H42" t="s">
        <v>34</v>
      </c>
      <c r="I42" t="s">
        <v>84</v>
      </c>
      <c r="J42">
        <v>88</v>
      </c>
      <c r="K42">
        <v>0</v>
      </c>
      <c r="L42" t="s">
        <v>63</v>
      </c>
      <c r="M42">
        <v>500</v>
      </c>
      <c r="N42">
        <v>0</v>
      </c>
      <c r="O42">
        <v>0</v>
      </c>
      <c r="P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 t="s">
        <v>36</v>
      </c>
      <c r="AB42" t="s">
        <v>43</v>
      </c>
      <c r="AC42" t="str">
        <f t="shared" si="0"/>
        <v>CP</v>
      </c>
      <c r="AD42" t="str">
        <f>_xlfn.XLOOKUP(C42,Mapping!A:A,Mapping!D:D,0,0)</f>
        <v>Bin</v>
      </c>
      <c r="AE42" t="str">
        <f t="shared" si="1"/>
        <v>OLD</v>
      </c>
    </row>
    <row r="43" spans="1:31" x14ac:dyDescent="0.2">
      <c r="A43" t="s">
        <v>39</v>
      </c>
      <c r="B43">
        <v>1011822452</v>
      </c>
      <c r="C43" t="s">
        <v>88</v>
      </c>
      <c r="D43" t="s">
        <v>31</v>
      </c>
      <c r="E43" s="1">
        <v>0.67291666666666672</v>
      </c>
      <c r="F43" t="s">
        <v>32</v>
      </c>
      <c r="G43" t="s">
        <v>33</v>
      </c>
      <c r="H43" t="s">
        <v>34</v>
      </c>
      <c r="I43" t="s">
        <v>84</v>
      </c>
      <c r="J43">
        <v>88</v>
      </c>
      <c r="K43">
        <v>0</v>
      </c>
      <c r="L43" t="s">
        <v>63</v>
      </c>
      <c r="M43">
        <v>500</v>
      </c>
      <c r="N43">
        <v>0</v>
      </c>
      <c r="O43">
        <v>0</v>
      </c>
      <c r="P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 t="s">
        <v>36</v>
      </c>
      <c r="AB43" t="s">
        <v>43</v>
      </c>
      <c r="AC43" t="str">
        <f t="shared" si="0"/>
        <v>CP</v>
      </c>
      <c r="AD43" t="str">
        <f>_xlfn.XLOOKUP(C43,Mapping!A:A,Mapping!D:D,0,0)</f>
        <v>Bin</v>
      </c>
      <c r="AE43" t="str">
        <f t="shared" si="1"/>
        <v>OLD</v>
      </c>
    </row>
    <row r="44" spans="1:31" x14ac:dyDescent="0.2">
      <c r="A44" t="s">
        <v>39</v>
      </c>
      <c r="B44">
        <v>1011822462</v>
      </c>
      <c r="C44" t="s">
        <v>89</v>
      </c>
      <c r="D44" t="s">
        <v>31</v>
      </c>
      <c r="E44" s="1">
        <v>0.67291666666666672</v>
      </c>
      <c r="F44" t="s">
        <v>32</v>
      </c>
      <c r="G44" t="s">
        <v>33</v>
      </c>
      <c r="H44" t="s">
        <v>41</v>
      </c>
      <c r="I44" t="s">
        <v>84</v>
      </c>
      <c r="J44">
        <v>72</v>
      </c>
      <c r="K44">
        <v>0</v>
      </c>
      <c r="L44" t="s">
        <v>63</v>
      </c>
      <c r="M44">
        <v>100</v>
      </c>
      <c r="N44">
        <v>0</v>
      </c>
      <c r="O44">
        <v>0</v>
      </c>
      <c r="P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 t="s">
        <v>36</v>
      </c>
      <c r="AB44" t="s">
        <v>43</v>
      </c>
      <c r="AC44" t="str">
        <f t="shared" si="0"/>
        <v>CP</v>
      </c>
      <c r="AD44" t="str">
        <f>_xlfn.XLOOKUP(C44,Mapping!A:A,Mapping!D:D,0,0)</f>
        <v>Bin</v>
      </c>
      <c r="AE44" t="str">
        <f t="shared" si="1"/>
        <v>OLD</v>
      </c>
    </row>
    <row r="45" spans="1:31" x14ac:dyDescent="0.2">
      <c r="A45" t="s">
        <v>39</v>
      </c>
      <c r="B45">
        <v>1011822472</v>
      </c>
      <c r="C45" t="s">
        <v>90</v>
      </c>
      <c r="D45" t="s">
        <v>31</v>
      </c>
      <c r="E45" s="1">
        <v>0.67291666666666672</v>
      </c>
      <c r="F45" t="s">
        <v>32</v>
      </c>
      <c r="G45" t="s">
        <v>33</v>
      </c>
      <c r="H45" t="s">
        <v>41</v>
      </c>
      <c r="I45" t="s">
        <v>62</v>
      </c>
      <c r="J45">
        <v>468</v>
      </c>
      <c r="K45">
        <v>0</v>
      </c>
      <c r="L45" t="s">
        <v>36</v>
      </c>
      <c r="M45" t="s">
        <v>37</v>
      </c>
      <c r="N45">
        <v>0</v>
      </c>
      <c r="O45">
        <v>0</v>
      </c>
      <c r="P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 t="s">
        <v>36</v>
      </c>
      <c r="AB45" t="s">
        <v>43</v>
      </c>
      <c r="AC45" t="str">
        <f t="shared" si="0"/>
        <v>CP</v>
      </c>
      <c r="AD45" t="str">
        <f>_xlfn.XLOOKUP(C45,Mapping!A:A,Mapping!D:D,0,0)</f>
        <v>Bin</v>
      </c>
      <c r="AE45" t="str">
        <f t="shared" si="1"/>
        <v>OLD</v>
      </c>
    </row>
    <row r="46" spans="1:31" x14ac:dyDescent="0.2">
      <c r="A46" t="s">
        <v>39</v>
      </c>
      <c r="B46">
        <v>1011822482</v>
      </c>
      <c r="C46" t="s">
        <v>91</v>
      </c>
      <c r="D46" t="s">
        <v>31</v>
      </c>
      <c r="E46" s="1">
        <v>0.67291666666666672</v>
      </c>
      <c r="F46" t="s">
        <v>32</v>
      </c>
      <c r="G46" t="s">
        <v>33</v>
      </c>
      <c r="H46" t="s">
        <v>34</v>
      </c>
      <c r="I46" t="s">
        <v>84</v>
      </c>
      <c r="J46">
        <v>268</v>
      </c>
      <c r="K46">
        <v>0</v>
      </c>
      <c r="L46" t="s">
        <v>36</v>
      </c>
      <c r="M46" t="s">
        <v>37</v>
      </c>
      <c r="N46">
        <v>0</v>
      </c>
      <c r="O46">
        <v>0</v>
      </c>
      <c r="P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 t="s">
        <v>36</v>
      </c>
      <c r="AB46" t="s">
        <v>43</v>
      </c>
      <c r="AC46" t="str">
        <f t="shared" si="0"/>
        <v>CP</v>
      </c>
      <c r="AD46" t="str">
        <f>_xlfn.XLOOKUP(C46,Mapping!A:A,Mapping!D:D,0,0)</f>
        <v>Bin</v>
      </c>
      <c r="AE46" t="str">
        <f t="shared" si="1"/>
        <v>OLD</v>
      </c>
    </row>
    <row r="47" spans="1:31" x14ac:dyDescent="0.2">
      <c r="A47" t="s">
        <v>39</v>
      </c>
      <c r="B47">
        <v>1011822492</v>
      </c>
      <c r="C47" t="s">
        <v>92</v>
      </c>
      <c r="D47" t="s">
        <v>31</v>
      </c>
      <c r="E47" s="1">
        <v>0.67291666666666672</v>
      </c>
      <c r="F47" t="s">
        <v>32</v>
      </c>
      <c r="G47" t="s">
        <v>33</v>
      </c>
      <c r="H47" t="s">
        <v>41</v>
      </c>
      <c r="I47" t="s">
        <v>84</v>
      </c>
      <c r="J47">
        <v>72</v>
      </c>
      <c r="K47">
        <v>0</v>
      </c>
      <c r="L47" t="s">
        <v>36</v>
      </c>
      <c r="M47" t="s">
        <v>37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 t="s">
        <v>36</v>
      </c>
      <c r="AB47" t="s">
        <v>43</v>
      </c>
      <c r="AC47" t="str">
        <f t="shared" si="0"/>
        <v>CP</v>
      </c>
      <c r="AD47" t="str">
        <f>_xlfn.XLOOKUP(C47,Mapping!A:A,Mapping!D:D,0,0)</f>
        <v>Bin</v>
      </c>
      <c r="AE47" t="str">
        <f t="shared" si="1"/>
        <v>OLD</v>
      </c>
    </row>
    <row r="48" spans="1:31" x14ac:dyDescent="0.2">
      <c r="A48" t="s">
        <v>39</v>
      </c>
      <c r="B48">
        <v>1011822502</v>
      </c>
      <c r="C48" t="s">
        <v>93</v>
      </c>
      <c r="D48" t="s">
        <v>31</v>
      </c>
      <c r="E48" s="1">
        <v>0.67291666666666672</v>
      </c>
      <c r="F48" t="s">
        <v>32</v>
      </c>
      <c r="G48" t="s">
        <v>33</v>
      </c>
      <c r="H48" t="s">
        <v>41</v>
      </c>
      <c r="I48" t="s">
        <v>62</v>
      </c>
      <c r="J48">
        <v>308</v>
      </c>
      <c r="K48">
        <v>0</v>
      </c>
      <c r="L48" t="s">
        <v>36</v>
      </c>
      <c r="M48" t="s">
        <v>37</v>
      </c>
      <c r="N48">
        <v>0</v>
      </c>
      <c r="O48">
        <v>0</v>
      </c>
      <c r="P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 t="s">
        <v>36</v>
      </c>
      <c r="AB48" t="s">
        <v>43</v>
      </c>
      <c r="AC48" t="str">
        <f t="shared" si="0"/>
        <v>CP</v>
      </c>
      <c r="AD48" t="str">
        <f>_xlfn.XLOOKUP(C48,Mapping!A:A,Mapping!D:D,0,0)</f>
        <v>Bin</v>
      </c>
      <c r="AE48" t="str">
        <f t="shared" si="1"/>
        <v>OLD</v>
      </c>
    </row>
    <row r="49" spans="1:31" x14ac:dyDescent="0.2">
      <c r="A49" t="s">
        <v>39</v>
      </c>
      <c r="B49">
        <v>1011822512</v>
      </c>
      <c r="C49" t="s">
        <v>94</v>
      </c>
      <c r="D49" t="s">
        <v>31</v>
      </c>
      <c r="E49" s="1">
        <v>0.67291666666666672</v>
      </c>
      <c r="F49" t="s">
        <v>32</v>
      </c>
      <c r="G49" t="s">
        <v>33</v>
      </c>
      <c r="H49" t="s">
        <v>41</v>
      </c>
      <c r="I49" t="s">
        <v>62</v>
      </c>
      <c r="J49">
        <v>126</v>
      </c>
      <c r="K49">
        <v>0</v>
      </c>
      <c r="L49" t="s">
        <v>36</v>
      </c>
      <c r="M49" t="s">
        <v>37</v>
      </c>
      <c r="N49">
        <v>0</v>
      </c>
      <c r="O49">
        <v>0</v>
      </c>
      <c r="P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 t="s">
        <v>36</v>
      </c>
      <c r="AB49" t="s">
        <v>43</v>
      </c>
      <c r="AC49" t="str">
        <f t="shared" si="0"/>
        <v>CP</v>
      </c>
      <c r="AD49" t="str">
        <f>_xlfn.XLOOKUP(C49,Mapping!A:A,Mapping!D:D,0,0)</f>
        <v>Keyword - Preroll</v>
      </c>
      <c r="AE49" t="str">
        <f t="shared" si="1"/>
        <v>OLD</v>
      </c>
    </row>
    <row r="50" spans="1:31" x14ac:dyDescent="0.2">
      <c r="A50" t="s">
        <v>29</v>
      </c>
      <c r="B50">
        <v>1011822522</v>
      </c>
      <c r="C50" t="s">
        <v>95</v>
      </c>
      <c r="D50" t="s">
        <v>31</v>
      </c>
      <c r="E50" s="1">
        <v>0.67291666666666672</v>
      </c>
      <c r="F50" t="s">
        <v>32</v>
      </c>
      <c r="G50" t="s">
        <v>33</v>
      </c>
      <c r="H50" t="s">
        <v>34</v>
      </c>
      <c r="I50" t="s">
        <v>84</v>
      </c>
      <c r="J50">
        <v>65</v>
      </c>
      <c r="K50">
        <v>0</v>
      </c>
      <c r="L50" t="s">
        <v>36</v>
      </c>
      <c r="M50" t="s">
        <v>37</v>
      </c>
      <c r="N50">
        <v>16659</v>
      </c>
      <c r="O50">
        <v>898</v>
      </c>
      <c r="P50">
        <v>5.3904800000000002</v>
      </c>
      <c r="Q50">
        <v>2</v>
      </c>
      <c r="R50">
        <v>46.87</v>
      </c>
      <c r="S50">
        <v>2.8140000000000001</v>
      </c>
      <c r="T50">
        <v>5.1999999999999998E-2</v>
      </c>
      <c r="U50">
        <v>23.434999999999999</v>
      </c>
      <c r="V50">
        <v>1</v>
      </c>
      <c r="W50">
        <v>0</v>
      </c>
      <c r="X50" t="s">
        <v>36</v>
      </c>
      <c r="Y50">
        <v>16659</v>
      </c>
      <c r="Z50">
        <v>12323</v>
      </c>
      <c r="AA50">
        <v>1934</v>
      </c>
      <c r="AB50" t="s">
        <v>96</v>
      </c>
      <c r="AC50" t="str">
        <f t="shared" si="0"/>
        <v>CP</v>
      </c>
      <c r="AD50" t="str">
        <f>_xlfn.XLOOKUP(C50,Mapping!A:A,Mapping!D:D,0,0)</f>
        <v>Furry</v>
      </c>
      <c r="AE50" t="str">
        <f t="shared" si="1"/>
        <v>OLD</v>
      </c>
    </row>
    <row r="51" spans="1:31" x14ac:dyDescent="0.2">
      <c r="A51" t="s">
        <v>39</v>
      </c>
      <c r="B51">
        <v>1011822532</v>
      </c>
      <c r="C51" t="s">
        <v>97</v>
      </c>
      <c r="D51" t="s">
        <v>31</v>
      </c>
      <c r="E51" s="1">
        <v>0.67291666666666672</v>
      </c>
      <c r="F51" t="s">
        <v>32</v>
      </c>
      <c r="G51" t="s">
        <v>33</v>
      </c>
      <c r="H51" t="s">
        <v>34</v>
      </c>
      <c r="I51" t="s">
        <v>84</v>
      </c>
      <c r="J51">
        <v>273</v>
      </c>
      <c r="K51">
        <v>0</v>
      </c>
      <c r="L51" t="s">
        <v>36</v>
      </c>
      <c r="M51" t="s">
        <v>37</v>
      </c>
      <c r="N51">
        <v>0</v>
      </c>
      <c r="O51">
        <v>0</v>
      </c>
      <c r="P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 t="s">
        <v>36</v>
      </c>
      <c r="AB51" t="s">
        <v>43</v>
      </c>
      <c r="AC51" t="str">
        <f t="shared" si="0"/>
        <v>CP</v>
      </c>
      <c r="AD51" t="str">
        <f>_xlfn.XLOOKUP(C51,Mapping!A:A,Mapping!D:D,0,0)</f>
        <v>Keyword - Preroll</v>
      </c>
      <c r="AE51" t="str">
        <f t="shared" si="1"/>
        <v>OLD</v>
      </c>
    </row>
    <row r="52" spans="1:31" x14ac:dyDescent="0.2">
      <c r="A52" t="s">
        <v>39</v>
      </c>
      <c r="B52">
        <v>1011822542</v>
      </c>
      <c r="C52" t="s">
        <v>98</v>
      </c>
      <c r="D52" t="s">
        <v>31</v>
      </c>
      <c r="E52" s="1">
        <v>0.67291666666666672</v>
      </c>
      <c r="F52" t="s">
        <v>32</v>
      </c>
      <c r="G52" t="s">
        <v>33</v>
      </c>
      <c r="H52" t="s">
        <v>41</v>
      </c>
      <c r="I52" t="s">
        <v>62</v>
      </c>
      <c r="J52">
        <v>308</v>
      </c>
      <c r="K52">
        <v>0</v>
      </c>
      <c r="L52" t="s">
        <v>36</v>
      </c>
      <c r="M52" t="s">
        <v>37</v>
      </c>
      <c r="N52">
        <v>0</v>
      </c>
      <c r="O52">
        <v>0</v>
      </c>
      <c r="P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 t="s">
        <v>36</v>
      </c>
      <c r="AB52" t="s">
        <v>43</v>
      </c>
      <c r="AC52" t="str">
        <f t="shared" si="0"/>
        <v>CP</v>
      </c>
      <c r="AD52" t="str">
        <f>_xlfn.XLOOKUP(C52,Mapping!A:A,Mapping!D:D,0,0)</f>
        <v>Bin</v>
      </c>
      <c r="AE52" t="str">
        <f t="shared" si="1"/>
        <v>OLD</v>
      </c>
    </row>
    <row r="53" spans="1:31" x14ac:dyDescent="0.2">
      <c r="A53" t="s">
        <v>39</v>
      </c>
      <c r="B53">
        <v>1011822552</v>
      </c>
      <c r="C53" t="s">
        <v>99</v>
      </c>
      <c r="D53" t="s">
        <v>31</v>
      </c>
      <c r="E53" s="1">
        <v>0.67291666666666672</v>
      </c>
      <c r="F53" t="s">
        <v>32</v>
      </c>
      <c r="G53" t="s">
        <v>33</v>
      </c>
      <c r="H53" t="s">
        <v>41</v>
      </c>
      <c r="I53" t="s">
        <v>62</v>
      </c>
      <c r="J53">
        <v>126</v>
      </c>
      <c r="K53">
        <v>0</v>
      </c>
      <c r="L53" t="s">
        <v>63</v>
      </c>
      <c r="M53">
        <v>100</v>
      </c>
      <c r="N53">
        <v>0</v>
      </c>
      <c r="O53">
        <v>0</v>
      </c>
      <c r="P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 t="s">
        <v>36</v>
      </c>
      <c r="AB53" t="s">
        <v>43</v>
      </c>
      <c r="AC53" t="str">
        <f t="shared" si="0"/>
        <v>CP</v>
      </c>
      <c r="AD53" t="str">
        <f>_xlfn.XLOOKUP(C53,Mapping!A:A,Mapping!D:D,0,0)</f>
        <v>Bin</v>
      </c>
      <c r="AE53" t="str">
        <f t="shared" si="1"/>
        <v>OLD</v>
      </c>
    </row>
    <row r="54" spans="1:31" x14ac:dyDescent="0.2">
      <c r="A54" t="s">
        <v>39</v>
      </c>
      <c r="B54">
        <v>1011822562</v>
      </c>
      <c r="C54" t="s">
        <v>100</v>
      </c>
      <c r="D54" t="s">
        <v>31</v>
      </c>
      <c r="E54" s="1">
        <v>0.67291666666666672</v>
      </c>
      <c r="F54" t="s">
        <v>32</v>
      </c>
      <c r="G54" t="s">
        <v>33</v>
      </c>
      <c r="H54" t="s">
        <v>34</v>
      </c>
      <c r="I54" t="s">
        <v>84</v>
      </c>
      <c r="J54">
        <v>273</v>
      </c>
      <c r="K54">
        <v>0</v>
      </c>
      <c r="L54" t="s">
        <v>36</v>
      </c>
      <c r="M54" t="s">
        <v>37</v>
      </c>
      <c r="N54">
        <v>0</v>
      </c>
      <c r="O54">
        <v>0</v>
      </c>
      <c r="P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 t="s">
        <v>36</v>
      </c>
      <c r="AB54" t="s">
        <v>43</v>
      </c>
      <c r="AC54" t="str">
        <f t="shared" si="0"/>
        <v>CP</v>
      </c>
      <c r="AD54" t="str">
        <f>_xlfn.XLOOKUP(C54,Mapping!A:A,Mapping!D:D,0,0)</f>
        <v>Bin</v>
      </c>
      <c r="AE54" t="str">
        <f t="shared" si="1"/>
        <v>OLD</v>
      </c>
    </row>
    <row r="55" spans="1:31" x14ac:dyDescent="0.2">
      <c r="A55" t="s">
        <v>39</v>
      </c>
      <c r="B55">
        <v>1011822572</v>
      </c>
      <c r="C55" t="s">
        <v>101</v>
      </c>
      <c r="D55" t="s">
        <v>31</v>
      </c>
      <c r="E55" s="1">
        <v>0.67291666666666672</v>
      </c>
      <c r="F55" t="s">
        <v>32</v>
      </c>
      <c r="G55" t="s">
        <v>33</v>
      </c>
      <c r="H55" t="s">
        <v>41</v>
      </c>
      <c r="I55" t="s">
        <v>62</v>
      </c>
      <c r="J55">
        <v>522</v>
      </c>
      <c r="K55">
        <v>0</v>
      </c>
      <c r="L55" t="s">
        <v>36</v>
      </c>
      <c r="M55" t="s">
        <v>37</v>
      </c>
      <c r="N55">
        <v>0</v>
      </c>
      <c r="O55">
        <v>0</v>
      </c>
      <c r="P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 t="s">
        <v>36</v>
      </c>
      <c r="AB55" t="s">
        <v>43</v>
      </c>
      <c r="AC55" t="str">
        <f t="shared" si="0"/>
        <v>CP</v>
      </c>
      <c r="AD55" t="str">
        <f>_xlfn.XLOOKUP(C55,Mapping!A:A,Mapping!D:D,0,0)</f>
        <v>Keyword - Preroll</v>
      </c>
      <c r="AE55" t="str">
        <f t="shared" si="1"/>
        <v>OLD</v>
      </c>
    </row>
    <row r="56" spans="1:31" x14ac:dyDescent="0.2">
      <c r="A56" t="s">
        <v>39</v>
      </c>
      <c r="B56">
        <v>1011822582</v>
      </c>
      <c r="C56" t="s">
        <v>102</v>
      </c>
      <c r="D56" t="s">
        <v>31</v>
      </c>
      <c r="E56" s="1">
        <v>0.67291666666666672</v>
      </c>
      <c r="F56" t="s">
        <v>32</v>
      </c>
      <c r="G56" t="s">
        <v>33</v>
      </c>
      <c r="H56" t="s">
        <v>41</v>
      </c>
      <c r="I56" t="s">
        <v>62</v>
      </c>
      <c r="J56">
        <v>126</v>
      </c>
      <c r="K56">
        <v>0</v>
      </c>
      <c r="L56" t="s">
        <v>63</v>
      </c>
      <c r="M56">
        <v>100</v>
      </c>
      <c r="N56">
        <v>0</v>
      </c>
      <c r="O56">
        <v>0</v>
      </c>
      <c r="P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 t="s">
        <v>36</v>
      </c>
      <c r="AB56" t="s">
        <v>43</v>
      </c>
      <c r="AC56" t="str">
        <f t="shared" si="0"/>
        <v>CP</v>
      </c>
      <c r="AD56" t="str">
        <f>_xlfn.XLOOKUP(C56,Mapping!A:A,Mapping!D:D,0,0)</f>
        <v>Bin</v>
      </c>
      <c r="AE56" t="str">
        <f t="shared" si="1"/>
        <v>OLD</v>
      </c>
    </row>
    <row r="57" spans="1:31" x14ac:dyDescent="0.2">
      <c r="A57" t="s">
        <v>39</v>
      </c>
      <c r="B57">
        <v>1011822592</v>
      </c>
      <c r="C57" t="s">
        <v>103</v>
      </c>
      <c r="D57" t="s">
        <v>31</v>
      </c>
      <c r="E57" s="1">
        <v>0.67291666666666672</v>
      </c>
      <c r="F57" t="s">
        <v>32</v>
      </c>
      <c r="G57" t="s">
        <v>33</v>
      </c>
      <c r="H57" t="s">
        <v>34</v>
      </c>
      <c r="I57" t="s">
        <v>84</v>
      </c>
      <c r="J57">
        <v>273</v>
      </c>
      <c r="K57">
        <v>0</v>
      </c>
      <c r="L57" t="s">
        <v>36</v>
      </c>
      <c r="M57" t="s">
        <v>37</v>
      </c>
      <c r="N57">
        <v>0</v>
      </c>
      <c r="O57">
        <v>0</v>
      </c>
      <c r="P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 t="s">
        <v>36</v>
      </c>
      <c r="AB57" t="s">
        <v>43</v>
      </c>
      <c r="AC57" t="str">
        <f t="shared" si="0"/>
        <v>CP</v>
      </c>
      <c r="AD57" t="str">
        <f>_xlfn.XLOOKUP(C57,Mapping!A:A,Mapping!D:D,0,0)</f>
        <v>Keyword - Preroll</v>
      </c>
      <c r="AE57" t="str">
        <f t="shared" si="1"/>
        <v>OLD</v>
      </c>
    </row>
    <row r="58" spans="1:31" x14ac:dyDescent="0.2">
      <c r="A58" t="s">
        <v>39</v>
      </c>
      <c r="B58">
        <v>1011822602</v>
      </c>
      <c r="C58" t="s">
        <v>104</v>
      </c>
      <c r="D58" t="s">
        <v>31</v>
      </c>
      <c r="E58" s="1">
        <v>0.67291666666666672</v>
      </c>
      <c r="F58" t="s">
        <v>32</v>
      </c>
      <c r="G58" t="s">
        <v>33</v>
      </c>
      <c r="H58" t="s">
        <v>41</v>
      </c>
      <c r="I58" t="s">
        <v>62</v>
      </c>
      <c r="J58">
        <v>522</v>
      </c>
      <c r="K58">
        <v>0</v>
      </c>
      <c r="L58" t="s">
        <v>36</v>
      </c>
      <c r="M58" t="s">
        <v>37</v>
      </c>
      <c r="N58">
        <v>0</v>
      </c>
      <c r="O58">
        <v>0</v>
      </c>
      <c r="P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 t="s">
        <v>36</v>
      </c>
      <c r="AB58" t="s">
        <v>43</v>
      </c>
      <c r="AC58" t="str">
        <f t="shared" si="0"/>
        <v>CP</v>
      </c>
      <c r="AD58" t="str">
        <f>_xlfn.XLOOKUP(C58,Mapping!A:A,Mapping!D:D,0,0)</f>
        <v>Bin</v>
      </c>
      <c r="AE58" t="str">
        <f t="shared" si="1"/>
        <v>OLD</v>
      </c>
    </row>
    <row r="59" spans="1:31" x14ac:dyDescent="0.2">
      <c r="A59" t="s">
        <v>39</v>
      </c>
      <c r="B59">
        <v>1011822612</v>
      </c>
      <c r="C59" t="s">
        <v>105</v>
      </c>
      <c r="D59" t="s">
        <v>31</v>
      </c>
      <c r="E59" s="1">
        <v>0.67291666666666672</v>
      </c>
      <c r="F59" t="s">
        <v>32</v>
      </c>
      <c r="G59" t="s">
        <v>33</v>
      </c>
      <c r="H59" t="s">
        <v>41</v>
      </c>
      <c r="I59" t="s">
        <v>62</v>
      </c>
      <c r="J59">
        <v>126</v>
      </c>
      <c r="K59">
        <v>0</v>
      </c>
      <c r="L59" t="s">
        <v>63</v>
      </c>
      <c r="M59">
        <v>100</v>
      </c>
      <c r="N59">
        <v>0</v>
      </c>
      <c r="O59">
        <v>0</v>
      </c>
      <c r="P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 t="s">
        <v>36</v>
      </c>
      <c r="AB59" t="s">
        <v>43</v>
      </c>
      <c r="AC59" t="str">
        <f t="shared" si="0"/>
        <v>CP</v>
      </c>
      <c r="AD59" t="str">
        <f>_xlfn.XLOOKUP(C59,Mapping!A:A,Mapping!D:D,0,0)</f>
        <v>Bin</v>
      </c>
      <c r="AE59" t="str">
        <f t="shared" si="1"/>
        <v>OLD</v>
      </c>
    </row>
    <row r="60" spans="1:31" x14ac:dyDescent="0.2">
      <c r="A60" t="s">
        <v>39</v>
      </c>
      <c r="B60">
        <v>1011822642</v>
      </c>
      <c r="C60" t="s">
        <v>106</v>
      </c>
      <c r="D60" t="s">
        <v>31</v>
      </c>
      <c r="E60" s="1">
        <v>0.67291666666666672</v>
      </c>
      <c r="F60" t="s">
        <v>32</v>
      </c>
      <c r="G60" t="s">
        <v>33</v>
      </c>
      <c r="H60" t="s">
        <v>41</v>
      </c>
      <c r="I60" t="s">
        <v>62</v>
      </c>
      <c r="J60">
        <v>616</v>
      </c>
      <c r="K60">
        <v>0</v>
      </c>
      <c r="L60" t="s">
        <v>36</v>
      </c>
      <c r="M60" t="s">
        <v>37</v>
      </c>
      <c r="N60">
        <v>0</v>
      </c>
      <c r="O60">
        <v>0</v>
      </c>
      <c r="P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 t="s">
        <v>36</v>
      </c>
      <c r="AB60" t="s">
        <v>43</v>
      </c>
      <c r="AC60" t="str">
        <f t="shared" si="0"/>
        <v>CP</v>
      </c>
      <c r="AD60" t="str">
        <f>_xlfn.XLOOKUP(C60,Mapping!A:A,Mapping!D:D,0,0)</f>
        <v>Bin</v>
      </c>
      <c r="AE60" t="str">
        <f t="shared" si="1"/>
        <v>OLD</v>
      </c>
    </row>
    <row r="61" spans="1:31" x14ac:dyDescent="0.2">
      <c r="A61" t="s">
        <v>39</v>
      </c>
      <c r="B61">
        <v>1011822652</v>
      </c>
      <c r="C61" t="s">
        <v>107</v>
      </c>
      <c r="D61" t="s">
        <v>31</v>
      </c>
      <c r="E61" s="1">
        <v>0.67291666666666672</v>
      </c>
      <c r="F61" t="s">
        <v>32</v>
      </c>
      <c r="G61" t="s">
        <v>33</v>
      </c>
      <c r="H61" t="s">
        <v>41</v>
      </c>
      <c r="I61" t="s">
        <v>62</v>
      </c>
      <c r="J61">
        <v>616</v>
      </c>
      <c r="K61">
        <v>0</v>
      </c>
      <c r="L61" t="s">
        <v>63</v>
      </c>
      <c r="M61">
        <v>200</v>
      </c>
      <c r="N61">
        <v>0</v>
      </c>
      <c r="O61">
        <v>0</v>
      </c>
      <c r="P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 t="s">
        <v>36</v>
      </c>
      <c r="AB61" t="s">
        <v>43</v>
      </c>
      <c r="AC61" t="str">
        <f t="shared" si="0"/>
        <v>CP</v>
      </c>
      <c r="AD61" t="str">
        <f>_xlfn.XLOOKUP(C61,Mapping!A:A,Mapping!D:D,0,0)</f>
        <v>Bin</v>
      </c>
      <c r="AE61" t="str">
        <f t="shared" si="1"/>
        <v>OLD</v>
      </c>
    </row>
    <row r="62" spans="1:31" x14ac:dyDescent="0.2">
      <c r="A62" t="s">
        <v>39</v>
      </c>
      <c r="B62">
        <v>1011822662</v>
      </c>
      <c r="C62" t="s">
        <v>108</v>
      </c>
      <c r="D62" t="s">
        <v>31</v>
      </c>
      <c r="E62" s="1">
        <v>0.67291666666666672</v>
      </c>
      <c r="F62" t="s">
        <v>32</v>
      </c>
      <c r="G62" t="s">
        <v>33</v>
      </c>
      <c r="H62" t="s">
        <v>41</v>
      </c>
      <c r="I62" t="s">
        <v>62</v>
      </c>
      <c r="J62">
        <v>220</v>
      </c>
      <c r="K62">
        <v>0</v>
      </c>
      <c r="L62" t="s">
        <v>63</v>
      </c>
      <c r="M62">
        <v>200</v>
      </c>
      <c r="N62">
        <v>0</v>
      </c>
      <c r="O62">
        <v>0</v>
      </c>
      <c r="P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 t="s">
        <v>36</v>
      </c>
      <c r="AB62" t="s">
        <v>43</v>
      </c>
      <c r="AC62" t="str">
        <f t="shared" si="0"/>
        <v>CP</v>
      </c>
      <c r="AD62" t="str">
        <f>_xlfn.XLOOKUP(C62,Mapping!A:A,Mapping!D:D,0,0)</f>
        <v>Bin</v>
      </c>
      <c r="AE62" t="str">
        <f t="shared" si="1"/>
        <v>OLD</v>
      </c>
    </row>
    <row r="63" spans="1:31" x14ac:dyDescent="0.2">
      <c r="A63" t="s">
        <v>39</v>
      </c>
      <c r="B63">
        <v>1011822672</v>
      </c>
      <c r="C63" t="s">
        <v>109</v>
      </c>
      <c r="D63" t="s">
        <v>31</v>
      </c>
      <c r="E63" s="1">
        <v>0.67291666666666672</v>
      </c>
      <c r="F63" t="s">
        <v>32</v>
      </c>
      <c r="G63" t="s">
        <v>33</v>
      </c>
      <c r="H63" t="s">
        <v>41</v>
      </c>
      <c r="I63" t="s">
        <v>62</v>
      </c>
      <c r="J63">
        <v>220</v>
      </c>
      <c r="K63">
        <v>0</v>
      </c>
      <c r="L63" t="s">
        <v>36</v>
      </c>
      <c r="M63" t="s">
        <v>37</v>
      </c>
      <c r="N63">
        <v>0</v>
      </c>
      <c r="O63">
        <v>0</v>
      </c>
      <c r="P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 t="s">
        <v>36</v>
      </c>
      <c r="AB63" t="s">
        <v>43</v>
      </c>
      <c r="AC63" t="str">
        <f t="shared" si="0"/>
        <v>CP</v>
      </c>
      <c r="AD63" t="str">
        <f>_xlfn.XLOOKUP(C63,Mapping!A:A,Mapping!D:D,0,0)</f>
        <v>Bin</v>
      </c>
      <c r="AE63" t="str">
        <f t="shared" si="1"/>
        <v>OLD</v>
      </c>
    </row>
    <row r="64" spans="1:31" x14ac:dyDescent="0.2">
      <c r="A64" t="s">
        <v>39</v>
      </c>
      <c r="B64">
        <v>1011822682</v>
      </c>
      <c r="C64" t="s">
        <v>110</v>
      </c>
      <c r="D64" t="s">
        <v>31</v>
      </c>
      <c r="E64" s="1">
        <v>0.67291666666666672</v>
      </c>
      <c r="F64" t="s">
        <v>32</v>
      </c>
      <c r="G64" t="s">
        <v>33</v>
      </c>
      <c r="H64" t="s">
        <v>41</v>
      </c>
      <c r="I64" t="s">
        <v>62</v>
      </c>
      <c r="J64">
        <v>220</v>
      </c>
      <c r="K64">
        <v>0</v>
      </c>
      <c r="L64" t="s">
        <v>63</v>
      </c>
      <c r="M64">
        <v>200</v>
      </c>
      <c r="N64">
        <v>0</v>
      </c>
      <c r="O64">
        <v>0</v>
      </c>
      <c r="P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 t="s">
        <v>36</v>
      </c>
      <c r="AB64" t="s">
        <v>43</v>
      </c>
      <c r="AC64" t="str">
        <f t="shared" si="0"/>
        <v>CP</v>
      </c>
      <c r="AD64" t="str">
        <f>_xlfn.XLOOKUP(C64,Mapping!A:A,Mapping!D:D,0,0)</f>
        <v>Bin</v>
      </c>
      <c r="AE64" t="str">
        <f t="shared" si="1"/>
        <v>OLD</v>
      </c>
    </row>
    <row r="65" spans="1:31" x14ac:dyDescent="0.2">
      <c r="A65" t="s">
        <v>39</v>
      </c>
      <c r="B65">
        <v>1011822692</v>
      </c>
      <c r="C65" t="s">
        <v>111</v>
      </c>
      <c r="D65" t="s">
        <v>31</v>
      </c>
      <c r="E65" s="1">
        <v>0.67291666666666672</v>
      </c>
      <c r="F65" t="s">
        <v>32</v>
      </c>
      <c r="G65" t="s">
        <v>33</v>
      </c>
      <c r="H65" t="s">
        <v>41</v>
      </c>
      <c r="I65" t="s">
        <v>62</v>
      </c>
      <c r="J65">
        <v>220</v>
      </c>
      <c r="K65">
        <v>0</v>
      </c>
      <c r="L65" t="s">
        <v>36</v>
      </c>
      <c r="M65" t="s">
        <v>37</v>
      </c>
      <c r="N65">
        <v>0</v>
      </c>
      <c r="O65">
        <v>0</v>
      </c>
      <c r="P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 t="s">
        <v>36</v>
      </c>
      <c r="AB65" t="s">
        <v>43</v>
      </c>
      <c r="AC65" t="str">
        <f t="shared" si="0"/>
        <v>CP</v>
      </c>
      <c r="AD65" t="str">
        <f>_xlfn.XLOOKUP(C65,Mapping!A:A,Mapping!D:D,0,0)</f>
        <v>Bin</v>
      </c>
      <c r="AE65" t="str">
        <f t="shared" si="1"/>
        <v>OLD</v>
      </c>
    </row>
    <row r="66" spans="1:31" x14ac:dyDescent="0.2">
      <c r="A66" t="s">
        <v>39</v>
      </c>
      <c r="B66">
        <v>1011822702</v>
      </c>
      <c r="C66" t="s">
        <v>112</v>
      </c>
      <c r="D66" t="s">
        <v>31</v>
      </c>
      <c r="E66" s="1">
        <v>0.67291666666666672</v>
      </c>
      <c r="F66" t="s">
        <v>32</v>
      </c>
      <c r="G66" t="s">
        <v>33</v>
      </c>
      <c r="H66" t="s">
        <v>41</v>
      </c>
      <c r="I66" t="s">
        <v>62</v>
      </c>
      <c r="J66">
        <v>220</v>
      </c>
      <c r="K66">
        <v>0</v>
      </c>
      <c r="L66" t="s">
        <v>63</v>
      </c>
      <c r="M66">
        <v>200</v>
      </c>
      <c r="N66">
        <v>0</v>
      </c>
      <c r="O66">
        <v>0</v>
      </c>
      <c r="P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 t="s">
        <v>36</v>
      </c>
      <c r="AB66" t="s">
        <v>43</v>
      </c>
      <c r="AC66" t="str">
        <f t="shared" si="0"/>
        <v>CP</v>
      </c>
      <c r="AD66" t="str">
        <f>_xlfn.XLOOKUP(C66,Mapping!A:A,Mapping!D:D,0,0)</f>
        <v>Bin</v>
      </c>
      <c r="AE66" t="str">
        <f t="shared" si="1"/>
        <v>OLD</v>
      </c>
    </row>
    <row r="67" spans="1:31" x14ac:dyDescent="0.2">
      <c r="A67" t="s">
        <v>39</v>
      </c>
      <c r="B67">
        <v>1011822712</v>
      </c>
      <c r="C67" t="s">
        <v>113</v>
      </c>
      <c r="D67" t="s">
        <v>31</v>
      </c>
      <c r="E67" s="1">
        <v>0.67291666666666672</v>
      </c>
      <c r="F67" t="s">
        <v>32</v>
      </c>
      <c r="G67" t="s">
        <v>33</v>
      </c>
      <c r="H67" t="s">
        <v>41</v>
      </c>
      <c r="I67" t="s">
        <v>62</v>
      </c>
      <c r="J67">
        <v>748</v>
      </c>
      <c r="K67">
        <v>0</v>
      </c>
      <c r="L67" t="s">
        <v>36</v>
      </c>
      <c r="M67" t="s">
        <v>37</v>
      </c>
      <c r="N67">
        <v>0</v>
      </c>
      <c r="O67">
        <v>0</v>
      </c>
      <c r="P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 t="s">
        <v>36</v>
      </c>
      <c r="AB67" t="s">
        <v>43</v>
      </c>
      <c r="AC67" t="str">
        <f t="shared" ref="AC67:AC130" si="2">LEFT(C67,2)</f>
        <v>CP</v>
      </c>
      <c r="AD67" t="str">
        <f>_xlfn.XLOOKUP(C67,Mapping!A:A,Mapping!D:D,0,0)</f>
        <v>Bin</v>
      </c>
      <c r="AE67" t="str">
        <f t="shared" ref="AE67:AE130" si="3">IFERROR(IF(SEARCH("_TJ",C67)&gt;0,"TJ",NA()),IFERROR(IF(SEARCH("_JB",C67)&gt;0,"JB",NA()),"OLD"))</f>
        <v>OLD</v>
      </c>
    </row>
    <row r="68" spans="1:31" x14ac:dyDescent="0.2">
      <c r="A68" t="s">
        <v>39</v>
      </c>
      <c r="B68">
        <v>1011822722</v>
      </c>
      <c r="C68" t="s">
        <v>114</v>
      </c>
      <c r="D68" t="s">
        <v>31</v>
      </c>
      <c r="E68" s="1">
        <v>0.67291666666666672</v>
      </c>
      <c r="F68" t="s">
        <v>32</v>
      </c>
      <c r="G68" t="s">
        <v>33</v>
      </c>
      <c r="H68" t="s">
        <v>41</v>
      </c>
      <c r="I68" t="s">
        <v>62</v>
      </c>
      <c r="J68">
        <v>616</v>
      </c>
      <c r="K68">
        <v>0</v>
      </c>
      <c r="L68" t="s">
        <v>36</v>
      </c>
      <c r="M68" t="s">
        <v>37</v>
      </c>
      <c r="N68">
        <v>0</v>
      </c>
      <c r="O68">
        <v>0</v>
      </c>
      <c r="P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 t="s">
        <v>36</v>
      </c>
      <c r="AB68" t="s">
        <v>43</v>
      </c>
      <c r="AC68" t="str">
        <f t="shared" si="2"/>
        <v>CP</v>
      </c>
      <c r="AD68" t="str">
        <f>_xlfn.XLOOKUP(C68,Mapping!A:A,Mapping!D:D,0,0)</f>
        <v>Bin</v>
      </c>
      <c r="AE68" t="str">
        <f t="shared" si="3"/>
        <v>OLD</v>
      </c>
    </row>
    <row r="69" spans="1:31" x14ac:dyDescent="0.2">
      <c r="A69" t="s">
        <v>39</v>
      </c>
      <c r="B69">
        <v>1011822732</v>
      </c>
      <c r="C69" t="s">
        <v>115</v>
      </c>
      <c r="D69" t="s">
        <v>31</v>
      </c>
      <c r="E69" s="1">
        <v>0.67291666666666672</v>
      </c>
      <c r="F69" t="s">
        <v>32</v>
      </c>
      <c r="G69" t="s">
        <v>33</v>
      </c>
      <c r="H69" t="s">
        <v>41</v>
      </c>
      <c r="I69" t="s">
        <v>62</v>
      </c>
      <c r="J69">
        <v>616</v>
      </c>
      <c r="K69">
        <v>0</v>
      </c>
      <c r="L69" t="s">
        <v>63</v>
      </c>
      <c r="M69">
        <v>200</v>
      </c>
      <c r="N69">
        <v>0</v>
      </c>
      <c r="O69">
        <v>0</v>
      </c>
      <c r="P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 t="s">
        <v>36</v>
      </c>
      <c r="AB69" t="s">
        <v>43</v>
      </c>
      <c r="AC69" t="str">
        <f t="shared" si="2"/>
        <v>CP</v>
      </c>
      <c r="AD69" t="str">
        <f>_xlfn.XLOOKUP(C69,Mapping!A:A,Mapping!D:D,0,0)</f>
        <v>Bin</v>
      </c>
      <c r="AE69" t="str">
        <f t="shared" si="3"/>
        <v>OLD</v>
      </c>
    </row>
    <row r="70" spans="1:31" x14ac:dyDescent="0.2">
      <c r="A70" t="s">
        <v>39</v>
      </c>
      <c r="B70">
        <v>1011822742</v>
      </c>
      <c r="C70" t="s">
        <v>116</v>
      </c>
      <c r="D70" t="s">
        <v>31</v>
      </c>
      <c r="E70" s="1">
        <v>0.67291666666666672</v>
      </c>
      <c r="F70" t="s">
        <v>32</v>
      </c>
      <c r="G70" t="s">
        <v>33</v>
      </c>
      <c r="H70" t="s">
        <v>41</v>
      </c>
      <c r="I70" t="s">
        <v>62</v>
      </c>
      <c r="J70">
        <v>220</v>
      </c>
      <c r="K70">
        <v>0</v>
      </c>
      <c r="L70" t="s">
        <v>36</v>
      </c>
      <c r="M70" t="s">
        <v>37</v>
      </c>
      <c r="N70">
        <v>0</v>
      </c>
      <c r="O70">
        <v>0</v>
      </c>
      <c r="P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 t="s">
        <v>36</v>
      </c>
      <c r="AB70" t="s">
        <v>43</v>
      </c>
      <c r="AC70" t="str">
        <f t="shared" si="2"/>
        <v>CP</v>
      </c>
      <c r="AD70" t="str">
        <f>_xlfn.XLOOKUP(C70,Mapping!A:A,Mapping!D:D,0,0)</f>
        <v>Bin</v>
      </c>
      <c r="AE70" t="str">
        <f t="shared" si="3"/>
        <v>OLD</v>
      </c>
    </row>
    <row r="71" spans="1:31" x14ac:dyDescent="0.2">
      <c r="A71" t="s">
        <v>39</v>
      </c>
      <c r="B71">
        <v>1011822762</v>
      </c>
      <c r="C71" t="s">
        <v>117</v>
      </c>
      <c r="D71" t="s">
        <v>31</v>
      </c>
      <c r="E71" s="1">
        <v>0.67291666666666672</v>
      </c>
      <c r="F71" t="s">
        <v>32</v>
      </c>
      <c r="G71" t="s">
        <v>33</v>
      </c>
      <c r="H71" t="s">
        <v>41</v>
      </c>
      <c r="I71" t="s">
        <v>62</v>
      </c>
      <c r="J71">
        <v>748</v>
      </c>
      <c r="K71">
        <v>0</v>
      </c>
      <c r="L71" t="s">
        <v>36</v>
      </c>
      <c r="M71" t="s">
        <v>37</v>
      </c>
      <c r="N71">
        <v>0</v>
      </c>
      <c r="O71">
        <v>0</v>
      </c>
      <c r="P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 t="s">
        <v>36</v>
      </c>
      <c r="AB71" t="s">
        <v>43</v>
      </c>
      <c r="AC71" t="str">
        <f t="shared" si="2"/>
        <v>CP</v>
      </c>
      <c r="AD71" t="str">
        <f>_xlfn.XLOOKUP(C71,Mapping!A:A,Mapping!D:D,0,0)</f>
        <v>Bin</v>
      </c>
      <c r="AE71" t="str">
        <f t="shared" si="3"/>
        <v>OLD</v>
      </c>
    </row>
    <row r="72" spans="1:31" x14ac:dyDescent="0.2">
      <c r="A72" t="s">
        <v>39</v>
      </c>
      <c r="B72">
        <v>1011822772</v>
      </c>
      <c r="C72" t="s">
        <v>118</v>
      </c>
      <c r="D72" t="s">
        <v>31</v>
      </c>
      <c r="E72" s="1">
        <v>0.67291666666666672</v>
      </c>
      <c r="F72" t="s">
        <v>32</v>
      </c>
      <c r="G72" t="s">
        <v>33</v>
      </c>
      <c r="H72" t="s">
        <v>41</v>
      </c>
      <c r="I72" t="s">
        <v>62</v>
      </c>
      <c r="J72">
        <v>99</v>
      </c>
      <c r="K72">
        <v>0</v>
      </c>
      <c r="L72" t="s">
        <v>36</v>
      </c>
      <c r="M72" t="s">
        <v>37</v>
      </c>
      <c r="N72">
        <v>0</v>
      </c>
      <c r="O72">
        <v>0</v>
      </c>
      <c r="P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 t="s">
        <v>36</v>
      </c>
      <c r="AB72" t="s">
        <v>119</v>
      </c>
      <c r="AC72" t="str">
        <f t="shared" si="2"/>
        <v>CP</v>
      </c>
      <c r="AD72" t="str">
        <f>_xlfn.XLOOKUP(C72,Mapping!A:A,Mapping!D:D,0,0)</f>
        <v>Archive</v>
      </c>
      <c r="AE72" t="str">
        <f t="shared" si="3"/>
        <v>OLD</v>
      </c>
    </row>
    <row r="73" spans="1:31" x14ac:dyDescent="0.2">
      <c r="A73" t="s">
        <v>39</v>
      </c>
      <c r="B73">
        <v>1011822782</v>
      </c>
      <c r="C73" t="s">
        <v>120</v>
      </c>
      <c r="D73" t="s">
        <v>31</v>
      </c>
      <c r="E73" s="1">
        <v>0.67291666666666672</v>
      </c>
      <c r="F73" t="s">
        <v>32</v>
      </c>
      <c r="G73" t="s">
        <v>33</v>
      </c>
      <c r="H73" t="s">
        <v>41</v>
      </c>
      <c r="I73" t="s">
        <v>62</v>
      </c>
      <c r="J73">
        <v>220</v>
      </c>
      <c r="K73">
        <v>0</v>
      </c>
      <c r="L73" t="s">
        <v>63</v>
      </c>
      <c r="M73">
        <v>200</v>
      </c>
      <c r="N73">
        <v>0</v>
      </c>
      <c r="O73">
        <v>0</v>
      </c>
      <c r="P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 t="s">
        <v>36</v>
      </c>
      <c r="AB73" t="s">
        <v>43</v>
      </c>
      <c r="AC73" t="str">
        <f t="shared" si="2"/>
        <v>CP</v>
      </c>
      <c r="AD73" t="str">
        <f>_xlfn.XLOOKUP(C73,Mapping!A:A,Mapping!D:D,0,0)</f>
        <v>Bin</v>
      </c>
      <c r="AE73" t="str">
        <f t="shared" si="3"/>
        <v>OLD</v>
      </c>
    </row>
    <row r="74" spans="1:31" x14ac:dyDescent="0.2">
      <c r="A74" t="s">
        <v>39</v>
      </c>
      <c r="B74">
        <v>1011822792</v>
      </c>
      <c r="C74" t="s">
        <v>121</v>
      </c>
      <c r="D74" t="s">
        <v>31</v>
      </c>
      <c r="E74" s="1">
        <v>0.67291666666666672</v>
      </c>
      <c r="F74" t="s">
        <v>32</v>
      </c>
      <c r="G74" t="s">
        <v>33</v>
      </c>
      <c r="H74" t="s">
        <v>41</v>
      </c>
      <c r="I74" t="s">
        <v>62</v>
      </c>
      <c r="J74">
        <v>220</v>
      </c>
      <c r="K74">
        <v>0</v>
      </c>
      <c r="L74" t="s">
        <v>36</v>
      </c>
      <c r="M74" t="s">
        <v>37</v>
      </c>
      <c r="N74">
        <v>0</v>
      </c>
      <c r="O74">
        <v>0</v>
      </c>
      <c r="P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 t="s">
        <v>36</v>
      </c>
      <c r="AB74" t="s">
        <v>43</v>
      </c>
      <c r="AC74" t="str">
        <f t="shared" si="2"/>
        <v>CP</v>
      </c>
      <c r="AD74" t="str">
        <f>_xlfn.XLOOKUP(C74,Mapping!A:A,Mapping!D:D,0,0)</f>
        <v>Bin</v>
      </c>
      <c r="AE74" t="str">
        <f t="shared" si="3"/>
        <v>OLD</v>
      </c>
    </row>
    <row r="75" spans="1:31" x14ac:dyDescent="0.2">
      <c r="A75" t="s">
        <v>39</v>
      </c>
      <c r="B75">
        <v>1011822812</v>
      </c>
      <c r="C75" t="s">
        <v>122</v>
      </c>
      <c r="D75" t="s">
        <v>31</v>
      </c>
      <c r="E75" s="1">
        <v>0.67291666666666672</v>
      </c>
      <c r="F75" t="s">
        <v>32</v>
      </c>
      <c r="G75" t="s">
        <v>33</v>
      </c>
      <c r="H75" t="s">
        <v>41</v>
      </c>
      <c r="I75" t="s">
        <v>58</v>
      </c>
      <c r="J75">
        <v>242</v>
      </c>
      <c r="K75">
        <v>0</v>
      </c>
      <c r="L75" t="s">
        <v>36</v>
      </c>
      <c r="M75" t="s">
        <v>37</v>
      </c>
      <c r="N75">
        <v>0</v>
      </c>
      <c r="O75">
        <v>0</v>
      </c>
      <c r="P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 t="s">
        <v>36</v>
      </c>
      <c r="AB75" t="s">
        <v>43</v>
      </c>
      <c r="AC75" t="str">
        <f t="shared" si="2"/>
        <v>CP</v>
      </c>
      <c r="AD75" t="str">
        <f>_xlfn.XLOOKUP(C75,Mapping!A:A,Mapping!D:D,0,0)</f>
        <v>Bin</v>
      </c>
      <c r="AE75" t="str">
        <f t="shared" si="3"/>
        <v>OLD</v>
      </c>
    </row>
    <row r="76" spans="1:31" x14ac:dyDescent="0.2">
      <c r="A76" t="s">
        <v>39</v>
      </c>
      <c r="B76">
        <v>1011838812</v>
      </c>
      <c r="C76" t="s">
        <v>123</v>
      </c>
      <c r="D76" t="s">
        <v>31</v>
      </c>
      <c r="E76" s="1">
        <v>0.67291666666666672</v>
      </c>
      <c r="F76" t="s">
        <v>32</v>
      </c>
      <c r="G76" t="s">
        <v>33</v>
      </c>
      <c r="H76" t="s">
        <v>34</v>
      </c>
      <c r="I76" t="s">
        <v>124</v>
      </c>
      <c r="J76">
        <v>170</v>
      </c>
      <c r="K76">
        <v>0</v>
      </c>
      <c r="L76" t="s">
        <v>63</v>
      </c>
      <c r="M76">
        <v>150</v>
      </c>
      <c r="N76">
        <v>0</v>
      </c>
      <c r="O76">
        <v>0</v>
      </c>
      <c r="P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 t="s">
        <v>36</v>
      </c>
      <c r="AB76" t="s">
        <v>43</v>
      </c>
      <c r="AC76" t="str">
        <f t="shared" si="2"/>
        <v>CP</v>
      </c>
      <c r="AD76" t="str">
        <f>_xlfn.XLOOKUP(C76,Mapping!A:A,Mapping!D:D,0,0)</f>
        <v>Trans</v>
      </c>
      <c r="AE76" t="str">
        <f t="shared" si="3"/>
        <v>OLD</v>
      </c>
    </row>
    <row r="77" spans="1:31" x14ac:dyDescent="0.2">
      <c r="A77" t="s">
        <v>39</v>
      </c>
      <c r="B77">
        <v>1011838822</v>
      </c>
      <c r="C77" t="s">
        <v>125</v>
      </c>
      <c r="D77" t="s">
        <v>31</v>
      </c>
      <c r="E77" s="1">
        <v>0.67291666666666672</v>
      </c>
      <c r="F77" t="s">
        <v>32</v>
      </c>
      <c r="G77" t="s">
        <v>33</v>
      </c>
      <c r="H77" t="s">
        <v>41</v>
      </c>
      <c r="I77" t="s">
        <v>58</v>
      </c>
      <c r="J77">
        <v>242</v>
      </c>
      <c r="K77">
        <v>0</v>
      </c>
      <c r="L77" t="s">
        <v>63</v>
      </c>
      <c r="M77">
        <v>100</v>
      </c>
      <c r="N77">
        <v>0</v>
      </c>
      <c r="O77">
        <v>0</v>
      </c>
      <c r="P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 t="s">
        <v>36</v>
      </c>
      <c r="AB77" t="s">
        <v>43</v>
      </c>
      <c r="AC77" t="str">
        <f t="shared" si="2"/>
        <v>CP</v>
      </c>
      <c r="AD77" t="str">
        <f>_xlfn.XLOOKUP(C77,Mapping!A:A,Mapping!D:D,0,0)</f>
        <v>Bin</v>
      </c>
      <c r="AE77" t="str">
        <f t="shared" si="3"/>
        <v>OLD</v>
      </c>
    </row>
    <row r="78" spans="1:31" x14ac:dyDescent="0.2">
      <c r="A78" t="s">
        <v>39</v>
      </c>
      <c r="B78">
        <v>1011838832</v>
      </c>
      <c r="C78" t="s">
        <v>126</v>
      </c>
      <c r="D78" t="s">
        <v>31</v>
      </c>
      <c r="E78" s="1">
        <v>0.67291666666666672</v>
      </c>
      <c r="F78" t="s">
        <v>32</v>
      </c>
      <c r="G78" t="s">
        <v>33</v>
      </c>
      <c r="H78" t="s">
        <v>41</v>
      </c>
      <c r="I78" t="s">
        <v>58</v>
      </c>
      <c r="J78">
        <v>242</v>
      </c>
      <c r="K78">
        <v>0</v>
      </c>
      <c r="L78" t="s">
        <v>36</v>
      </c>
      <c r="M78" t="s">
        <v>37</v>
      </c>
      <c r="N78">
        <v>0</v>
      </c>
      <c r="O78">
        <v>0</v>
      </c>
      <c r="P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 t="s">
        <v>36</v>
      </c>
      <c r="AB78" t="s">
        <v>43</v>
      </c>
      <c r="AC78" t="str">
        <f t="shared" si="2"/>
        <v>CP</v>
      </c>
      <c r="AD78" t="str">
        <f>_xlfn.XLOOKUP(C78,Mapping!A:A,Mapping!D:D,0,0)</f>
        <v>Trans</v>
      </c>
      <c r="AE78" t="str">
        <f t="shared" si="3"/>
        <v>OLD</v>
      </c>
    </row>
    <row r="79" spans="1:31" x14ac:dyDescent="0.2">
      <c r="A79" t="s">
        <v>39</v>
      </c>
      <c r="B79">
        <v>1011838852</v>
      </c>
      <c r="C79" t="s">
        <v>127</v>
      </c>
      <c r="D79" t="s">
        <v>31</v>
      </c>
      <c r="E79" s="1">
        <v>0.67291666666666672</v>
      </c>
      <c r="F79" t="s">
        <v>32</v>
      </c>
      <c r="G79" t="s">
        <v>33</v>
      </c>
      <c r="H79" t="s">
        <v>41</v>
      </c>
      <c r="I79" t="s">
        <v>58</v>
      </c>
      <c r="J79">
        <v>242</v>
      </c>
      <c r="K79">
        <v>0</v>
      </c>
      <c r="L79" t="s">
        <v>36</v>
      </c>
      <c r="M79" t="s">
        <v>37</v>
      </c>
      <c r="N79">
        <v>0</v>
      </c>
      <c r="O79">
        <v>0</v>
      </c>
      <c r="P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 t="s">
        <v>36</v>
      </c>
      <c r="AB79" t="s">
        <v>43</v>
      </c>
      <c r="AC79" t="str">
        <f t="shared" si="2"/>
        <v>CP</v>
      </c>
      <c r="AD79" t="str">
        <f>_xlfn.XLOOKUP(C79,Mapping!A:A,Mapping!D:D,0,0)</f>
        <v>Bin</v>
      </c>
      <c r="AE79" t="str">
        <f t="shared" si="3"/>
        <v>OLD</v>
      </c>
    </row>
    <row r="80" spans="1:31" x14ac:dyDescent="0.2">
      <c r="A80" t="s">
        <v>39</v>
      </c>
      <c r="B80">
        <v>1011838862</v>
      </c>
      <c r="C80" t="s">
        <v>128</v>
      </c>
      <c r="D80" t="s">
        <v>31</v>
      </c>
      <c r="E80" s="1">
        <v>0.67291666666666672</v>
      </c>
      <c r="F80" t="s">
        <v>32</v>
      </c>
      <c r="G80" t="s">
        <v>33</v>
      </c>
      <c r="H80" t="s">
        <v>41</v>
      </c>
      <c r="I80" t="s">
        <v>58</v>
      </c>
      <c r="J80">
        <v>242</v>
      </c>
      <c r="K80">
        <v>0</v>
      </c>
      <c r="L80" t="s">
        <v>36</v>
      </c>
      <c r="M80" t="s">
        <v>37</v>
      </c>
      <c r="N80">
        <v>0</v>
      </c>
      <c r="O80">
        <v>0</v>
      </c>
      <c r="P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 t="s">
        <v>36</v>
      </c>
      <c r="AB80" t="s">
        <v>43</v>
      </c>
      <c r="AC80" t="str">
        <f t="shared" si="2"/>
        <v>CP</v>
      </c>
      <c r="AD80" t="str">
        <f>_xlfn.XLOOKUP(C80,Mapping!A:A,Mapping!D:D,0,0)</f>
        <v>Bin</v>
      </c>
      <c r="AE80" t="str">
        <f t="shared" si="3"/>
        <v>OLD</v>
      </c>
    </row>
    <row r="81" spans="1:31" x14ac:dyDescent="0.2">
      <c r="A81" t="s">
        <v>39</v>
      </c>
      <c r="B81">
        <v>1011838882</v>
      </c>
      <c r="C81" t="s">
        <v>129</v>
      </c>
      <c r="D81" t="s">
        <v>31</v>
      </c>
      <c r="E81" s="1">
        <v>0.67291666666666672</v>
      </c>
      <c r="F81" t="s">
        <v>32</v>
      </c>
      <c r="G81" t="s">
        <v>33</v>
      </c>
      <c r="H81" t="s">
        <v>34</v>
      </c>
      <c r="I81" t="s">
        <v>124</v>
      </c>
      <c r="J81">
        <v>120</v>
      </c>
      <c r="K81">
        <v>0</v>
      </c>
      <c r="L81" t="s">
        <v>36</v>
      </c>
      <c r="M81" t="s">
        <v>37</v>
      </c>
      <c r="N81">
        <v>0</v>
      </c>
      <c r="O81">
        <v>0</v>
      </c>
      <c r="P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 t="s">
        <v>36</v>
      </c>
      <c r="AB81" t="s">
        <v>43</v>
      </c>
      <c r="AC81" t="str">
        <f t="shared" si="2"/>
        <v>CP</v>
      </c>
      <c r="AD81" t="str">
        <f>_xlfn.XLOOKUP(C81,Mapping!A:A,Mapping!D:D,0,0)</f>
        <v>Trans</v>
      </c>
      <c r="AE81" t="str">
        <f t="shared" si="3"/>
        <v>OLD</v>
      </c>
    </row>
    <row r="82" spans="1:31" x14ac:dyDescent="0.2">
      <c r="A82" t="s">
        <v>39</v>
      </c>
      <c r="B82">
        <v>1011838892</v>
      </c>
      <c r="C82" t="s">
        <v>130</v>
      </c>
      <c r="D82" t="s">
        <v>31</v>
      </c>
      <c r="E82" s="1">
        <v>0.67291666666666672</v>
      </c>
      <c r="F82" t="s">
        <v>32</v>
      </c>
      <c r="G82" t="s">
        <v>33</v>
      </c>
      <c r="H82" t="s">
        <v>34</v>
      </c>
      <c r="I82" t="s">
        <v>124</v>
      </c>
      <c r="J82">
        <v>230</v>
      </c>
      <c r="K82">
        <v>0</v>
      </c>
      <c r="L82" t="s">
        <v>36</v>
      </c>
      <c r="M82" t="s">
        <v>37</v>
      </c>
      <c r="N82">
        <v>1</v>
      </c>
      <c r="O82">
        <v>0</v>
      </c>
      <c r="P82">
        <v>0</v>
      </c>
      <c r="Q82">
        <v>0</v>
      </c>
      <c r="R82">
        <v>0</v>
      </c>
      <c r="S82">
        <v>3.8109999999999999</v>
      </c>
      <c r="T82">
        <v>0</v>
      </c>
      <c r="U82">
        <v>0</v>
      </c>
      <c r="V82">
        <v>1</v>
      </c>
      <c r="W82">
        <v>0</v>
      </c>
      <c r="X82" t="s">
        <v>36</v>
      </c>
      <c r="Y82">
        <v>1</v>
      </c>
      <c r="Z82">
        <v>1</v>
      </c>
      <c r="AA82">
        <v>0</v>
      </c>
      <c r="AB82" t="s">
        <v>43</v>
      </c>
      <c r="AC82" t="str">
        <f t="shared" si="2"/>
        <v>CP</v>
      </c>
      <c r="AD82" t="str">
        <f>_xlfn.XLOOKUP(C82,Mapping!A:A,Mapping!D:D,0,0)</f>
        <v>Trans</v>
      </c>
      <c r="AE82" t="str">
        <f t="shared" si="3"/>
        <v>OLD</v>
      </c>
    </row>
    <row r="83" spans="1:31" x14ac:dyDescent="0.2">
      <c r="A83" t="s">
        <v>39</v>
      </c>
      <c r="B83">
        <v>1011838902</v>
      </c>
      <c r="C83" t="s">
        <v>131</v>
      </c>
      <c r="D83" t="s">
        <v>31</v>
      </c>
      <c r="E83" s="1">
        <v>0.67291666666666672</v>
      </c>
      <c r="F83" t="s">
        <v>32</v>
      </c>
      <c r="G83" t="s">
        <v>33</v>
      </c>
      <c r="H83" t="s">
        <v>34</v>
      </c>
      <c r="I83" t="s">
        <v>124</v>
      </c>
      <c r="J83">
        <v>170</v>
      </c>
      <c r="K83">
        <v>0</v>
      </c>
      <c r="L83" t="s">
        <v>36</v>
      </c>
      <c r="M83" t="s">
        <v>37</v>
      </c>
      <c r="N83">
        <v>0</v>
      </c>
      <c r="O83">
        <v>0</v>
      </c>
      <c r="P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 t="s">
        <v>36</v>
      </c>
      <c r="AB83" t="s">
        <v>43</v>
      </c>
      <c r="AC83" t="str">
        <f t="shared" si="2"/>
        <v>CP</v>
      </c>
      <c r="AD83" t="str">
        <f>_xlfn.XLOOKUP(C83,Mapping!A:A,Mapping!D:D,0,0)</f>
        <v>Bin</v>
      </c>
      <c r="AE83" t="str">
        <f t="shared" si="3"/>
        <v>OLD</v>
      </c>
    </row>
    <row r="84" spans="1:31" x14ac:dyDescent="0.2">
      <c r="A84" t="s">
        <v>39</v>
      </c>
      <c r="B84">
        <v>1011838912</v>
      </c>
      <c r="C84" t="s">
        <v>132</v>
      </c>
      <c r="D84" t="s">
        <v>31</v>
      </c>
      <c r="E84" s="1">
        <v>0.67291666666666672</v>
      </c>
      <c r="F84" t="s">
        <v>32</v>
      </c>
      <c r="G84" t="s">
        <v>33</v>
      </c>
      <c r="H84" t="s">
        <v>41</v>
      </c>
      <c r="I84" t="s">
        <v>58</v>
      </c>
      <c r="J84">
        <v>242</v>
      </c>
      <c r="K84">
        <v>0</v>
      </c>
      <c r="L84" t="s">
        <v>36</v>
      </c>
      <c r="M84" t="s">
        <v>37</v>
      </c>
      <c r="N84">
        <v>0</v>
      </c>
      <c r="O84">
        <v>0</v>
      </c>
      <c r="P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 t="s">
        <v>36</v>
      </c>
      <c r="AB84" t="s">
        <v>43</v>
      </c>
      <c r="AC84" t="str">
        <f t="shared" si="2"/>
        <v>CP</v>
      </c>
      <c r="AD84" t="str">
        <f>_xlfn.XLOOKUP(C84,Mapping!A:A,Mapping!D:D,0,0)</f>
        <v>Trans</v>
      </c>
      <c r="AE84" t="str">
        <f t="shared" si="3"/>
        <v>OLD</v>
      </c>
    </row>
    <row r="85" spans="1:31" x14ac:dyDescent="0.2">
      <c r="A85" t="s">
        <v>39</v>
      </c>
      <c r="B85">
        <v>1011838922</v>
      </c>
      <c r="C85" t="s">
        <v>133</v>
      </c>
      <c r="D85" t="s">
        <v>31</v>
      </c>
      <c r="E85" s="1">
        <v>0.67291666666666672</v>
      </c>
      <c r="F85" t="s">
        <v>32</v>
      </c>
      <c r="G85" t="s">
        <v>33</v>
      </c>
      <c r="H85" t="s">
        <v>41</v>
      </c>
      <c r="I85" t="s">
        <v>58</v>
      </c>
      <c r="J85">
        <v>242</v>
      </c>
      <c r="K85">
        <v>0</v>
      </c>
      <c r="L85" t="s">
        <v>36</v>
      </c>
      <c r="M85" t="s">
        <v>37</v>
      </c>
      <c r="N85">
        <v>0</v>
      </c>
      <c r="O85">
        <v>0</v>
      </c>
      <c r="P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 t="s">
        <v>36</v>
      </c>
      <c r="AB85" t="s">
        <v>43</v>
      </c>
      <c r="AC85" t="str">
        <f t="shared" si="2"/>
        <v>CP</v>
      </c>
      <c r="AD85" t="str">
        <f>_xlfn.XLOOKUP(C85,Mapping!A:A,Mapping!D:D,0,0)</f>
        <v>Bin</v>
      </c>
      <c r="AE85" t="str">
        <f t="shared" si="3"/>
        <v>OLD</v>
      </c>
    </row>
    <row r="86" spans="1:31" x14ac:dyDescent="0.2">
      <c r="A86" t="s">
        <v>39</v>
      </c>
      <c r="B86">
        <v>1011838932</v>
      </c>
      <c r="C86" t="s">
        <v>134</v>
      </c>
      <c r="D86" t="s">
        <v>31</v>
      </c>
      <c r="E86" s="1">
        <v>0.67291666666666672</v>
      </c>
      <c r="F86" t="s">
        <v>32</v>
      </c>
      <c r="G86" t="s">
        <v>33</v>
      </c>
      <c r="H86" t="s">
        <v>41</v>
      </c>
      <c r="I86" t="s">
        <v>62</v>
      </c>
      <c r="J86">
        <v>220</v>
      </c>
      <c r="K86">
        <v>0</v>
      </c>
      <c r="L86" t="s">
        <v>63</v>
      </c>
      <c r="M86">
        <v>250</v>
      </c>
      <c r="N86">
        <v>0</v>
      </c>
      <c r="O86">
        <v>0</v>
      </c>
      <c r="P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 t="s">
        <v>36</v>
      </c>
      <c r="AB86" t="s">
        <v>43</v>
      </c>
      <c r="AC86" t="str">
        <f t="shared" si="2"/>
        <v>CP</v>
      </c>
      <c r="AD86" t="str">
        <f>_xlfn.XLOOKUP(C86,Mapping!A:A,Mapping!D:D,0,0)</f>
        <v>Bin</v>
      </c>
      <c r="AE86" t="str">
        <f t="shared" si="3"/>
        <v>OLD</v>
      </c>
    </row>
    <row r="87" spans="1:31" x14ac:dyDescent="0.2">
      <c r="A87" t="s">
        <v>39</v>
      </c>
      <c r="B87">
        <v>1011838942</v>
      </c>
      <c r="C87" t="s">
        <v>135</v>
      </c>
      <c r="D87" t="s">
        <v>31</v>
      </c>
      <c r="E87" s="1">
        <v>0.67291666666666672</v>
      </c>
      <c r="F87" t="s">
        <v>32</v>
      </c>
      <c r="G87" t="s">
        <v>33</v>
      </c>
      <c r="H87" t="s">
        <v>34</v>
      </c>
      <c r="I87" t="s">
        <v>84</v>
      </c>
      <c r="J87">
        <v>88</v>
      </c>
      <c r="K87">
        <v>0</v>
      </c>
      <c r="L87" t="s">
        <v>63</v>
      </c>
      <c r="M87">
        <v>500</v>
      </c>
      <c r="N87">
        <v>0</v>
      </c>
      <c r="O87">
        <v>0</v>
      </c>
      <c r="P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 t="s">
        <v>36</v>
      </c>
      <c r="AB87" t="s">
        <v>43</v>
      </c>
      <c r="AC87" t="str">
        <f t="shared" si="2"/>
        <v>CP</v>
      </c>
      <c r="AD87" t="str">
        <f>_xlfn.XLOOKUP(C87,Mapping!A:A,Mapping!D:D,0,0)</f>
        <v>Bin</v>
      </c>
      <c r="AE87" t="str">
        <f t="shared" si="3"/>
        <v>OLD</v>
      </c>
    </row>
    <row r="88" spans="1:31" x14ac:dyDescent="0.2">
      <c r="A88" t="s">
        <v>39</v>
      </c>
      <c r="B88">
        <v>1011838952</v>
      </c>
      <c r="C88" t="s">
        <v>136</v>
      </c>
      <c r="D88" t="s">
        <v>31</v>
      </c>
      <c r="E88" s="1">
        <v>0.67291666666666672</v>
      </c>
      <c r="F88" t="s">
        <v>32</v>
      </c>
      <c r="G88" t="s">
        <v>33</v>
      </c>
      <c r="H88" t="s">
        <v>41</v>
      </c>
      <c r="I88" t="s">
        <v>62</v>
      </c>
      <c r="J88">
        <v>748</v>
      </c>
      <c r="K88">
        <v>0</v>
      </c>
      <c r="L88" t="s">
        <v>36</v>
      </c>
      <c r="M88" t="s">
        <v>37</v>
      </c>
      <c r="N88">
        <v>0</v>
      </c>
      <c r="O88">
        <v>0</v>
      </c>
      <c r="P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 t="s">
        <v>36</v>
      </c>
      <c r="AB88" t="s">
        <v>43</v>
      </c>
      <c r="AC88" t="str">
        <f t="shared" si="2"/>
        <v>CP</v>
      </c>
      <c r="AD88" t="str">
        <f>_xlfn.XLOOKUP(C88,Mapping!A:A,Mapping!D:D,0,0)</f>
        <v>Bin</v>
      </c>
      <c r="AE88" t="str">
        <f t="shared" si="3"/>
        <v>OLD</v>
      </c>
    </row>
    <row r="89" spans="1:31" x14ac:dyDescent="0.2">
      <c r="A89" t="s">
        <v>39</v>
      </c>
      <c r="B89">
        <v>1011838962</v>
      </c>
      <c r="C89" t="s">
        <v>137</v>
      </c>
      <c r="D89" t="s">
        <v>31</v>
      </c>
      <c r="E89" s="1">
        <v>0.67291666666666672</v>
      </c>
      <c r="F89" t="s">
        <v>32</v>
      </c>
      <c r="G89" t="s">
        <v>33</v>
      </c>
      <c r="H89" t="s">
        <v>41</v>
      </c>
      <c r="I89" t="s">
        <v>62</v>
      </c>
      <c r="J89">
        <v>616</v>
      </c>
      <c r="K89">
        <v>0</v>
      </c>
      <c r="L89" t="s">
        <v>36</v>
      </c>
      <c r="M89" t="s">
        <v>37</v>
      </c>
      <c r="N89">
        <v>0</v>
      </c>
      <c r="O89">
        <v>0</v>
      </c>
      <c r="P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 t="s">
        <v>36</v>
      </c>
      <c r="AB89" t="s">
        <v>43</v>
      </c>
      <c r="AC89" t="str">
        <f t="shared" si="2"/>
        <v>CP</v>
      </c>
      <c r="AD89" t="str">
        <f>_xlfn.XLOOKUP(C89,Mapping!A:A,Mapping!D:D,0,0)</f>
        <v>Bin</v>
      </c>
      <c r="AE89" t="str">
        <f t="shared" si="3"/>
        <v>OLD</v>
      </c>
    </row>
    <row r="90" spans="1:31" x14ac:dyDescent="0.2">
      <c r="A90" t="s">
        <v>39</v>
      </c>
      <c r="B90">
        <v>1011838972</v>
      </c>
      <c r="C90" t="s">
        <v>138</v>
      </c>
      <c r="D90" t="s">
        <v>31</v>
      </c>
      <c r="E90" s="1">
        <v>0.67291666666666672</v>
      </c>
      <c r="F90" t="s">
        <v>32</v>
      </c>
      <c r="G90" t="s">
        <v>33</v>
      </c>
      <c r="H90" t="s">
        <v>34</v>
      </c>
      <c r="I90" t="s">
        <v>84</v>
      </c>
      <c r="J90">
        <v>88</v>
      </c>
      <c r="K90">
        <v>0</v>
      </c>
      <c r="L90" t="s">
        <v>63</v>
      </c>
      <c r="M90">
        <v>500</v>
      </c>
      <c r="N90">
        <v>0</v>
      </c>
      <c r="O90">
        <v>0</v>
      </c>
      <c r="P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 t="s">
        <v>36</v>
      </c>
      <c r="AB90" t="s">
        <v>43</v>
      </c>
      <c r="AC90" t="str">
        <f t="shared" si="2"/>
        <v>CP</v>
      </c>
      <c r="AD90" t="str">
        <f>_xlfn.XLOOKUP(C90,Mapping!A:A,Mapping!D:D,0,0)</f>
        <v>Bin</v>
      </c>
      <c r="AE90" t="str">
        <f t="shared" si="3"/>
        <v>OLD</v>
      </c>
    </row>
    <row r="91" spans="1:31" x14ac:dyDescent="0.2">
      <c r="A91" t="s">
        <v>39</v>
      </c>
      <c r="B91">
        <v>1011838982</v>
      </c>
      <c r="C91" t="s">
        <v>139</v>
      </c>
      <c r="D91" t="s">
        <v>31</v>
      </c>
      <c r="E91" s="1">
        <v>0.67291666666666672</v>
      </c>
      <c r="F91" t="s">
        <v>32</v>
      </c>
      <c r="G91" t="s">
        <v>33</v>
      </c>
      <c r="H91" t="s">
        <v>41</v>
      </c>
      <c r="I91" t="s">
        <v>62</v>
      </c>
      <c r="J91">
        <v>220</v>
      </c>
      <c r="K91">
        <v>0</v>
      </c>
      <c r="L91" t="s">
        <v>36</v>
      </c>
      <c r="M91" t="s">
        <v>37</v>
      </c>
      <c r="N91">
        <v>0</v>
      </c>
      <c r="O91">
        <v>0</v>
      </c>
      <c r="P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 t="s">
        <v>36</v>
      </c>
      <c r="AB91" t="s">
        <v>43</v>
      </c>
      <c r="AC91" t="str">
        <f t="shared" si="2"/>
        <v>CP</v>
      </c>
      <c r="AD91" t="str">
        <f>_xlfn.XLOOKUP(C91,Mapping!A:A,Mapping!D:D,0,0)</f>
        <v>Bin</v>
      </c>
      <c r="AE91" t="str">
        <f t="shared" si="3"/>
        <v>OLD</v>
      </c>
    </row>
    <row r="92" spans="1:31" x14ac:dyDescent="0.2">
      <c r="A92" t="s">
        <v>39</v>
      </c>
      <c r="B92">
        <v>1011838992</v>
      </c>
      <c r="C92" t="s">
        <v>140</v>
      </c>
      <c r="D92" t="s">
        <v>31</v>
      </c>
      <c r="E92" s="1">
        <v>0.67291666666666672</v>
      </c>
      <c r="F92" t="s">
        <v>32</v>
      </c>
      <c r="G92" t="s">
        <v>33</v>
      </c>
      <c r="H92" t="s">
        <v>41</v>
      </c>
      <c r="I92" t="s">
        <v>62</v>
      </c>
      <c r="J92">
        <v>220</v>
      </c>
      <c r="K92">
        <v>0</v>
      </c>
      <c r="L92" t="s">
        <v>63</v>
      </c>
      <c r="M92">
        <v>150</v>
      </c>
      <c r="N92">
        <v>0</v>
      </c>
      <c r="O92">
        <v>0</v>
      </c>
      <c r="P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 t="s">
        <v>36</v>
      </c>
      <c r="AB92" t="s">
        <v>43</v>
      </c>
      <c r="AC92" t="str">
        <f t="shared" si="2"/>
        <v>CP</v>
      </c>
      <c r="AD92" t="str">
        <f>_xlfn.XLOOKUP(C92,Mapping!A:A,Mapping!D:D,0,0)</f>
        <v>Bin</v>
      </c>
      <c r="AE92" t="str">
        <f t="shared" si="3"/>
        <v>OLD</v>
      </c>
    </row>
    <row r="93" spans="1:31" x14ac:dyDescent="0.2">
      <c r="A93" t="s">
        <v>39</v>
      </c>
      <c r="B93">
        <v>1011839002</v>
      </c>
      <c r="C93" t="s">
        <v>141</v>
      </c>
      <c r="D93" t="s">
        <v>31</v>
      </c>
      <c r="E93" s="1">
        <v>0.67291666666666672</v>
      </c>
      <c r="F93" t="s">
        <v>32</v>
      </c>
      <c r="G93" t="s">
        <v>33</v>
      </c>
      <c r="H93" t="s">
        <v>34</v>
      </c>
      <c r="I93" t="s">
        <v>84</v>
      </c>
      <c r="J93">
        <v>88</v>
      </c>
      <c r="K93">
        <v>0</v>
      </c>
      <c r="L93" t="s">
        <v>63</v>
      </c>
      <c r="M93">
        <v>500</v>
      </c>
      <c r="N93">
        <v>0</v>
      </c>
      <c r="O93">
        <v>0</v>
      </c>
      <c r="P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 t="s">
        <v>36</v>
      </c>
      <c r="AB93" t="s">
        <v>43</v>
      </c>
      <c r="AC93" t="str">
        <f t="shared" si="2"/>
        <v>CP</v>
      </c>
      <c r="AD93" t="str">
        <f>_xlfn.XLOOKUP(C93,Mapping!A:A,Mapping!D:D,0,0)</f>
        <v>Bin</v>
      </c>
      <c r="AE93" t="str">
        <f t="shared" si="3"/>
        <v>OLD</v>
      </c>
    </row>
    <row r="94" spans="1:31" x14ac:dyDescent="0.2">
      <c r="A94" t="s">
        <v>39</v>
      </c>
      <c r="B94">
        <v>1011839012</v>
      </c>
      <c r="C94" t="s">
        <v>142</v>
      </c>
      <c r="D94" t="s">
        <v>31</v>
      </c>
      <c r="E94" s="1">
        <v>0.67291666666666672</v>
      </c>
      <c r="F94" t="s">
        <v>32</v>
      </c>
      <c r="G94" t="s">
        <v>33</v>
      </c>
      <c r="H94" t="s">
        <v>34</v>
      </c>
      <c r="I94" t="s">
        <v>84</v>
      </c>
      <c r="J94">
        <v>88</v>
      </c>
      <c r="K94">
        <v>0</v>
      </c>
      <c r="L94" t="s">
        <v>36</v>
      </c>
      <c r="M94" t="s">
        <v>37</v>
      </c>
      <c r="N94">
        <v>0</v>
      </c>
      <c r="O94">
        <v>0</v>
      </c>
      <c r="P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 t="s">
        <v>36</v>
      </c>
      <c r="AB94" t="s">
        <v>43</v>
      </c>
      <c r="AC94" t="str">
        <f t="shared" si="2"/>
        <v>CP</v>
      </c>
      <c r="AD94" t="str">
        <f>_xlfn.XLOOKUP(C94,Mapping!A:A,Mapping!D:D,0,0)</f>
        <v>Bin</v>
      </c>
      <c r="AE94" t="str">
        <f t="shared" si="3"/>
        <v>OLD</v>
      </c>
    </row>
    <row r="95" spans="1:31" x14ac:dyDescent="0.2">
      <c r="A95" t="s">
        <v>39</v>
      </c>
      <c r="B95">
        <v>1011839022</v>
      </c>
      <c r="C95" t="s">
        <v>143</v>
      </c>
      <c r="D95" t="s">
        <v>31</v>
      </c>
      <c r="E95" s="1">
        <v>0.67291666666666672</v>
      </c>
      <c r="F95" t="s">
        <v>32</v>
      </c>
      <c r="G95" t="s">
        <v>33</v>
      </c>
      <c r="H95" t="s">
        <v>41</v>
      </c>
      <c r="I95" t="s">
        <v>62</v>
      </c>
      <c r="J95">
        <v>220</v>
      </c>
      <c r="K95">
        <v>0</v>
      </c>
      <c r="L95" t="s">
        <v>36</v>
      </c>
      <c r="M95" t="s">
        <v>37</v>
      </c>
      <c r="N95">
        <v>0</v>
      </c>
      <c r="O95">
        <v>0</v>
      </c>
      <c r="P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 t="s">
        <v>36</v>
      </c>
      <c r="AB95" t="s">
        <v>43</v>
      </c>
      <c r="AC95" t="str">
        <f t="shared" si="2"/>
        <v>CP</v>
      </c>
      <c r="AD95" t="str">
        <f>_xlfn.XLOOKUP(C95,Mapping!A:A,Mapping!D:D,0,0)</f>
        <v>Bin</v>
      </c>
      <c r="AE95" t="str">
        <f t="shared" si="3"/>
        <v>OLD</v>
      </c>
    </row>
    <row r="96" spans="1:31" x14ac:dyDescent="0.2">
      <c r="A96" t="s">
        <v>39</v>
      </c>
      <c r="B96">
        <v>1011839032</v>
      </c>
      <c r="C96" t="s">
        <v>144</v>
      </c>
      <c r="D96" t="s">
        <v>31</v>
      </c>
      <c r="E96" s="1">
        <v>0.67291666666666672</v>
      </c>
      <c r="F96" t="s">
        <v>32</v>
      </c>
      <c r="G96" t="s">
        <v>33</v>
      </c>
      <c r="H96" t="s">
        <v>41</v>
      </c>
      <c r="I96" t="s">
        <v>62</v>
      </c>
      <c r="J96">
        <v>220</v>
      </c>
      <c r="K96">
        <v>0</v>
      </c>
      <c r="L96" t="s">
        <v>63</v>
      </c>
      <c r="M96">
        <v>200</v>
      </c>
      <c r="N96">
        <v>0</v>
      </c>
      <c r="O96">
        <v>0</v>
      </c>
      <c r="P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 t="s">
        <v>36</v>
      </c>
      <c r="AB96" t="s">
        <v>43</v>
      </c>
      <c r="AC96" t="str">
        <f t="shared" si="2"/>
        <v>CP</v>
      </c>
      <c r="AD96" t="str">
        <f>_xlfn.XLOOKUP(C96,Mapping!A:A,Mapping!D:D,0,0)</f>
        <v>Bin</v>
      </c>
      <c r="AE96" t="str">
        <f t="shared" si="3"/>
        <v>OLD</v>
      </c>
    </row>
    <row r="97" spans="1:31" x14ac:dyDescent="0.2">
      <c r="A97" t="s">
        <v>39</v>
      </c>
      <c r="B97">
        <v>1011839042</v>
      </c>
      <c r="C97" t="s">
        <v>145</v>
      </c>
      <c r="D97" t="s">
        <v>31</v>
      </c>
      <c r="E97" s="1">
        <v>0.67291666666666672</v>
      </c>
      <c r="F97" t="s">
        <v>32</v>
      </c>
      <c r="G97" t="s">
        <v>33</v>
      </c>
      <c r="H97" t="s">
        <v>41</v>
      </c>
      <c r="I97" t="s">
        <v>62</v>
      </c>
      <c r="J97">
        <v>130</v>
      </c>
      <c r="K97">
        <v>0</v>
      </c>
      <c r="L97" t="s">
        <v>63</v>
      </c>
      <c r="M97">
        <v>100</v>
      </c>
      <c r="N97">
        <v>0</v>
      </c>
      <c r="O97">
        <v>0</v>
      </c>
      <c r="P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 t="s">
        <v>36</v>
      </c>
      <c r="AB97" t="s">
        <v>43</v>
      </c>
      <c r="AC97" t="str">
        <f t="shared" si="2"/>
        <v>CP</v>
      </c>
      <c r="AD97" t="str">
        <f>_xlfn.XLOOKUP(C97,Mapping!A:A,Mapping!D:D,0,0)</f>
        <v>Bin</v>
      </c>
      <c r="AE97" t="str">
        <f t="shared" si="3"/>
        <v>OLD</v>
      </c>
    </row>
    <row r="98" spans="1:31" x14ac:dyDescent="0.2">
      <c r="A98" t="s">
        <v>39</v>
      </c>
      <c r="B98">
        <v>1011839052</v>
      </c>
      <c r="C98" t="s">
        <v>146</v>
      </c>
      <c r="D98" t="s">
        <v>31</v>
      </c>
      <c r="E98" s="1">
        <v>0.67291666666666672</v>
      </c>
      <c r="F98" t="s">
        <v>32</v>
      </c>
      <c r="G98" t="s">
        <v>33</v>
      </c>
      <c r="H98" t="s">
        <v>34</v>
      </c>
      <c r="I98" t="s">
        <v>84</v>
      </c>
      <c r="J98">
        <v>88</v>
      </c>
      <c r="K98">
        <v>0</v>
      </c>
      <c r="L98" t="s">
        <v>63</v>
      </c>
      <c r="M98">
        <v>500</v>
      </c>
      <c r="N98">
        <v>0</v>
      </c>
      <c r="O98">
        <v>0</v>
      </c>
      <c r="P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 t="s">
        <v>36</v>
      </c>
      <c r="AB98" t="s">
        <v>43</v>
      </c>
      <c r="AC98" t="str">
        <f t="shared" si="2"/>
        <v>CP</v>
      </c>
      <c r="AD98" t="str">
        <f>_xlfn.XLOOKUP(C98,Mapping!A:A,Mapping!D:D,0,0)</f>
        <v>Bin</v>
      </c>
      <c r="AE98" t="str">
        <f t="shared" si="3"/>
        <v>OLD</v>
      </c>
    </row>
    <row r="99" spans="1:31" x14ac:dyDescent="0.2">
      <c r="A99" t="s">
        <v>39</v>
      </c>
      <c r="B99">
        <v>1011839072</v>
      </c>
      <c r="C99" t="s">
        <v>147</v>
      </c>
      <c r="D99" t="s">
        <v>31</v>
      </c>
      <c r="E99" s="1">
        <v>0.67291666666666672</v>
      </c>
      <c r="F99" t="s">
        <v>32</v>
      </c>
      <c r="G99" t="s">
        <v>33</v>
      </c>
      <c r="H99" t="s">
        <v>41</v>
      </c>
      <c r="I99" t="s">
        <v>62</v>
      </c>
      <c r="J99">
        <v>130</v>
      </c>
      <c r="K99">
        <v>0</v>
      </c>
      <c r="L99" t="s">
        <v>63</v>
      </c>
      <c r="M99">
        <v>100</v>
      </c>
      <c r="N99">
        <v>0</v>
      </c>
      <c r="O99">
        <v>0</v>
      </c>
      <c r="P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 t="s">
        <v>36</v>
      </c>
      <c r="AB99" t="s">
        <v>43</v>
      </c>
      <c r="AC99" t="str">
        <f t="shared" si="2"/>
        <v>CP</v>
      </c>
      <c r="AD99" t="str">
        <f>_xlfn.XLOOKUP(C99,Mapping!A:A,Mapping!D:D,0,0)</f>
        <v>Bin</v>
      </c>
      <c r="AE99" t="str">
        <f t="shared" si="3"/>
        <v>OLD</v>
      </c>
    </row>
    <row r="100" spans="1:31" x14ac:dyDescent="0.2">
      <c r="A100" t="s">
        <v>39</v>
      </c>
      <c r="B100">
        <v>1011839082</v>
      </c>
      <c r="C100" t="s">
        <v>148</v>
      </c>
      <c r="D100" t="s">
        <v>31</v>
      </c>
      <c r="E100" s="1">
        <v>0.67291666666666672</v>
      </c>
      <c r="F100" t="s">
        <v>32</v>
      </c>
      <c r="G100" t="s">
        <v>33</v>
      </c>
      <c r="H100" t="s">
        <v>41</v>
      </c>
      <c r="I100" t="s">
        <v>62</v>
      </c>
      <c r="J100">
        <v>526</v>
      </c>
      <c r="K100">
        <v>0</v>
      </c>
      <c r="L100" t="s">
        <v>36</v>
      </c>
      <c r="M100" t="s">
        <v>37</v>
      </c>
      <c r="N100">
        <v>0</v>
      </c>
      <c r="O100">
        <v>0</v>
      </c>
      <c r="P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 t="s">
        <v>36</v>
      </c>
      <c r="AB100" t="s">
        <v>43</v>
      </c>
      <c r="AC100" t="str">
        <f t="shared" si="2"/>
        <v>CP</v>
      </c>
      <c r="AD100" t="str">
        <f>_xlfn.XLOOKUP(C100,Mapping!A:A,Mapping!D:D,0,0)</f>
        <v>Bin</v>
      </c>
      <c r="AE100" t="str">
        <f t="shared" si="3"/>
        <v>OLD</v>
      </c>
    </row>
    <row r="101" spans="1:31" x14ac:dyDescent="0.2">
      <c r="A101" t="s">
        <v>39</v>
      </c>
      <c r="B101">
        <v>1011839092</v>
      </c>
      <c r="C101" t="s">
        <v>149</v>
      </c>
      <c r="D101" t="s">
        <v>31</v>
      </c>
      <c r="E101" s="1">
        <v>0.67291666666666672</v>
      </c>
      <c r="F101" t="s">
        <v>32</v>
      </c>
      <c r="G101" t="s">
        <v>33</v>
      </c>
      <c r="H101" t="s">
        <v>34</v>
      </c>
      <c r="I101" t="s">
        <v>84</v>
      </c>
      <c r="J101">
        <v>268</v>
      </c>
      <c r="K101">
        <v>0</v>
      </c>
      <c r="L101" t="s">
        <v>36</v>
      </c>
      <c r="M101" t="s">
        <v>37</v>
      </c>
      <c r="N101">
        <v>0</v>
      </c>
      <c r="O101">
        <v>0</v>
      </c>
      <c r="P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 t="s">
        <v>36</v>
      </c>
      <c r="AB101" t="s">
        <v>43</v>
      </c>
      <c r="AC101" t="str">
        <f t="shared" si="2"/>
        <v>CP</v>
      </c>
      <c r="AD101" t="str">
        <f>_xlfn.XLOOKUP(C101,Mapping!A:A,Mapping!D:D,0,0)</f>
        <v>Bin</v>
      </c>
      <c r="AE101" t="str">
        <f t="shared" si="3"/>
        <v>OLD</v>
      </c>
    </row>
    <row r="102" spans="1:31" x14ac:dyDescent="0.2">
      <c r="A102" t="s">
        <v>39</v>
      </c>
      <c r="B102">
        <v>1011839102</v>
      </c>
      <c r="C102" t="s">
        <v>150</v>
      </c>
      <c r="D102" t="s">
        <v>31</v>
      </c>
      <c r="E102" s="1">
        <v>0.67291666666666672</v>
      </c>
      <c r="F102" t="s">
        <v>32</v>
      </c>
      <c r="G102" t="s">
        <v>33</v>
      </c>
      <c r="H102" t="s">
        <v>34</v>
      </c>
      <c r="I102" t="s">
        <v>84</v>
      </c>
      <c r="J102">
        <v>268</v>
      </c>
      <c r="K102">
        <v>0</v>
      </c>
      <c r="L102" t="s">
        <v>36</v>
      </c>
      <c r="M102" t="s">
        <v>37</v>
      </c>
      <c r="N102">
        <v>0</v>
      </c>
      <c r="O102">
        <v>0</v>
      </c>
      <c r="P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 t="s">
        <v>36</v>
      </c>
      <c r="AB102" t="s">
        <v>43</v>
      </c>
      <c r="AC102" t="str">
        <f t="shared" si="2"/>
        <v>CP</v>
      </c>
      <c r="AD102" t="str">
        <f>_xlfn.XLOOKUP(C102,Mapping!A:A,Mapping!D:D,0,0)</f>
        <v>Bin</v>
      </c>
      <c r="AE102" t="str">
        <f t="shared" si="3"/>
        <v>OLD</v>
      </c>
    </row>
    <row r="103" spans="1:31" x14ac:dyDescent="0.2">
      <c r="A103" t="s">
        <v>39</v>
      </c>
      <c r="B103">
        <v>1011839112</v>
      </c>
      <c r="C103" t="s">
        <v>151</v>
      </c>
      <c r="D103" t="s">
        <v>31</v>
      </c>
      <c r="E103" s="1">
        <v>0.67291666666666672</v>
      </c>
      <c r="F103" t="s">
        <v>32</v>
      </c>
      <c r="G103" t="s">
        <v>33</v>
      </c>
      <c r="H103" t="s">
        <v>41</v>
      </c>
      <c r="I103" t="s">
        <v>62</v>
      </c>
      <c r="J103">
        <v>526</v>
      </c>
      <c r="K103">
        <v>0</v>
      </c>
      <c r="L103" t="s">
        <v>36</v>
      </c>
      <c r="M103" t="s">
        <v>37</v>
      </c>
      <c r="N103">
        <v>0</v>
      </c>
      <c r="O103">
        <v>0</v>
      </c>
      <c r="P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 t="s">
        <v>36</v>
      </c>
      <c r="AB103" t="s">
        <v>43</v>
      </c>
      <c r="AC103" t="str">
        <f t="shared" si="2"/>
        <v>CP</v>
      </c>
      <c r="AD103" t="str">
        <f>_xlfn.XLOOKUP(C103,Mapping!A:A,Mapping!D:D,0,0)</f>
        <v>Bin</v>
      </c>
      <c r="AE103" t="str">
        <f t="shared" si="3"/>
        <v>OLD</v>
      </c>
    </row>
    <row r="104" spans="1:31" x14ac:dyDescent="0.2">
      <c r="A104" t="s">
        <v>39</v>
      </c>
      <c r="B104">
        <v>1011839122</v>
      </c>
      <c r="C104" t="s">
        <v>152</v>
      </c>
      <c r="D104" t="s">
        <v>31</v>
      </c>
      <c r="E104" s="1">
        <v>0.67291666666666672</v>
      </c>
      <c r="F104" t="s">
        <v>32</v>
      </c>
      <c r="G104" t="s">
        <v>33</v>
      </c>
      <c r="H104" t="s">
        <v>41</v>
      </c>
      <c r="I104" t="s">
        <v>62</v>
      </c>
      <c r="J104">
        <v>130</v>
      </c>
      <c r="K104">
        <v>0</v>
      </c>
      <c r="L104" t="s">
        <v>63</v>
      </c>
      <c r="M104">
        <v>100</v>
      </c>
      <c r="N104">
        <v>0</v>
      </c>
      <c r="O104">
        <v>0</v>
      </c>
      <c r="P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 t="s">
        <v>36</v>
      </c>
      <c r="AB104" t="s">
        <v>43</v>
      </c>
      <c r="AC104" t="str">
        <f t="shared" si="2"/>
        <v>CP</v>
      </c>
      <c r="AD104" t="str">
        <f>_xlfn.XLOOKUP(C104,Mapping!A:A,Mapping!D:D,0,0)</f>
        <v>Bin</v>
      </c>
      <c r="AE104" t="str">
        <f t="shared" si="3"/>
        <v>OLD</v>
      </c>
    </row>
    <row r="105" spans="1:31" x14ac:dyDescent="0.2">
      <c r="A105" t="s">
        <v>39</v>
      </c>
      <c r="B105">
        <v>1011839132</v>
      </c>
      <c r="C105" t="s">
        <v>153</v>
      </c>
      <c r="D105" t="s">
        <v>31</v>
      </c>
      <c r="E105" s="1">
        <v>0.67291666666666672</v>
      </c>
      <c r="F105" t="s">
        <v>32</v>
      </c>
      <c r="G105" t="s">
        <v>33</v>
      </c>
      <c r="H105" t="s">
        <v>41</v>
      </c>
      <c r="I105" t="s">
        <v>62</v>
      </c>
      <c r="J105">
        <v>130</v>
      </c>
      <c r="K105">
        <v>0</v>
      </c>
      <c r="L105" t="s">
        <v>63</v>
      </c>
      <c r="M105">
        <v>150</v>
      </c>
      <c r="N105">
        <v>0</v>
      </c>
      <c r="O105">
        <v>0</v>
      </c>
      <c r="P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 t="s">
        <v>36</v>
      </c>
      <c r="AB105" t="s">
        <v>43</v>
      </c>
      <c r="AC105" t="str">
        <f t="shared" si="2"/>
        <v>CP</v>
      </c>
      <c r="AD105" t="str">
        <f>_xlfn.XLOOKUP(C105,Mapping!A:A,Mapping!D:D,0,0)</f>
        <v>Bin</v>
      </c>
      <c r="AE105" t="str">
        <f t="shared" si="3"/>
        <v>OLD</v>
      </c>
    </row>
    <row r="106" spans="1:31" x14ac:dyDescent="0.2">
      <c r="A106" t="s">
        <v>39</v>
      </c>
      <c r="B106">
        <v>1011839142</v>
      </c>
      <c r="C106" t="s">
        <v>154</v>
      </c>
      <c r="D106" t="s">
        <v>31</v>
      </c>
      <c r="E106" s="1">
        <v>0.67291666666666672</v>
      </c>
      <c r="F106" t="s">
        <v>32</v>
      </c>
      <c r="G106" t="s">
        <v>33</v>
      </c>
      <c r="H106" t="s">
        <v>41</v>
      </c>
      <c r="I106" t="s">
        <v>62</v>
      </c>
      <c r="J106">
        <v>526</v>
      </c>
      <c r="K106">
        <v>0</v>
      </c>
      <c r="L106" t="s">
        <v>36</v>
      </c>
      <c r="M106" t="s">
        <v>37</v>
      </c>
      <c r="N106">
        <v>0</v>
      </c>
      <c r="O106">
        <v>0</v>
      </c>
      <c r="P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 t="s">
        <v>36</v>
      </c>
      <c r="AB106" t="s">
        <v>43</v>
      </c>
      <c r="AC106" t="str">
        <f t="shared" si="2"/>
        <v>CP</v>
      </c>
      <c r="AD106" t="str">
        <f>_xlfn.XLOOKUP(C106,Mapping!A:A,Mapping!D:D,0,0)</f>
        <v>Bin</v>
      </c>
      <c r="AE106" t="str">
        <f t="shared" si="3"/>
        <v>OLD</v>
      </c>
    </row>
    <row r="107" spans="1:31" x14ac:dyDescent="0.2">
      <c r="A107" t="s">
        <v>39</v>
      </c>
      <c r="B107">
        <v>1011839152</v>
      </c>
      <c r="C107" t="s">
        <v>155</v>
      </c>
      <c r="D107" t="s">
        <v>31</v>
      </c>
      <c r="E107" s="1">
        <v>0.67291666666666672</v>
      </c>
      <c r="F107" t="s">
        <v>32</v>
      </c>
      <c r="G107" t="s">
        <v>33</v>
      </c>
      <c r="H107" t="s">
        <v>34</v>
      </c>
      <c r="I107" t="s">
        <v>84</v>
      </c>
      <c r="J107">
        <v>268</v>
      </c>
      <c r="K107">
        <v>0</v>
      </c>
      <c r="L107" t="s">
        <v>36</v>
      </c>
      <c r="M107" t="s">
        <v>37</v>
      </c>
      <c r="N107">
        <v>0</v>
      </c>
      <c r="O107">
        <v>0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 t="s">
        <v>36</v>
      </c>
      <c r="AB107" t="s">
        <v>43</v>
      </c>
      <c r="AC107" t="str">
        <f t="shared" si="2"/>
        <v>CP</v>
      </c>
      <c r="AD107" t="str">
        <f>_xlfn.XLOOKUP(C107,Mapping!A:A,Mapping!D:D,0,0)</f>
        <v>Bin</v>
      </c>
      <c r="AE107" t="str">
        <f t="shared" si="3"/>
        <v>OLD</v>
      </c>
    </row>
    <row r="108" spans="1:31" x14ac:dyDescent="0.2">
      <c r="A108" t="s">
        <v>39</v>
      </c>
      <c r="B108">
        <v>1011839162</v>
      </c>
      <c r="C108" t="s">
        <v>156</v>
      </c>
      <c r="D108" t="s">
        <v>31</v>
      </c>
      <c r="E108" s="1">
        <v>0.67291666666666672</v>
      </c>
      <c r="F108" t="s">
        <v>32</v>
      </c>
      <c r="G108" t="s">
        <v>33</v>
      </c>
      <c r="H108" t="s">
        <v>41</v>
      </c>
      <c r="I108" t="s">
        <v>62</v>
      </c>
      <c r="J108">
        <v>616</v>
      </c>
      <c r="K108">
        <v>0</v>
      </c>
      <c r="L108" t="s">
        <v>36</v>
      </c>
      <c r="M108" t="s">
        <v>37</v>
      </c>
      <c r="N108">
        <v>0</v>
      </c>
      <c r="O108">
        <v>0</v>
      </c>
      <c r="P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 t="s">
        <v>36</v>
      </c>
      <c r="AB108" t="s">
        <v>43</v>
      </c>
      <c r="AC108" t="str">
        <f t="shared" si="2"/>
        <v>CP</v>
      </c>
      <c r="AD108" t="str">
        <f>_xlfn.XLOOKUP(C108,Mapping!A:A,Mapping!D:D,0,0)</f>
        <v>Bin</v>
      </c>
      <c r="AE108" t="str">
        <f t="shared" si="3"/>
        <v>OLD</v>
      </c>
    </row>
    <row r="109" spans="1:31" x14ac:dyDescent="0.2">
      <c r="A109" t="s">
        <v>29</v>
      </c>
      <c r="B109">
        <v>1011839172</v>
      </c>
      <c r="C109" t="s">
        <v>157</v>
      </c>
      <c r="D109" t="s">
        <v>31</v>
      </c>
      <c r="E109" s="1">
        <v>0.67291666666666672</v>
      </c>
      <c r="F109" t="s">
        <v>32</v>
      </c>
      <c r="G109" t="s">
        <v>33</v>
      </c>
      <c r="H109" t="s">
        <v>34</v>
      </c>
      <c r="I109" t="s">
        <v>84</v>
      </c>
      <c r="J109">
        <v>45</v>
      </c>
      <c r="K109">
        <v>0</v>
      </c>
      <c r="L109" t="s">
        <v>36</v>
      </c>
      <c r="M109" t="s">
        <v>37</v>
      </c>
      <c r="N109">
        <v>350201</v>
      </c>
      <c r="O109">
        <v>16304</v>
      </c>
      <c r="P109">
        <v>4.6556100000000002</v>
      </c>
      <c r="Q109">
        <v>18</v>
      </c>
      <c r="R109">
        <v>1320.1</v>
      </c>
      <c r="S109">
        <v>3.77</v>
      </c>
      <c r="T109">
        <v>8.1000000000000003E-2</v>
      </c>
      <c r="U109">
        <v>73.338999999999999</v>
      </c>
      <c r="V109">
        <v>1</v>
      </c>
      <c r="W109">
        <v>0</v>
      </c>
      <c r="X109" t="s">
        <v>36</v>
      </c>
      <c r="Y109">
        <v>350185</v>
      </c>
      <c r="Z109">
        <v>273031</v>
      </c>
      <c r="AA109">
        <v>44244</v>
      </c>
      <c r="AB109" t="s">
        <v>158</v>
      </c>
      <c r="AC109" t="str">
        <f t="shared" si="2"/>
        <v>CP</v>
      </c>
      <c r="AD109" t="str">
        <f>_xlfn.XLOOKUP(C109,Mapping!A:A,Mapping!D:D,0,0)</f>
        <v>Keyword - Preroll</v>
      </c>
      <c r="AE109" t="str">
        <f t="shared" si="3"/>
        <v>OLD</v>
      </c>
    </row>
    <row r="110" spans="1:31" x14ac:dyDescent="0.2">
      <c r="A110" t="s">
        <v>39</v>
      </c>
      <c r="B110">
        <v>1011839182</v>
      </c>
      <c r="C110" t="s">
        <v>159</v>
      </c>
      <c r="D110" t="s">
        <v>31</v>
      </c>
      <c r="E110" s="1">
        <v>0.67291666666666672</v>
      </c>
      <c r="F110" t="s">
        <v>32</v>
      </c>
      <c r="G110" t="s">
        <v>33</v>
      </c>
      <c r="H110" t="s">
        <v>41</v>
      </c>
      <c r="I110" t="s">
        <v>62</v>
      </c>
      <c r="J110">
        <v>99</v>
      </c>
      <c r="K110">
        <v>0</v>
      </c>
      <c r="L110" t="s">
        <v>36</v>
      </c>
      <c r="M110" t="s">
        <v>37</v>
      </c>
      <c r="N110">
        <v>0</v>
      </c>
      <c r="O110">
        <v>0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 t="s">
        <v>36</v>
      </c>
      <c r="AB110" t="s">
        <v>43</v>
      </c>
      <c r="AC110" t="str">
        <f t="shared" si="2"/>
        <v>CP</v>
      </c>
      <c r="AD110" t="str">
        <f>_xlfn.XLOOKUP(C110,Mapping!A:A,Mapping!D:D,0,0)</f>
        <v>Keyword - Preroll</v>
      </c>
      <c r="AE110" t="str">
        <f t="shared" si="3"/>
        <v>OLD</v>
      </c>
    </row>
    <row r="111" spans="1:31" x14ac:dyDescent="0.2">
      <c r="A111" t="s">
        <v>29</v>
      </c>
      <c r="B111">
        <v>1011839192</v>
      </c>
      <c r="C111" t="s">
        <v>160</v>
      </c>
      <c r="D111" t="s">
        <v>31</v>
      </c>
      <c r="E111" s="1">
        <v>0.67291666666666672</v>
      </c>
      <c r="F111" t="s">
        <v>32</v>
      </c>
      <c r="G111" t="s">
        <v>33</v>
      </c>
      <c r="H111" t="s">
        <v>41</v>
      </c>
      <c r="I111" t="s">
        <v>62</v>
      </c>
      <c r="J111">
        <v>99</v>
      </c>
      <c r="K111">
        <v>0</v>
      </c>
      <c r="L111" t="s">
        <v>36</v>
      </c>
      <c r="M111" t="s">
        <v>37</v>
      </c>
      <c r="N111">
        <v>13545</v>
      </c>
      <c r="O111">
        <v>846</v>
      </c>
      <c r="P111">
        <v>6.2458499999999999</v>
      </c>
      <c r="Q111">
        <v>0</v>
      </c>
      <c r="R111">
        <v>26.67</v>
      </c>
      <c r="S111">
        <v>1.9690000000000001</v>
      </c>
      <c r="T111">
        <v>3.2000000000000001E-2</v>
      </c>
      <c r="U111">
        <v>0</v>
      </c>
      <c r="V111">
        <v>1</v>
      </c>
      <c r="W111">
        <v>0</v>
      </c>
      <c r="X111" t="s">
        <v>36</v>
      </c>
      <c r="Y111">
        <v>13545</v>
      </c>
      <c r="Z111">
        <v>11823</v>
      </c>
      <c r="AA111">
        <v>1359</v>
      </c>
      <c r="AB111" t="s">
        <v>158</v>
      </c>
      <c r="AC111" t="str">
        <f t="shared" si="2"/>
        <v>CP</v>
      </c>
      <c r="AD111" t="str">
        <f>_xlfn.XLOOKUP(C111,Mapping!A:A,Mapping!D:D,0,0)</f>
        <v>Keyword - Preroll</v>
      </c>
      <c r="AE111" t="str">
        <f t="shared" si="3"/>
        <v>OLD</v>
      </c>
    </row>
    <row r="112" spans="1:31" x14ac:dyDescent="0.2">
      <c r="A112" t="s">
        <v>39</v>
      </c>
      <c r="B112">
        <v>1011839202</v>
      </c>
      <c r="C112" t="s">
        <v>161</v>
      </c>
      <c r="D112" t="s">
        <v>31</v>
      </c>
      <c r="E112" s="1">
        <v>0.67291666666666672</v>
      </c>
      <c r="F112" t="s">
        <v>32</v>
      </c>
      <c r="G112" t="s">
        <v>33</v>
      </c>
      <c r="H112" t="s">
        <v>34</v>
      </c>
      <c r="I112" t="s">
        <v>84</v>
      </c>
      <c r="J112">
        <v>45</v>
      </c>
      <c r="K112">
        <v>0</v>
      </c>
      <c r="L112" t="s">
        <v>36</v>
      </c>
      <c r="M112" t="s">
        <v>37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2.512</v>
      </c>
      <c r="T112">
        <v>0</v>
      </c>
      <c r="U112">
        <v>0</v>
      </c>
      <c r="V112">
        <v>1</v>
      </c>
      <c r="W112">
        <v>0</v>
      </c>
      <c r="X112" t="s">
        <v>36</v>
      </c>
      <c r="Y112">
        <v>1</v>
      </c>
      <c r="Z112">
        <v>0</v>
      </c>
      <c r="AA112">
        <v>0</v>
      </c>
      <c r="AB112" t="s">
        <v>158</v>
      </c>
      <c r="AC112" t="str">
        <f t="shared" si="2"/>
        <v>CP</v>
      </c>
      <c r="AD112" t="str">
        <f>_xlfn.XLOOKUP(C112,Mapping!A:A,Mapping!D:D,0,0)</f>
        <v>FinDom</v>
      </c>
      <c r="AE112" t="str">
        <f t="shared" si="3"/>
        <v>OLD</v>
      </c>
    </row>
    <row r="113" spans="1:31" x14ac:dyDescent="0.2">
      <c r="A113" t="s">
        <v>29</v>
      </c>
      <c r="B113">
        <v>1011839212</v>
      </c>
      <c r="C113" t="s">
        <v>162</v>
      </c>
      <c r="D113" t="s">
        <v>31</v>
      </c>
      <c r="E113" s="1">
        <v>0.67291666666666672</v>
      </c>
      <c r="F113" t="s">
        <v>32</v>
      </c>
      <c r="G113" t="s">
        <v>33</v>
      </c>
      <c r="H113" t="s">
        <v>34</v>
      </c>
      <c r="I113" t="s">
        <v>84</v>
      </c>
      <c r="J113">
        <v>45</v>
      </c>
      <c r="K113">
        <v>0</v>
      </c>
      <c r="L113" t="s">
        <v>36</v>
      </c>
      <c r="M113" t="s">
        <v>37</v>
      </c>
      <c r="N113">
        <v>81043</v>
      </c>
      <c r="O113">
        <v>3507</v>
      </c>
      <c r="P113">
        <v>4.3273299999999999</v>
      </c>
      <c r="Q113">
        <v>1</v>
      </c>
      <c r="R113">
        <v>212.17</v>
      </c>
      <c r="S113">
        <v>2.6179999999999999</v>
      </c>
      <c r="T113">
        <v>0.06</v>
      </c>
      <c r="U113">
        <v>212.17</v>
      </c>
      <c r="V113">
        <v>1</v>
      </c>
      <c r="W113">
        <v>0</v>
      </c>
      <c r="X113" t="s">
        <v>36</v>
      </c>
      <c r="Y113">
        <v>81041</v>
      </c>
      <c r="Z113">
        <v>62196</v>
      </c>
      <c r="AA113">
        <v>11029</v>
      </c>
      <c r="AB113" t="s">
        <v>158</v>
      </c>
      <c r="AC113" t="str">
        <f t="shared" si="2"/>
        <v>CP</v>
      </c>
      <c r="AD113" t="str">
        <f>_xlfn.XLOOKUP(C113,Mapping!A:A,Mapping!D:D,0,0)</f>
        <v>Keyword - Preroll</v>
      </c>
      <c r="AE113" t="str">
        <f t="shared" si="3"/>
        <v>OLD</v>
      </c>
    </row>
    <row r="114" spans="1:31" x14ac:dyDescent="0.2">
      <c r="A114" t="s">
        <v>39</v>
      </c>
      <c r="B114">
        <v>1011839222</v>
      </c>
      <c r="C114" t="s">
        <v>163</v>
      </c>
      <c r="D114" t="s">
        <v>31</v>
      </c>
      <c r="E114" s="1">
        <v>0.67291666666666672</v>
      </c>
      <c r="F114" t="s">
        <v>32</v>
      </c>
      <c r="G114" t="s">
        <v>33</v>
      </c>
      <c r="H114" t="s">
        <v>41</v>
      </c>
      <c r="I114" t="s">
        <v>62</v>
      </c>
      <c r="J114">
        <v>616</v>
      </c>
      <c r="K114">
        <v>0</v>
      </c>
      <c r="L114" t="s">
        <v>36</v>
      </c>
      <c r="M114" t="s">
        <v>37</v>
      </c>
      <c r="N114">
        <v>0</v>
      </c>
      <c r="O114">
        <v>0</v>
      </c>
      <c r="P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 t="s">
        <v>36</v>
      </c>
      <c r="AB114" t="s">
        <v>43</v>
      </c>
      <c r="AC114" t="str">
        <f t="shared" si="2"/>
        <v>CP</v>
      </c>
      <c r="AD114" t="str">
        <f>_xlfn.XLOOKUP(C114,Mapping!A:A,Mapping!D:D,0,0)</f>
        <v>Bin</v>
      </c>
      <c r="AE114" t="str">
        <f t="shared" si="3"/>
        <v>OLD</v>
      </c>
    </row>
    <row r="115" spans="1:31" x14ac:dyDescent="0.2">
      <c r="A115" t="s">
        <v>39</v>
      </c>
      <c r="B115">
        <v>1011839232</v>
      </c>
      <c r="C115" t="s">
        <v>164</v>
      </c>
      <c r="D115" t="s">
        <v>31</v>
      </c>
      <c r="E115" s="1">
        <v>0.67291666666666672</v>
      </c>
      <c r="F115" t="s">
        <v>32</v>
      </c>
      <c r="G115" t="s">
        <v>33</v>
      </c>
      <c r="H115" t="s">
        <v>41</v>
      </c>
      <c r="I115" t="s">
        <v>62</v>
      </c>
      <c r="J115">
        <v>616</v>
      </c>
      <c r="K115">
        <v>0</v>
      </c>
      <c r="L115" t="s">
        <v>36</v>
      </c>
      <c r="M115" t="s">
        <v>37</v>
      </c>
      <c r="N115">
        <v>0</v>
      </c>
      <c r="O115">
        <v>0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 t="s">
        <v>36</v>
      </c>
      <c r="AB115" t="s">
        <v>43</v>
      </c>
      <c r="AC115" t="str">
        <f t="shared" si="2"/>
        <v>CP</v>
      </c>
      <c r="AD115" t="str">
        <f>_xlfn.XLOOKUP(C115,Mapping!A:A,Mapping!D:D,0,0)</f>
        <v>Bin</v>
      </c>
      <c r="AE115" t="str">
        <f t="shared" si="3"/>
        <v>OLD</v>
      </c>
    </row>
    <row r="116" spans="1:31" x14ac:dyDescent="0.2">
      <c r="A116" t="s">
        <v>39</v>
      </c>
      <c r="B116">
        <v>1011839242</v>
      </c>
      <c r="C116" t="s">
        <v>165</v>
      </c>
      <c r="D116" t="s">
        <v>31</v>
      </c>
      <c r="E116" s="1">
        <v>0.67291666666666672</v>
      </c>
      <c r="F116" t="s">
        <v>32</v>
      </c>
      <c r="G116" t="s">
        <v>33</v>
      </c>
      <c r="H116" t="s">
        <v>41</v>
      </c>
      <c r="I116" t="s">
        <v>62</v>
      </c>
      <c r="J116">
        <v>99</v>
      </c>
      <c r="K116">
        <v>0</v>
      </c>
      <c r="L116" t="s">
        <v>36</v>
      </c>
      <c r="M116" t="s">
        <v>37</v>
      </c>
      <c r="N116">
        <v>0</v>
      </c>
      <c r="O116">
        <v>0</v>
      </c>
      <c r="P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 t="s">
        <v>36</v>
      </c>
      <c r="AB116" t="s">
        <v>43</v>
      </c>
      <c r="AC116" t="str">
        <f t="shared" si="2"/>
        <v>CP</v>
      </c>
      <c r="AD116" t="str">
        <f>_xlfn.XLOOKUP(C116,Mapping!A:A,Mapping!D:D,0,0)</f>
        <v>Bin</v>
      </c>
      <c r="AE116" t="str">
        <f t="shared" si="3"/>
        <v>OLD</v>
      </c>
    </row>
    <row r="117" spans="1:31" x14ac:dyDescent="0.2">
      <c r="A117" t="s">
        <v>39</v>
      </c>
      <c r="B117">
        <v>1011839252</v>
      </c>
      <c r="C117" t="s">
        <v>166</v>
      </c>
      <c r="D117" t="s">
        <v>31</v>
      </c>
      <c r="E117" s="1">
        <v>0.67291666666666672</v>
      </c>
      <c r="F117" t="s">
        <v>32</v>
      </c>
      <c r="G117" t="s">
        <v>33</v>
      </c>
      <c r="H117" t="s">
        <v>41</v>
      </c>
      <c r="I117" t="s">
        <v>62</v>
      </c>
      <c r="J117">
        <v>616</v>
      </c>
      <c r="K117">
        <v>0</v>
      </c>
      <c r="L117" t="s">
        <v>36</v>
      </c>
      <c r="M117" t="s">
        <v>37</v>
      </c>
      <c r="N117">
        <v>0</v>
      </c>
      <c r="O117">
        <v>0</v>
      </c>
      <c r="P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 t="s">
        <v>36</v>
      </c>
      <c r="AB117" t="s">
        <v>43</v>
      </c>
      <c r="AC117" t="str">
        <f t="shared" si="2"/>
        <v>CP</v>
      </c>
      <c r="AD117" t="str">
        <f>_xlfn.XLOOKUP(C117,Mapping!A:A,Mapping!D:D,0,0)</f>
        <v>Bin</v>
      </c>
      <c r="AE117" t="str">
        <f t="shared" si="3"/>
        <v>OLD</v>
      </c>
    </row>
    <row r="118" spans="1:31" x14ac:dyDescent="0.2">
      <c r="A118" t="s">
        <v>39</v>
      </c>
      <c r="B118">
        <v>1011839262</v>
      </c>
      <c r="C118" t="s">
        <v>167</v>
      </c>
      <c r="D118" t="s">
        <v>31</v>
      </c>
      <c r="E118" s="1">
        <v>0.67291666666666672</v>
      </c>
      <c r="F118" t="s">
        <v>32</v>
      </c>
      <c r="G118" t="s">
        <v>33</v>
      </c>
      <c r="H118" t="s">
        <v>34</v>
      </c>
      <c r="I118" t="s">
        <v>84</v>
      </c>
      <c r="J118">
        <v>268</v>
      </c>
      <c r="K118">
        <v>0</v>
      </c>
      <c r="L118" t="s">
        <v>63</v>
      </c>
      <c r="M118">
        <v>150</v>
      </c>
      <c r="N118">
        <v>0</v>
      </c>
      <c r="O118">
        <v>0</v>
      </c>
      <c r="P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 t="s">
        <v>36</v>
      </c>
      <c r="AB118" t="s">
        <v>43</v>
      </c>
      <c r="AC118" t="str">
        <f t="shared" si="2"/>
        <v>CP</v>
      </c>
      <c r="AD118" t="str">
        <f>_xlfn.XLOOKUP(C118,Mapping!A:A,Mapping!D:D,0,0)</f>
        <v>Keyword - Preroll</v>
      </c>
      <c r="AE118" t="str">
        <f t="shared" si="3"/>
        <v>OLD</v>
      </c>
    </row>
    <row r="119" spans="1:31" x14ac:dyDescent="0.2">
      <c r="A119" t="s">
        <v>39</v>
      </c>
      <c r="B119">
        <v>1011839272</v>
      </c>
      <c r="C119" t="s">
        <v>168</v>
      </c>
      <c r="D119" t="s">
        <v>31</v>
      </c>
      <c r="E119" s="1">
        <v>0.67291666666666672</v>
      </c>
      <c r="F119" t="s">
        <v>32</v>
      </c>
      <c r="G119" t="s">
        <v>33</v>
      </c>
      <c r="H119" t="s">
        <v>41</v>
      </c>
      <c r="I119" t="s">
        <v>62</v>
      </c>
      <c r="J119">
        <v>220</v>
      </c>
      <c r="K119">
        <v>0</v>
      </c>
      <c r="L119" t="s">
        <v>36</v>
      </c>
      <c r="M119" t="s">
        <v>37</v>
      </c>
      <c r="N119">
        <v>0</v>
      </c>
      <c r="O119">
        <v>0</v>
      </c>
      <c r="P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 t="s">
        <v>36</v>
      </c>
      <c r="AB119" t="s">
        <v>43</v>
      </c>
      <c r="AC119" t="str">
        <f t="shared" si="2"/>
        <v>CP</v>
      </c>
      <c r="AD119" t="str">
        <f>_xlfn.XLOOKUP(C119,Mapping!A:A,Mapping!D:D,0,0)</f>
        <v>Bin</v>
      </c>
      <c r="AE119" t="str">
        <f t="shared" si="3"/>
        <v>OLD</v>
      </c>
    </row>
    <row r="120" spans="1:31" x14ac:dyDescent="0.2">
      <c r="A120" t="s">
        <v>39</v>
      </c>
      <c r="B120">
        <v>1011839282</v>
      </c>
      <c r="C120" t="s">
        <v>169</v>
      </c>
      <c r="D120" t="s">
        <v>31</v>
      </c>
      <c r="E120" s="1">
        <v>0.67291666666666672</v>
      </c>
      <c r="F120" t="s">
        <v>32</v>
      </c>
      <c r="G120" t="s">
        <v>33</v>
      </c>
      <c r="H120" t="s">
        <v>34</v>
      </c>
      <c r="I120" t="s">
        <v>84</v>
      </c>
      <c r="J120">
        <v>88</v>
      </c>
      <c r="K120">
        <v>0</v>
      </c>
      <c r="L120" t="s">
        <v>63</v>
      </c>
      <c r="M120">
        <v>500</v>
      </c>
      <c r="N120">
        <v>0</v>
      </c>
      <c r="O120">
        <v>0</v>
      </c>
      <c r="P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 t="s">
        <v>36</v>
      </c>
      <c r="AB120" t="s">
        <v>43</v>
      </c>
      <c r="AC120" t="str">
        <f t="shared" si="2"/>
        <v>CP</v>
      </c>
      <c r="AD120" t="str">
        <f>_xlfn.XLOOKUP(C120,Mapping!A:A,Mapping!D:D,0,0)</f>
        <v>Bin</v>
      </c>
      <c r="AE120" t="str">
        <f t="shared" si="3"/>
        <v>OLD</v>
      </c>
    </row>
    <row r="121" spans="1:31" x14ac:dyDescent="0.2">
      <c r="A121" t="s">
        <v>39</v>
      </c>
      <c r="B121">
        <v>1011839292</v>
      </c>
      <c r="C121" t="s">
        <v>170</v>
      </c>
      <c r="D121" t="s">
        <v>31</v>
      </c>
      <c r="E121" s="1">
        <v>0.67291666666666672</v>
      </c>
      <c r="F121" t="s">
        <v>32</v>
      </c>
      <c r="G121" t="s">
        <v>33</v>
      </c>
      <c r="H121" t="s">
        <v>34</v>
      </c>
      <c r="I121" t="s">
        <v>84</v>
      </c>
      <c r="J121">
        <v>88</v>
      </c>
      <c r="K121">
        <v>0</v>
      </c>
      <c r="L121" t="s">
        <v>63</v>
      </c>
      <c r="M121">
        <v>500</v>
      </c>
      <c r="N121">
        <v>0</v>
      </c>
      <c r="O121">
        <v>0</v>
      </c>
      <c r="P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 t="s">
        <v>36</v>
      </c>
      <c r="AB121" t="s">
        <v>43</v>
      </c>
      <c r="AC121" t="str">
        <f t="shared" si="2"/>
        <v>CP</v>
      </c>
      <c r="AD121" t="str">
        <f>_xlfn.XLOOKUP(C121,Mapping!A:A,Mapping!D:D,0,0)</f>
        <v>Bin</v>
      </c>
      <c r="AE121" t="str">
        <f t="shared" si="3"/>
        <v>OLD</v>
      </c>
    </row>
    <row r="122" spans="1:31" x14ac:dyDescent="0.2">
      <c r="A122" t="s">
        <v>39</v>
      </c>
      <c r="B122">
        <v>1011839302</v>
      </c>
      <c r="C122" t="s">
        <v>171</v>
      </c>
      <c r="D122" t="s">
        <v>31</v>
      </c>
      <c r="E122" s="1">
        <v>0.67291666666666672</v>
      </c>
      <c r="F122" t="s">
        <v>32</v>
      </c>
      <c r="G122" t="s">
        <v>33</v>
      </c>
      <c r="H122" t="s">
        <v>41</v>
      </c>
      <c r="I122" t="s">
        <v>62</v>
      </c>
      <c r="J122">
        <v>616</v>
      </c>
      <c r="K122">
        <v>0</v>
      </c>
      <c r="L122" t="s">
        <v>36</v>
      </c>
      <c r="M122" t="s">
        <v>37</v>
      </c>
      <c r="N122">
        <v>0</v>
      </c>
      <c r="O122">
        <v>0</v>
      </c>
      <c r="P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 t="s">
        <v>36</v>
      </c>
      <c r="AB122" t="s">
        <v>172</v>
      </c>
      <c r="AC122" t="str">
        <f t="shared" si="2"/>
        <v>CP</v>
      </c>
      <c r="AD122" t="str">
        <f>_xlfn.XLOOKUP(C122,Mapping!A:A,Mapping!D:D,0,0)</f>
        <v>Ocean</v>
      </c>
      <c r="AE122" t="str">
        <f t="shared" si="3"/>
        <v>OLD</v>
      </c>
    </row>
    <row r="123" spans="1:31" x14ac:dyDescent="0.2">
      <c r="A123" t="s">
        <v>39</v>
      </c>
      <c r="B123">
        <v>1011839312</v>
      </c>
      <c r="C123" t="s">
        <v>173</v>
      </c>
      <c r="D123" t="s">
        <v>31</v>
      </c>
      <c r="E123" s="1">
        <v>0.67291666666666672</v>
      </c>
      <c r="F123" t="s">
        <v>32</v>
      </c>
      <c r="G123" t="s">
        <v>33</v>
      </c>
      <c r="H123" t="s">
        <v>41</v>
      </c>
      <c r="I123" t="s">
        <v>62</v>
      </c>
      <c r="J123">
        <v>616</v>
      </c>
      <c r="K123">
        <v>0</v>
      </c>
      <c r="L123" t="s">
        <v>36</v>
      </c>
      <c r="M123" t="s">
        <v>37</v>
      </c>
      <c r="N123">
        <v>0</v>
      </c>
      <c r="O123">
        <v>0</v>
      </c>
      <c r="P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 t="s">
        <v>36</v>
      </c>
      <c r="AB123" t="s">
        <v>43</v>
      </c>
      <c r="AC123" t="str">
        <f t="shared" si="2"/>
        <v>CP</v>
      </c>
      <c r="AD123" t="str">
        <f>_xlfn.XLOOKUP(C123,Mapping!A:A,Mapping!D:D,0,0)</f>
        <v>Bin</v>
      </c>
      <c r="AE123" t="str">
        <f t="shared" si="3"/>
        <v>OLD</v>
      </c>
    </row>
    <row r="124" spans="1:31" x14ac:dyDescent="0.2">
      <c r="A124" t="s">
        <v>39</v>
      </c>
      <c r="B124">
        <v>1011839322</v>
      </c>
      <c r="C124" t="s">
        <v>174</v>
      </c>
      <c r="D124" t="s">
        <v>31</v>
      </c>
      <c r="E124" s="1">
        <v>0.67291666666666672</v>
      </c>
      <c r="F124" t="s">
        <v>32</v>
      </c>
      <c r="G124" t="s">
        <v>33</v>
      </c>
      <c r="H124" t="s">
        <v>41</v>
      </c>
      <c r="I124" t="s">
        <v>62</v>
      </c>
      <c r="J124">
        <v>220</v>
      </c>
      <c r="K124">
        <v>0</v>
      </c>
      <c r="L124" t="s">
        <v>63</v>
      </c>
      <c r="M124">
        <v>200</v>
      </c>
      <c r="N124">
        <v>0</v>
      </c>
      <c r="O124">
        <v>0</v>
      </c>
      <c r="P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 t="s">
        <v>36</v>
      </c>
      <c r="AB124" t="s">
        <v>43</v>
      </c>
      <c r="AC124" t="str">
        <f t="shared" si="2"/>
        <v>CP</v>
      </c>
      <c r="AD124" t="str">
        <f>_xlfn.XLOOKUP(C124,Mapping!A:A,Mapping!D:D,0,0)</f>
        <v>Bin</v>
      </c>
      <c r="AE124" t="str">
        <f t="shared" si="3"/>
        <v>OLD</v>
      </c>
    </row>
    <row r="125" spans="1:31" x14ac:dyDescent="0.2">
      <c r="A125" t="s">
        <v>39</v>
      </c>
      <c r="B125">
        <v>1011839332</v>
      </c>
      <c r="C125" t="s">
        <v>175</v>
      </c>
      <c r="D125" t="s">
        <v>31</v>
      </c>
      <c r="E125" s="1">
        <v>0.67291666666666672</v>
      </c>
      <c r="F125" t="s">
        <v>32</v>
      </c>
      <c r="G125" t="s">
        <v>33</v>
      </c>
      <c r="H125" t="s">
        <v>41</v>
      </c>
      <c r="I125" t="s">
        <v>62</v>
      </c>
      <c r="J125">
        <v>220</v>
      </c>
      <c r="K125">
        <v>0</v>
      </c>
      <c r="L125" t="s">
        <v>63</v>
      </c>
      <c r="M125">
        <v>200</v>
      </c>
      <c r="N125">
        <v>0</v>
      </c>
      <c r="O125">
        <v>0</v>
      </c>
      <c r="P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 t="s">
        <v>36</v>
      </c>
      <c r="AB125" t="s">
        <v>43</v>
      </c>
      <c r="AC125" t="str">
        <f t="shared" si="2"/>
        <v>CP</v>
      </c>
      <c r="AD125" t="str">
        <f>_xlfn.XLOOKUP(C125,Mapping!A:A,Mapping!D:D,0,0)</f>
        <v>Bin</v>
      </c>
      <c r="AE125" t="str">
        <f t="shared" si="3"/>
        <v>OLD</v>
      </c>
    </row>
    <row r="126" spans="1:31" x14ac:dyDescent="0.2">
      <c r="A126" t="s">
        <v>39</v>
      </c>
      <c r="B126">
        <v>1011839342</v>
      </c>
      <c r="C126" t="s">
        <v>176</v>
      </c>
      <c r="D126" t="s">
        <v>31</v>
      </c>
      <c r="E126" s="1">
        <v>0.67291666666666672</v>
      </c>
      <c r="F126" t="s">
        <v>32</v>
      </c>
      <c r="G126" t="s">
        <v>33</v>
      </c>
      <c r="H126" t="s">
        <v>34</v>
      </c>
      <c r="I126" t="s">
        <v>84</v>
      </c>
      <c r="J126">
        <v>88</v>
      </c>
      <c r="K126">
        <v>0</v>
      </c>
      <c r="L126" t="s">
        <v>63</v>
      </c>
      <c r="M126">
        <v>500</v>
      </c>
      <c r="N126">
        <v>0</v>
      </c>
      <c r="O126">
        <v>0</v>
      </c>
      <c r="P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 t="s">
        <v>36</v>
      </c>
      <c r="AB126" t="s">
        <v>43</v>
      </c>
      <c r="AC126" t="str">
        <f t="shared" si="2"/>
        <v>CP</v>
      </c>
      <c r="AD126" t="str">
        <f>_xlfn.XLOOKUP(C126,Mapping!A:A,Mapping!D:D,0,0)</f>
        <v>Bin</v>
      </c>
      <c r="AE126" t="str">
        <f t="shared" si="3"/>
        <v>OLD</v>
      </c>
    </row>
    <row r="127" spans="1:31" x14ac:dyDescent="0.2">
      <c r="A127" t="s">
        <v>39</v>
      </c>
      <c r="B127">
        <v>1011839352</v>
      </c>
      <c r="C127" t="s">
        <v>177</v>
      </c>
      <c r="D127" t="s">
        <v>31</v>
      </c>
      <c r="E127" s="1">
        <v>0.67291666666666672</v>
      </c>
      <c r="F127" t="s">
        <v>32</v>
      </c>
      <c r="G127" t="s">
        <v>33</v>
      </c>
      <c r="H127" t="s">
        <v>34</v>
      </c>
      <c r="I127" t="s">
        <v>84</v>
      </c>
      <c r="J127">
        <v>88</v>
      </c>
      <c r="K127">
        <v>0</v>
      </c>
      <c r="L127" t="s">
        <v>63</v>
      </c>
      <c r="M127">
        <v>500</v>
      </c>
      <c r="N127">
        <v>0</v>
      </c>
      <c r="O127">
        <v>0</v>
      </c>
      <c r="P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 t="s">
        <v>36</v>
      </c>
      <c r="AB127" t="s">
        <v>43</v>
      </c>
      <c r="AC127" t="str">
        <f t="shared" si="2"/>
        <v>CP</v>
      </c>
      <c r="AD127" t="str">
        <f>_xlfn.XLOOKUP(C127,Mapping!A:A,Mapping!D:D,0,0)</f>
        <v>Bin</v>
      </c>
      <c r="AE127" t="str">
        <f t="shared" si="3"/>
        <v>OLD</v>
      </c>
    </row>
    <row r="128" spans="1:31" x14ac:dyDescent="0.2">
      <c r="A128" t="s">
        <v>39</v>
      </c>
      <c r="B128">
        <v>1011839362</v>
      </c>
      <c r="C128" t="s">
        <v>178</v>
      </c>
      <c r="D128" t="s">
        <v>31</v>
      </c>
      <c r="E128" s="1">
        <v>0.67291666666666672</v>
      </c>
      <c r="F128" t="s">
        <v>32</v>
      </c>
      <c r="G128" t="s">
        <v>33</v>
      </c>
      <c r="H128" t="s">
        <v>41</v>
      </c>
      <c r="I128" t="s">
        <v>62</v>
      </c>
      <c r="J128">
        <v>220</v>
      </c>
      <c r="K128">
        <v>0</v>
      </c>
      <c r="L128" t="s">
        <v>36</v>
      </c>
      <c r="M128" t="s">
        <v>37</v>
      </c>
      <c r="N128">
        <v>0</v>
      </c>
      <c r="O128">
        <v>0</v>
      </c>
      <c r="P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 t="s">
        <v>36</v>
      </c>
      <c r="AB128" t="s">
        <v>43</v>
      </c>
      <c r="AC128" t="str">
        <f t="shared" si="2"/>
        <v>CP</v>
      </c>
      <c r="AD128" t="str">
        <f>_xlfn.XLOOKUP(C128,Mapping!A:A,Mapping!D:D,0,0)</f>
        <v>Bin</v>
      </c>
      <c r="AE128" t="str">
        <f t="shared" si="3"/>
        <v>OLD</v>
      </c>
    </row>
    <row r="129" spans="1:31" x14ac:dyDescent="0.2">
      <c r="A129" t="s">
        <v>39</v>
      </c>
      <c r="B129">
        <v>1011839372</v>
      </c>
      <c r="C129" t="s">
        <v>179</v>
      </c>
      <c r="D129" t="s">
        <v>31</v>
      </c>
      <c r="E129" s="1">
        <v>0.67291666666666672</v>
      </c>
      <c r="F129" t="s">
        <v>32</v>
      </c>
      <c r="G129" t="s">
        <v>33</v>
      </c>
      <c r="H129" t="s">
        <v>41</v>
      </c>
      <c r="I129" t="s">
        <v>62</v>
      </c>
      <c r="J129">
        <v>220</v>
      </c>
      <c r="K129">
        <v>0</v>
      </c>
      <c r="L129" t="s">
        <v>63</v>
      </c>
      <c r="M129">
        <v>200</v>
      </c>
      <c r="N129">
        <v>0</v>
      </c>
      <c r="O129">
        <v>0</v>
      </c>
      <c r="P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 t="s">
        <v>36</v>
      </c>
      <c r="AB129" t="s">
        <v>43</v>
      </c>
      <c r="AC129" t="str">
        <f t="shared" si="2"/>
        <v>CP</v>
      </c>
      <c r="AD129" t="str">
        <f>_xlfn.XLOOKUP(C129,Mapping!A:A,Mapping!D:D,0,0)</f>
        <v>Bin</v>
      </c>
      <c r="AE129" t="str">
        <f t="shared" si="3"/>
        <v>OLD</v>
      </c>
    </row>
    <row r="130" spans="1:31" x14ac:dyDescent="0.2">
      <c r="A130" t="s">
        <v>39</v>
      </c>
      <c r="B130">
        <v>1011843472</v>
      </c>
      <c r="C130" t="s">
        <v>180</v>
      </c>
      <c r="D130" t="s">
        <v>31</v>
      </c>
      <c r="E130" s="1">
        <v>0.67291666666666672</v>
      </c>
      <c r="F130" t="s">
        <v>32</v>
      </c>
      <c r="G130" t="s">
        <v>33</v>
      </c>
      <c r="H130" t="s">
        <v>41</v>
      </c>
      <c r="I130" t="s">
        <v>62</v>
      </c>
      <c r="J130">
        <v>308</v>
      </c>
      <c r="K130">
        <v>0</v>
      </c>
      <c r="L130" t="s">
        <v>36</v>
      </c>
      <c r="M130" t="s">
        <v>37</v>
      </c>
      <c r="N130">
        <v>0</v>
      </c>
      <c r="O130">
        <v>0</v>
      </c>
      <c r="P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 t="s">
        <v>36</v>
      </c>
      <c r="AB130" t="s">
        <v>43</v>
      </c>
      <c r="AC130" t="str">
        <f t="shared" si="2"/>
        <v>CP</v>
      </c>
      <c r="AD130" t="str">
        <f>_xlfn.XLOOKUP(C130,Mapping!A:A,Mapping!D:D,0,0)</f>
        <v>Bin</v>
      </c>
      <c r="AE130" t="str">
        <f t="shared" si="3"/>
        <v>OLD</v>
      </c>
    </row>
    <row r="131" spans="1:31" x14ac:dyDescent="0.2">
      <c r="A131" t="s">
        <v>39</v>
      </c>
      <c r="B131">
        <v>1011843482</v>
      </c>
      <c r="C131" t="s">
        <v>181</v>
      </c>
      <c r="D131" t="s">
        <v>31</v>
      </c>
      <c r="E131" s="1">
        <v>0.67291666666666672</v>
      </c>
      <c r="F131" t="s">
        <v>32</v>
      </c>
      <c r="G131" t="s">
        <v>33</v>
      </c>
      <c r="H131" t="s">
        <v>41</v>
      </c>
      <c r="I131" t="s">
        <v>62</v>
      </c>
      <c r="J131">
        <v>891</v>
      </c>
      <c r="K131">
        <v>0</v>
      </c>
      <c r="L131" t="s">
        <v>36</v>
      </c>
      <c r="M131" t="s">
        <v>37</v>
      </c>
      <c r="N131">
        <v>0</v>
      </c>
      <c r="O131">
        <v>0</v>
      </c>
      <c r="P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 t="s">
        <v>36</v>
      </c>
      <c r="AB131" t="s">
        <v>43</v>
      </c>
      <c r="AC131" t="str">
        <f t="shared" ref="AC131:AC194" si="4">LEFT(C131,2)</f>
        <v>CP</v>
      </c>
      <c r="AD131" t="str">
        <f>_xlfn.XLOOKUP(C131,Mapping!A:A,Mapping!D:D,0,0)</f>
        <v>Bin</v>
      </c>
      <c r="AE131" t="str">
        <f t="shared" ref="AE131:AE194" si="5">IFERROR(IF(SEARCH("_TJ",C131)&gt;0,"TJ",NA()),IFERROR(IF(SEARCH("_JB",C131)&gt;0,"JB",NA()),"OLD"))</f>
        <v>OLD</v>
      </c>
    </row>
    <row r="132" spans="1:31" x14ac:dyDescent="0.2">
      <c r="A132" t="s">
        <v>39</v>
      </c>
      <c r="B132">
        <v>1011847032</v>
      </c>
      <c r="C132" t="s">
        <v>182</v>
      </c>
      <c r="D132" t="s">
        <v>31</v>
      </c>
      <c r="E132" s="1">
        <v>0.67291666666666672</v>
      </c>
      <c r="F132" t="s">
        <v>32</v>
      </c>
      <c r="G132" t="s">
        <v>33</v>
      </c>
      <c r="H132" t="s">
        <v>34</v>
      </c>
      <c r="I132" t="s">
        <v>84</v>
      </c>
      <c r="J132">
        <v>355</v>
      </c>
      <c r="K132">
        <v>0</v>
      </c>
      <c r="L132" t="s">
        <v>36</v>
      </c>
      <c r="M132" t="s">
        <v>37</v>
      </c>
      <c r="N132">
        <v>0</v>
      </c>
      <c r="O132">
        <v>0</v>
      </c>
      <c r="P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 t="s">
        <v>36</v>
      </c>
      <c r="AB132" t="s">
        <v>43</v>
      </c>
      <c r="AC132" t="str">
        <f t="shared" si="4"/>
        <v>CP</v>
      </c>
      <c r="AD132" t="str">
        <f>_xlfn.XLOOKUP(C132,Mapping!A:A,Mapping!D:D,0,0)</f>
        <v>Bin</v>
      </c>
      <c r="AE132" t="str">
        <f t="shared" si="5"/>
        <v>OLD</v>
      </c>
    </row>
    <row r="133" spans="1:31" x14ac:dyDescent="0.2">
      <c r="A133" t="s">
        <v>39</v>
      </c>
      <c r="B133">
        <v>1011847042</v>
      </c>
      <c r="C133" t="s">
        <v>183</v>
      </c>
      <c r="D133" t="s">
        <v>31</v>
      </c>
      <c r="E133" s="1">
        <v>0.67291666666666672</v>
      </c>
      <c r="F133" t="s">
        <v>32</v>
      </c>
      <c r="G133" t="s">
        <v>33</v>
      </c>
      <c r="H133" t="s">
        <v>41</v>
      </c>
      <c r="I133" t="s">
        <v>62</v>
      </c>
      <c r="J133">
        <v>891</v>
      </c>
      <c r="K133">
        <v>0</v>
      </c>
      <c r="L133" t="s">
        <v>36</v>
      </c>
      <c r="M133" t="s">
        <v>37</v>
      </c>
      <c r="N133">
        <v>0</v>
      </c>
      <c r="O133">
        <v>0</v>
      </c>
      <c r="P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 t="s">
        <v>36</v>
      </c>
      <c r="AB133" t="s">
        <v>43</v>
      </c>
      <c r="AC133" t="str">
        <f t="shared" si="4"/>
        <v>CP</v>
      </c>
      <c r="AD133" t="str">
        <f>_xlfn.XLOOKUP(C133,Mapping!A:A,Mapping!D:D,0,0)</f>
        <v>Bin</v>
      </c>
      <c r="AE133" t="str">
        <f t="shared" si="5"/>
        <v>OLD</v>
      </c>
    </row>
    <row r="134" spans="1:31" x14ac:dyDescent="0.2">
      <c r="A134" t="s">
        <v>39</v>
      </c>
      <c r="B134">
        <v>1011847052</v>
      </c>
      <c r="C134" t="s">
        <v>184</v>
      </c>
      <c r="D134" t="s">
        <v>31</v>
      </c>
      <c r="E134" s="1">
        <v>0.67291666666666672</v>
      </c>
      <c r="F134" t="s">
        <v>32</v>
      </c>
      <c r="G134" t="s">
        <v>33</v>
      </c>
      <c r="H134" t="s">
        <v>41</v>
      </c>
      <c r="I134" t="s">
        <v>62</v>
      </c>
      <c r="J134">
        <v>308</v>
      </c>
      <c r="K134">
        <v>0</v>
      </c>
      <c r="L134" t="s">
        <v>36</v>
      </c>
      <c r="M134" t="s">
        <v>37</v>
      </c>
      <c r="N134">
        <v>0</v>
      </c>
      <c r="O134">
        <v>0</v>
      </c>
      <c r="P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 t="s">
        <v>36</v>
      </c>
      <c r="AB134" t="s">
        <v>43</v>
      </c>
      <c r="AC134" t="str">
        <f t="shared" si="4"/>
        <v>CP</v>
      </c>
      <c r="AD134" t="str">
        <f>_xlfn.XLOOKUP(C134,Mapping!A:A,Mapping!D:D,0,0)</f>
        <v>Bin</v>
      </c>
      <c r="AE134" t="str">
        <f t="shared" si="5"/>
        <v>OLD</v>
      </c>
    </row>
    <row r="135" spans="1:31" x14ac:dyDescent="0.2">
      <c r="A135" t="s">
        <v>39</v>
      </c>
      <c r="B135">
        <v>1011847062</v>
      </c>
      <c r="C135" t="s">
        <v>185</v>
      </c>
      <c r="D135" t="s">
        <v>31</v>
      </c>
      <c r="E135" s="1">
        <v>0.67291666666666672</v>
      </c>
      <c r="F135" t="s">
        <v>32</v>
      </c>
      <c r="G135" t="s">
        <v>33</v>
      </c>
      <c r="H135" t="s">
        <v>41</v>
      </c>
      <c r="I135" t="s">
        <v>62</v>
      </c>
      <c r="J135">
        <v>891</v>
      </c>
      <c r="K135">
        <v>0</v>
      </c>
      <c r="L135" t="s">
        <v>36</v>
      </c>
      <c r="M135" t="s">
        <v>37</v>
      </c>
      <c r="N135">
        <v>0</v>
      </c>
      <c r="O135">
        <v>0</v>
      </c>
      <c r="P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 t="s">
        <v>36</v>
      </c>
      <c r="AB135" t="s">
        <v>43</v>
      </c>
      <c r="AC135" t="str">
        <f t="shared" si="4"/>
        <v>CP</v>
      </c>
      <c r="AD135" t="str">
        <f>_xlfn.XLOOKUP(C135,Mapping!A:A,Mapping!D:D,0,0)</f>
        <v>Bin</v>
      </c>
      <c r="AE135" t="str">
        <f t="shared" si="5"/>
        <v>OLD</v>
      </c>
    </row>
    <row r="136" spans="1:31" x14ac:dyDescent="0.2">
      <c r="A136" t="s">
        <v>39</v>
      </c>
      <c r="B136">
        <v>1011847072</v>
      </c>
      <c r="C136" t="s">
        <v>186</v>
      </c>
      <c r="D136" t="s">
        <v>31</v>
      </c>
      <c r="E136" s="1">
        <v>0.67291666666666672</v>
      </c>
      <c r="F136" t="s">
        <v>32</v>
      </c>
      <c r="G136" t="s">
        <v>33</v>
      </c>
      <c r="H136" t="s">
        <v>41</v>
      </c>
      <c r="I136" t="s">
        <v>62</v>
      </c>
      <c r="J136">
        <v>891</v>
      </c>
      <c r="K136">
        <v>0</v>
      </c>
      <c r="L136" t="s">
        <v>36</v>
      </c>
      <c r="M136" t="s">
        <v>37</v>
      </c>
      <c r="N136">
        <v>0</v>
      </c>
      <c r="O136">
        <v>0</v>
      </c>
      <c r="P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 t="s">
        <v>36</v>
      </c>
      <c r="AB136" t="s">
        <v>43</v>
      </c>
      <c r="AC136" t="str">
        <f t="shared" si="4"/>
        <v>CP</v>
      </c>
      <c r="AD136" t="str">
        <f>_xlfn.XLOOKUP(C136,Mapping!A:A,Mapping!D:D,0,0)</f>
        <v>Bin</v>
      </c>
      <c r="AE136" t="str">
        <f t="shared" si="5"/>
        <v>OLD</v>
      </c>
    </row>
    <row r="137" spans="1:31" x14ac:dyDescent="0.2">
      <c r="A137" t="s">
        <v>39</v>
      </c>
      <c r="B137">
        <v>1011847082</v>
      </c>
      <c r="C137" t="s">
        <v>187</v>
      </c>
      <c r="D137" t="s">
        <v>31</v>
      </c>
      <c r="E137" s="1">
        <v>0.67291666666666672</v>
      </c>
      <c r="F137" t="s">
        <v>32</v>
      </c>
      <c r="G137" t="s">
        <v>33</v>
      </c>
      <c r="H137" t="s">
        <v>41</v>
      </c>
      <c r="I137" t="s">
        <v>62</v>
      </c>
      <c r="J137">
        <v>891</v>
      </c>
      <c r="K137">
        <v>0</v>
      </c>
      <c r="L137" t="s">
        <v>36</v>
      </c>
      <c r="M137" t="s">
        <v>37</v>
      </c>
      <c r="N137">
        <v>0</v>
      </c>
      <c r="O137">
        <v>0</v>
      </c>
      <c r="P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 t="s">
        <v>36</v>
      </c>
      <c r="AB137" t="s">
        <v>43</v>
      </c>
      <c r="AC137" t="str">
        <f t="shared" si="4"/>
        <v>CP</v>
      </c>
      <c r="AD137" t="str">
        <f>_xlfn.XLOOKUP(C137,Mapping!A:A,Mapping!D:D,0,0)</f>
        <v>Bin</v>
      </c>
      <c r="AE137" t="str">
        <f t="shared" si="5"/>
        <v>OLD</v>
      </c>
    </row>
    <row r="138" spans="1:31" x14ac:dyDescent="0.2">
      <c r="A138" t="s">
        <v>39</v>
      </c>
      <c r="B138">
        <v>1011847092</v>
      </c>
      <c r="C138" t="s">
        <v>188</v>
      </c>
      <c r="D138" t="s">
        <v>31</v>
      </c>
      <c r="E138" s="1">
        <v>0.67291666666666672</v>
      </c>
      <c r="F138" t="s">
        <v>32</v>
      </c>
      <c r="G138" t="s">
        <v>33</v>
      </c>
      <c r="H138" t="s">
        <v>41</v>
      </c>
      <c r="I138" t="s">
        <v>62</v>
      </c>
      <c r="J138">
        <v>308</v>
      </c>
      <c r="K138">
        <v>0</v>
      </c>
      <c r="L138" t="s">
        <v>36</v>
      </c>
      <c r="M138" t="s">
        <v>37</v>
      </c>
      <c r="N138">
        <v>0</v>
      </c>
      <c r="O138">
        <v>0</v>
      </c>
      <c r="P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 t="s">
        <v>36</v>
      </c>
      <c r="AB138" t="s">
        <v>43</v>
      </c>
      <c r="AC138" t="str">
        <f t="shared" si="4"/>
        <v>CP</v>
      </c>
      <c r="AD138" t="str">
        <f>_xlfn.XLOOKUP(C138,Mapping!A:A,Mapping!D:D,0,0)</f>
        <v>Bin</v>
      </c>
      <c r="AE138" t="str">
        <f t="shared" si="5"/>
        <v>OLD</v>
      </c>
    </row>
    <row r="139" spans="1:31" x14ac:dyDescent="0.2">
      <c r="A139" t="s">
        <v>39</v>
      </c>
      <c r="B139">
        <v>1011847112</v>
      </c>
      <c r="C139" t="s">
        <v>189</v>
      </c>
      <c r="D139" t="s">
        <v>31</v>
      </c>
      <c r="E139" s="1">
        <v>0.67291666666666672</v>
      </c>
      <c r="F139" t="s">
        <v>32</v>
      </c>
      <c r="G139" t="s">
        <v>33</v>
      </c>
      <c r="H139" t="s">
        <v>34</v>
      </c>
      <c r="I139" t="s">
        <v>84</v>
      </c>
      <c r="J139">
        <v>355</v>
      </c>
      <c r="K139">
        <v>0</v>
      </c>
      <c r="L139" t="s">
        <v>36</v>
      </c>
      <c r="M139" t="s">
        <v>37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 t="s">
        <v>36</v>
      </c>
      <c r="Y139">
        <v>0</v>
      </c>
      <c r="Z139">
        <v>0</v>
      </c>
      <c r="AA139">
        <v>0</v>
      </c>
      <c r="AB139" t="s">
        <v>43</v>
      </c>
      <c r="AC139" t="str">
        <f t="shared" si="4"/>
        <v>CP</v>
      </c>
      <c r="AD139" t="str">
        <f>_xlfn.XLOOKUP(C139,Mapping!A:A,Mapping!D:D,0,0)</f>
        <v>Bin</v>
      </c>
      <c r="AE139" t="str">
        <f t="shared" si="5"/>
        <v>OLD</v>
      </c>
    </row>
    <row r="140" spans="1:31" x14ac:dyDescent="0.2">
      <c r="A140" t="s">
        <v>39</v>
      </c>
      <c r="B140">
        <v>1011847122</v>
      </c>
      <c r="C140" t="s">
        <v>190</v>
      </c>
      <c r="D140" t="s">
        <v>31</v>
      </c>
      <c r="E140" s="1">
        <v>0.67291666666666672</v>
      </c>
      <c r="F140" t="s">
        <v>32</v>
      </c>
      <c r="G140" t="s">
        <v>33</v>
      </c>
      <c r="H140" t="s">
        <v>34</v>
      </c>
      <c r="I140" t="s">
        <v>84</v>
      </c>
      <c r="J140">
        <v>355</v>
      </c>
      <c r="K140">
        <v>0</v>
      </c>
      <c r="L140" t="s">
        <v>36</v>
      </c>
      <c r="M140" t="s">
        <v>37</v>
      </c>
      <c r="N140">
        <v>0</v>
      </c>
      <c r="O140">
        <v>0</v>
      </c>
      <c r="P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 t="s">
        <v>36</v>
      </c>
      <c r="AB140" t="s">
        <v>43</v>
      </c>
      <c r="AC140" t="str">
        <f t="shared" si="4"/>
        <v>CP</v>
      </c>
      <c r="AD140" t="str">
        <f>_xlfn.XLOOKUP(C140,Mapping!A:A,Mapping!D:D,0,0)</f>
        <v>Bin</v>
      </c>
      <c r="AE140" t="str">
        <f t="shared" si="5"/>
        <v>OLD</v>
      </c>
    </row>
    <row r="141" spans="1:31" x14ac:dyDescent="0.2">
      <c r="A141" t="s">
        <v>39</v>
      </c>
      <c r="B141">
        <v>1011847132</v>
      </c>
      <c r="C141" t="s">
        <v>191</v>
      </c>
      <c r="D141" t="s">
        <v>31</v>
      </c>
      <c r="E141" s="1">
        <v>0.67291666666666672</v>
      </c>
      <c r="F141" t="s">
        <v>32</v>
      </c>
      <c r="G141" t="s">
        <v>33</v>
      </c>
      <c r="H141" t="s">
        <v>34</v>
      </c>
      <c r="I141" t="s">
        <v>84</v>
      </c>
      <c r="J141">
        <v>355</v>
      </c>
      <c r="K141">
        <v>0</v>
      </c>
      <c r="L141" t="s">
        <v>36</v>
      </c>
      <c r="M141" t="s">
        <v>37</v>
      </c>
      <c r="N141">
        <v>0</v>
      </c>
      <c r="O141">
        <v>0</v>
      </c>
      <c r="P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 t="s">
        <v>36</v>
      </c>
      <c r="AB141" t="s">
        <v>43</v>
      </c>
      <c r="AC141" t="str">
        <f t="shared" si="4"/>
        <v>CP</v>
      </c>
      <c r="AD141" t="str">
        <f>_xlfn.XLOOKUP(C141,Mapping!A:A,Mapping!D:D,0,0)</f>
        <v>Bin</v>
      </c>
      <c r="AE141" t="str">
        <f t="shared" si="5"/>
        <v>OLD</v>
      </c>
    </row>
    <row r="142" spans="1:31" x14ac:dyDescent="0.2">
      <c r="A142" t="s">
        <v>39</v>
      </c>
      <c r="B142">
        <v>1011857952</v>
      </c>
      <c r="C142" t="s">
        <v>192</v>
      </c>
      <c r="D142" t="s">
        <v>31</v>
      </c>
      <c r="E142" s="1">
        <v>0.67291666666666672</v>
      </c>
      <c r="F142" t="s">
        <v>32</v>
      </c>
      <c r="G142" t="s">
        <v>33</v>
      </c>
      <c r="H142" t="s">
        <v>41</v>
      </c>
      <c r="I142" t="s">
        <v>62</v>
      </c>
      <c r="J142">
        <v>220</v>
      </c>
      <c r="K142">
        <v>0</v>
      </c>
      <c r="L142" t="s">
        <v>63</v>
      </c>
      <c r="M142">
        <v>250</v>
      </c>
      <c r="N142">
        <v>0</v>
      </c>
      <c r="O142">
        <v>0</v>
      </c>
      <c r="P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 t="s">
        <v>36</v>
      </c>
      <c r="AB142" t="s">
        <v>43</v>
      </c>
      <c r="AC142" t="str">
        <f t="shared" si="4"/>
        <v>CP</v>
      </c>
      <c r="AD142" t="str">
        <f>_xlfn.XLOOKUP(C142,Mapping!A:A,Mapping!D:D,0,0)</f>
        <v>Bin</v>
      </c>
      <c r="AE142" t="str">
        <f t="shared" si="5"/>
        <v>OLD</v>
      </c>
    </row>
    <row r="143" spans="1:31" x14ac:dyDescent="0.2">
      <c r="A143" t="s">
        <v>39</v>
      </c>
      <c r="B143">
        <v>1011857962</v>
      </c>
      <c r="C143" t="s">
        <v>193</v>
      </c>
      <c r="D143" t="s">
        <v>31</v>
      </c>
      <c r="E143" s="1">
        <v>0.67291666666666672</v>
      </c>
      <c r="F143" t="s">
        <v>32</v>
      </c>
      <c r="G143" t="s">
        <v>33</v>
      </c>
      <c r="H143" t="s">
        <v>34</v>
      </c>
      <c r="I143" t="s">
        <v>84</v>
      </c>
      <c r="J143">
        <v>88</v>
      </c>
      <c r="K143">
        <v>0</v>
      </c>
      <c r="L143" t="s">
        <v>36</v>
      </c>
      <c r="M143" t="s">
        <v>37</v>
      </c>
      <c r="N143">
        <v>0</v>
      </c>
      <c r="O143">
        <v>0</v>
      </c>
      <c r="P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 t="s">
        <v>36</v>
      </c>
      <c r="AB143" t="s">
        <v>43</v>
      </c>
      <c r="AC143" t="str">
        <f t="shared" si="4"/>
        <v>CP</v>
      </c>
      <c r="AD143" t="str">
        <f>_xlfn.XLOOKUP(C143,Mapping!A:A,Mapping!D:D,0,0)</f>
        <v>Bin</v>
      </c>
      <c r="AE143" t="str">
        <f t="shared" si="5"/>
        <v>OLD</v>
      </c>
    </row>
    <row r="144" spans="1:31" x14ac:dyDescent="0.2">
      <c r="A144" t="s">
        <v>39</v>
      </c>
      <c r="B144">
        <v>1011857972</v>
      </c>
      <c r="C144" t="s">
        <v>194</v>
      </c>
      <c r="D144" t="s">
        <v>31</v>
      </c>
      <c r="E144" s="1">
        <v>0.67291666666666672</v>
      </c>
      <c r="F144" t="s">
        <v>32</v>
      </c>
      <c r="G144" t="s">
        <v>33</v>
      </c>
      <c r="H144" t="s">
        <v>41</v>
      </c>
      <c r="I144" t="s">
        <v>62</v>
      </c>
      <c r="J144">
        <v>220</v>
      </c>
      <c r="K144">
        <v>0</v>
      </c>
      <c r="L144" t="s">
        <v>36</v>
      </c>
      <c r="M144" t="s">
        <v>37</v>
      </c>
      <c r="N144">
        <v>0</v>
      </c>
      <c r="O144">
        <v>0</v>
      </c>
      <c r="P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 t="s">
        <v>36</v>
      </c>
      <c r="AB144" t="s">
        <v>43</v>
      </c>
      <c r="AC144" t="str">
        <f t="shared" si="4"/>
        <v>CP</v>
      </c>
      <c r="AD144" t="str">
        <f>_xlfn.XLOOKUP(C144,Mapping!A:A,Mapping!D:D,0,0)</f>
        <v>Bin</v>
      </c>
      <c r="AE144" t="str">
        <f t="shared" si="5"/>
        <v>OLD</v>
      </c>
    </row>
    <row r="145" spans="1:31" x14ac:dyDescent="0.2">
      <c r="A145" t="s">
        <v>39</v>
      </c>
      <c r="B145">
        <v>1011857982</v>
      </c>
      <c r="C145" t="s">
        <v>195</v>
      </c>
      <c r="D145" t="s">
        <v>31</v>
      </c>
      <c r="E145" s="1">
        <v>0.67291666666666672</v>
      </c>
      <c r="F145" t="s">
        <v>32</v>
      </c>
      <c r="G145" t="s">
        <v>33</v>
      </c>
      <c r="H145" t="s">
        <v>41</v>
      </c>
      <c r="I145" t="s">
        <v>62</v>
      </c>
      <c r="J145">
        <v>616</v>
      </c>
      <c r="K145">
        <v>0</v>
      </c>
      <c r="L145" t="s">
        <v>36</v>
      </c>
      <c r="M145" t="s">
        <v>37</v>
      </c>
      <c r="N145">
        <v>0</v>
      </c>
      <c r="O145">
        <v>0</v>
      </c>
      <c r="P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 t="s">
        <v>36</v>
      </c>
      <c r="AB145" t="s">
        <v>43</v>
      </c>
      <c r="AC145" t="str">
        <f t="shared" si="4"/>
        <v>CP</v>
      </c>
      <c r="AD145" t="str">
        <f>_xlfn.XLOOKUP(C145,Mapping!A:A,Mapping!D:D,0,0)</f>
        <v>Bin</v>
      </c>
      <c r="AE145" t="str">
        <f t="shared" si="5"/>
        <v>OLD</v>
      </c>
    </row>
    <row r="146" spans="1:31" x14ac:dyDescent="0.2">
      <c r="A146" t="s">
        <v>39</v>
      </c>
      <c r="B146">
        <v>1011857992</v>
      </c>
      <c r="C146" t="s">
        <v>196</v>
      </c>
      <c r="D146" t="s">
        <v>31</v>
      </c>
      <c r="E146" s="1">
        <v>0.67291666666666672</v>
      </c>
      <c r="F146" t="s">
        <v>32</v>
      </c>
      <c r="G146" t="s">
        <v>33</v>
      </c>
      <c r="H146" t="s">
        <v>34</v>
      </c>
      <c r="I146" t="s">
        <v>84</v>
      </c>
      <c r="J146">
        <v>88</v>
      </c>
      <c r="K146">
        <v>0</v>
      </c>
      <c r="L146" t="s">
        <v>36</v>
      </c>
      <c r="M146" t="s">
        <v>37</v>
      </c>
      <c r="N146">
        <v>0</v>
      </c>
      <c r="O146">
        <v>0</v>
      </c>
      <c r="P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 t="s">
        <v>36</v>
      </c>
      <c r="AB146" t="s">
        <v>43</v>
      </c>
      <c r="AC146" t="str">
        <f t="shared" si="4"/>
        <v>CP</v>
      </c>
      <c r="AD146" t="str">
        <f>_xlfn.XLOOKUP(C146,Mapping!A:A,Mapping!D:D,0,0)</f>
        <v>Bin</v>
      </c>
      <c r="AE146" t="str">
        <f t="shared" si="5"/>
        <v>OLD</v>
      </c>
    </row>
    <row r="147" spans="1:31" x14ac:dyDescent="0.2">
      <c r="A147" t="s">
        <v>39</v>
      </c>
      <c r="B147">
        <v>1011858002</v>
      </c>
      <c r="C147" t="s">
        <v>197</v>
      </c>
      <c r="D147" t="s">
        <v>31</v>
      </c>
      <c r="E147" s="1">
        <v>0.67291666666666672</v>
      </c>
      <c r="F147" t="s">
        <v>32</v>
      </c>
      <c r="G147" t="s">
        <v>33</v>
      </c>
      <c r="H147" t="s">
        <v>34</v>
      </c>
      <c r="I147" t="s">
        <v>84</v>
      </c>
      <c r="J147">
        <v>140</v>
      </c>
      <c r="K147">
        <v>0</v>
      </c>
      <c r="L147" t="s">
        <v>36</v>
      </c>
      <c r="M147" t="s">
        <v>37</v>
      </c>
      <c r="N147">
        <v>0</v>
      </c>
      <c r="O147">
        <v>0</v>
      </c>
      <c r="P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 t="s">
        <v>36</v>
      </c>
      <c r="AB147" t="s">
        <v>43</v>
      </c>
      <c r="AC147" t="str">
        <f t="shared" si="4"/>
        <v>CP</v>
      </c>
      <c r="AD147" t="str">
        <f>_xlfn.XLOOKUP(C147,Mapping!A:A,Mapping!D:D,0,0)</f>
        <v>Bin</v>
      </c>
      <c r="AE147" t="str">
        <f t="shared" si="5"/>
        <v>OLD</v>
      </c>
    </row>
    <row r="148" spans="1:31" x14ac:dyDescent="0.2">
      <c r="A148" t="s">
        <v>39</v>
      </c>
      <c r="B148">
        <v>1011858012</v>
      </c>
      <c r="C148" t="s">
        <v>198</v>
      </c>
      <c r="D148" t="s">
        <v>31</v>
      </c>
      <c r="E148" s="1">
        <v>0.67291666666666672</v>
      </c>
      <c r="F148" t="s">
        <v>32</v>
      </c>
      <c r="G148" t="s">
        <v>33</v>
      </c>
      <c r="H148" t="s">
        <v>41</v>
      </c>
      <c r="I148" t="s">
        <v>62</v>
      </c>
      <c r="J148">
        <v>220</v>
      </c>
      <c r="K148">
        <v>0</v>
      </c>
      <c r="L148" t="s">
        <v>63</v>
      </c>
      <c r="M148">
        <v>250</v>
      </c>
      <c r="N148">
        <v>0</v>
      </c>
      <c r="O148">
        <v>0</v>
      </c>
      <c r="P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 t="s">
        <v>36</v>
      </c>
      <c r="AB148" t="s">
        <v>43</v>
      </c>
      <c r="AC148" t="str">
        <f t="shared" si="4"/>
        <v>CP</v>
      </c>
      <c r="AD148" t="str">
        <f>_xlfn.XLOOKUP(C148,Mapping!A:A,Mapping!D:D,0,0)</f>
        <v>Bin</v>
      </c>
      <c r="AE148" t="str">
        <f t="shared" si="5"/>
        <v>OLD</v>
      </c>
    </row>
    <row r="149" spans="1:31" x14ac:dyDescent="0.2">
      <c r="A149" t="s">
        <v>39</v>
      </c>
      <c r="B149">
        <v>1011858022</v>
      </c>
      <c r="C149" t="s">
        <v>199</v>
      </c>
      <c r="D149" t="s">
        <v>31</v>
      </c>
      <c r="E149" s="1">
        <v>0.67291666666666672</v>
      </c>
      <c r="F149" t="s">
        <v>32</v>
      </c>
      <c r="G149" t="s">
        <v>33</v>
      </c>
      <c r="H149" t="s">
        <v>41</v>
      </c>
      <c r="I149" t="s">
        <v>62</v>
      </c>
      <c r="J149">
        <v>220</v>
      </c>
      <c r="K149">
        <v>0</v>
      </c>
      <c r="L149" t="s">
        <v>36</v>
      </c>
      <c r="M149" t="s">
        <v>37</v>
      </c>
      <c r="N149">
        <v>0</v>
      </c>
      <c r="O149">
        <v>0</v>
      </c>
      <c r="P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 t="s">
        <v>36</v>
      </c>
      <c r="AB149" t="s">
        <v>43</v>
      </c>
      <c r="AC149" t="str">
        <f t="shared" si="4"/>
        <v>CP</v>
      </c>
      <c r="AD149" t="str">
        <f>_xlfn.XLOOKUP(C149,Mapping!A:A,Mapping!D:D,0,0)</f>
        <v>Bin</v>
      </c>
      <c r="AE149" t="str">
        <f t="shared" si="5"/>
        <v>OLD</v>
      </c>
    </row>
    <row r="150" spans="1:31" x14ac:dyDescent="0.2">
      <c r="A150" t="s">
        <v>39</v>
      </c>
      <c r="B150">
        <v>1011858032</v>
      </c>
      <c r="C150" t="s">
        <v>200</v>
      </c>
      <c r="D150" t="s">
        <v>31</v>
      </c>
      <c r="E150" s="1">
        <v>0.67291666666666672</v>
      </c>
      <c r="F150" t="s">
        <v>32</v>
      </c>
      <c r="G150" t="s">
        <v>33</v>
      </c>
      <c r="H150" t="s">
        <v>34</v>
      </c>
      <c r="I150" t="s">
        <v>84</v>
      </c>
      <c r="J150">
        <v>88</v>
      </c>
      <c r="K150">
        <v>0</v>
      </c>
      <c r="L150" t="s">
        <v>63</v>
      </c>
      <c r="M150">
        <v>500</v>
      </c>
      <c r="N150">
        <v>0</v>
      </c>
      <c r="O150">
        <v>0</v>
      </c>
      <c r="P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 t="s">
        <v>36</v>
      </c>
      <c r="AB150" t="s">
        <v>43</v>
      </c>
      <c r="AC150" t="str">
        <f t="shared" si="4"/>
        <v>CP</v>
      </c>
      <c r="AD150" t="str">
        <f>_xlfn.XLOOKUP(C150,Mapping!A:A,Mapping!D:D,0,0)</f>
        <v>Bin</v>
      </c>
      <c r="AE150" t="str">
        <f t="shared" si="5"/>
        <v>OLD</v>
      </c>
    </row>
    <row r="151" spans="1:31" x14ac:dyDescent="0.2">
      <c r="A151" t="s">
        <v>39</v>
      </c>
      <c r="B151">
        <v>1011858042</v>
      </c>
      <c r="C151" t="s">
        <v>201</v>
      </c>
      <c r="D151" t="s">
        <v>31</v>
      </c>
      <c r="E151" s="1">
        <v>0.67291666666666672</v>
      </c>
      <c r="F151" t="s">
        <v>32</v>
      </c>
      <c r="G151" t="s">
        <v>33</v>
      </c>
      <c r="H151" t="s">
        <v>41</v>
      </c>
      <c r="I151" t="s">
        <v>62</v>
      </c>
      <c r="J151">
        <v>220</v>
      </c>
      <c r="K151">
        <v>0</v>
      </c>
      <c r="L151" t="s">
        <v>63</v>
      </c>
      <c r="M151">
        <v>250</v>
      </c>
      <c r="N151">
        <v>0</v>
      </c>
      <c r="O151">
        <v>0</v>
      </c>
      <c r="P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 t="s">
        <v>36</v>
      </c>
      <c r="AB151" t="s">
        <v>43</v>
      </c>
      <c r="AC151" t="str">
        <f t="shared" si="4"/>
        <v>CP</v>
      </c>
      <c r="AD151" t="str">
        <f>_xlfn.XLOOKUP(C151,Mapping!A:A,Mapping!D:D,0,0)</f>
        <v>Bin</v>
      </c>
      <c r="AE151" t="str">
        <f t="shared" si="5"/>
        <v>OLD</v>
      </c>
    </row>
    <row r="152" spans="1:31" x14ac:dyDescent="0.2">
      <c r="A152" t="s">
        <v>39</v>
      </c>
      <c r="B152">
        <v>1011858052</v>
      </c>
      <c r="C152" t="s">
        <v>202</v>
      </c>
      <c r="D152" t="s">
        <v>31</v>
      </c>
      <c r="E152" s="1">
        <v>0.67291666666666672</v>
      </c>
      <c r="F152" t="s">
        <v>32</v>
      </c>
      <c r="G152" t="s">
        <v>33</v>
      </c>
      <c r="H152" t="s">
        <v>41</v>
      </c>
      <c r="I152" t="s">
        <v>62</v>
      </c>
      <c r="J152">
        <v>616</v>
      </c>
      <c r="K152">
        <v>0</v>
      </c>
      <c r="L152" t="s">
        <v>36</v>
      </c>
      <c r="M152" t="s">
        <v>37</v>
      </c>
      <c r="N152">
        <v>0</v>
      </c>
      <c r="O152">
        <v>0</v>
      </c>
      <c r="P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 t="s">
        <v>36</v>
      </c>
      <c r="AB152" t="s">
        <v>43</v>
      </c>
      <c r="AC152" t="str">
        <f t="shared" si="4"/>
        <v>CP</v>
      </c>
      <c r="AD152" t="str">
        <f>_xlfn.XLOOKUP(C152,Mapping!A:A,Mapping!D:D,0,0)</f>
        <v>Bin</v>
      </c>
      <c r="AE152" t="str">
        <f t="shared" si="5"/>
        <v>OLD</v>
      </c>
    </row>
    <row r="153" spans="1:31" x14ac:dyDescent="0.2">
      <c r="A153" t="s">
        <v>39</v>
      </c>
      <c r="B153">
        <v>1011858062</v>
      </c>
      <c r="C153" t="s">
        <v>203</v>
      </c>
      <c r="D153" t="s">
        <v>31</v>
      </c>
      <c r="E153" s="1">
        <v>0.67291666666666672</v>
      </c>
      <c r="F153" t="s">
        <v>32</v>
      </c>
      <c r="G153" t="s">
        <v>33</v>
      </c>
      <c r="H153" t="s">
        <v>41</v>
      </c>
      <c r="I153" t="s">
        <v>62</v>
      </c>
      <c r="J153">
        <v>220</v>
      </c>
      <c r="K153">
        <v>0</v>
      </c>
      <c r="L153" t="s">
        <v>63</v>
      </c>
      <c r="M153">
        <v>200</v>
      </c>
      <c r="N153">
        <v>0</v>
      </c>
      <c r="O153">
        <v>0</v>
      </c>
      <c r="P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 t="s">
        <v>36</v>
      </c>
      <c r="AB153" t="s">
        <v>43</v>
      </c>
      <c r="AC153" t="str">
        <f t="shared" si="4"/>
        <v>CP</v>
      </c>
      <c r="AD153" t="str">
        <f>_xlfn.XLOOKUP(C153,Mapping!A:A,Mapping!D:D,0,0)</f>
        <v>Bin</v>
      </c>
      <c r="AE153" t="str">
        <f t="shared" si="5"/>
        <v>OLD</v>
      </c>
    </row>
    <row r="154" spans="1:31" x14ac:dyDescent="0.2">
      <c r="A154" t="s">
        <v>39</v>
      </c>
      <c r="B154">
        <v>1011858072</v>
      </c>
      <c r="C154" t="s">
        <v>204</v>
      </c>
      <c r="D154" t="s">
        <v>31</v>
      </c>
      <c r="E154" s="1">
        <v>0.67291666666666672</v>
      </c>
      <c r="F154" t="s">
        <v>32</v>
      </c>
      <c r="G154" t="s">
        <v>33</v>
      </c>
      <c r="H154" t="s">
        <v>41</v>
      </c>
      <c r="I154" t="s">
        <v>62</v>
      </c>
      <c r="J154">
        <v>220</v>
      </c>
      <c r="K154">
        <v>0</v>
      </c>
      <c r="L154" t="s">
        <v>63</v>
      </c>
      <c r="M154">
        <v>150</v>
      </c>
      <c r="N154">
        <v>0</v>
      </c>
      <c r="O154">
        <v>0</v>
      </c>
      <c r="P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 t="s">
        <v>36</v>
      </c>
      <c r="AB154" t="s">
        <v>43</v>
      </c>
      <c r="AC154" t="str">
        <f t="shared" si="4"/>
        <v>CP</v>
      </c>
      <c r="AD154" t="str">
        <f>_xlfn.XLOOKUP(C154,Mapping!A:A,Mapping!D:D,0,0)</f>
        <v>Bin</v>
      </c>
      <c r="AE154" t="str">
        <f t="shared" si="5"/>
        <v>OLD</v>
      </c>
    </row>
    <row r="155" spans="1:31" x14ac:dyDescent="0.2">
      <c r="A155" t="s">
        <v>39</v>
      </c>
      <c r="B155">
        <v>1011858402</v>
      </c>
      <c r="C155" t="s">
        <v>205</v>
      </c>
      <c r="D155" t="s">
        <v>31</v>
      </c>
      <c r="E155" s="1">
        <v>0.38611111111111113</v>
      </c>
      <c r="F155" t="s">
        <v>32</v>
      </c>
      <c r="G155" t="s">
        <v>33</v>
      </c>
      <c r="H155" t="s">
        <v>41</v>
      </c>
      <c r="I155" t="s">
        <v>206</v>
      </c>
      <c r="J155">
        <v>11</v>
      </c>
      <c r="K155">
        <v>0</v>
      </c>
      <c r="L155" t="s">
        <v>36</v>
      </c>
      <c r="M155" t="s">
        <v>37</v>
      </c>
      <c r="N155">
        <v>0</v>
      </c>
      <c r="O155">
        <v>0</v>
      </c>
      <c r="P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 t="s">
        <v>36</v>
      </c>
      <c r="AB155" t="s">
        <v>43</v>
      </c>
      <c r="AC155" t="str">
        <f t="shared" si="4"/>
        <v>CP</v>
      </c>
      <c r="AD155" t="str">
        <f>_xlfn.XLOOKUP(C155,Mapping!A:A,Mapping!D:D,0,0)</f>
        <v>Bin</v>
      </c>
      <c r="AE155" t="str">
        <f t="shared" si="5"/>
        <v>OLD</v>
      </c>
    </row>
    <row r="156" spans="1:31" x14ac:dyDescent="0.2">
      <c r="A156" t="s">
        <v>39</v>
      </c>
      <c r="B156">
        <v>1011858412</v>
      </c>
      <c r="C156" t="s">
        <v>207</v>
      </c>
      <c r="D156" t="s">
        <v>31</v>
      </c>
      <c r="E156" s="1">
        <v>0.38611111111111113</v>
      </c>
      <c r="F156" t="s">
        <v>32</v>
      </c>
      <c r="G156" t="s">
        <v>33</v>
      </c>
      <c r="H156" t="s">
        <v>41</v>
      </c>
      <c r="I156" t="s">
        <v>58</v>
      </c>
      <c r="J156">
        <v>5</v>
      </c>
      <c r="K156">
        <v>0</v>
      </c>
      <c r="L156" t="s">
        <v>36</v>
      </c>
      <c r="M156" t="s">
        <v>37</v>
      </c>
      <c r="N156">
        <v>0</v>
      </c>
      <c r="O156">
        <v>0</v>
      </c>
      <c r="P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 t="s">
        <v>36</v>
      </c>
      <c r="AB156" t="s">
        <v>43</v>
      </c>
      <c r="AC156" t="str">
        <f t="shared" si="4"/>
        <v>CP</v>
      </c>
      <c r="AD156" t="str">
        <f>_xlfn.XLOOKUP(C156,Mapping!A:A,Mapping!D:D,0,0)</f>
        <v>Bin</v>
      </c>
      <c r="AE156" t="str">
        <f t="shared" si="5"/>
        <v>OLD</v>
      </c>
    </row>
    <row r="157" spans="1:31" x14ac:dyDescent="0.2">
      <c r="A157" t="s">
        <v>39</v>
      </c>
      <c r="B157">
        <v>1011858422</v>
      </c>
      <c r="C157" t="s">
        <v>208</v>
      </c>
      <c r="D157" t="s">
        <v>31</v>
      </c>
      <c r="E157" s="1">
        <v>0.38611111111111113</v>
      </c>
      <c r="F157" t="s">
        <v>32</v>
      </c>
      <c r="G157" t="s">
        <v>33</v>
      </c>
      <c r="H157" t="s">
        <v>41</v>
      </c>
      <c r="I157" t="s">
        <v>58</v>
      </c>
      <c r="J157">
        <v>2</v>
      </c>
      <c r="K157">
        <v>0</v>
      </c>
      <c r="L157" t="s">
        <v>36</v>
      </c>
      <c r="M157" t="s">
        <v>37</v>
      </c>
      <c r="N157">
        <v>0</v>
      </c>
      <c r="O157">
        <v>0</v>
      </c>
      <c r="P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 t="s">
        <v>36</v>
      </c>
      <c r="AB157" t="s">
        <v>43</v>
      </c>
      <c r="AC157" t="str">
        <f t="shared" si="4"/>
        <v>CP</v>
      </c>
      <c r="AD157" t="str">
        <f>_xlfn.XLOOKUP(C157,Mapping!A:A,Mapping!D:D,0,0)</f>
        <v>Bin</v>
      </c>
      <c r="AE157" t="str">
        <f t="shared" si="5"/>
        <v>OLD</v>
      </c>
    </row>
    <row r="158" spans="1:31" x14ac:dyDescent="0.2">
      <c r="A158" t="s">
        <v>39</v>
      </c>
      <c r="B158">
        <v>1011858432</v>
      </c>
      <c r="C158" t="s">
        <v>209</v>
      </c>
      <c r="D158" t="s">
        <v>31</v>
      </c>
      <c r="E158" s="1">
        <v>0.38611111111111113</v>
      </c>
      <c r="F158" t="s">
        <v>32</v>
      </c>
      <c r="G158" t="s">
        <v>33</v>
      </c>
      <c r="H158" t="s">
        <v>41</v>
      </c>
      <c r="I158" t="s">
        <v>58</v>
      </c>
      <c r="J158">
        <v>8</v>
      </c>
      <c r="K158">
        <v>0</v>
      </c>
      <c r="L158" t="s">
        <v>36</v>
      </c>
      <c r="M158" t="s">
        <v>37</v>
      </c>
      <c r="N158">
        <v>0</v>
      </c>
      <c r="O158">
        <v>0</v>
      </c>
      <c r="P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 t="s">
        <v>36</v>
      </c>
      <c r="AB158" t="s">
        <v>43</v>
      </c>
      <c r="AC158" t="str">
        <f t="shared" si="4"/>
        <v>CP</v>
      </c>
      <c r="AD158" t="str">
        <f>_xlfn.XLOOKUP(C158,Mapping!A:A,Mapping!D:D,0,0)</f>
        <v>Bin</v>
      </c>
      <c r="AE158" t="str">
        <f t="shared" si="5"/>
        <v>OLD</v>
      </c>
    </row>
    <row r="159" spans="1:31" x14ac:dyDescent="0.2">
      <c r="A159" t="s">
        <v>39</v>
      </c>
      <c r="B159">
        <v>1011858442</v>
      </c>
      <c r="C159" t="s">
        <v>210</v>
      </c>
      <c r="D159" t="s">
        <v>31</v>
      </c>
      <c r="E159" s="1">
        <v>0.38611111111111113</v>
      </c>
      <c r="F159" t="s">
        <v>32</v>
      </c>
      <c r="G159" t="s">
        <v>33</v>
      </c>
      <c r="H159" t="s">
        <v>41</v>
      </c>
      <c r="I159" t="s">
        <v>58</v>
      </c>
      <c r="J159">
        <v>11</v>
      </c>
      <c r="K159">
        <v>0</v>
      </c>
      <c r="L159" t="s">
        <v>36</v>
      </c>
      <c r="M159" t="s">
        <v>37</v>
      </c>
      <c r="N159">
        <v>0</v>
      </c>
      <c r="O159">
        <v>0</v>
      </c>
      <c r="P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 t="s">
        <v>36</v>
      </c>
      <c r="AB159" t="s">
        <v>43</v>
      </c>
      <c r="AC159" t="str">
        <f t="shared" si="4"/>
        <v>CP</v>
      </c>
      <c r="AD159" t="str">
        <f>_xlfn.XLOOKUP(C159,Mapping!A:A,Mapping!D:D,0,0)</f>
        <v>Bin</v>
      </c>
      <c r="AE159" t="str">
        <f t="shared" si="5"/>
        <v>OLD</v>
      </c>
    </row>
    <row r="160" spans="1:31" x14ac:dyDescent="0.2">
      <c r="A160" t="s">
        <v>39</v>
      </c>
      <c r="B160">
        <v>1011858452</v>
      </c>
      <c r="C160" t="s">
        <v>211</v>
      </c>
      <c r="D160" t="s">
        <v>31</v>
      </c>
      <c r="E160" s="1">
        <v>0.38611111111111113</v>
      </c>
      <c r="F160" t="s">
        <v>32</v>
      </c>
      <c r="G160" t="s">
        <v>33</v>
      </c>
      <c r="H160" t="s">
        <v>41</v>
      </c>
      <c r="I160" t="s">
        <v>58</v>
      </c>
      <c r="J160">
        <v>2</v>
      </c>
      <c r="K160">
        <v>0</v>
      </c>
      <c r="L160" t="s">
        <v>36</v>
      </c>
      <c r="M160" t="s">
        <v>37</v>
      </c>
      <c r="N160">
        <v>0</v>
      </c>
      <c r="O160">
        <v>0</v>
      </c>
      <c r="P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 t="s">
        <v>36</v>
      </c>
      <c r="AB160" t="s">
        <v>43</v>
      </c>
      <c r="AC160" t="str">
        <f t="shared" si="4"/>
        <v>CP</v>
      </c>
      <c r="AD160" t="str">
        <f>_xlfn.XLOOKUP(C160,Mapping!A:A,Mapping!D:D,0,0)</f>
        <v>Bin</v>
      </c>
      <c r="AE160" t="str">
        <f t="shared" si="5"/>
        <v>OLD</v>
      </c>
    </row>
    <row r="161" spans="1:31" x14ac:dyDescent="0.2">
      <c r="A161" t="s">
        <v>39</v>
      </c>
      <c r="B161">
        <v>1011858462</v>
      </c>
      <c r="C161" t="s">
        <v>212</v>
      </c>
      <c r="D161" t="s">
        <v>31</v>
      </c>
      <c r="E161" s="1">
        <v>0.38611111111111113</v>
      </c>
      <c r="F161" t="s">
        <v>32</v>
      </c>
      <c r="G161" t="s">
        <v>33</v>
      </c>
      <c r="H161" t="s">
        <v>41</v>
      </c>
      <c r="I161" t="s">
        <v>58</v>
      </c>
      <c r="J161">
        <v>8</v>
      </c>
      <c r="K161">
        <v>0</v>
      </c>
      <c r="L161" t="s">
        <v>36</v>
      </c>
      <c r="M161" t="s">
        <v>37</v>
      </c>
      <c r="N161">
        <v>0</v>
      </c>
      <c r="O161">
        <v>0</v>
      </c>
      <c r="P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 t="s">
        <v>36</v>
      </c>
      <c r="AB161" t="s">
        <v>43</v>
      </c>
      <c r="AC161" t="str">
        <f t="shared" si="4"/>
        <v>CP</v>
      </c>
      <c r="AD161" t="str">
        <f>_xlfn.XLOOKUP(C161,Mapping!A:A,Mapping!D:D,0,0)</f>
        <v>Bin</v>
      </c>
      <c r="AE161" t="str">
        <f t="shared" si="5"/>
        <v>OLD</v>
      </c>
    </row>
    <row r="162" spans="1:31" x14ac:dyDescent="0.2">
      <c r="A162" t="s">
        <v>39</v>
      </c>
      <c r="B162">
        <v>1011859612</v>
      </c>
      <c r="C162" t="s">
        <v>213</v>
      </c>
      <c r="D162" t="s">
        <v>31</v>
      </c>
      <c r="E162" s="1">
        <v>0.67291666666666672</v>
      </c>
      <c r="F162" t="s">
        <v>32</v>
      </c>
      <c r="G162" t="s">
        <v>33</v>
      </c>
      <c r="H162" t="s">
        <v>41</v>
      </c>
      <c r="I162" t="s">
        <v>62</v>
      </c>
      <c r="J162">
        <v>220</v>
      </c>
      <c r="K162">
        <v>0</v>
      </c>
      <c r="L162" t="s">
        <v>63</v>
      </c>
      <c r="M162">
        <v>250</v>
      </c>
      <c r="N162">
        <v>0</v>
      </c>
      <c r="O162">
        <v>0</v>
      </c>
      <c r="P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 t="s">
        <v>36</v>
      </c>
      <c r="AB162" t="s">
        <v>43</v>
      </c>
      <c r="AC162" t="str">
        <f t="shared" si="4"/>
        <v>CP</v>
      </c>
      <c r="AD162" t="str">
        <f>_xlfn.XLOOKUP(C162,Mapping!A:A,Mapping!D:D,0,0)</f>
        <v>Bin</v>
      </c>
      <c r="AE162" t="str">
        <f t="shared" si="5"/>
        <v>OLD</v>
      </c>
    </row>
    <row r="163" spans="1:31" x14ac:dyDescent="0.2">
      <c r="A163" t="s">
        <v>39</v>
      </c>
      <c r="B163">
        <v>1011859622</v>
      </c>
      <c r="C163" t="s">
        <v>214</v>
      </c>
      <c r="D163" t="s">
        <v>31</v>
      </c>
      <c r="E163" s="1">
        <v>0.67291666666666672</v>
      </c>
      <c r="F163" t="s">
        <v>32</v>
      </c>
      <c r="G163" t="s">
        <v>33</v>
      </c>
      <c r="H163" t="s">
        <v>41</v>
      </c>
      <c r="I163" t="s">
        <v>62</v>
      </c>
      <c r="J163">
        <v>616</v>
      </c>
      <c r="K163">
        <v>0</v>
      </c>
      <c r="L163" t="s">
        <v>36</v>
      </c>
      <c r="M163" t="s">
        <v>37</v>
      </c>
      <c r="N163">
        <v>0</v>
      </c>
      <c r="O163">
        <v>0</v>
      </c>
      <c r="P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 t="s">
        <v>36</v>
      </c>
      <c r="AB163" t="s">
        <v>43</v>
      </c>
      <c r="AC163" t="str">
        <f t="shared" si="4"/>
        <v>CP</v>
      </c>
      <c r="AD163" t="str">
        <f>_xlfn.XLOOKUP(C163,Mapping!A:A,Mapping!D:D,0,0)</f>
        <v>Bin</v>
      </c>
      <c r="AE163" t="str">
        <f t="shared" si="5"/>
        <v>OLD</v>
      </c>
    </row>
    <row r="164" spans="1:31" x14ac:dyDescent="0.2">
      <c r="A164" t="s">
        <v>39</v>
      </c>
      <c r="B164">
        <v>1011859632</v>
      </c>
      <c r="C164" t="s">
        <v>215</v>
      </c>
      <c r="D164" t="s">
        <v>31</v>
      </c>
      <c r="E164" s="1">
        <v>0.67291666666666672</v>
      </c>
      <c r="F164" t="s">
        <v>32</v>
      </c>
      <c r="G164" t="s">
        <v>33</v>
      </c>
      <c r="H164" t="s">
        <v>41</v>
      </c>
      <c r="I164" t="s">
        <v>62</v>
      </c>
      <c r="J164">
        <v>220</v>
      </c>
      <c r="K164">
        <v>0</v>
      </c>
      <c r="L164" t="s">
        <v>36</v>
      </c>
      <c r="M164" t="s">
        <v>37</v>
      </c>
      <c r="N164">
        <v>0</v>
      </c>
      <c r="O164">
        <v>0</v>
      </c>
      <c r="P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 t="s">
        <v>36</v>
      </c>
      <c r="AB164" t="s">
        <v>43</v>
      </c>
      <c r="AC164" t="str">
        <f t="shared" si="4"/>
        <v>CP</v>
      </c>
      <c r="AD164" t="str">
        <f>_xlfn.XLOOKUP(C164,Mapping!A:A,Mapping!D:D,0,0)</f>
        <v>Bin</v>
      </c>
      <c r="AE164" t="str">
        <f t="shared" si="5"/>
        <v>OLD</v>
      </c>
    </row>
    <row r="165" spans="1:31" x14ac:dyDescent="0.2">
      <c r="A165" t="s">
        <v>39</v>
      </c>
      <c r="B165">
        <v>1011859642</v>
      </c>
      <c r="C165" t="s">
        <v>216</v>
      </c>
      <c r="D165" t="s">
        <v>31</v>
      </c>
      <c r="E165" s="1">
        <v>0.67291666666666672</v>
      </c>
      <c r="F165" t="s">
        <v>32</v>
      </c>
      <c r="G165" t="s">
        <v>33</v>
      </c>
      <c r="H165" t="s">
        <v>41</v>
      </c>
      <c r="I165" t="s">
        <v>62</v>
      </c>
      <c r="J165">
        <v>220</v>
      </c>
      <c r="K165">
        <v>0</v>
      </c>
      <c r="L165" t="s">
        <v>36</v>
      </c>
      <c r="M165" t="s">
        <v>37</v>
      </c>
      <c r="N165">
        <v>0</v>
      </c>
      <c r="O165">
        <v>0</v>
      </c>
      <c r="P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 t="s">
        <v>36</v>
      </c>
      <c r="AB165" t="s">
        <v>43</v>
      </c>
      <c r="AC165" t="str">
        <f t="shared" si="4"/>
        <v>CP</v>
      </c>
      <c r="AD165" t="str">
        <f>_xlfn.XLOOKUP(C165,Mapping!A:A,Mapping!D:D,0,0)</f>
        <v>Bin</v>
      </c>
      <c r="AE165" t="str">
        <f t="shared" si="5"/>
        <v>OLD</v>
      </c>
    </row>
    <row r="166" spans="1:31" x14ac:dyDescent="0.2">
      <c r="A166" t="s">
        <v>39</v>
      </c>
      <c r="B166">
        <v>1011859652</v>
      </c>
      <c r="C166" t="s">
        <v>217</v>
      </c>
      <c r="D166" t="s">
        <v>31</v>
      </c>
      <c r="E166" s="1">
        <v>0.67291666666666672</v>
      </c>
      <c r="F166" t="s">
        <v>32</v>
      </c>
      <c r="G166" t="s">
        <v>33</v>
      </c>
      <c r="H166" t="s">
        <v>41</v>
      </c>
      <c r="I166" t="s">
        <v>62</v>
      </c>
      <c r="J166">
        <v>220</v>
      </c>
      <c r="K166">
        <v>0</v>
      </c>
      <c r="L166" t="s">
        <v>36</v>
      </c>
      <c r="M166" t="s">
        <v>37</v>
      </c>
      <c r="N166">
        <v>0</v>
      </c>
      <c r="O166">
        <v>0</v>
      </c>
      <c r="P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 t="s">
        <v>36</v>
      </c>
      <c r="AB166" t="s">
        <v>43</v>
      </c>
      <c r="AC166" t="str">
        <f t="shared" si="4"/>
        <v>CP</v>
      </c>
      <c r="AD166" t="str">
        <f>_xlfn.XLOOKUP(C166,Mapping!A:A,Mapping!D:D,0,0)</f>
        <v>Bin</v>
      </c>
      <c r="AE166" t="str">
        <f t="shared" si="5"/>
        <v>OLD</v>
      </c>
    </row>
    <row r="167" spans="1:31" x14ac:dyDescent="0.2">
      <c r="A167" t="s">
        <v>39</v>
      </c>
      <c r="B167">
        <v>1011859662</v>
      </c>
      <c r="C167" t="s">
        <v>218</v>
      </c>
      <c r="D167" t="s">
        <v>31</v>
      </c>
      <c r="E167" s="1">
        <v>0.67291666666666672</v>
      </c>
      <c r="F167" t="s">
        <v>32</v>
      </c>
      <c r="G167" t="s">
        <v>33</v>
      </c>
      <c r="H167" t="s">
        <v>41</v>
      </c>
      <c r="I167" t="s">
        <v>62</v>
      </c>
      <c r="J167">
        <v>616</v>
      </c>
      <c r="K167">
        <v>0</v>
      </c>
      <c r="L167" t="s">
        <v>63</v>
      </c>
      <c r="M167">
        <v>150</v>
      </c>
      <c r="N167">
        <v>0</v>
      </c>
      <c r="O167">
        <v>0</v>
      </c>
      <c r="P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 t="s">
        <v>36</v>
      </c>
      <c r="AB167" t="s">
        <v>43</v>
      </c>
      <c r="AC167" t="str">
        <f t="shared" si="4"/>
        <v>CP</v>
      </c>
      <c r="AD167" t="str">
        <f>_xlfn.XLOOKUP(C167,Mapping!A:A,Mapping!D:D,0,0)</f>
        <v>Bin</v>
      </c>
      <c r="AE167" t="str">
        <f t="shared" si="5"/>
        <v>OLD</v>
      </c>
    </row>
    <row r="168" spans="1:31" x14ac:dyDescent="0.2">
      <c r="A168" t="s">
        <v>39</v>
      </c>
      <c r="B168">
        <v>1011859672</v>
      </c>
      <c r="C168" t="s">
        <v>219</v>
      </c>
      <c r="D168" t="s">
        <v>31</v>
      </c>
      <c r="E168" s="1">
        <v>0.67291666666666672</v>
      </c>
      <c r="F168" t="s">
        <v>32</v>
      </c>
      <c r="G168" t="s">
        <v>33</v>
      </c>
      <c r="H168" t="s">
        <v>41</v>
      </c>
      <c r="I168" t="s">
        <v>62</v>
      </c>
      <c r="J168">
        <v>220</v>
      </c>
      <c r="K168">
        <v>0</v>
      </c>
      <c r="L168" t="s">
        <v>36</v>
      </c>
      <c r="M168" t="s">
        <v>37</v>
      </c>
      <c r="N168">
        <v>0</v>
      </c>
      <c r="O168">
        <v>0</v>
      </c>
      <c r="P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 t="s">
        <v>36</v>
      </c>
      <c r="AB168" t="s">
        <v>43</v>
      </c>
      <c r="AC168" t="str">
        <f t="shared" si="4"/>
        <v>CP</v>
      </c>
      <c r="AD168" t="str">
        <f>_xlfn.XLOOKUP(C168,Mapping!A:A,Mapping!D:D,0,0)</f>
        <v>Bin</v>
      </c>
      <c r="AE168" t="str">
        <f t="shared" si="5"/>
        <v>OLD</v>
      </c>
    </row>
    <row r="169" spans="1:31" x14ac:dyDescent="0.2">
      <c r="A169" t="s">
        <v>39</v>
      </c>
      <c r="B169">
        <v>1011860812</v>
      </c>
      <c r="C169" t="s">
        <v>220</v>
      </c>
      <c r="D169" t="s">
        <v>31</v>
      </c>
      <c r="E169" s="1">
        <v>0.67291666666666672</v>
      </c>
      <c r="F169" t="s">
        <v>32</v>
      </c>
      <c r="G169" t="s">
        <v>33</v>
      </c>
      <c r="H169" t="s">
        <v>41</v>
      </c>
      <c r="I169" t="s">
        <v>84</v>
      </c>
      <c r="J169">
        <v>220</v>
      </c>
      <c r="K169">
        <v>0</v>
      </c>
      <c r="L169" t="s">
        <v>63</v>
      </c>
      <c r="M169">
        <v>250</v>
      </c>
      <c r="N169">
        <v>0</v>
      </c>
      <c r="O169">
        <v>0</v>
      </c>
      <c r="P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 t="s">
        <v>36</v>
      </c>
      <c r="AB169" t="s">
        <v>43</v>
      </c>
      <c r="AC169" t="str">
        <f t="shared" si="4"/>
        <v>CP</v>
      </c>
      <c r="AD169" t="str">
        <f>_xlfn.XLOOKUP(C169,Mapping!A:A,Mapping!D:D,0,0)</f>
        <v>Bin</v>
      </c>
      <c r="AE169" t="str">
        <f t="shared" si="5"/>
        <v>OLD</v>
      </c>
    </row>
    <row r="170" spans="1:31" x14ac:dyDescent="0.2">
      <c r="A170" t="s">
        <v>39</v>
      </c>
      <c r="B170">
        <v>1011860822</v>
      </c>
      <c r="C170" t="s">
        <v>221</v>
      </c>
      <c r="D170" t="s">
        <v>31</v>
      </c>
      <c r="E170" s="1">
        <v>0.67291666666666672</v>
      </c>
      <c r="F170" t="s">
        <v>32</v>
      </c>
      <c r="G170" t="s">
        <v>33</v>
      </c>
      <c r="H170" t="s">
        <v>41</v>
      </c>
      <c r="I170" t="s">
        <v>84</v>
      </c>
      <c r="J170">
        <v>220</v>
      </c>
      <c r="K170">
        <v>0</v>
      </c>
      <c r="L170" t="s">
        <v>63</v>
      </c>
      <c r="M170">
        <v>150</v>
      </c>
      <c r="N170">
        <v>0</v>
      </c>
      <c r="O170">
        <v>0</v>
      </c>
      <c r="P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 t="s">
        <v>36</v>
      </c>
      <c r="AB170" t="s">
        <v>43</v>
      </c>
      <c r="AC170" t="str">
        <f t="shared" si="4"/>
        <v>CP</v>
      </c>
      <c r="AD170" t="str">
        <f>_xlfn.XLOOKUP(C170,Mapping!A:A,Mapping!D:D,0,0)</f>
        <v>Bin</v>
      </c>
      <c r="AE170" t="str">
        <f t="shared" si="5"/>
        <v>OLD</v>
      </c>
    </row>
    <row r="171" spans="1:31" x14ac:dyDescent="0.2">
      <c r="A171" t="s">
        <v>39</v>
      </c>
      <c r="B171">
        <v>1011860832</v>
      </c>
      <c r="C171" t="s">
        <v>222</v>
      </c>
      <c r="D171" t="s">
        <v>31</v>
      </c>
      <c r="E171" s="1">
        <v>0.67291666666666672</v>
      </c>
      <c r="F171" t="s">
        <v>32</v>
      </c>
      <c r="G171" t="s">
        <v>33</v>
      </c>
      <c r="H171" t="s">
        <v>41</v>
      </c>
      <c r="I171" t="s">
        <v>84</v>
      </c>
      <c r="J171">
        <v>616</v>
      </c>
      <c r="K171">
        <v>0</v>
      </c>
      <c r="L171" t="s">
        <v>63</v>
      </c>
      <c r="M171">
        <v>250</v>
      </c>
      <c r="N171">
        <v>0</v>
      </c>
      <c r="O171">
        <v>0</v>
      </c>
      <c r="P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 t="s">
        <v>36</v>
      </c>
      <c r="AB171" t="s">
        <v>43</v>
      </c>
      <c r="AC171" t="str">
        <f t="shared" si="4"/>
        <v>CP</v>
      </c>
      <c r="AD171" t="str">
        <f>_xlfn.XLOOKUP(C171,Mapping!A:A,Mapping!D:D,0,0)</f>
        <v>Bin</v>
      </c>
      <c r="AE171" t="str">
        <f t="shared" si="5"/>
        <v>OLD</v>
      </c>
    </row>
    <row r="172" spans="1:31" x14ac:dyDescent="0.2">
      <c r="A172" t="s">
        <v>39</v>
      </c>
      <c r="B172">
        <v>1011860842</v>
      </c>
      <c r="C172" t="s">
        <v>223</v>
      </c>
      <c r="D172" t="s">
        <v>31</v>
      </c>
      <c r="E172" s="1">
        <v>0.67291666666666672</v>
      </c>
      <c r="F172" t="s">
        <v>32</v>
      </c>
      <c r="G172" t="s">
        <v>33</v>
      </c>
      <c r="H172" t="s">
        <v>41</v>
      </c>
      <c r="I172" t="s">
        <v>84</v>
      </c>
      <c r="J172">
        <v>220</v>
      </c>
      <c r="K172">
        <v>0</v>
      </c>
      <c r="L172" t="s">
        <v>36</v>
      </c>
      <c r="M172" t="s">
        <v>37</v>
      </c>
      <c r="N172">
        <v>0</v>
      </c>
      <c r="O172">
        <v>0</v>
      </c>
      <c r="P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 t="s">
        <v>36</v>
      </c>
      <c r="AB172" t="s">
        <v>43</v>
      </c>
      <c r="AC172" t="str">
        <f t="shared" si="4"/>
        <v>CP</v>
      </c>
      <c r="AD172" t="str">
        <f>_xlfn.XLOOKUP(C172,Mapping!A:A,Mapping!D:D,0,0)</f>
        <v>Bin</v>
      </c>
      <c r="AE172" t="str">
        <f t="shared" si="5"/>
        <v>OLD</v>
      </c>
    </row>
    <row r="173" spans="1:31" x14ac:dyDescent="0.2">
      <c r="A173" t="s">
        <v>39</v>
      </c>
      <c r="B173">
        <v>1011860852</v>
      </c>
      <c r="C173" t="s">
        <v>224</v>
      </c>
      <c r="D173" t="s">
        <v>31</v>
      </c>
      <c r="E173" s="1">
        <v>0.67291666666666672</v>
      </c>
      <c r="F173" t="s">
        <v>32</v>
      </c>
      <c r="G173" t="s">
        <v>33</v>
      </c>
      <c r="H173" t="s">
        <v>41</v>
      </c>
      <c r="I173" t="s">
        <v>84</v>
      </c>
      <c r="J173">
        <v>220</v>
      </c>
      <c r="K173">
        <v>0</v>
      </c>
      <c r="L173" t="s">
        <v>36</v>
      </c>
      <c r="M173" t="s">
        <v>37</v>
      </c>
      <c r="N173">
        <v>0</v>
      </c>
      <c r="O173">
        <v>0</v>
      </c>
      <c r="P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 t="s">
        <v>36</v>
      </c>
      <c r="AB173" t="s">
        <v>43</v>
      </c>
      <c r="AC173" t="str">
        <f t="shared" si="4"/>
        <v>CP</v>
      </c>
      <c r="AD173" t="str">
        <f>_xlfn.XLOOKUP(C173,Mapping!A:A,Mapping!D:D,0,0)</f>
        <v>Bin</v>
      </c>
      <c r="AE173" t="str">
        <f t="shared" si="5"/>
        <v>OLD</v>
      </c>
    </row>
    <row r="174" spans="1:31" x14ac:dyDescent="0.2">
      <c r="A174" t="s">
        <v>39</v>
      </c>
      <c r="B174">
        <v>1011860862</v>
      </c>
      <c r="C174" t="s">
        <v>225</v>
      </c>
      <c r="D174" t="s">
        <v>31</v>
      </c>
      <c r="E174" s="1">
        <v>0.67291666666666672</v>
      </c>
      <c r="F174" t="s">
        <v>32</v>
      </c>
      <c r="G174" t="s">
        <v>33</v>
      </c>
      <c r="H174" t="s">
        <v>41</v>
      </c>
      <c r="I174" t="s">
        <v>84</v>
      </c>
      <c r="J174">
        <v>220</v>
      </c>
      <c r="K174">
        <v>0</v>
      </c>
      <c r="L174" t="s">
        <v>63</v>
      </c>
      <c r="M174">
        <v>250</v>
      </c>
      <c r="N174">
        <v>0</v>
      </c>
      <c r="O174">
        <v>0</v>
      </c>
      <c r="P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 t="s">
        <v>36</v>
      </c>
      <c r="AB174" t="s">
        <v>43</v>
      </c>
      <c r="AC174" t="str">
        <f t="shared" si="4"/>
        <v>CP</v>
      </c>
      <c r="AD174" t="str">
        <f>_xlfn.XLOOKUP(C174,Mapping!A:A,Mapping!D:D,0,0)</f>
        <v>Bin</v>
      </c>
      <c r="AE174" t="str">
        <f t="shared" si="5"/>
        <v>OLD</v>
      </c>
    </row>
    <row r="175" spans="1:31" x14ac:dyDescent="0.2">
      <c r="A175" t="s">
        <v>39</v>
      </c>
      <c r="B175">
        <v>1011860872</v>
      </c>
      <c r="C175" t="s">
        <v>226</v>
      </c>
      <c r="D175" t="s">
        <v>31</v>
      </c>
      <c r="E175" s="1">
        <v>0.67291666666666672</v>
      </c>
      <c r="F175" t="s">
        <v>32</v>
      </c>
      <c r="G175" t="s">
        <v>33</v>
      </c>
      <c r="H175" t="s">
        <v>41</v>
      </c>
      <c r="I175" t="s">
        <v>84</v>
      </c>
      <c r="J175">
        <v>220</v>
      </c>
      <c r="K175">
        <v>0</v>
      </c>
      <c r="L175" t="s">
        <v>36</v>
      </c>
      <c r="M175" t="s">
        <v>37</v>
      </c>
      <c r="N175">
        <v>0</v>
      </c>
      <c r="O175">
        <v>0</v>
      </c>
      <c r="P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 t="s">
        <v>36</v>
      </c>
      <c r="AB175" t="s">
        <v>43</v>
      </c>
      <c r="AC175" t="str">
        <f t="shared" si="4"/>
        <v>CP</v>
      </c>
      <c r="AD175" t="str">
        <f>_xlfn.XLOOKUP(C175,Mapping!A:A,Mapping!D:D,0,0)</f>
        <v>Bin</v>
      </c>
      <c r="AE175" t="str">
        <f t="shared" si="5"/>
        <v>OLD</v>
      </c>
    </row>
    <row r="176" spans="1:31" x14ac:dyDescent="0.2">
      <c r="A176" t="s">
        <v>39</v>
      </c>
      <c r="B176">
        <v>1011860882</v>
      </c>
      <c r="C176" t="s">
        <v>227</v>
      </c>
      <c r="D176" t="s">
        <v>31</v>
      </c>
      <c r="E176" s="1">
        <v>0.67291666666666672</v>
      </c>
      <c r="F176" t="s">
        <v>32</v>
      </c>
      <c r="G176" t="s">
        <v>33</v>
      </c>
      <c r="H176" t="s">
        <v>41</v>
      </c>
      <c r="I176" t="s">
        <v>84</v>
      </c>
      <c r="J176">
        <v>220</v>
      </c>
      <c r="K176">
        <v>0</v>
      </c>
      <c r="L176" t="s">
        <v>36</v>
      </c>
      <c r="M176" t="s">
        <v>37</v>
      </c>
      <c r="N176">
        <v>0</v>
      </c>
      <c r="O176">
        <v>0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 t="s">
        <v>36</v>
      </c>
      <c r="AB176" t="s">
        <v>43</v>
      </c>
      <c r="AC176" t="str">
        <f t="shared" si="4"/>
        <v>CP</v>
      </c>
      <c r="AD176" t="str">
        <f>_xlfn.XLOOKUP(C176,Mapping!A:A,Mapping!D:D,0,0)</f>
        <v>Bin</v>
      </c>
      <c r="AE176" t="str">
        <f t="shared" si="5"/>
        <v>OLD</v>
      </c>
    </row>
    <row r="177" spans="1:31" x14ac:dyDescent="0.2">
      <c r="A177" t="s">
        <v>39</v>
      </c>
      <c r="B177">
        <v>1011860892</v>
      </c>
      <c r="C177" t="s">
        <v>228</v>
      </c>
      <c r="D177" t="s">
        <v>31</v>
      </c>
      <c r="E177" s="1">
        <v>0.67291666666666672</v>
      </c>
      <c r="F177" t="s">
        <v>32</v>
      </c>
      <c r="G177" t="s">
        <v>33</v>
      </c>
      <c r="H177" t="s">
        <v>41</v>
      </c>
      <c r="I177" t="s">
        <v>84</v>
      </c>
      <c r="J177">
        <v>616</v>
      </c>
      <c r="K177">
        <v>0</v>
      </c>
      <c r="L177" t="s">
        <v>63</v>
      </c>
      <c r="M177">
        <v>250</v>
      </c>
      <c r="N177">
        <v>0</v>
      </c>
      <c r="O177">
        <v>0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 t="s">
        <v>36</v>
      </c>
      <c r="AB177" t="s">
        <v>43</v>
      </c>
      <c r="AC177" t="str">
        <f t="shared" si="4"/>
        <v>CP</v>
      </c>
      <c r="AD177" t="str">
        <f>_xlfn.XLOOKUP(C177,Mapping!A:A,Mapping!D:D,0,0)</f>
        <v>Bin</v>
      </c>
      <c r="AE177" t="str">
        <f t="shared" si="5"/>
        <v>OLD</v>
      </c>
    </row>
    <row r="178" spans="1:31" x14ac:dyDescent="0.2">
      <c r="A178" t="s">
        <v>39</v>
      </c>
      <c r="B178">
        <v>1011860902</v>
      </c>
      <c r="C178" t="s">
        <v>229</v>
      </c>
      <c r="D178" t="s">
        <v>31</v>
      </c>
      <c r="E178" s="1">
        <v>0.67291666666666672</v>
      </c>
      <c r="F178" t="s">
        <v>32</v>
      </c>
      <c r="G178" t="s">
        <v>33</v>
      </c>
      <c r="H178" t="s">
        <v>41</v>
      </c>
      <c r="I178" t="s">
        <v>84</v>
      </c>
      <c r="J178">
        <v>220</v>
      </c>
      <c r="K178">
        <v>0</v>
      </c>
      <c r="L178" t="s">
        <v>36</v>
      </c>
      <c r="M178" t="s">
        <v>37</v>
      </c>
      <c r="N178">
        <v>0</v>
      </c>
      <c r="O178">
        <v>0</v>
      </c>
      <c r="P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 t="s">
        <v>36</v>
      </c>
      <c r="AB178" t="s">
        <v>43</v>
      </c>
      <c r="AC178" t="str">
        <f t="shared" si="4"/>
        <v>CP</v>
      </c>
      <c r="AD178" t="str">
        <f>_xlfn.XLOOKUP(C178,Mapping!A:A,Mapping!D:D,0,0)</f>
        <v>Bin</v>
      </c>
      <c r="AE178" t="str">
        <f t="shared" si="5"/>
        <v>OLD</v>
      </c>
    </row>
    <row r="179" spans="1:31" x14ac:dyDescent="0.2">
      <c r="A179" t="s">
        <v>39</v>
      </c>
      <c r="B179">
        <v>1011860912</v>
      </c>
      <c r="C179" t="s">
        <v>230</v>
      </c>
      <c r="D179" t="s">
        <v>31</v>
      </c>
      <c r="E179" s="1">
        <v>0.67291666666666672</v>
      </c>
      <c r="F179" t="s">
        <v>32</v>
      </c>
      <c r="G179" t="s">
        <v>33</v>
      </c>
      <c r="H179" t="s">
        <v>41</v>
      </c>
      <c r="I179" t="s">
        <v>84</v>
      </c>
      <c r="J179">
        <v>220</v>
      </c>
      <c r="K179">
        <v>0</v>
      </c>
      <c r="L179" t="s">
        <v>36</v>
      </c>
      <c r="M179" t="s">
        <v>37</v>
      </c>
      <c r="N179">
        <v>0</v>
      </c>
      <c r="O179">
        <v>0</v>
      </c>
      <c r="P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 t="s">
        <v>36</v>
      </c>
      <c r="AB179" t="s">
        <v>43</v>
      </c>
      <c r="AC179" t="str">
        <f t="shared" si="4"/>
        <v>CP</v>
      </c>
      <c r="AD179" t="str">
        <f>_xlfn.XLOOKUP(C179,Mapping!A:A,Mapping!D:D,0,0)</f>
        <v>Bin</v>
      </c>
      <c r="AE179" t="str">
        <f t="shared" si="5"/>
        <v>OLD</v>
      </c>
    </row>
    <row r="180" spans="1:31" x14ac:dyDescent="0.2">
      <c r="A180" t="s">
        <v>39</v>
      </c>
      <c r="B180">
        <v>1011860922</v>
      </c>
      <c r="C180" t="s">
        <v>231</v>
      </c>
      <c r="D180" t="s">
        <v>31</v>
      </c>
      <c r="E180" s="1">
        <v>0.67291666666666672</v>
      </c>
      <c r="F180" t="s">
        <v>32</v>
      </c>
      <c r="G180" t="s">
        <v>33</v>
      </c>
      <c r="H180" t="s">
        <v>41</v>
      </c>
      <c r="I180" t="s">
        <v>84</v>
      </c>
      <c r="J180">
        <v>220</v>
      </c>
      <c r="K180">
        <v>0</v>
      </c>
      <c r="L180" t="s">
        <v>36</v>
      </c>
      <c r="M180" t="s">
        <v>37</v>
      </c>
      <c r="N180">
        <v>0</v>
      </c>
      <c r="O180">
        <v>0</v>
      </c>
      <c r="P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 t="s">
        <v>36</v>
      </c>
      <c r="AB180" t="s">
        <v>43</v>
      </c>
      <c r="AC180" t="str">
        <f t="shared" si="4"/>
        <v>CP</v>
      </c>
      <c r="AD180" t="str">
        <f>_xlfn.XLOOKUP(C180,Mapping!A:A,Mapping!D:D,0,0)</f>
        <v>Bin</v>
      </c>
      <c r="AE180" t="str">
        <f t="shared" si="5"/>
        <v>OLD</v>
      </c>
    </row>
    <row r="181" spans="1:31" x14ac:dyDescent="0.2">
      <c r="A181" t="s">
        <v>39</v>
      </c>
      <c r="B181">
        <v>1011860932</v>
      </c>
      <c r="C181" t="s">
        <v>232</v>
      </c>
      <c r="D181" t="s">
        <v>31</v>
      </c>
      <c r="E181" s="1">
        <v>0.67291666666666672</v>
      </c>
      <c r="F181" t="s">
        <v>32</v>
      </c>
      <c r="G181" t="s">
        <v>33</v>
      </c>
      <c r="H181" t="s">
        <v>41</v>
      </c>
      <c r="I181" t="s">
        <v>84</v>
      </c>
      <c r="J181">
        <v>220</v>
      </c>
      <c r="K181">
        <v>0</v>
      </c>
      <c r="L181" t="s">
        <v>36</v>
      </c>
      <c r="M181" t="s">
        <v>37</v>
      </c>
      <c r="N181">
        <v>0</v>
      </c>
      <c r="O181">
        <v>0</v>
      </c>
      <c r="P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 t="s">
        <v>36</v>
      </c>
      <c r="AB181" t="s">
        <v>43</v>
      </c>
      <c r="AC181" t="str">
        <f t="shared" si="4"/>
        <v>CP</v>
      </c>
      <c r="AD181" t="str">
        <f>_xlfn.XLOOKUP(C181,Mapping!A:A,Mapping!D:D,0,0)</f>
        <v>Bin</v>
      </c>
      <c r="AE181" t="str">
        <f t="shared" si="5"/>
        <v>OLD</v>
      </c>
    </row>
    <row r="182" spans="1:31" x14ac:dyDescent="0.2">
      <c r="A182" t="s">
        <v>39</v>
      </c>
      <c r="B182">
        <v>1011860942</v>
      </c>
      <c r="C182" t="s">
        <v>233</v>
      </c>
      <c r="D182" t="s">
        <v>31</v>
      </c>
      <c r="E182" s="1">
        <v>0.67291666666666672</v>
      </c>
      <c r="F182" t="s">
        <v>32</v>
      </c>
      <c r="G182" t="s">
        <v>33</v>
      </c>
      <c r="H182" t="s">
        <v>41</v>
      </c>
      <c r="I182" t="s">
        <v>84</v>
      </c>
      <c r="J182">
        <v>220</v>
      </c>
      <c r="K182">
        <v>0</v>
      </c>
      <c r="L182" t="s">
        <v>36</v>
      </c>
      <c r="M182" t="s">
        <v>37</v>
      </c>
      <c r="N182">
        <v>0</v>
      </c>
      <c r="O182">
        <v>0</v>
      </c>
      <c r="P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 t="s">
        <v>36</v>
      </c>
      <c r="AB182" t="s">
        <v>43</v>
      </c>
      <c r="AC182" t="str">
        <f t="shared" si="4"/>
        <v>CP</v>
      </c>
      <c r="AD182" t="str">
        <f>_xlfn.XLOOKUP(C182,Mapping!A:A,Mapping!D:D,0,0)</f>
        <v>Bin</v>
      </c>
      <c r="AE182" t="str">
        <f t="shared" si="5"/>
        <v>OLD</v>
      </c>
    </row>
    <row r="183" spans="1:31" x14ac:dyDescent="0.2">
      <c r="A183" t="s">
        <v>39</v>
      </c>
      <c r="B183">
        <v>1011860952</v>
      </c>
      <c r="C183" t="s">
        <v>234</v>
      </c>
      <c r="D183" t="s">
        <v>31</v>
      </c>
      <c r="E183" s="1">
        <v>0.67291666666666672</v>
      </c>
      <c r="F183" t="s">
        <v>32</v>
      </c>
      <c r="G183" t="s">
        <v>33</v>
      </c>
      <c r="H183" t="s">
        <v>41</v>
      </c>
      <c r="I183" t="s">
        <v>84</v>
      </c>
      <c r="J183">
        <v>220</v>
      </c>
      <c r="K183">
        <v>0</v>
      </c>
      <c r="L183" t="s">
        <v>63</v>
      </c>
      <c r="M183">
        <v>250</v>
      </c>
      <c r="N183">
        <v>0</v>
      </c>
      <c r="O183">
        <v>0</v>
      </c>
      <c r="P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 t="s">
        <v>36</v>
      </c>
      <c r="AB183" t="s">
        <v>43</v>
      </c>
      <c r="AC183" t="str">
        <f t="shared" si="4"/>
        <v>CP</v>
      </c>
      <c r="AD183" t="str">
        <f>_xlfn.XLOOKUP(C183,Mapping!A:A,Mapping!D:D,0,0)</f>
        <v>Bin</v>
      </c>
      <c r="AE183" t="str">
        <f t="shared" si="5"/>
        <v>OLD</v>
      </c>
    </row>
    <row r="184" spans="1:31" x14ac:dyDescent="0.2">
      <c r="A184" t="s">
        <v>39</v>
      </c>
      <c r="B184">
        <v>1011860962</v>
      </c>
      <c r="C184" t="s">
        <v>235</v>
      </c>
      <c r="D184" t="s">
        <v>31</v>
      </c>
      <c r="E184" s="1">
        <v>0.67291666666666672</v>
      </c>
      <c r="F184" t="s">
        <v>32</v>
      </c>
      <c r="G184" t="s">
        <v>33</v>
      </c>
      <c r="H184" t="s">
        <v>41</v>
      </c>
      <c r="I184" t="s">
        <v>84</v>
      </c>
      <c r="J184">
        <v>220</v>
      </c>
      <c r="K184">
        <v>0</v>
      </c>
      <c r="L184" t="s">
        <v>63</v>
      </c>
      <c r="M184">
        <v>250</v>
      </c>
      <c r="N184">
        <v>0</v>
      </c>
      <c r="O184">
        <v>0</v>
      </c>
      <c r="P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 t="s">
        <v>36</v>
      </c>
      <c r="AB184" t="s">
        <v>43</v>
      </c>
      <c r="AC184" t="str">
        <f t="shared" si="4"/>
        <v>CP</v>
      </c>
      <c r="AD184" t="str">
        <f>_xlfn.XLOOKUP(C184,Mapping!A:A,Mapping!D:D,0,0)</f>
        <v>Bin</v>
      </c>
      <c r="AE184" t="str">
        <f t="shared" si="5"/>
        <v>OLD</v>
      </c>
    </row>
    <row r="185" spans="1:31" x14ac:dyDescent="0.2">
      <c r="A185" t="s">
        <v>39</v>
      </c>
      <c r="B185">
        <v>1011860972</v>
      </c>
      <c r="C185" t="s">
        <v>236</v>
      </c>
      <c r="D185" t="s">
        <v>31</v>
      </c>
      <c r="E185" s="1">
        <v>0.67291666666666672</v>
      </c>
      <c r="F185" t="s">
        <v>32</v>
      </c>
      <c r="G185" t="s">
        <v>33</v>
      </c>
      <c r="H185" t="s">
        <v>41</v>
      </c>
      <c r="I185" t="s">
        <v>84</v>
      </c>
      <c r="J185">
        <v>220</v>
      </c>
      <c r="K185">
        <v>0</v>
      </c>
      <c r="L185" t="s">
        <v>36</v>
      </c>
      <c r="M185" t="s">
        <v>37</v>
      </c>
      <c r="N185">
        <v>0</v>
      </c>
      <c r="O185">
        <v>0</v>
      </c>
      <c r="P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 t="s">
        <v>36</v>
      </c>
      <c r="AB185" t="s">
        <v>43</v>
      </c>
      <c r="AC185" t="str">
        <f t="shared" si="4"/>
        <v>CP</v>
      </c>
      <c r="AD185" t="str">
        <f>_xlfn.XLOOKUP(C185,Mapping!A:A,Mapping!D:D,0,0)</f>
        <v>Bin</v>
      </c>
      <c r="AE185" t="str">
        <f t="shared" si="5"/>
        <v>OLD</v>
      </c>
    </row>
    <row r="186" spans="1:31" x14ac:dyDescent="0.2">
      <c r="A186" t="s">
        <v>39</v>
      </c>
      <c r="B186">
        <v>1011860982</v>
      </c>
      <c r="C186" t="s">
        <v>237</v>
      </c>
      <c r="D186" t="s">
        <v>31</v>
      </c>
      <c r="E186" s="1">
        <v>0.67291666666666672</v>
      </c>
      <c r="F186" t="s">
        <v>32</v>
      </c>
      <c r="G186" t="s">
        <v>33</v>
      </c>
      <c r="H186" t="s">
        <v>41</v>
      </c>
      <c r="I186" t="s">
        <v>84</v>
      </c>
      <c r="J186">
        <v>616</v>
      </c>
      <c r="K186">
        <v>0</v>
      </c>
      <c r="L186" t="s">
        <v>63</v>
      </c>
      <c r="M186">
        <v>250</v>
      </c>
      <c r="N186">
        <v>0</v>
      </c>
      <c r="O186">
        <v>0</v>
      </c>
      <c r="P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 t="s">
        <v>36</v>
      </c>
      <c r="AB186" t="s">
        <v>43</v>
      </c>
      <c r="AC186" t="str">
        <f t="shared" si="4"/>
        <v>CP</v>
      </c>
      <c r="AD186" t="str">
        <f>_xlfn.XLOOKUP(C186,Mapping!A:A,Mapping!D:D,0,0)</f>
        <v>Bin</v>
      </c>
      <c r="AE186" t="str">
        <f t="shared" si="5"/>
        <v>OLD</v>
      </c>
    </row>
    <row r="187" spans="1:31" x14ac:dyDescent="0.2">
      <c r="A187" t="s">
        <v>39</v>
      </c>
      <c r="B187">
        <v>1011860992</v>
      </c>
      <c r="C187" t="s">
        <v>238</v>
      </c>
      <c r="D187" t="s">
        <v>31</v>
      </c>
      <c r="E187" s="1">
        <v>0.67291666666666672</v>
      </c>
      <c r="F187" t="s">
        <v>32</v>
      </c>
      <c r="G187" t="s">
        <v>33</v>
      </c>
      <c r="H187" t="s">
        <v>41</v>
      </c>
      <c r="I187" t="s">
        <v>84</v>
      </c>
      <c r="J187">
        <v>616</v>
      </c>
      <c r="K187">
        <v>0</v>
      </c>
      <c r="L187" t="s">
        <v>63</v>
      </c>
      <c r="M187">
        <v>250</v>
      </c>
      <c r="N187">
        <v>0</v>
      </c>
      <c r="O187">
        <v>0</v>
      </c>
      <c r="P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 t="s">
        <v>36</v>
      </c>
      <c r="AB187" t="s">
        <v>43</v>
      </c>
      <c r="AC187" t="str">
        <f t="shared" si="4"/>
        <v>CP</v>
      </c>
      <c r="AD187" t="str">
        <f>_xlfn.XLOOKUP(C187,Mapping!A:A,Mapping!D:D,0,0)</f>
        <v>Bin</v>
      </c>
      <c r="AE187" t="str">
        <f t="shared" si="5"/>
        <v>OLD</v>
      </c>
    </row>
    <row r="188" spans="1:31" x14ac:dyDescent="0.2">
      <c r="A188" t="s">
        <v>39</v>
      </c>
      <c r="B188">
        <v>1011861002</v>
      </c>
      <c r="C188" t="s">
        <v>239</v>
      </c>
      <c r="D188" t="s">
        <v>31</v>
      </c>
      <c r="E188" s="1">
        <v>0.67291666666666672</v>
      </c>
      <c r="F188" t="s">
        <v>32</v>
      </c>
      <c r="G188" t="s">
        <v>33</v>
      </c>
      <c r="H188" t="s">
        <v>41</v>
      </c>
      <c r="I188" t="s">
        <v>35</v>
      </c>
      <c r="J188">
        <v>616</v>
      </c>
      <c r="K188">
        <v>0</v>
      </c>
      <c r="L188" t="s">
        <v>63</v>
      </c>
      <c r="M188">
        <v>250</v>
      </c>
      <c r="N188">
        <v>0</v>
      </c>
      <c r="O188">
        <v>0</v>
      </c>
      <c r="P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 t="s">
        <v>36</v>
      </c>
      <c r="AB188" t="s">
        <v>43</v>
      </c>
      <c r="AC188" t="str">
        <f t="shared" si="4"/>
        <v>CP</v>
      </c>
      <c r="AD188" t="str">
        <f>_xlfn.XLOOKUP(C188,Mapping!A:A,Mapping!D:D,0,0)</f>
        <v>Bin</v>
      </c>
      <c r="AE188" t="str">
        <f t="shared" si="5"/>
        <v>OLD</v>
      </c>
    </row>
    <row r="189" spans="1:31" x14ac:dyDescent="0.2">
      <c r="A189" t="s">
        <v>39</v>
      </c>
      <c r="B189">
        <v>1011861012</v>
      </c>
      <c r="C189" t="s">
        <v>240</v>
      </c>
      <c r="D189" t="s">
        <v>31</v>
      </c>
      <c r="E189" s="1">
        <v>0.67291666666666672</v>
      </c>
      <c r="F189" t="s">
        <v>32</v>
      </c>
      <c r="G189" t="s">
        <v>33</v>
      </c>
      <c r="H189" t="s">
        <v>41</v>
      </c>
      <c r="I189" t="s">
        <v>35</v>
      </c>
      <c r="J189">
        <v>220</v>
      </c>
      <c r="K189">
        <v>0</v>
      </c>
      <c r="L189" t="s">
        <v>36</v>
      </c>
      <c r="M189" t="s">
        <v>37</v>
      </c>
      <c r="N189">
        <v>0</v>
      </c>
      <c r="O189">
        <v>0</v>
      </c>
      <c r="P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 t="s">
        <v>36</v>
      </c>
      <c r="AB189" t="s">
        <v>43</v>
      </c>
      <c r="AC189" t="str">
        <f t="shared" si="4"/>
        <v>CP</v>
      </c>
      <c r="AD189" t="str">
        <f>_xlfn.XLOOKUP(C189,Mapping!A:A,Mapping!D:D,0,0)</f>
        <v>Bin</v>
      </c>
      <c r="AE189" t="str">
        <f t="shared" si="5"/>
        <v>OLD</v>
      </c>
    </row>
    <row r="190" spans="1:31" x14ac:dyDescent="0.2">
      <c r="A190" t="s">
        <v>39</v>
      </c>
      <c r="B190">
        <v>1011861022</v>
      </c>
      <c r="C190" t="s">
        <v>241</v>
      </c>
      <c r="D190" t="s">
        <v>31</v>
      </c>
      <c r="E190" s="1">
        <v>0.67291666666666672</v>
      </c>
      <c r="F190" t="s">
        <v>32</v>
      </c>
      <c r="G190" t="s">
        <v>33</v>
      </c>
      <c r="H190" t="s">
        <v>41</v>
      </c>
      <c r="I190" t="s">
        <v>35</v>
      </c>
      <c r="J190">
        <v>220</v>
      </c>
      <c r="K190">
        <v>0</v>
      </c>
      <c r="L190" t="s">
        <v>36</v>
      </c>
      <c r="M190" t="s">
        <v>37</v>
      </c>
      <c r="N190">
        <v>0</v>
      </c>
      <c r="O190">
        <v>0</v>
      </c>
      <c r="P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 t="s">
        <v>36</v>
      </c>
      <c r="AB190" t="s">
        <v>43</v>
      </c>
      <c r="AC190" t="str">
        <f t="shared" si="4"/>
        <v>CP</v>
      </c>
      <c r="AD190" t="str">
        <f>_xlfn.XLOOKUP(C190,Mapping!A:A,Mapping!D:D,0,0)</f>
        <v>Bin</v>
      </c>
      <c r="AE190" t="str">
        <f t="shared" si="5"/>
        <v>OLD</v>
      </c>
    </row>
    <row r="191" spans="1:31" x14ac:dyDescent="0.2">
      <c r="A191" t="s">
        <v>39</v>
      </c>
      <c r="B191">
        <v>1011861032</v>
      </c>
      <c r="C191" t="s">
        <v>242</v>
      </c>
      <c r="D191" t="s">
        <v>31</v>
      </c>
      <c r="E191" s="1">
        <v>0.67291666666666672</v>
      </c>
      <c r="F191" t="s">
        <v>32</v>
      </c>
      <c r="G191" t="s">
        <v>33</v>
      </c>
      <c r="H191" t="s">
        <v>41</v>
      </c>
      <c r="I191" t="s">
        <v>84</v>
      </c>
      <c r="J191">
        <v>616</v>
      </c>
      <c r="K191">
        <v>0</v>
      </c>
      <c r="L191" t="s">
        <v>63</v>
      </c>
      <c r="M191">
        <v>250</v>
      </c>
      <c r="N191">
        <v>0</v>
      </c>
      <c r="O191">
        <v>0</v>
      </c>
      <c r="P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 t="s">
        <v>36</v>
      </c>
      <c r="AB191" t="s">
        <v>43</v>
      </c>
      <c r="AC191" t="str">
        <f t="shared" si="4"/>
        <v>CP</v>
      </c>
      <c r="AD191" t="str">
        <f>_xlfn.XLOOKUP(C191,Mapping!A:A,Mapping!D:D,0,0)</f>
        <v>Bin</v>
      </c>
      <c r="AE191" t="str">
        <f t="shared" si="5"/>
        <v>OLD</v>
      </c>
    </row>
    <row r="192" spans="1:31" x14ac:dyDescent="0.2">
      <c r="A192" t="s">
        <v>39</v>
      </c>
      <c r="B192">
        <v>1011861382</v>
      </c>
      <c r="C192" t="s">
        <v>243</v>
      </c>
      <c r="D192" t="s">
        <v>31</v>
      </c>
      <c r="E192" s="1">
        <v>0.67291666666666672</v>
      </c>
      <c r="F192" t="s">
        <v>32</v>
      </c>
      <c r="G192" t="s">
        <v>33</v>
      </c>
      <c r="H192" t="s">
        <v>41</v>
      </c>
      <c r="I192" t="s">
        <v>84</v>
      </c>
      <c r="J192">
        <v>308</v>
      </c>
      <c r="K192">
        <v>0</v>
      </c>
      <c r="L192" t="s">
        <v>36</v>
      </c>
      <c r="M192" t="s">
        <v>37</v>
      </c>
      <c r="N192">
        <v>0</v>
      </c>
      <c r="O192">
        <v>0</v>
      </c>
      <c r="P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 t="s">
        <v>36</v>
      </c>
      <c r="AB192" t="s">
        <v>43</v>
      </c>
      <c r="AC192" t="str">
        <f t="shared" si="4"/>
        <v>CP</v>
      </c>
      <c r="AD192" t="str">
        <f>_xlfn.XLOOKUP(C192,Mapping!A:A,Mapping!D:D,0,0)</f>
        <v>Bin</v>
      </c>
      <c r="AE192" t="str">
        <f t="shared" si="5"/>
        <v>OLD</v>
      </c>
    </row>
    <row r="193" spans="1:31" x14ac:dyDescent="0.2">
      <c r="A193" t="s">
        <v>39</v>
      </c>
      <c r="B193">
        <v>1011861402</v>
      </c>
      <c r="C193" t="s">
        <v>244</v>
      </c>
      <c r="D193" t="s">
        <v>31</v>
      </c>
      <c r="E193" s="1">
        <v>0.67291666666666672</v>
      </c>
      <c r="F193" t="s">
        <v>32</v>
      </c>
      <c r="G193" t="s">
        <v>33</v>
      </c>
      <c r="H193" t="s">
        <v>41</v>
      </c>
      <c r="I193" t="s">
        <v>84</v>
      </c>
      <c r="J193">
        <v>242</v>
      </c>
      <c r="K193">
        <v>0</v>
      </c>
      <c r="L193" t="s">
        <v>36</v>
      </c>
      <c r="M193" t="s">
        <v>37</v>
      </c>
      <c r="N193">
        <v>0</v>
      </c>
      <c r="O193">
        <v>0</v>
      </c>
      <c r="P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 t="s">
        <v>36</v>
      </c>
      <c r="AB193" t="s">
        <v>43</v>
      </c>
      <c r="AC193" t="str">
        <f t="shared" si="4"/>
        <v>CP</v>
      </c>
      <c r="AD193" t="str">
        <f>_xlfn.XLOOKUP(C193,Mapping!A:A,Mapping!D:D,0,0)</f>
        <v>Bin</v>
      </c>
      <c r="AE193" t="str">
        <f t="shared" si="5"/>
        <v>OLD</v>
      </c>
    </row>
    <row r="194" spans="1:31" x14ac:dyDescent="0.2">
      <c r="A194" t="s">
        <v>39</v>
      </c>
      <c r="B194">
        <v>1011883592</v>
      </c>
      <c r="C194" t="s">
        <v>245</v>
      </c>
      <c r="D194" t="s">
        <v>31</v>
      </c>
      <c r="E194" t="s">
        <v>246</v>
      </c>
      <c r="F194" t="s">
        <v>247</v>
      </c>
      <c r="G194" t="s">
        <v>33</v>
      </c>
      <c r="H194" t="s">
        <v>41</v>
      </c>
      <c r="I194" t="s">
        <v>84</v>
      </c>
      <c r="J194">
        <v>448</v>
      </c>
      <c r="K194">
        <v>0</v>
      </c>
      <c r="L194" t="s">
        <v>36</v>
      </c>
      <c r="M194" t="s">
        <v>37</v>
      </c>
      <c r="N194">
        <v>0</v>
      </c>
      <c r="O194">
        <v>0</v>
      </c>
      <c r="P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 t="s">
        <v>36</v>
      </c>
      <c r="AB194" t="s">
        <v>43</v>
      </c>
      <c r="AC194" t="str">
        <f t="shared" si="4"/>
        <v>CP</v>
      </c>
      <c r="AD194" t="str">
        <f>_xlfn.XLOOKUP(C194,Mapping!A:A,Mapping!D:D,0,0)</f>
        <v>Bin</v>
      </c>
      <c r="AE194" t="str">
        <f t="shared" si="5"/>
        <v>OLD</v>
      </c>
    </row>
    <row r="195" spans="1:31" x14ac:dyDescent="0.2">
      <c r="A195" t="s">
        <v>39</v>
      </c>
      <c r="B195">
        <v>1011884752</v>
      </c>
      <c r="C195" t="s">
        <v>248</v>
      </c>
      <c r="D195" t="s">
        <v>31</v>
      </c>
      <c r="E195" s="1">
        <v>0.67291666666666672</v>
      </c>
      <c r="F195" t="s">
        <v>32</v>
      </c>
      <c r="G195" t="s">
        <v>33</v>
      </c>
      <c r="H195" t="s">
        <v>41</v>
      </c>
      <c r="I195" t="s">
        <v>124</v>
      </c>
      <c r="J195">
        <v>99</v>
      </c>
      <c r="K195">
        <v>0</v>
      </c>
      <c r="L195" t="s">
        <v>36</v>
      </c>
      <c r="M195" t="s">
        <v>37</v>
      </c>
      <c r="N195">
        <v>0</v>
      </c>
      <c r="O195">
        <v>0</v>
      </c>
      <c r="P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 t="s">
        <v>36</v>
      </c>
      <c r="AB195" t="s">
        <v>43</v>
      </c>
      <c r="AC195" t="str">
        <f t="shared" ref="AC195:AC258" si="6">LEFT(C195,2)</f>
        <v>CP</v>
      </c>
      <c r="AD195" t="str">
        <f>_xlfn.XLOOKUP(C195,Mapping!A:A,Mapping!D:D,0,0)</f>
        <v>Bin</v>
      </c>
      <c r="AE195" t="str">
        <f t="shared" ref="AE195:AE258" si="7">IFERROR(IF(SEARCH("_TJ",C195)&gt;0,"TJ",NA()),IFERROR(IF(SEARCH("_JB",C195)&gt;0,"JB",NA()),"OLD"))</f>
        <v>OLD</v>
      </c>
    </row>
    <row r="196" spans="1:31" x14ac:dyDescent="0.2">
      <c r="A196" t="s">
        <v>39</v>
      </c>
      <c r="B196">
        <v>1012374472</v>
      </c>
      <c r="C196" t="s">
        <v>249</v>
      </c>
      <c r="D196" t="s">
        <v>31</v>
      </c>
      <c r="E196" s="1">
        <v>0.67291666666666672</v>
      </c>
      <c r="F196" t="s">
        <v>32</v>
      </c>
      <c r="G196" t="s">
        <v>33</v>
      </c>
      <c r="H196" t="s">
        <v>41</v>
      </c>
      <c r="I196" t="s">
        <v>84</v>
      </c>
      <c r="J196">
        <v>330</v>
      </c>
      <c r="K196">
        <v>0</v>
      </c>
      <c r="L196" t="s">
        <v>63</v>
      </c>
      <c r="M196">
        <v>250</v>
      </c>
      <c r="N196">
        <v>0</v>
      </c>
      <c r="O196">
        <v>0</v>
      </c>
      <c r="P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 t="s">
        <v>36</v>
      </c>
      <c r="AB196" t="s">
        <v>43</v>
      </c>
      <c r="AC196" t="str">
        <f t="shared" si="6"/>
        <v>CP</v>
      </c>
      <c r="AD196" t="str">
        <f>_xlfn.XLOOKUP(C196,Mapping!A:A,Mapping!D:D,0,0)</f>
        <v>Bin</v>
      </c>
      <c r="AE196" t="str">
        <f t="shared" si="7"/>
        <v>OLD</v>
      </c>
    </row>
    <row r="197" spans="1:31" x14ac:dyDescent="0.2">
      <c r="A197" t="s">
        <v>39</v>
      </c>
      <c r="B197">
        <v>1012374482</v>
      </c>
      <c r="C197" t="s">
        <v>250</v>
      </c>
      <c r="D197" t="s">
        <v>31</v>
      </c>
      <c r="E197" s="1">
        <v>0.67291666666666672</v>
      </c>
      <c r="F197" t="s">
        <v>32</v>
      </c>
      <c r="G197" t="s">
        <v>33</v>
      </c>
      <c r="H197" t="s">
        <v>41</v>
      </c>
      <c r="I197" t="s">
        <v>84</v>
      </c>
      <c r="J197">
        <v>330</v>
      </c>
      <c r="K197">
        <v>0</v>
      </c>
      <c r="L197" t="s">
        <v>63</v>
      </c>
      <c r="M197">
        <v>250</v>
      </c>
      <c r="N197">
        <v>0</v>
      </c>
      <c r="O197">
        <v>0</v>
      </c>
      <c r="P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 t="s">
        <v>36</v>
      </c>
      <c r="AB197" t="s">
        <v>43</v>
      </c>
      <c r="AC197" t="str">
        <f t="shared" si="6"/>
        <v>CP</v>
      </c>
      <c r="AD197" t="str">
        <f>_xlfn.XLOOKUP(C197,Mapping!A:A,Mapping!D:D,0,0)</f>
        <v>Bin</v>
      </c>
      <c r="AE197" t="str">
        <f t="shared" si="7"/>
        <v>OLD</v>
      </c>
    </row>
    <row r="198" spans="1:31" x14ac:dyDescent="0.2">
      <c r="A198" t="s">
        <v>39</v>
      </c>
      <c r="B198">
        <v>1012374492</v>
      </c>
      <c r="C198" t="s">
        <v>251</v>
      </c>
      <c r="D198" t="s">
        <v>31</v>
      </c>
      <c r="E198" s="1">
        <v>0.67291666666666672</v>
      </c>
      <c r="F198" t="s">
        <v>32</v>
      </c>
      <c r="G198" t="s">
        <v>33</v>
      </c>
      <c r="H198" t="s">
        <v>41</v>
      </c>
      <c r="I198" t="s">
        <v>84</v>
      </c>
      <c r="J198">
        <v>330</v>
      </c>
      <c r="K198">
        <v>0</v>
      </c>
      <c r="L198" t="s">
        <v>63</v>
      </c>
      <c r="M198">
        <v>250</v>
      </c>
      <c r="N198">
        <v>0</v>
      </c>
      <c r="O198">
        <v>0</v>
      </c>
      <c r="P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 t="s">
        <v>36</v>
      </c>
      <c r="AB198" t="s">
        <v>43</v>
      </c>
      <c r="AC198" t="str">
        <f t="shared" si="6"/>
        <v>CP</v>
      </c>
      <c r="AD198" t="str">
        <f>_xlfn.XLOOKUP(C198,Mapping!A:A,Mapping!D:D,0,0)</f>
        <v>Bin</v>
      </c>
      <c r="AE198" t="str">
        <f t="shared" si="7"/>
        <v>OLD</v>
      </c>
    </row>
    <row r="199" spans="1:31" x14ac:dyDescent="0.2">
      <c r="A199" t="s">
        <v>39</v>
      </c>
      <c r="B199">
        <v>1012374502</v>
      </c>
      <c r="C199" t="s">
        <v>252</v>
      </c>
      <c r="D199" t="s">
        <v>31</v>
      </c>
      <c r="E199" s="1">
        <v>0.67291666666666672</v>
      </c>
      <c r="F199" t="s">
        <v>32</v>
      </c>
      <c r="G199" t="s">
        <v>33</v>
      </c>
      <c r="H199" t="s">
        <v>41</v>
      </c>
      <c r="I199" t="s">
        <v>84</v>
      </c>
      <c r="J199">
        <v>330</v>
      </c>
      <c r="K199">
        <v>0</v>
      </c>
      <c r="L199" t="s">
        <v>63</v>
      </c>
      <c r="M199">
        <v>250</v>
      </c>
      <c r="N199">
        <v>0</v>
      </c>
      <c r="O199">
        <v>0</v>
      </c>
      <c r="P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 t="s">
        <v>36</v>
      </c>
      <c r="AB199" t="s">
        <v>43</v>
      </c>
      <c r="AC199" t="str">
        <f t="shared" si="6"/>
        <v>CP</v>
      </c>
      <c r="AD199" t="str">
        <f>_xlfn.XLOOKUP(C199,Mapping!A:A,Mapping!D:D,0,0)</f>
        <v>Bin</v>
      </c>
      <c r="AE199" t="str">
        <f t="shared" si="7"/>
        <v>OLD</v>
      </c>
    </row>
    <row r="200" spans="1:31" x14ac:dyDescent="0.2">
      <c r="A200" t="s">
        <v>39</v>
      </c>
      <c r="B200">
        <v>1012374512</v>
      </c>
      <c r="C200" t="s">
        <v>253</v>
      </c>
      <c r="D200" t="s">
        <v>31</v>
      </c>
      <c r="E200" s="1">
        <v>0.67291666666666672</v>
      </c>
      <c r="F200" t="s">
        <v>32</v>
      </c>
      <c r="G200" t="s">
        <v>33</v>
      </c>
      <c r="H200" t="s">
        <v>41</v>
      </c>
      <c r="I200" t="s">
        <v>84</v>
      </c>
      <c r="J200">
        <v>330</v>
      </c>
      <c r="K200">
        <v>0</v>
      </c>
      <c r="L200" t="s">
        <v>63</v>
      </c>
      <c r="M200">
        <v>150</v>
      </c>
      <c r="N200">
        <v>0</v>
      </c>
      <c r="O200">
        <v>0</v>
      </c>
      <c r="P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 t="s">
        <v>36</v>
      </c>
      <c r="AB200" t="s">
        <v>43</v>
      </c>
      <c r="AC200" t="str">
        <f t="shared" si="6"/>
        <v>CP</v>
      </c>
      <c r="AD200" t="str">
        <f>_xlfn.XLOOKUP(C200,Mapping!A:A,Mapping!D:D,0,0)</f>
        <v>Bin</v>
      </c>
      <c r="AE200" t="str">
        <f t="shared" si="7"/>
        <v>OLD</v>
      </c>
    </row>
    <row r="201" spans="1:31" x14ac:dyDescent="0.2">
      <c r="A201" t="s">
        <v>39</v>
      </c>
      <c r="B201">
        <v>1012374522</v>
      </c>
      <c r="C201" t="s">
        <v>254</v>
      </c>
      <c r="D201" t="s">
        <v>31</v>
      </c>
      <c r="E201" s="1">
        <v>0.67291666666666672</v>
      </c>
      <c r="F201" t="s">
        <v>32</v>
      </c>
      <c r="G201" t="s">
        <v>33</v>
      </c>
      <c r="H201" t="s">
        <v>41</v>
      </c>
      <c r="I201" t="s">
        <v>255</v>
      </c>
      <c r="J201">
        <v>33</v>
      </c>
      <c r="K201">
        <v>0</v>
      </c>
      <c r="L201" t="s">
        <v>36</v>
      </c>
      <c r="M201" t="s">
        <v>37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1.893</v>
      </c>
      <c r="T201">
        <v>0</v>
      </c>
      <c r="U201">
        <v>0</v>
      </c>
      <c r="V201">
        <v>1</v>
      </c>
      <c r="W201">
        <v>0</v>
      </c>
      <c r="X201" t="s">
        <v>36</v>
      </c>
      <c r="Y201">
        <v>1</v>
      </c>
      <c r="Z201">
        <v>1</v>
      </c>
      <c r="AA201">
        <v>0</v>
      </c>
      <c r="AB201" t="s">
        <v>43</v>
      </c>
      <c r="AC201" t="str">
        <f t="shared" si="6"/>
        <v>CP</v>
      </c>
      <c r="AD201" t="str">
        <f>_xlfn.XLOOKUP(C201,Mapping!A:A,Mapping!D:D,0,0)</f>
        <v>Bin</v>
      </c>
      <c r="AE201" t="str">
        <f t="shared" si="7"/>
        <v>OLD</v>
      </c>
    </row>
    <row r="202" spans="1:31" x14ac:dyDescent="0.2">
      <c r="A202" t="s">
        <v>39</v>
      </c>
      <c r="B202">
        <v>1012702572</v>
      </c>
      <c r="C202" t="s">
        <v>256</v>
      </c>
      <c r="D202" t="s">
        <v>31</v>
      </c>
      <c r="E202" s="1">
        <v>0.67291666666666672</v>
      </c>
      <c r="F202" t="s">
        <v>32</v>
      </c>
      <c r="G202" t="s">
        <v>33</v>
      </c>
      <c r="H202" t="s">
        <v>41</v>
      </c>
      <c r="I202" t="s">
        <v>62</v>
      </c>
      <c r="J202">
        <v>280</v>
      </c>
      <c r="K202">
        <v>0</v>
      </c>
      <c r="L202" t="s">
        <v>36</v>
      </c>
      <c r="M202" t="s">
        <v>37</v>
      </c>
      <c r="N202">
        <v>0</v>
      </c>
      <c r="O202">
        <v>0</v>
      </c>
      <c r="P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 t="s">
        <v>36</v>
      </c>
      <c r="AB202" t="s">
        <v>43</v>
      </c>
      <c r="AC202" t="str">
        <f t="shared" si="6"/>
        <v>CP</v>
      </c>
      <c r="AD202" t="str">
        <f>_xlfn.XLOOKUP(C202,Mapping!A:A,Mapping!D:D,0,0)</f>
        <v>Bin</v>
      </c>
      <c r="AE202" t="str">
        <f t="shared" si="7"/>
        <v>OLD</v>
      </c>
    </row>
    <row r="203" spans="1:31" x14ac:dyDescent="0.2">
      <c r="A203" t="s">
        <v>39</v>
      </c>
      <c r="B203">
        <v>1012702582</v>
      </c>
      <c r="C203" t="s">
        <v>257</v>
      </c>
      <c r="D203" t="s">
        <v>31</v>
      </c>
      <c r="E203" s="1">
        <v>0.67291666666666672</v>
      </c>
      <c r="F203" t="s">
        <v>32</v>
      </c>
      <c r="G203" t="s">
        <v>33</v>
      </c>
      <c r="H203" t="s">
        <v>34</v>
      </c>
      <c r="I203" t="s">
        <v>84</v>
      </c>
      <c r="J203">
        <v>212</v>
      </c>
      <c r="K203">
        <v>0</v>
      </c>
      <c r="L203" t="s">
        <v>36</v>
      </c>
      <c r="M203" t="s">
        <v>37</v>
      </c>
      <c r="N203">
        <v>0</v>
      </c>
      <c r="O203">
        <v>0</v>
      </c>
      <c r="P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 t="s">
        <v>36</v>
      </c>
      <c r="AB203" t="s">
        <v>43</v>
      </c>
      <c r="AC203" t="str">
        <f t="shared" si="6"/>
        <v>CP</v>
      </c>
      <c r="AD203" t="str">
        <f>_xlfn.XLOOKUP(C203,Mapping!A:A,Mapping!D:D,0,0)</f>
        <v>Bin</v>
      </c>
      <c r="AE203" t="str">
        <f t="shared" si="7"/>
        <v>OLD</v>
      </c>
    </row>
    <row r="204" spans="1:31" x14ac:dyDescent="0.2">
      <c r="A204" t="s">
        <v>39</v>
      </c>
      <c r="B204">
        <v>1012702602</v>
      </c>
      <c r="C204" t="s">
        <v>258</v>
      </c>
      <c r="D204" t="s">
        <v>31</v>
      </c>
      <c r="E204" s="1">
        <v>0.67291666666666672</v>
      </c>
      <c r="F204" t="s">
        <v>32</v>
      </c>
      <c r="G204" t="s">
        <v>33</v>
      </c>
      <c r="H204" t="s">
        <v>41</v>
      </c>
      <c r="I204" t="s">
        <v>62</v>
      </c>
      <c r="J204">
        <v>530</v>
      </c>
      <c r="K204">
        <v>0</v>
      </c>
      <c r="L204" t="s">
        <v>36</v>
      </c>
      <c r="M204" t="s">
        <v>37</v>
      </c>
      <c r="N204">
        <v>0</v>
      </c>
      <c r="O204">
        <v>0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 t="s">
        <v>36</v>
      </c>
      <c r="AB204" t="s">
        <v>43</v>
      </c>
      <c r="AC204" t="str">
        <f t="shared" si="6"/>
        <v>CP</v>
      </c>
      <c r="AD204" t="str">
        <f>_xlfn.XLOOKUP(C204,Mapping!A:A,Mapping!D:D,0,0)</f>
        <v>Bin</v>
      </c>
      <c r="AE204" t="str">
        <f t="shared" si="7"/>
        <v>OLD</v>
      </c>
    </row>
    <row r="205" spans="1:31" x14ac:dyDescent="0.2">
      <c r="A205" t="s">
        <v>39</v>
      </c>
      <c r="B205">
        <v>1012702612</v>
      </c>
      <c r="C205" t="s">
        <v>259</v>
      </c>
      <c r="D205" t="s">
        <v>31</v>
      </c>
      <c r="E205" s="1">
        <v>0.67291666666666672</v>
      </c>
      <c r="F205" t="s">
        <v>32</v>
      </c>
      <c r="G205" t="s">
        <v>33</v>
      </c>
      <c r="H205" t="s">
        <v>41</v>
      </c>
      <c r="I205" t="s">
        <v>62</v>
      </c>
      <c r="J205">
        <v>530</v>
      </c>
      <c r="K205">
        <v>0</v>
      </c>
      <c r="L205" t="s">
        <v>36</v>
      </c>
      <c r="M205" t="s">
        <v>37</v>
      </c>
      <c r="N205">
        <v>0</v>
      </c>
      <c r="O205">
        <v>0</v>
      </c>
      <c r="P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 t="s">
        <v>36</v>
      </c>
      <c r="AB205" t="s">
        <v>43</v>
      </c>
      <c r="AC205" t="str">
        <f t="shared" si="6"/>
        <v>CP</v>
      </c>
      <c r="AD205" t="str">
        <f>_xlfn.XLOOKUP(C205,Mapping!A:A,Mapping!D:D,0,0)</f>
        <v>Bin</v>
      </c>
      <c r="AE205" t="str">
        <f t="shared" si="7"/>
        <v>OLD</v>
      </c>
    </row>
    <row r="206" spans="1:31" x14ac:dyDescent="0.2">
      <c r="A206" t="s">
        <v>39</v>
      </c>
      <c r="B206">
        <v>1012702622</v>
      </c>
      <c r="C206" t="s">
        <v>260</v>
      </c>
      <c r="D206" t="s">
        <v>31</v>
      </c>
      <c r="E206" s="1">
        <v>0.67291666666666672</v>
      </c>
      <c r="F206" t="s">
        <v>32</v>
      </c>
      <c r="G206" t="s">
        <v>33</v>
      </c>
      <c r="H206" t="s">
        <v>34</v>
      </c>
      <c r="I206" t="s">
        <v>84</v>
      </c>
      <c r="J206">
        <v>212</v>
      </c>
      <c r="K206">
        <v>0</v>
      </c>
      <c r="L206" t="s">
        <v>36</v>
      </c>
      <c r="M206" t="s">
        <v>37</v>
      </c>
      <c r="N206">
        <v>0</v>
      </c>
      <c r="O206">
        <v>0</v>
      </c>
      <c r="P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 t="s">
        <v>36</v>
      </c>
      <c r="AB206" t="s">
        <v>43</v>
      </c>
      <c r="AC206" t="str">
        <f t="shared" si="6"/>
        <v>CP</v>
      </c>
      <c r="AD206" t="str">
        <f>_xlfn.XLOOKUP(C206,Mapping!A:A,Mapping!D:D,0,0)</f>
        <v>Bin</v>
      </c>
      <c r="AE206" t="str">
        <f t="shared" si="7"/>
        <v>OLD</v>
      </c>
    </row>
    <row r="207" spans="1:31" x14ac:dyDescent="0.2">
      <c r="A207" t="s">
        <v>39</v>
      </c>
      <c r="B207">
        <v>1012702632</v>
      </c>
      <c r="C207" t="s">
        <v>261</v>
      </c>
      <c r="D207" t="s">
        <v>31</v>
      </c>
      <c r="E207" s="1">
        <v>0.67291666666666672</v>
      </c>
      <c r="F207" t="s">
        <v>32</v>
      </c>
      <c r="G207" t="s">
        <v>33</v>
      </c>
      <c r="H207" t="s">
        <v>41</v>
      </c>
      <c r="I207" t="s">
        <v>62</v>
      </c>
      <c r="J207">
        <v>530</v>
      </c>
      <c r="K207">
        <v>0</v>
      </c>
      <c r="L207" t="s">
        <v>36</v>
      </c>
      <c r="M207" t="s">
        <v>37</v>
      </c>
      <c r="N207">
        <v>0</v>
      </c>
      <c r="O207">
        <v>0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 t="s">
        <v>36</v>
      </c>
      <c r="AB207" t="s">
        <v>43</v>
      </c>
      <c r="AC207" t="str">
        <f t="shared" si="6"/>
        <v>CP</v>
      </c>
      <c r="AD207" t="str">
        <f>_xlfn.XLOOKUP(C207,Mapping!A:A,Mapping!D:D,0,0)</f>
        <v>Bin</v>
      </c>
      <c r="AE207" t="str">
        <f t="shared" si="7"/>
        <v>OLD</v>
      </c>
    </row>
    <row r="208" spans="1:31" x14ac:dyDescent="0.2">
      <c r="A208" t="s">
        <v>39</v>
      </c>
      <c r="B208">
        <v>1012702652</v>
      </c>
      <c r="C208" t="s">
        <v>262</v>
      </c>
      <c r="D208" t="s">
        <v>31</v>
      </c>
      <c r="E208" s="1">
        <v>0.67291666666666672</v>
      </c>
      <c r="F208" t="s">
        <v>32</v>
      </c>
      <c r="G208" t="s">
        <v>33</v>
      </c>
      <c r="H208" t="s">
        <v>41</v>
      </c>
      <c r="I208" t="s">
        <v>62</v>
      </c>
      <c r="J208">
        <v>530</v>
      </c>
      <c r="K208">
        <v>0</v>
      </c>
      <c r="L208" t="s">
        <v>36</v>
      </c>
      <c r="M208" t="s">
        <v>37</v>
      </c>
      <c r="N208">
        <v>0</v>
      </c>
      <c r="O208">
        <v>0</v>
      </c>
      <c r="P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 t="s">
        <v>36</v>
      </c>
      <c r="AB208" t="s">
        <v>43</v>
      </c>
      <c r="AC208" t="str">
        <f t="shared" si="6"/>
        <v>CP</v>
      </c>
      <c r="AD208" t="str">
        <f>_xlfn.XLOOKUP(C208,Mapping!A:A,Mapping!D:D,0,0)</f>
        <v>Bin</v>
      </c>
      <c r="AE208" t="str">
        <f t="shared" si="7"/>
        <v>OLD</v>
      </c>
    </row>
    <row r="209" spans="1:31" x14ac:dyDescent="0.2">
      <c r="A209" t="s">
        <v>39</v>
      </c>
      <c r="B209">
        <v>1012702662</v>
      </c>
      <c r="C209" t="s">
        <v>263</v>
      </c>
      <c r="D209" t="s">
        <v>31</v>
      </c>
      <c r="E209" s="1">
        <v>0.67291666666666672</v>
      </c>
      <c r="F209" t="s">
        <v>32</v>
      </c>
      <c r="G209" t="s">
        <v>33</v>
      </c>
      <c r="H209" t="s">
        <v>34</v>
      </c>
      <c r="I209" t="s">
        <v>84</v>
      </c>
      <c r="J209">
        <v>404</v>
      </c>
      <c r="K209">
        <v>0</v>
      </c>
      <c r="L209" t="s">
        <v>36</v>
      </c>
      <c r="M209" t="s">
        <v>37</v>
      </c>
      <c r="N209">
        <v>0</v>
      </c>
      <c r="O209">
        <v>0</v>
      </c>
      <c r="P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 t="s">
        <v>36</v>
      </c>
      <c r="AB209" t="s">
        <v>43</v>
      </c>
      <c r="AC209" t="str">
        <f t="shared" si="6"/>
        <v>CP</v>
      </c>
      <c r="AD209" t="str">
        <f>_xlfn.XLOOKUP(C209,Mapping!A:A,Mapping!D:D,0,0)</f>
        <v>Bin</v>
      </c>
      <c r="AE209" t="str">
        <f t="shared" si="7"/>
        <v>OLD</v>
      </c>
    </row>
    <row r="210" spans="1:31" x14ac:dyDescent="0.2">
      <c r="A210" t="s">
        <v>39</v>
      </c>
      <c r="B210">
        <v>1012702672</v>
      </c>
      <c r="C210" t="s">
        <v>264</v>
      </c>
      <c r="D210" t="s">
        <v>31</v>
      </c>
      <c r="E210" s="1">
        <v>0.67291666666666672</v>
      </c>
      <c r="F210" t="s">
        <v>32</v>
      </c>
      <c r="G210" t="s">
        <v>33</v>
      </c>
      <c r="H210" t="s">
        <v>41</v>
      </c>
      <c r="I210" t="s">
        <v>62</v>
      </c>
      <c r="J210">
        <v>280</v>
      </c>
      <c r="K210">
        <v>0</v>
      </c>
      <c r="L210" t="s">
        <v>36</v>
      </c>
      <c r="M210" t="s">
        <v>37</v>
      </c>
      <c r="N210">
        <v>0</v>
      </c>
      <c r="O210">
        <v>0</v>
      </c>
      <c r="P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 t="s">
        <v>36</v>
      </c>
      <c r="AB210" t="s">
        <v>43</v>
      </c>
      <c r="AC210" t="str">
        <f t="shared" si="6"/>
        <v>CP</v>
      </c>
      <c r="AD210" t="str">
        <f>_xlfn.XLOOKUP(C210,Mapping!A:A,Mapping!D:D,0,0)</f>
        <v>Bin</v>
      </c>
      <c r="AE210" t="str">
        <f t="shared" si="7"/>
        <v>OLD</v>
      </c>
    </row>
    <row r="211" spans="1:31" x14ac:dyDescent="0.2">
      <c r="A211" t="s">
        <v>39</v>
      </c>
      <c r="B211">
        <v>1012702682</v>
      </c>
      <c r="C211" t="s">
        <v>265</v>
      </c>
      <c r="D211" t="s">
        <v>31</v>
      </c>
      <c r="E211" s="1">
        <v>0.67291666666666672</v>
      </c>
      <c r="F211" t="s">
        <v>32</v>
      </c>
      <c r="G211" t="s">
        <v>33</v>
      </c>
      <c r="H211" t="s">
        <v>41</v>
      </c>
      <c r="I211" t="s">
        <v>62</v>
      </c>
      <c r="J211">
        <v>530</v>
      </c>
      <c r="K211">
        <v>0</v>
      </c>
      <c r="L211" t="s">
        <v>36</v>
      </c>
      <c r="M211" t="s">
        <v>37</v>
      </c>
      <c r="N211">
        <v>0</v>
      </c>
      <c r="O211">
        <v>0</v>
      </c>
      <c r="P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 t="s">
        <v>36</v>
      </c>
      <c r="AB211" t="s">
        <v>43</v>
      </c>
      <c r="AC211" t="str">
        <f t="shared" si="6"/>
        <v>CP</v>
      </c>
      <c r="AD211" t="str">
        <f>_xlfn.XLOOKUP(C211,Mapping!A:A,Mapping!D:D,0,0)</f>
        <v>Bin</v>
      </c>
      <c r="AE211" t="str">
        <f t="shared" si="7"/>
        <v>OLD</v>
      </c>
    </row>
    <row r="212" spans="1:31" x14ac:dyDescent="0.2">
      <c r="A212" t="s">
        <v>39</v>
      </c>
      <c r="B212">
        <v>1012702702</v>
      </c>
      <c r="C212" t="s">
        <v>266</v>
      </c>
      <c r="D212" t="s">
        <v>31</v>
      </c>
      <c r="E212" s="1">
        <v>0.67291666666666672</v>
      </c>
      <c r="F212" t="s">
        <v>32</v>
      </c>
      <c r="G212" t="s">
        <v>33</v>
      </c>
      <c r="H212" t="s">
        <v>41</v>
      </c>
      <c r="I212" t="s">
        <v>62</v>
      </c>
      <c r="J212">
        <v>530</v>
      </c>
      <c r="K212">
        <v>0</v>
      </c>
      <c r="L212" t="s">
        <v>63</v>
      </c>
      <c r="M212">
        <v>150</v>
      </c>
      <c r="N212">
        <v>0</v>
      </c>
      <c r="O212">
        <v>0</v>
      </c>
      <c r="P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 t="s">
        <v>36</v>
      </c>
      <c r="AB212" t="s">
        <v>43</v>
      </c>
      <c r="AC212" t="str">
        <f t="shared" si="6"/>
        <v>CP</v>
      </c>
      <c r="AD212" t="str">
        <f>_xlfn.XLOOKUP(C212,Mapping!A:A,Mapping!D:D,0,0)</f>
        <v>Bin</v>
      </c>
      <c r="AE212" t="str">
        <f t="shared" si="7"/>
        <v>OLD</v>
      </c>
    </row>
    <row r="213" spans="1:31" x14ac:dyDescent="0.2">
      <c r="A213" t="s">
        <v>39</v>
      </c>
      <c r="B213">
        <v>1012702712</v>
      </c>
      <c r="C213" t="s">
        <v>267</v>
      </c>
      <c r="D213" t="s">
        <v>31</v>
      </c>
      <c r="E213" s="1">
        <v>0.67291666666666672</v>
      </c>
      <c r="F213" t="s">
        <v>32</v>
      </c>
      <c r="G213" t="s">
        <v>33</v>
      </c>
      <c r="H213" t="s">
        <v>34</v>
      </c>
      <c r="I213" t="s">
        <v>84</v>
      </c>
      <c r="J213">
        <v>212</v>
      </c>
      <c r="K213">
        <v>0</v>
      </c>
      <c r="L213" t="s">
        <v>36</v>
      </c>
      <c r="M213" t="s">
        <v>37</v>
      </c>
      <c r="N213">
        <v>0</v>
      </c>
      <c r="O213">
        <v>0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 t="s">
        <v>36</v>
      </c>
      <c r="AB213" t="s">
        <v>43</v>
      </c>
      <c r="AC213" t="str">
        <f t="shared" si="6"/>
        <v>CP</v>
      </c>
      <c r="AD213" t="str">
        <f>_xlfn.XLOOKUP(C213,Mapping!A:A,Mapping!D:D,0,0)</f>
        <v>Bin</v>
      </c>
      <c r="AE213" t="str">
        <f t="shared" si="7"/>
        <v>OLD</v>
      </c>
    </row>
    <row r="214" spans="1:31" x14ac:dyDescent="0.2">
      <c r="A214" t="s">
        <v>39</v>
      </c>
      <c r="B214">
        <v>1012702722</v>
      </c>
      <c r="C214" t="s">
        <v>268</v>
      </c>
      <c r="D214" t="s">
        <v>31</v>
      </c>
      <c r="E214" s="1">
        <v>0.67291666666666672</v>
      </c>
      <c r="F214" t="s">
        <v>32</v>
      </c>
      <c r="G214" t="s">
        <v>33</v>
      </c>
      <c r="H214" t="s">
        <v>41</v>
      </c>
      <c r="I214" t="s">
        <v>62</v>
      </c>
      <c r="J214">
        <v>530</v>
      </c>
      <c r="K214">
        <v>0</v>
      </c>
      <c r="L214" t="s">
        <v>63</v>
      </c>
      <c r="M214">
        <v>150</v>
      </c>
      <c r="N214">
        <v>0</v>
      </c>
      <c r="O214">
        <v>0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 t="s">
        <v>36</v>
      </c>
      <c r="AB214" t="s">
        <v>43</v>
      </c>
      <c r="AC214" t="str">
        <f t="shared" si="6"/>
        <v>CP</v>
      </c>
      <c r="AD214" t="str">
        <f>_xlfn.XLOOKUP(C214,Mapping!A:A,Mapping!D:D,0,0)</f>
        <v>Bin</v>
      </c>
      <c r="AE214" t="str">
        <f t="shared" si="7"/>
        <v>OLD</v>
      </c>
    </row>
    <row r="215" spans="1:31" x14ac:dyDescent="0.2">
      <c r="A215" t="s">
        <v>39</v>
      </c>
      <c r="B215">
        <v>1012702732</v>
      </c>
      <c r="C215" t="s">
        <v>269</v>
      </c>
      <c r="D215" t="s">
        <v>31</v>
      </c>
      <c r="E215" s="1">
        <v>0.67291666666666672</v>
      </c>
      <c r="F215" t="s">
        <v>32</v>
      </c>
      <c r="G215" t="s">
        <v>33</v>
      </c>
      <c r="H215" t="s">
        <v>41</v>
      </c>
      <c r="I215" t="s">
        <v>62</v>
      </c>
      <c r="J215">
        <v>1010</v>
      </c>
      <c r="K215">
        <v>0</v>
      </c>
      <c r="L215" t="s">
        <v>36</v>
      </c>
      <c r="M215" t="s">
        <v>37</v>
      </c>
      <c r="N215">
        <v>0</v>
      </c>
      <c r="O215">
        <v>0</v>
      </c>
      <c r="P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 t="s">
        <v>36</v>
      </c>
      <c r="AB215" t="s">
        <v>119</v>
      </c>
      <c r="AC215" t="str">
        <f t="shared" si="6"/>
        <v>CP</v>
      </c>
      <c r="AD215" t="str">
        <f>_xlfn.XLOOKUP(C215,Mapping!A:A,Mapping!D:D,0,0)</f>
        <v>Archive</v>
      </c>
      <c r="AE215" t="str">
        <f t="shared" si="7"/>
        <v>OLD</v>
      </c>
    </row>
    <row r="216" spans="1:31" x14ac:dyDescent="0.2">
      <c r="A216" t="s">
        <v>39</v>
      </c>
      <c r="B216">
        <v>1012702742</v>
      </c>
      <c r="C216" t="s">
        <v>270</v>
      </c>
      <c r="D216" t="s">
        <v>31</v>
      </c>
      <c r="E216" s="1">
        <v>0.67291666666666672</v>
      </c>
      <c r="F216" t="s">
        <v>32</v>
      </c>
      <c r="G216" t="s">
        <v>33</v>
      </c>
      <c r="H216" t="s">
        <v>34</v>
      </c>
      <c r="I216" t="s">
        <v>84</v>
      </c>
      <c r="J216">
        <v>356</v>
      </c>
      <c r="K216">
        <v>0</v>
      </c>
      <c r="L216" t="s">
        <v>36</v>
      </c>
      <c r="M216" t="s">
        <v>37</v>
      </c>
      <c r="N216">
        <v>0</v>
      </c>
      <c r="O216">
        <v>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 t="s">
        <v>36</v>
      </c>
      <c r="AB216" t="s">
        <v>43</v>
      </c>
      <c r="AC216" t="str">
        <f t="shared" si="6"/>
        <v>CP</v>
      </c>
      <c r="AD216" t="str">
        <f>_xlfn.XLOOKUP(C216,Mapping!A:A,Mapping!D:D,0,0)</f>
        <v>Bin</v>
      </c>
      <c r="AE216" t="str">
        <f t="shared" si="7"/>
        <v>OLD</v>
      </c>
    </row>
    <row r="217" spans="1:31" x14ac:dyDescent="0.2">
      <c r="A217" t="s">
        <v>39</v>
      </c>
      <c r="B217">
        <v>1012702752</v>
      </c>
      <c r="C217" t="s">
        <v>271</v>
      </c>
      <c r="D217" t="s">
        <v>31</v>
      </c>
      <c r="E217" s="1">
        <v>0.67291666666666672</v>
      </c>
      <c r="F217" t="s">
        <v>32</v>
      </c>
      <c r="G217" t="s">
        <v>33</v>
      </c>
      <c r="H217" t="s">
        <v>41</v>
      </c>
      <c r="I217" t="s">
        <v>62</v>
      </c>
      <c r="J217">
        <v>530</v>
      </c>
      <c r="K217">
        <v>0</v>
      </c>
      <c r="L217" t="s">
        <v>36</v>
      </c>
      <c r="M217" t="s">
        <v>37</v>
      </c>
      <c r="N217">
        <v>0</v>
      </c>
      <c r="O217">
        <v>0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 t="s">
        <v>36</v>
      </c>
      <c r="AB217" t="s">
        <v>43</v>
      </c>
      <c r="AC217" t="str">
        <f t="shared" si="6"/>
        <v>CP</v>
      </c>
      <c r="AD217" t="str">
        <f>_xlfn.XLOOKUP(C217,Mapping!A:A,Mapping!D:D,0,0)</f>
        <v>Bin</v>
      </c>
      <c r="AE217" t="str">
        <f t="shared" si="7"/>
        <v>OLD</v>
      </c>
    </row>
    <row r="218" spans="1:31" x14ac:dyDescent="0.2">
      <c r="A218" t="s">
        <v>39</v>
      </c>
      <c r="B218">
        <v>1012702762</v>
      </c>
      <c r="C218" t="s">
        <v>272</v>
      </c>
      <c r="D218" t="s">
        <v>31</v>
      </c>
      <c r="E218" s="1">
        <v>0.67291666666666672</v>
      </c>
      <c r="F218" t="s">
        <v>32</v>
      </c>
      <c r="G218" t="s">
        <v>33</v>
      </c>
      <c r="H218" t="s">
        <v>41</v>
      </c>
      <c r="I218" t="s">
        <v>62</v>
      </c>
      <c r="J218">
        <v>280</v>
      </c>
      <c r="K218">
        <v>0</v>
      </c>
      <c r="L218" t="s">
        <v>36</v>
      </c>
      <c r="M218" t="s">
        <v>37</v>
      </c>
      <c r="N218">
        <v>0</v>
      </c>
      <c r="O218">
        <v>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 t="s">
        <v>36</v>
      </c>
      <c r="AB218" t="s">
        <v>43</v>
      </c>
      <c r="AC218" t="str">
        <f t="shared" si="6"/>
        <v>CP</v>
      </c>
      <c r="AD218" t="str">
        <f>_xlfn.XLOOKUP(C218,Mapping!A:A,Mapping!D:D,0,0)</f>
        <v>Bin</v>
      </c>
      <c r="AE218" t="str">
        <f t="shared" si="7"/>
        <v>OLD</v>
      </c>
    </row>
    <row r="219" spans="1:31" x14ac:dyDescent="0.2">
      <c r="A219" t="s">
        <v>39</v>
      </c>
      <c r="B219">
        <v>1012702772</v>
      </c>
      <c r="C219" t="s">
        <v>273</v>
      </c>
      <c r="D219" t="s">
        <v>31</v>
      </c>
      <c r="E219" s="1">
        <v>0.67291666666666672</v>
      </c>
      <c r="F219" t="s">
        <v>32</v>
      </c>
      <c r="G219" t="s">
        <v>33</v>
      </c>
      <c r="H219" t="s">
        <v>34</v>
      </c>
      <c r="I219" t="s">
        <v>84</v>
      </c>
      <c r="J219">
        <v>356</v>
      </c>
      <c r="K219">
        <v>0</v>
      </c>
      <c r="L219" t="s">
        <v>36</v>
      </c>
      <c r="M219" t="s">
        <v>37</v>
      </c>
      <c r="N219">
        <v>0</v>
      </c>
      <c r="O219">
        <v>0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 t="s">
        <v>36</v>
      </c>
      <c r="AB219" t="s">
        <v>43</v>
      </c>
      <c r="AC219" t="str">
        <f t="shared" si="6"/>
        <v>CP</v>
      </c>
      <c r="AD219" t="str">
        <f>_xlfn.XLOOKUP(C219,Mapping!A:A,Mapping!D:D,0,0)</f>
        <v>Bin</v>
      </c>
      <c r="AE219" t="str">
        <f t="shared" si="7"/>
        <v>OLD</v>
      </c>
    </row>
    <row r="220" spans="1:31" x14ac:dyDescent="0.2">
      <c r="A220" t="s">
        <v>39</v>
      </c>
      <c r="B220">
        <v>1012702792</v>
      </c>
      <c r="C220" t="s">
        <v>274</v>
      </c>
      <c r="D220" t="s">
        <v>31</v>
      </c>
      <c r="E220" s="1">
        <v>0.67291666666666672</v>
      </c>
      <c r="F220" t="s">
        <v>32</v>
      </c>
      <c r="G220" t="s">
        <v>33</v>
      </c>
      <c r="H220" t="s">
        <v>41</v>
      </c>
      <c r="I220" t="s">
        <v>62</v>
      </c>
      <c r="J220">
        <v>530</v>
      </c>
      <c r="K220">
        <v>0</v>
      </c>
      <c r="L220" t="s">
        <v>36</v>
      </c>
      <c r="M220" t="s">
        <v>37</v>
      </c>
      <c r="N220">
        <v>0</v>
      </c>
      <c r="O220">
        <v>0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 t="s">
        <v>36</v>
      </c>
      <c r="AB220" t="s">
        <v>43</v>
      </c>
      <c r="AC220" t="str">
        <f t="shared" si="6"/>
        <v>CP</v>
      </c>
      <c r="AD220" t="str">
        <f>_xlfn.XLOOKUP(C220,Mapping!A:A,Mapping!D:D,0,0)</f>
        <v>Bin</v>
      </c>
      <c r="AE220" t="str">
        <f t="shared" si="7"/>
        <v>OLD</v>
      </c>
    </row>
    <row r="221" spans="1:31" x14ac:dyDescent="0.2">
      <c r="A221" t="s">
        <v>39</v>
      </c>
      <c r="B221">
        <v>1012702802</v>
      </c>
      <c r="C221" t="s">
        <v>275</v>
      </c>
      <c r="D221" t="s">
        <v>31</v>
      </c>
      <c r="E221" s="1">
        <v>0.67291666666666672</v>
      </c>
      <c r="F221" t="s">
        <v>32</v>
      </c>
      <c r="G221" t="s">
        <v>33</v>
      </c>
      <c r="H221" t="s">
        <v>34</v>
      </c>
      <c r="I221" t="s">
        <v>84</v>
      </c>
      <c r="J221">
        <v>356</v>
      </c>
      <c r="K221">
        <v>0</v>
      </c>
      <c r="L221" t="s">
        <v>36</v>
      </c>
      <c r="M221" t="s">
        <v>37</v>
      </c>
      <c r="N221">
        <v>0</v>
      </c>
      <c r="O221">
        <v>0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 t="s">
        <v>36</v>
      </c>
      <c r="AB221" t="s">
        <v>43</v>
      </c>
      <c r="AC221" t="str">
        <f t="shared" si="6"/>
        <v>CP</v>
      </c>
      <c r="AD221" t="str">
        <f>_xlfn.XLOOKUP(C221,Mapping!A:A,Mapping!D:D,0,0)</f>
        <v>Bin</v>
      </c>
      <c r="AE221" t="str">
        <f t="shared" si="7"/>
        <v>OLD</v>
      </c>
    </row>
    <row r="222" spans="1:31" x14ac:dyDescent="0.2">
      <c r="A222" t="s">
        <v>39</v>
      </c>
      <c r="B222">
        <v>1012702812</v>
      </c>
      <c r="C222" t="s">
        <v>276</v>
      </c>
      <c r="D222" t="s">
        <v>31</v>
      </c>
      <c r="E222" s="1">
        <v>0.67291666666666672</v>
      </c>
      <c r="F222" t="s">
        <v>32</v>
      </c>
      <c r="G222" t="s">
        <v>33</v>
      </c>
      <c r="H222" t="s">
        <v>41</v>
      </c>
      <c r="I222" t="s">
        <v>62</v>
      </c>
      <c r="J222">
        <v>530</v>
      </c>
      <c r="K222">
        <v>0</v>
      </c>
      <c r="L222" t="s">
        <v>36</v>
      </c>
      <c r="M222" t="s">
        <v>37</v>
      </c>
      <c r="N222">
        <v>0</v>
      </c>
      <c r="O222">
        <v>0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 t="s">
        <v>36</v>
      </c>
      <c r="AB222" t="s">
        <v>43</v>
      </c>
      <c r="AC222" t="str">
        <f t="shared" si="6"/>
        <v>CP</v>
      </c>
      <c r="AD222" t="str">
        <f>_xlfn.XLOOKUP(C222,Mapping!A:A,Mapping!D:D,0,0)</f>
        <v>Bin</v>
      </c>
      <c r="AE222" t="str">
        <f t="shared" si="7"/>
        <v>OLD</v>
      </c>
    </row>
    <row r="223" spans="1:31" x14ac:dyDescent="0.2">
      <c r="A223" t="s">
        <v>39</v>
      </c>
      <c r="B223">
        <v>1012702822</v>
      </c>
      <c r="C223" t="s">
        <v>277</v>
      </c>
      <c r="D223" t="s">
        <v>31</v>
      </c>
      <c r="E223" s="1">
        <v>0.67291666666666672</v>
      </c>
      <c r="F223" t="s">
        <v>32</v>
      </c>
      <c r="G223" t="s">
        <v>33</v>
      </c>
      <c r="H223" t="s">
        <v>41</v>
      </c>
      <c r="I223" t="s">
        <v>62</v>
      </c>
      <c r="J223">
        <v>530</v>
      </c>
      <c r="K223">
        <v>0</v>
      </c>
      <c r="L223" t="s">
        <v>36</v>
      </c>
      <c r="M223" t="s">
        <v>37</v>
      </c>
      <c r="N223">
        <v>0</v>
      </c>
      <c r="O223">
        <v>0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 t="s">
        <v>36</v>
      </c>
      <c r="AB223" t="s">
        <v>43</v>
      </c>
      <c r="AC223" t="str">
        <f t="shared" si="6"/>
        <v>CP</v>
      </c>
      <c r="AD223" t="str">
        <f>_xlfn.XLOOKUP(C223,Mapping!A:A,Mapping!D:D,0,0)</f>
        <v>Bin</v>
      </c>
      <c r="AE223" t="str">
        <f t="shared" si="7"/>
        <v>OLD</v>
      </c>
    </row>
    <row r="224" spans="1:31" x14ac:dyDescent="0.2">
      <c r="A224" t="s">
        <v>39</v>
      </c>
      <c r="B224">
        <v>1012702832</v>
      </c>
      <c r="C224" t="s">
        <v>278</v>
      </c>
      <c r="D224" t="s">
        <v>31</v>
      </c>
      <c r="E224" s="1">
        <v>0.67291666666666672</v>
      </c>
      <c r="F224" t="s">
        <v>32</v>
      </c>
      <c r="G224" t="s">
        <v>33</v>
      </c>
      <c r="H224" t="s">
        <v>34</v>
      </c>
      <c r="I224" t="s">
        <v>84</v>
      </c>
      <c r="J224">
        <v>356</v>
      </c>
      <c r="K224">
        <v>0</v>
      </c>
      <c r="L224" t="s">
        <v>63</v>
      </c>
      <c r="M224">
        <v>150</v>
      </c>
      <c r="N224">
        <v>0</v>
      </c>
      <c r="O224">
        <v>0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 t="s">
        <v>36</v>
      </c>
      <c r="AB224" t="s">
        <v>43</v>
      </c>
      <c r="AC224" t="str">
        <f t="shared" si="6"/>
        <v>CP</v>
      </c>
      <c r="AD224" t="str">
        <f>_xlfn.XLOOKUP(C224,Mapping!A:A,Mapping!D:D,0,0)</f>
        <v>Bin</v>
      </c>
      <c r="AE224" t="str">
        <f t="shared" si="7"/>
        <v>OLD</v>
      </c>
    </row>
    <row r="225" spans="1:31" x14ac:dyDescent="0.2">
      <c r="A225" t="s">
        <v>39</v>
      </c>
      <c r="B225">
        <v>1012702842</v>
      </c>
      <c r="C225" t="s">
        <v>279</v>
      </c>
      <c r="D225" t="s">
        <v>31</v>
      </c>
      <c r="E225" s="1">
        <v>0.67291666666666672</v>
      </c>
      <c r="F225" t="s">
        <v>32</v>
      </c>
      <c r="G225" t="s">
        <v>33</v>
      </c>
      <c r="H225" t="s">
        <v>41</v>
      </c>
      <c r="I225" t="s">
        <v>62</v>
      </c>
      <c r="J225">
        <v>280</v>
      </c>
      <c r="K225">
        <v>0</v>
      </c>
      <c r="L225" t="s">
        <v>36</v>
      </c>
      <c r="M225" t="s">
        <v>37</v>
      </c>
      <c r="N225">
        <v>0</v>
      </c>
      <c r="O225">
        <v>0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 t="s">
        <v>36</v>
      </c>
      <c r="AB225" t="s">
        <v>43</v>
      </c>
      <c r="AC225" t="str">
        <f t="shared" si="6"/>
        <v>CP</v>
      </c>
      <c r="AD225" t="str">
        <f>_xlfn.XLOOKUP(C225,Mapping!A:A,Mapping!D:D,0,0)</f>
        <v>Bin</v>
      </c>
      <c r="AE225" t="str">
        <f t="shared" si="7"/>
        <v>OLD</v>
      </c>
    </row>
    <row r="226" spans="1:31" x14ac:dyDescent="0.2">
      <c r="A226" t="s">
        <v>39</v>
      </c>
      <c r="B226">
        <v>1012702872</v>
      </c>
      <c r="C226" t="s">
        <v>280</v>
      </c>
      <c r="D226" t="s">
        <v>31</v>
      </c>
      <c r="E226" s="1">
        <v>0.67291666666666672</v>
      </c>
      <c r="F226" t="s">
        <v>32</v>
      </c>
      <c r="G226" t="s">
        <v>33</v>
      </c>
      <c r="H226" t="s">
        <v>41</v>
      </c>
      <c r="I226" t="s">
        <v>58</v>
      </c>
      <c r="J226">
        <v>40</v>
      </c>
      <c r="K226">
        <v>0</v>
      </c>
      <c r="L226" t="s">
        <v>36</v>
      </c>
      <c r="M226" t="s">
        <v>37</v>
      </c>
      <c r="N226">
        <v>0</v>
      </c>
      <c r="O226">
        <v>0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 t="s">
        <v>36</v>
      </c>
      <c r="AB226" t="s">
        <v>43</v>
      </c>
      <c r="AC226" t="str">
        <f t="shared" si="6"/>
        <v>CP</v>
      </c>
      <c r="AD226" t="str">
        <f>_xlfn.XLOOKUP(C226,Mapping!A:A,Mapping!D:D,0,0)</f>
        <v>Bin</v>
      </c>
      <c r="AE226" t="str">
        <f t="shared" si="7"/>
        <v>OLD</v>
      </c>
    </row>
    <row r="227" spans="1:31" x14ac:dyDescent="0.2">
      <c r="A227" t="s">
        <v>39</v>
      </c>
      <c r="B227">
        <v>1012703162</v>
      </c>
      <c r="C227" t="s">
        <v>281</v>
      </c>
      <c r="D227" t="s">
        <v>31</v>
      </c>
      <c r="E227" s="1">
        <v>0.67291666666666672</v>
      </c>
      <c r="F227" t="s">
        <v>32</v>
      </c>
      <c r="G227" t="s">
        <v>33</v>
      </c>
      <c r="H227" t="s">
        <v>41</v>
      </c>
      <c r="I227" t="s">
        <v>58</v>
      </c>
      <c r="J227">
        <v>40</v>
      </c>
      <c r="K227">
        <v>0</v>
      </c>
      <c r="L227" t="s">
        <v>36</v>
      </c>
      <c r="M227" t="s">
        <v>37</v>
      </c>
      <c r="N227">
        <v>0</v>
      </c>
      <c r="O227">
        <v>0</v>
      </c>
      <c r="P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 t="s">
        <v>36</v>
      </c>
      <c r="AB227" t="s">
        <v>43</v>
      </c>
      <c r="AC227" t="str">
        <f t="shared" si="6"/>
        <v>CP</v>
      </c>
      <c r="AD227" t="str">
        <f>_xlfn.XLOOKUP(C227,Mapping!A:A,Mapping!D:D,0,0)</f>
        <v>Bin</v>
      </c>
      <c r="AE227" t="str">
        <f t="shared" si="7"/>
        <v>OLD</v>
      </c>
    </row>
    <row r="228" spans="1:31" x14ac:dyDescent="0.2">
      <c r="A228" t="s">
        <v>39</v>
      </c>
      <c r="B228">
        <v>1012703182</v>
      </c>
      <c r="C228" t="s">
        <v>282</v>
      </c>
      <c r="D228" t="s">
        <v>31</v>
      </c>
      <c r="E228" s="1">
        <v>0.67291666666666672</v>
      </c>
      <c r="F228" t="s">
        <v>32</v>
      </c>
      <c r="G228" t="s">
        <v>33</v>
      </c>
      <c r="H228" t="s">
        <v>34</v>
      </c>
      <c r="I228" t="s">
        <v>124</v>
      </c>
      <c r="J228">
        <v>16</v>
      </c>
      <c r="K228">
        <v>0</v>
      </c>
      <c r="L228" t="s">
        <v>36</v>
      </c>
      <c r="M228" t="s">
        <v>37</v>
      </c>
      <c r="N228">
        <v>0</v>
      </c>
      <c r="O228">
        <v>0</v>
      </c>
      <c r="P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 t="s">
        <v>36</v>
      </c>
      <c r="AB228" t="s">
        <v>43</v>
      </c>
      <c r="AC228" t="str">
        <f t="shared" si="6"/>
        <v>CP</v>
      </c>
      <c r="AD228" t="str">
        <f>_xlfn.XLOOKUP(C228,Mapping!A:A,Mapping!D:D,0,0)</f>
        <v>Bin</v>
      </c>
      <c r="AE228" t="str">
        <f t="shared" si="7"/>
        <v>OLD</v>
      </c>
    </row>
    <row r="229" spans="1:31" x14ac:dyDescent="0.2">
      <c r="A229" t="s">
        <v>39</v>
      </c>
      <c r="B229">
        <v>1012703202</v>
      </c>
      <c r="C229" t="s">
        <v>283</v>
      </c>
      <c r="D229" t="s">
        <v>31</v>
      </c>
      <c r="E229" s="1">
        <v>0.67291666666666672</v>
      </c>
      <c r="F229" t="s">
        <v>32</v>
      </c>
      <c r="G229" t="s">
        <v>33</v>
      </c>
      <c r="H229" t="s">
        <v>41</v>
      </c>
      <c r="I229" t="s">
        <v>58</v>
      </c>
      <c r="J229">
        <v>40</v>
      </c>
      <c r="K229">
        <v>0</v>
      </c>
      <c r="L229" t="s">
        <v>36</v>
      </c>
      <c r="M229" t="s">
        <v>37</v>
      </c>
      <c r="N229">
        <v>0</v>
      </c>
      <c r="O229">
        <v>0</v>
      </c>
      <c r="P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 t="s">
        <v>36</v>
      </c>
      <c r="AB229" t="s">
        <v>43</v>
      </c>
      <c r="AC229" t="str">
        <f t="shared" si="6"/>
        <v>CP</v>
      </c>
      <c r="AD229" t="str">
        <f>_xlfn.XLOOKUP(C229,Mapping!A:A,Mapping!D:D,0,0)</f>
        <v>Bin</v>
      </c>
      <c r="AE229" t="str">
        <f t="shared" si="7"/>
        <v>OLD</v>
      </c>
    </row>
    <row r="230" spans="1:31" x14ac:dyDescent="0.2">
      <c r="A230" t="s">
        <v>39</v>
      </c>
      <c r="B230">
        <v>1012703212</v>
      </c>
      <c r="C230" t="s">
        <v>284</v>
      </c>
      <c r="D230" t="s">
        <v>31</v>
      </c>
      <c r="E230" s="1">
        <v>0.67291666666666672</v>
      </c>
      <c r="F230" t="s">
        <v>32</v>
      </c>
      <c r="G230" t="s">
        <v>33</v>
      </c>
      <c r="H230" t="s">
        <v>41</v>
      </c>
      <c r="I230" t="s">
        <v>58</v>
      </c>
      <c r="J230">
        <v>40</v>
      </c>
      <c r="K230">
        <v>0</v>
      </c>
      <c r="L230" t="s">
        <v>63</v>
      </c>
      <c r="M230">
        <v>150</v>
      </c>
      <c r="N230">
        <v>0</v>
      </c>
      <c r="O230">
        <v>0</v>
      </c>
      <c r="P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 t="s">
        <v>36</v>
      </c>
      <c r="AB230" t="s">
        <v>43</v>
      </c>
      <c r="AC230" t="str">
        <f t="shared" si="6"/>
        <v>CP</v>
      </c>
      <c r="AD230" t="str">
        <f>_xlfn.XLOOKUP(C230,Mapping!A:A,Mapping!D:D,0,0)</f>
        <v>Bin</v>
      </c>
      <c r="AE230" t="str">
        <f t="shared" si="7"/>
        <v>OLD</v>
      </c>
    </row>
    <row r="231" spans="1:31" x14ac:dyDescent="0.2">
      <c r="A231" t="s">
        <v>39</v>
      </c>
      <c r="B231">
        <v>1012703222</v>
      </c>
      <c r="C231" t="s">
        <v>285</v>
      </c>
      <c r="D231" t="s">
        <v>31</v>
      </c>
      <c r="E231" s="1">
        <v>0.67291666666666672</v>
      </c>
      <c r="F231" t="s">
        <v>32</v>
      </c>
      <c r="G231" t="s">
        <v>33</v>
      </c>
      <c r="H231" t="s">
        <v>34</v>
      </c>
      <c r="I231" t="s">
        <v>124</v>
      </c>
      <c r="J231">
        <v>16</v>
      </c>
      <c r="K231">
        <v>0</v>
      </c>
      <c r="L231" t="s">
        <v>36</v>
      </c>
      <c r="M231" t="s">
        <v>37</v>
      </c>
      <c r="N231">
        <v>0</v>
      </c>
      <c r="O231">
        <v>0</v>
      </c>
      <c r="P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 t="s">
        <v>36</v>
      </c>
      <c r="AB231" t="s">
        <v>43</v>
      </c>
      <c r="AC231" t="str">
        <f t="shared" si="6"/>
        <v>CP</v>
      </c>
      <c r="AD231" t="str">
        <f>_xlfn.XLOOKUP(C231,Mapping!A:A,Mapping!D:D,0,0)</f>
        <v>Bin</v>
      </c>
      <c r="AE231" t="str">
        <f t="shared" si="7"/>
        <v>OLD</v>
      </c>
    </row>
    <row r="232" spans="1:31" x14ac:dyDescent="0.2">
      <c r="A232" t="s">
        <v>39</v>
      </c>
      <c r="B232">
        <v>1012703242</v>
      </c>
      <c r="C232" t="s">
        <v>286</v>
      </c>
      <c r="D232" t="s">
        <v>31</v>
      </c>
      <c r="E232" s="1">
        <v>0.67291666666666672</v>
      </c>
      <c r="F232" t="s">
        <v>32</v>
      </c>
      <c r="G232" t="s">
        <v>33</v>
      </c>
      <c r="H232" t="s">
        <v>34</v>
      </c>
      <c r="I232" t="s">
        <v>124</v>
      </c>
      <c r="J232">
        <v>16</v>
      </c>
      <c r="K232">
        <v>0</v>
      </c>
      <c r="L232" t="s">
        <v>36</v>
      </c>
      <c r="M232" t="s">
        <v>37</v>
      </c>
      <c r="N232">
        <v>0</v>
      </c>
      <c r="O232">
        <v>0</v>
      </c>
      <c r="P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 t="s">
        <v>36</v>
      </c>
      <c r="AB232" t="s">
        <v>43</v>
      </c>
      <c r="AC232" t="str">
        <f t="shared" si="6"/>
        <v>CP</v>
      </c>
      <c r="AD232" t="str">
        <f>_xlfn.XLOOKUP(C232,Mapping!A:A,Mapping!D:D,0,0)</f>
        <v>Bin</v>
      </c>
      <c r="AE232" t="str">
        <f t="shared" si="7"/>
        <v>OLD</v>
      </c>
    </row>
    <row r="233" spans="1:31" x14ac:dyDescent="0.2">
      <c r="A233" t="s">
        <v>39</v>
      </c>
      <c r="B233">
        <v>1012703252</v>
      </c>
      <c r="C233" t="s">
        <v>287</v>
      </c>
      <c r="D233" t="s">
        <v>31</v>
      </c>
      <c r="E233" s="1">
        <v>0.67291666666666672</v>
      </c>
      <c r="F233" t="s">
        <v>32</v>
      </c>
      <c r="G233" t="s">
        <v>33</v>
      </c>
      <c r="H233" t="s">
        <v>41</v>
      </c>
      <c r="I233" t="s">
        <v>58</v>
      </c>
      <c r="J233">
        <v>40</v>
      </c>
      <c r="K233">
        <v>0</v>
      </c>
      <c r="L233" t="s">
        <v>36</v>
      </c>
      <c r="M233" t="s">
        <v>37</v>
      </c>
      <c r="N233">
        <v>0</v>
      </c>
      <c r="O233">
        <v>0</v>
      </c>
      <c r="P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 t="s">
        <v>36</v>
      </c>
      <c r="AB233" t="s">
        <v>43</v>
      </c>
      <c r="AC233" t="str">
        <f t="shared" si="6"/>
        <v>CP</v>
      </c>
      <c r="AD233" t="str">
        <f>_xlfn.XLOOKUP(C233,Mapping!A:A,Mapping!D:D,0,0)</f>
        <v>Bin</v>
      </c>
      <c r="AE233" t="str">
        <f t="shared" si="7"/>
        <v>OLD</v>
      </c>
    </row>
    <row r="234" spans="1:31" x14ac:dyDescent="0.2">
      <c r="A234" t="s">
        <v>39</v>
      </c>
      <c r="B234">
        <v>1012703262</v>
      </c>
      <c r="C234" t="s">
        <v>288</v>
      </c>
      <c r="D234" t="s">
        <v>31</v>
      </c>
      <c r="E234" s="1">
        <v>0.67291666666666672</v>
      </c>
      <c r="F234" t="s">
        <v>32</v>
      </c>
      <c r="G234" t="s">
        <v>33</v>
      </c>
      <c r="H234" t="s">
        <v>41</v>
      </c>
      <c r="I234" t="s">
        <v>58</v>
      </c>
      <c r="J234">
        <v>40</v>
      </c>
      <c r="K234">
        <v>0</v>
      </c>
      <c r="L234" t="s">
        <v>36</v>
      </c>
      <c r="M234" t="s">
        <v>37</v>
      </c>
      <c r="N234">
        <v>0</v>
      </c>
      <c r="O234">
        <v>0</v>
      </c>
      <c r="P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 t="s">
        <v>36</v>
      </c>
      <c r="AB234" t="s">
        <v>43</v>
      </c>
      <c r="AC234" t="str">
        <f t="shared" si="6"/>
        <v>CP</v>
      </c>
      <c r="AD234" t="str">
        <f>_xlfn.XLOOKUP(C234,Mapping!A:A,Mapping!D:D,0,0)</f>
        <v>Bin</v>
      </c>
      <c r="AE234" t="str">
        <f t="shared" si="7"/>
        <v>OLD</v>
      </c>
    </row>
    <row r="235" spans="1:31" x14ac:dyDescent="0.2">
      <c r="A235" t="s">
        <v>39</v>
      </c>
      <c r="B235">
        <v>1012703292</v>
      </c>
      <c r="C235" t="s">
        <v>289</v>
      </c>
      <c r="D235" t="s">
        <v>31</v>
      </c>
      <c r="E235" s="1">
        <v>0.67291666666666672</v>
      </c>
      <c r="F235" t="s">
        <v>32</v>
      </c>
      <c r="G235" t="s">
        <v>33</v>
      </c>
      <c r="H235" t="s">
        <v>41</v>
      </c>
      <c r="I235" t="s">
        <v>58</v>
      </c>
      <c r="J235">
        <v>40</v>
      </c>
      <c r="K235">
        <v>0</v>
      </c>
      <c r="L235" t="s">
        <v>36</v>
      </c>
      <c r="M235" t="s">
        <v>37</v>
      </c>
      <c r="N235">
        <v>0</v>
      </c>
      <c r="O235">
        <v>0</v>
      </c>
      <c r="P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 t="s">
        <v>36</v>
      </c>
      <c r="AB235" t="s">
        <v>43</v>
      </c>
      <c r="AC235" t="str">
        <f t="shared" si="6"/>
        <v>CP</v>
      </c>
      <c r="AD235" t="str">
        <f>_xlfn.XLOOKUP(C235,Mapping!A:A,Mapping!D:D,0,0)</f>
        <v>Bin</v>
      </c>
      <c r="AE235" t="str">
        <f t="shared" si="7"/>
        <v>OLD</v>
      </c>
    </row>
    <row r="236" spans="1:31" x14ac:dyDescent="0.2">
      <c r="A236" t="s">
        <v>39</v>
      </c>
      <c r="B236">
        <v>1012703302</v>
      </c>
      <c r="C236" t="s">
        <v>290</v>
      </c>
      <c r="D236" t="s">
        <v>31</v>
      </c>
      <c r="E236" s="1">
        <v>0.67291666666666672</v>
      </c>
      <c r="F236" t="s">
        <v>32</v>
      </c>
      <c r="G236" t="s">
        <v>33</v>
      </c>
      <c r="H236" t="s">
        <v>41</v>
      </c>
      <c r="I236" t="s">
        <v>58</v>
      </c>
      <c r="J236">
        <v>40</v>
      </c>
      <c r="K236">
        <v>0</v>
      </c>
      <c r="L236" t="s">
        <v>63</v>
      </c>
      <c r="M236">
        <v>150</v>
      </c>
      <c r="N236">
        <v>0</v>
      </c>
      <c r="O236">
        <v>0</v>
      </c>
      <c r="P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 t="s">
        <v>36</v>
      </c>
      <c r="AB236" t="s">
        <v>43</v>
      </c>
      <c r="AC236" t="str">
        <f t="shared" si="6"/>
        <v>CP</v>
      </c>
      <c r="AD236" t="str">
        <f>_xlfn.XLOOKUP(C236,Mapping!A:A,Mapping!D:D,0,0)</f>
        <v>Bin</v>
      </c>
      <c r="AE236" t="str">
        <f t="shared" si="7"/>
        <v>OLD</v>
      </c>
    </row>
    <row r="237" spans="1:31" x14ac:dyDescent="0.2">
      <c r="A237" t="s">
        <v>39</v>
      </c>
      <c r="B237">
        <v>1012703312</v>
      </c>
      <c r="C237" t="s">
        <v>291</v>
      </c>
      <c r="D237" t="s">
        <v>31</v>
      </c>
      <c r="E237" s="1">
        <v>0.67291666666666672</v>
      </c>
      <c r="F237" t="s">
        <v>32</v>
      </c>
      <c r="G237" t="s">
        <v>33</v>
      </c>
      <c r="H237" t="s">
        <v>34</v>
      </c>
      <c r="I237" t="s">
        <v>124</v>
      </c>
      <c r="J237">
        <v>16</v>
      </c>
      <c r="K237">
        <v>0</v>
      </c>
      <c r="L237" t="s">
        <v>36</v>
      </c>
      <c r="M237" t="s">
        <v>37</v>
      </c>
      <c r="N237">
        <v>0</v>
      </c>
      <c r="O237">
        <v>0</v>
      </c>
      <c r="P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 t="s">
        <v>36</v>
      </c>
      <c r="AB237" t="s">
        <v>119</v>
      </c>
      <c r="AC237" t="str">
        <f t="shared" si="6"/>
        <v>CP</v>
      </c>
      <c r="AD237" t="str">
        <f>_xlfn.XLOOKUP(C237,Mapping!A:A,Mapping!D:D,0,0)</f>
        <v>Archive</v>
      </c>
      <c r="AE237" t="str">
        <f t="shared" si="7"/>
        <v>OLD</v>
      </c>
    </row>
    <row r="238" spans="1:31" x14ac:dyDescent="0.2">
      <c r="A238" t="s">
        <v>39</v>
      </c>
      <c r="B238">
        <v>1012703332</v>
      </c>
      <c r="C238" t="s">
        <v>292</v>
      </c>
      <c r="D238" t="s">
        <v>31</v>
      </c>
      <c r="E238" s="1">
        <v>0.67291666666666672</v>
      </c>
      <c r="F238" t="s">
        <v>32</v>
      </c>
      <c r="G238" t="s">
        <v>33</v>
      </c>
      <c r="H238" t="s">
        <v>41</v>
      </c>
      <c r="I238" t="s">
        <v>62</v>
      </c>
      <c r="J238">
        <v>530</v>
      </c>
      <c r="K238">
        <v>0</v>
      </c>
      <c r="L238" t="s">
        <v>36</v>
      </c>
      <c r="M238" t="s">
        <v>37</v>
      </c>
      <c r="N238">
        <v>0</v>
      </c>
      <c r="O238">
        <v>0</v>
      </c>
      <c r="P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 t="s">
        <v>36</v>
      </c>
      <c r="AB238" t="s">
        <v>43</v>
      </c>
      <c r="AC238" t="str">
        <f t="shared" si="6"/>
        <v>CP</v>
      </c>
      <c r="AD238" t="str">
        <f>_xlfn.XLOOKUP(C238,Mapping!A:A,Mapping!D:D,0,0)</f>
        <v>Bin</v>
      </c>
      <c r="AE238" t="str">
        <f t="shared" si="7"/>
        <v>OLD</v>
      </c>
    </row>
    <row r="239" spans="1:31" x14ac:dyDescent="0.2">
      <c r="A239" t="s">
        <v>39</v>
      </c>
      <c r="B239">
        <v>1012703342</v>
      </c>
      <c r="C239" t="s">
        <v>293</v>
      </c>
      <c r="D239" t="s">
        <v>31</v>
      </c>
      <c r="E239" s="1">
        <v>0.67291666666666672</v>
      </c>
      <c r="F239" t="s">
        <v>32</v>
      </c>
      <c r="G239" t="s">
        <v>33</v>
      </c>
      <c r="H239" t="s">
        <v>41</v>
      </c>
      <c r="I239" t="s">
        <v>62</v>
      </c>
      <c r="J239">
        <v>530</v>
      </c>
      <c r="K239">
        <v>0</v>
      </c>
      <c r="L239" t="s">
        <v>36</v>
      </c>
      <c r="M239" t="s">
        <v>37</v>
      </c>
      <c r="N239">
        <v>0</v>
      </c>
      <c r="O239">
        <v>0</v>
      </c>
      <c r="P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 t="s">
        <v>36</v>
      </c>
      <c r="AB239" t="s">
        <v>43</v>
      </c>
      <c r="AC239" t="str">
        <f t="shared" si="6"/>
        <v>CP</v>
      </c>
      <c r="AD239" t="str">
        <f>_xlfn.XLOOKUP(C239,Mapping!A:A,Mapping!D:D,0,0)</f>
        <v>Bin</v>
      </c>
      <c r="AE239" t="str">
        <f t="shared" si="7"/>
        <v>OLD</v>
      </c>
    </row>
    <row r="240" spans="1:31" x14ac:dyDescent="0.2">
      <c r="A240" t="s">
        <v>39</v>
      </c>
      <c r="B240">
        <v>1012703352</v>
      </c>
      <c r="C240" t="s">
        <v>294</v>
      </c>
      <c r="D240" t="s">
        <v>31</v>
      </c>
      <c r="E240" s="1">
        <v>0.67291666666666672</v>
      </c>
      <c r="F240" t="s">
        <v>32</v>
      </c>
      <c r="G240" t="s">
        <v>33</v>
      </c>
      <c r="H240" t="s">
        <v>34</v>
      </c>
      <c r="I240" t="s">
        <v>84</v>
      </c>
      <c r="J240">
        <v>212</v>
      </c>
      <c r="K240">
        <v>0</v>
      </c>
      <c r="L240" t="s">
        <v>36</v>
      </c>
      <c r="M240" t="s">
        <v>37</v>
      </c>
      <c r="N240">
        <v>0</v>
      </c>
      <c r="O240">
        <v>0</v>
      </c>
      <c r="P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 t="s">
        <v>36</v>
      </c>
      <c r="AB240" t="s">
        <v>43</v>
      </c>
      <c r="AC240" t="str">
        <f t="shared" si="6"/>
        <v>CP</v>
      </c>
      <c r="AD240" t="str">
        <f>_xlfn.XLOOKUP(C240,Mapping!A:A,Mapping!D:D,0,0)</f>
        <v>Bin</v>
      </c>
      <c r="AE240" t="str">
        <f t="shared" si="7"/>
        <v>OLD</v>
      </c>
    </row>
    <row r="241" spans="1:31" x14ac:dyDescent="0.2">
      <c r="A241" t="s">
        <v>39</v>
      </c>
      <c r="B241">
        <v>1012703362</v>
      </c>
      <c r="C241" t="s">
        <v>295</v>
      </c>
      <c r="D241" t="s">
        <v>31</v>
      </c>
      <c r="E241" s="1">
        <v>0.67291666666666672</v>
      </c>
      <c r="F241" t="s">
        <v>32</v>
      </c>
      <c r="G241" t="s">
        <v>33</v>
      </c>
      <c r="H241" t="s">
        <v>41</v>
      </c>
      <c r="I241" t="s">
        <v>62</v>
      </c>
      <c r="J241">
        <v>530</v>
      </c>
      <c r="K241">
        <v>0</v>
      </c>
      <c r="L241" t="s">
        <v>36</v>
      </c>
      <c r="M241" t="s">
        <v>37</v>
      </c>
      <c r="N241">
        <v>0</v>
      </c>
      <c r="O241">
        <v>0</v>
      </c>
      <c r="P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 t="s">
        <v>36</v>
      </c>
      <c r="AB241" t="s">
        <v>43</v>
      </c>
      <c r="AC241" t="str">
        <f t="shared" si="6"/>
        <v>CP</v>
      </c>
      <c r="AD241" t="str">
        <f>_xlfn.XLOOKUP(C241,Mapping!A:A,Mapping!D:D,0,0)</f>
        <v>Bin</v>
      </c>
      <c r="AE241" t="str">
        <f t="shared" si="7"/>
        <v>OLD</v>
      </c>
    </row>
    <row r="242" spans="1:31" x14ac:dyDescent="0.2">
      <c r="A242" t="s">
        <v>39</v>
      </c>
      <c r="B242">
        <v>1012703372</v>
      </c>
      <c r="C242" t="s">
        <v>296</v>
      </c>
      <c r="D242" t="s">
        <v>31</v>
      </c>
      <c r="E242" s="1">
        <v>0.67291666666666672</v>
      </c>
      <c r="F242" t="s">
        <v>32</v>
      </c>
      <c r="G242" t="s">
        <v>33</v>
      </c>
      <c r="H242" t="s">
        <v>34</v>
      </c>
      <c r="I242" t="s">
        <v>84</v>
      </c>
      <c r="J242">
        <v>212</v>
      </c>
      <c r="K242">
        <v>0</v>
      </c>
      <c r="L242" t="s">
        <v>36</v>
      </c>
      <c r="M242" t="s">
        <v>37</v>
      </c>
      <c r="N242">
        <v>0</v>
      </c>
      <c r="O242">
        <v>0</v>
      </c>
      <c r="P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 t="s">
        <v>36</v>
      </c>
      <c r="AB242" t="s">
        <v>43</v>
      </c>
      <c r="AC242" t="str">
        <f t="shared" si="6"/>
        <v>CP</v>
      </c>
      <c r="AD242" t="str">
        <f>_xlfn.XLOOKUP(C242,Mapping!A:A,Mapping!D:D,0,0)</f>
        <v>Bin</v>
      </c>
      <c r="AE242" t="str">
        <f t="shared" si="7"/>
        <v>OLD</v>
      </c>
    </row>
    <row r="243" spans="1:31" x14ac:dyDescent="0.2">
      <c r="A243" t="s">
        <v>39</v>
      </c>
      <c r="B243">
        <v>1012703382</v>
      </c>
      <c r="C243" t="s">
        <v>297</v>
      </c>
      <c r="D243" t="s">
        <v>31</v>
      </c>
      <c r="E243" s="1">
        <v>0.67291666666666672</v>
      </c>
      <c r="F243" t="s">
        <v>32</v>
      </c>
      <c r="G243" t="s">
        <v>33</v>
      </c>
      <c r="H243" t="s">
        <v>41</v>
      </c>
      <c r="I243" t="s">
        <v>62</v>
      </c>
      <c r="J243">
        <v>530</v>
      </c>
      <c r="K243">
        <v>0</v>
      </c>
      <c r="L243" t="s">
        <v>36</v>
      </c>
      <c r="M243" t="s">
        <v>37</v>
      </c>
      <c r="N243">
        <v>0</v>
      </c>
      <c r="O243">
        <v>0</v>
      </c>
      <c r="P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 t="s">
        <v>36</v>
      </c>
      <c r="AB243" t="s">
        <v>43</v>
      </c>
      <c r="AC243" t="str">
        <f t="shared" si="6"/>
        <v>CP</v>
      </c>
      <c r="AD243" t="str">
        <f>_xlfn.XLOOKUP(C243,Mapping!A:A,Mapping!D:D,0,0)</f>
        <v>Bin</v>
      </c>
      <c r="AE243" t="str">
        <f t="shared" si="7"/>
        <v>OLD</v>
      </c>
    </row>
    <row r="244" spans="1:31" x14ac:dyDescent="0.2">
      <c r="A244" t="s">
        <v>39</v>
      </c>
      <c r="B244">
        <v>1012703392</v>
      </c>
      <c r="C244" t="s">
        <v>298</v>
      </c>
      <c r="D244" t="s">
        <v>31</v>
      </c>
      <c r="E244" s="1">
        <v>0.67291666666666672</v>
      </c>
      <c r="F244" t="s">
        <v>32</v>
      </c>
      <c r="G244" t="s">
        <v>33</v>
      </c>
      <c r="H244" t="s">
        <v>41</v>
      </c>
      <c r="I244" t="s">
        <v>62</v>
      </c>
      <c r="J244">
        <v>530</v>
      </c>
      <c r="K244">
        <v>0</v>
      </c>
      <c r="L244" t="s">
        <v>63</v>
      </c>
      <c r="M244">
        <v>150</v>
      </c>
      <c r="N244">
        <v>0</v>
      </c>
      <c r="O244">
        <v>0</v>
      </c>
      <c r="P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 t="s">
        <v>36</v>
      </c>
      <c r="AB244" t="s">
        <v>43</v>
      </c>
      <c r="AC244" t="str">
        <f t="shared" si="6"/>
        <v>CP</v>
      </c>
      <c r="AD244" t="str">
        <f>_xlfn.XLOOKUP(C244,Mapping!A:A,Mapping!D:D,0,0)</f>
        <v>Bin</v>
      </c>
      <c r="AE244" t="str">
        <f t="shared" si="7"/>
        <v>OLD</v>
      </c>
    </row>
    <row r="245" spans="1:31" x14ac:dyDescent="0.2">
      <c r="A245" t="s">
        <v>39</v>
      </c>
      <c r="B245">
        <v>1012703402</v>
      </c>
      <c r="C245" t="s">
        <v>299</v>
      </c>
      <c r="D245" t="s">
        <v>31</v>
      </c>
      <c r="E245" s="1">
        <v>0.67291666666666672</v>
      </c>
      <c r="F245" t="s">
        <v>32</v>
      </c>
      <c r="G245" t="s">
        <v>33</v>
      </c>
      <c r="H245" t="s">
        <v>34</v>
      </c>
      <c r="I245" t="s">
        <v>84</v>
      </c>
      <c r="J245">
        <v>212</v>
      </c>
      <c r="K245">
        <v>0</v>
      </c>
      <c r="L245" t="s">
        <v>36</v>
      </c>
      <c r="M245" t="s">
        <v>37</v>
      </c>
      <c r="N245">
        <v>0</v>
      </c>
      <c r="O245">
        <v>0</v>
      </c>
      <c r="P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 t="s">
        <v>36</v>
      </c>
      <c r="AB245" t="s">
        <v>43</v>
      </c>
      <c r="AC245" t="str">
        <f t="shared" si="6"/>
        <v>CP</v>
      </c>
      <c r="AD245" t="str">
        <f>_xlfn.XLOOKUP(C245,Mapping!A:A,Mapping!D:D,0,0)</f>
        <v>Bin</v>
      </c>
      <c r="AE245" t="str">
        <f t="shared" si="7"/>
        <v>OLD</v>
      </c>
    </row>
    <row r="246" spans="1:31" x14ac:dyDescent="0.2">
      <c r="A246" t="s">
        <v>39</v>
      </c>
      <c r="B246">
        <v>1012703412</v>
      </c>
      <c r="C246" t="s">
        <v>300</v>
      </c>
      <c r="D246" t="s">
        <v>31</v>
      </c>
      <c r="E246" s="1">
        <v>0.67291666666666672</v>
      </c>
      <c r="F246" t="s">
        <v>32</v>
      </c>
      <c r="G246" t="s">
        <v>33</v>
      </c>
      <c r="H246" t="s">
        <v>41</v>
      </c>
      <c r="I246" t="s">
        <v>62</v>
      </c>
      <c r="J246">
        <v>530</v>
      </c>
      <c r="K246">
        <v>0</v>
      </c>
      <c r="L246" t="s">
        <v>36</v>
      </c>
      <c r="M246" t="s">
        <v>37</v>
      </c>
      <c r="N246">
        <v>0</v>
      </c>
      <c r="O246">
        <v>0</v>
      </c>
      <c r="P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 t="s">
        <v>36</v>
      </c>
      <c r="AB246" t="s">
        <v>43</v>
      </c>
      <c r="AC246" t="str">
        <f t="shared" si="6"/>
        <v>CP</v>
      </c>
      <c r="AD246" t="str">
        <f>_xlfn.XLOOKUP(C246,Mapping!A:A,Mapping!D:D,0,0)</f>
        <v>Bin</v>
      </c>
      <c r="AE246" t="str">
        <f t="shared" si="7"/>
        <v>OLD</v>
      </c>
    </row>
    <row r="247" spans="1:31" x14ac:dyDescent="0.2">
      <c r="A247" t="s">
        <v>39</v>
      </c>
      <c r="B247">
        <v>1012703422</v>
      </c>
      <c r="C247" t="s">
        <v>301</v>
      </c>
      <c r="D247" t="s">
        <v>31</v>
      </c>
      <c r="E247" s="1">
        <v>0.67291666666666672</v>
      </c>
      <c r="F247" t="s">
        <v>32</v>
      </c>
      <c r="G247" t="s">
        <v>33</v>
      </c>
      <c r="H247" t="s">
        <v>41</v>
      </c>
      <c r="I247" t="s">
        <v>62</v>
      </c>
      <c r="J247">
        <v>280</v>
      </c>
      <c r="K247">
        <v>0</v>
      </c>
      <c r="L247" t="s">
        <v>63</v>
      </c>
      <c r="M247">
        <v>150</v>
      </c>
      <c r="N247">
        <v>0</v>
      </c>
      <c r="O247">
        <v>0</v>
      </c>
      <c r="P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 t="s">
        <v>36</v>
      </c>
      <c r="AB247" t="s">
        <v>43</v>
      </c>
      <c r="AC247" t="str">
        <f t="shared" si="6"/>
        <v>CP</v>
      </c>
      <c r="AD247" t="str">
        <f>_xlfn.XLOOKUP(C247,Mapping!A:A,Mapping!D:D,0,0)</f>
        <v>Bin</v>
      </c>
      <c r="AE247" t="str">
        <f t="shared" si="7"/>
        <v>OLD</v>
      </c>
    </row>
    <row r="248" spans="1:31" x14ac:dyDescent="0.2">
      <c r="A248" t="s">
        <v>39</v>
      </c>
      <c r="B248">
        <v>1012703432</v>
      </c>
      <c r="C248" t="s">
        <v>302</v>
      </c>
      <c r="D248" t="s">
        <v>31</v>
      </c>
      <c r="E248" s="1">
        <v>0.67291666666666672</v>
      </c>
      <c r="F248" t="s">
        <v>32</v>
      </c>
      <c r="G248" t="s">
        <v>33</v>
      </c>
      <c r="H248" t="s">
        <v>34</v>
      </c>
      <c r="I248" t="s">
        <v>84</v>
      </c>
      <c r="J248">
        <v>404</v>
      </c>
      <c r="K248">
        <v>0</v>
      </c>
      <c r="L248" t="s">
        <v>36</v>
      </c>
      <c r="M248" t="s">
        <v>37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 t="s">
        <v>36</v>
      </c>
      <c r="Y248">
        <v>0</v>
      </c>
      <c r="Z248">
        <v>0</v>
      </c>
      <c r="AA248">
        <v>0</v>
      </c>
      <c r="AB248" t="s">
        <v>303</v>
      </c>
      <c r="AC248" t="str">
        <f t="shared" si="6"/>
        <v>CP</v>
      </c>
      <c r="AD248" t="str">
        <f>_xlfn.XLOOKUP(C248,Mapping!A:A,Mapping!D:D,0,0)</f>
        <v>Tests</v>
      </c>
      <c r="AE248" t="str">
        <f t="shared" si="7"/>
        <v>OLD</v>
      </c>
    </row>
    <row r="249" spans="1:31" x14ac:dyDescent="0.2">
      <c r="A249" t="s">
        <v>39</v>
      </c>
      <c r="B249">
        <v>1012703442</v>
      </c>
      <c r="C249" t="s">
        <v>304</v>
      </c>
      <c r="D249" t="s">
        <v>31</v>
      </c>
      <c r="E249" s="1">
        <v>0.67291666666666672</v>
      </c>
      <c r="F249" t="s">
        <v>32</v>
      </c>
      <c r="G249" t="s">
        <v>33</v>
      </c>
      <c r="H249" t="s">
        <v>41</v>
      </c>
      <c r="I249" t="s">
        <v>62</v>
      </c>
      <c r="J249">
        <v>530</v>
      </c>
      <c r="K249">
        <v>0</v>
      </c>
      <c r="L249" t="s">
        <v>63</v>
      </c>
      <c r="M249">
        <v>150</v>
      </c>
      <c r="N249">
        <v>0</v>
      </c>
      <c r="O249">
        <v>0</v>
      </c>
      <c r="P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 t="s">
        <v>36</v>
      </c>
      <c r="AB249" t="s">
        <v>43</v>
      </c>
      <c r="AC249" t="str">
        <f t="shared" si="6"/>
        <v>CP</v>
      </c>
      <c r="AD249" t="str">
        <f>_xlfn.XLOOKUP(C249,Mapping!A:A,Mapping!D:D,0,0)</f>
        <v>Bin</v>
      </c>
      <c r="AE249" t="str">
        <f t="shared" si="7"/>
        <v>OLD</v>
      </c>
    </row>
    <row r="250" spans="1:31" x14ac:dyDescent="0.2">
      <c r="A250" t="s">
        <v>39</v>
      </c>
      <c r="B250">
        <v>1012703452</v>
      </c>
      <c r="C250" t="s">
        <v>305</v>
      </c>
      <c r="D250" t="s">
        <v>31</v>
      </c>
      <c r="E250" s="1">
        <v>0.67291666666666672</v>
      </c>
      <c r="F250" t="s">
        <v>32</v>
      </c>
      <c r="G250" t="s">
        <v>33</v>
      </c>
      <c r="H250" t="s">
        <v>41</v>
      </c>
      <c r="I250" t="s">
        <v>62</v>
      </c>
      <c r="J250">
        <v>530</v>
      </c>
      <c r="K250">
        <v>0</v>
      </c>
      <c r="L250" t="s">
        <v>63</v>
      </c>
      <c r="M250">
        <v>150</v>
      </c>
      <c r="N250">
        <v>0</v>
      </c>
      <c r="O250">
        <v>0</v>
      </c>
      <c r="P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 t="s">
        <v>36</v>
      </c>
      <c r="AB250" t="s">
        <v>43</v>
      </c>
      <c r="AC250" t="str">
        <f t="shared" si="6"/>
        <v>CP</v>
      </c>
      <c r="AD250" t="str">
        <f>_xlfn.XLOOKUP(C250,Mapping!A:A,Mapping!D:D,0,0)</f>
        <v>Bin</v>
      </c>
      <c r="AE250" t="str">
        <f t="shared" si="7"/>
        <v>OLD</v>
      </c>
    </row>
    <row r="251" spans="1:31" x14ac:dyDescent="0.2">
      <c r="A251" t="s">
        <v>39</v>
      </c>
      <c r="B251">
        <v>1012703462</v>
      </c>
      <c r="C251" t="s">
        <v>306</v>
      </c>
      <c r="D251" t="s">
        <v>31</v>
      </c>
      <c r="E251" s="1">
        <v>0.67291666666666672</v>
      </c>
      <c r="F251" t="s">
        <v>32</v>
      </c>
      <c r="G251" t="s">
        <v>33</v>
      </c>
      <c r="H251" t="s">
        <v>34</v>
      </c>
      <c r="I251" t="s">
        <v>84</v>
      </c>
      <c r="J251">
        <v>212</v>
      </c>
      <c r="K251">
        <v>0</v>
      </c>
      <c r="L251" t="s">
        <v>36</v>
      </c>
      <c r="M251" t="s">
        <v>37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1.238</v>
      </c>
      <c r="T251">
        <v>0</v>
      </c>
      <c r="U251">
        <v>0</v>
      </c>
      <c r="V251">
        <v>1</v>
      </c>
      <c r="W251">
        <v>0</v>
      </c>
      <c r="X251" t="s">
        <v>36</v>
      </c>
      <c r="Y251">
        <v>1</v>
      </c>
      <c r="Z251">
        <v>1</v>
      </c>
      <c r="AA251">
        <v>1</v>
      </c>
      <c r="AB251" t="s">
        <v>119</v>
      </c>
      <c r="AC251" t="str">
        <f t="shared" si="6"/>
        <v>CP</v>
      </c>
      <c r="AD251" t="str">
        <f>_xlfn.XLOOKUP(C251,Mapping!A:A,Mapping!D:D,0,0)</f>
        <v>Archive</v>
      </c>
      <c r="AE251" t="str">
        <f t="shared" si="7"/>
        <v>OLD</v>
      </c>
    </row>
    <row r="252" spans="1:31" x14ac:dyDescent="0.2">
      <c r="A252" t="s">
        <v>39</v>
      </c>
      <c r="B252">
        <v>1012703472</v>
      </c>
      <c r="C252" t="s">
        <v>307</v>
      </c>
      <c r="D252" t="s">
        <v>31</v>
      </c>
      <c r="E252" s="1">
        <v>0.67291666666666672</v>
      </c>
      <c r="F252" t="s">
        <v>32</v>
      </c>
      <c r="G252" t="s">
        <v>33</v>
      </c>
      <c r="H252" t="s">
        <v>41</v>
      </c>
      <c r="I252" t="s">
        <v>62</v>
      </c>
      <c r="J252">
        <v>280</v>
      </c>
      <c r="K252">
        <v>0</v>
      </c>
      <c r="L252" t="s">
        <v>63</v>
      </c>
      <c r="M252">
        <v>150</v>
      </c>
      <c r="N252">
        <v>0</v>
      </c>
      <c r="O252">
        <v>0</v>
      </c>
      <c r="P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 t="s">
        <v>36</v>
      </c>
      <c r="AB252" t="s">
        <v>43</v>
      </c>
      <c r="AC252" t="str">
        <f t="shared" si="6"/>
        <v>CP</v>
      </c>
      <c r="AD252" t="str">
        <f>_xlfn.XLOOKUP(C252,Mapping!A:A,Mapping!D:D,0,0)</f>
        <v>Bin</v>
      </c>
      <c r="AE252" t="str">
        <f t="shared" si="7"/>
        <v>OLD</v>
      </c>
    </row>
    <row r="253" spans="1:31" x14ac:dyDescent="0.2">
      <c r="A253" t="s">
        <v>39</v>
      </c>
      <c r="B253">
        <v>1012703482</v>
      </c>
      <c r="C253" t="s">
        <v>308</v>
      </c>
      <c r="D253" t="s">
        <v>31</v>
      </c>
      <c r="E253" s="1">
        <v>0.67291666666666672</v>
      </c>
      <c r="F253" t="s">
        <v>32</v>
      </c>
      <c r="G253" t="s">
        <v>33</v>
      </c>
      <c r="H253" t="s">
        <v>41</v>
      </c>
      <c r="I253" t="s">
        <v>62</v>
      </c>
      <c r="J253">
        <v>530</v>
      </c>
      <c r="K253">
        <v>0</v>
      </c>
      <c r="L253" t="s">
        <v>36</v>
      </c>
      <c r="M253" t="s">
        <v>37</v>
      </c>
      <c r="N253">
        <v>0</v>
      </c>
      <c r="O253">
        <v>0</v>
      </c>
      <c r="P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 t="s">
        <v>36</v>
      </c>
      <c r="AB253" t="s">
        <v>43</v>
      </c>
      <c r="AC253" t="str">
        <f t="shared" si="6"/>
        <v>CP</v>
      </c>
      <c r="AD253" t="str">
        <f>_xlfn.XLOOKUP(C253,Mapping!A:A,Mapping!D:D,0,0)</f>
        <v>Bin</v>
      </c>
      <c r="AE253" t="str">
        <f t="shared" si="7"/>
        <v>OLD</v>
      </c>
    </row>
    <row r="254" spans="1:31" x14ac:dyDescent="0.2">
      <c r="A254" t="s">
        <v>39</v>
      </c>
      <c r="B254">
        <v>1012703492</v>
      </c>
      <c r="C254" t="s">
        <v>309</v>
      </c>
      <c r="D254" t="s">
        <v>31</v>
      </c>
      <c r="E254" s="1">
        <v>0.67291666666666672</v>
      </c>
      <c r="F254" t="s">
        <v>32</v>
      </c>
      <c r="G254" t="s">
        <v>33</v>
      </c>
      <c r="H254" t="s">
        <v>34</v>
      </c>
      <c r="I254" t="s">
        <v>84</v>
      </c>
      <c r="J254">
        <v>112</v>
      </c>
      <c r="K254">
        <v>0</v>
      </c>
      <c r="L254" t="s">
        <v>36</v>
      </c>
      <c r="M254" t="s">
        <v>37</v>
      </c>
      <c r="N254">
        <v>0</v>
      </c>
      <c r="O254">
        <v>0</v>
      </c>
      <c r="P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 t="s">
        <v>36</v>
      </c>
      <c r="AB254" t="s">
        <v>43</v>
      </c>
      <c r="AC254" t="str">
        <f t="shared" si="6"/>
        <v>CP</v>
      </c>
      <c r="AD254" t="str">
        <f>_xlfn.XLOOKUP(C254,Mapping!A:A,Mapping!D:D,0,0)</f>
        <v>Bin</v>
      </c>
      <c r="AE254" t="str">
        <f t="shared" si="7"/>
        <v>OLD</v>
      </c>
    </row>
    <row r="255" spans="1:31" x14ac:dyDescent="0.2">
      <c r="A255" t="s">
        <v>39</v>
      </c>
      <c r="B255">
        <v>1012703502</v>
      </c>
      <c r="C255" t="s">
        <v>310</v>
      </c>
      <c r="D255" t="s">
        <v>31</v>
      </c>
      <c r="E255" s="1">
        <v>0.67291666666666672</v>
      </c>
      <c r="F255" t="s">
        <v>32</v>
      </c>
      <c r="G255" t="s">
        <v>33</v>
      </c>
      <c r="H255" t="s">
        <v>41</v>
      </c>
      <c r="I255" t="s">
        <v>62</v>
      </c>
      <c r="J255">
        <v>530</v>
      </c>
      <c r="K255">
        <v>0</v>
      </c>
      <c r="L255" t="s">
        <v>63</v>
      </c>
      <c r="M255">
        <v>150</v>
      </c>
      <c r="N255">
        <v>0</v>
      </c>
      <c r="O255">
        <v>0</v>
      </c>
      <c r="P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 t="s">
        <v>36</v>
      </c>
      <c r="AB255" t="s">
        <v>43</v>
      </c>
      <c r="AC255" t="str">
        <f t="shared" si="6"/>
        <v>CP</v>
      </c>
      <c r="AD255" t="str">
        <f>_xlfn.XLOOKUP(C255,Mapping!A:A,Mapping!D:D,0,0)</f>
        <v>Bin</v>
      </c>
      <c r="AE255" t="str">
        <f t="shared" si="7"/>
        <v>OLD</v>
      </c>
    </row>
    <row r="256" spans="1:31" x14ac:dyDescent="0.2">
      <c r="A256" t="s">
        <v>39</v>
      </c>
      <c r="B256">
        <v>1012703512</v>
      </c>
      <c r="C256" t="s">
        <v>311</v>
      </c>
      <c r="D256" t="s">
        <v>31</v>
      </c>
      <c r="E256" s="1">
        <v>0.67291666666666672</v>
      </c>
      <c r="F256" t="s">
        <v>32</v>
      </c>
      <c r="G256" t="s">
        <v>33</v>
      </c>
      <c r="H256" t="s">
        <v>41</v>
      </c>
      <c r="I256" t="s">
        <v>62</v>
      </c>
      <c r="J256">
        <v>530</v>
      </c>
      <c r="K256">
        <v>0</v>
      </c>
      <c r="L256" t="s">
        <v>36</v>
      </c>
      <c r="M256" t="s">
        <v>37</v>
      </c>
      <c r="N256">
        <v>0</v>
      </c>
      <c r="O256">
        <v>0</v>
      </c>
      <c r="P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 t="s">
        <v>36</v>
      </c>
      <c r="AB256" t="s">
        <v>43</v>
      </c>
      <c r="AC256" t="str">
        <f t="shared" si="6"/>
        <v>CP</v>
      </c>
      <c r="AD256" t="str">
        <f>_xlfn.XLOOKUP(C256,Mapping!A:A,Mapping!D:D,0,0)</f>
        <v>Bin</v>
      </c>
      <c r="AE256" t="str">
        <f t="shared" si="7"/>
        <v>OLD</v>
      </c>
    </row>
    <row r="257" spans="1:31" x14ac:dyDescent="0.2">
      <c r="A257" t="s">
        <v>39</v>
      </c>
      <c r="B257">
        <v>1012703522</v>
      </c>
      <c r="C257" t="s">
        <v>312</v>
      </c>
      <c r="D257" t="s">
        <v>31</v>
      </c>
      <c r="E257" s="1">
        <v>0.67291666666666672</v>
      </c>
      <c r="F257" t="s">
        <v>32</v>
      </c>
      <c r="G257" t="s">
        <v>33</v>
      </c>
      <c r="H257" t="s">
        <v>34</v>
      </c>
      <c r="I257" t="s">
        <v>84</v>
      </c>
      <c r="J257">
        <v>404</v>
      </c>
      <c r="K257">
        <v>0</v>
      </c>
      <c r="L257" t="s">
        <v>36</v>
      </c>
      <c r="M257" t="s">
        <v>37</v>
      </c>
      <c r="N257">
        <v>0</v>
      </c>
      <c r="O257">
        <v>0</v>
      </c>
      <c r="P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 t="s">
        <v>36</v>
      </c>
      <c r="AB257" t="s">
        <v>43</v>
      </c>
      <c r="AC257" t="str">
        <f t="shared" si="6"/>
        <v>CP</v>
      </c>
      <c r="AD257" t="str">
        <f>_xlfn.XLOOKUP(C257,Mapping!A:A,Mapping!D:D,0,0)</f>
        <v>Bin</v>
      </c>
      <c r="AE257" t="str">
        <f t="shared" si="7"/>
        <v>OLD</v>
      </c>
    </row>
    <row r="258" spans="1:31" x14ac:dyDescent="0.2">
      <c r="A258" t="s">
        <v>39</v>
      </c>
      <c r="B258">
        <v>1012703532</v>
      </c>
      <c r="C258" t="s">
        <v>313</v>
      </c>
      <c r="D258" t="s">
        <v>31</v>
      </c>
      <c r="E258" s="1">
        <v>0.67291666666666672</v>
      </c>
      <c r="F258" t="s">
        <v>32</v>
      </c>
      <c r="G258" t="s">
        <v>33</v>
      </c>
      <c r="H258" t="s">
        <v>41</v>
      </c>
      <c r="I258" t="s">
        <v>62</v>
      </c>
      <c r="J258">
        <v>530</v>
      </c>
      <c r="K258">
        <v>0</v>
      </c>
      <c r="L258" t="s">
        <v>36</v>
      </c>
      <c r="M258" t="s">
        <v>37</v>
      </c>
      <c r="N258">
        <v>0</v>
      </c>
      <c r="O258">
        <v>0</v>
      </c>
      <c r="P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 t="s">
        <v>36</v>
      </c>
      <c r="AB258" t="s">
        <v>43</v>
      </c>
      <c r="AC258" t="str">
        <f t="shared" si="6"/>
        <v>CP</v>
      </c>
      <c r="AD258" t="str">
        <f>_xlfn.XLOOKUP(C258,Mapping!A:A,Mapping!D:D,0,0)</f>
        <v>Bin</v>
      </c>
      <c r="AE258" t="str">
        <f t="shared" si="7"/>
        <v>OLD</v>
      </c>
    </row>
    <row r="259" spans="1:31" x14ac:dyDescent="0.2">
      <c r="A259" t="s">
        <v>39</v>
      </c>
      <c r="B259">
        <v>1012703542</v>
      </c>
      <c r="C259" t="s">
        <v>314</v>
      </c>
      <c r="D259" t="s">
        <v>31</v>
      </c>
      <c r="E259" s="1">
        <v>0.67291666666666672</v>
      </c>
      <c r="F259" t="s">
        <v>32</v>
      </c>
      <c r="G259" t="s">
        <v>33</v>
      </c>
      <c r="H259" t="s">
        <v>41</v>
      </c>
      <c r="I259" t="s">
        <v>62</v>
      </c>
      <c r="J259">
        <v>530</v>
      </c>
      <c r="K259">
        <v>0</v>
      </c>
      <c r="L259" t="s">
        <v>36</v>
      </c>
      <c r="M259" t="s">
        <v>37</v>
      </c>
      <c r="N259">
        <v>0</v>
      </c>
      <c r="O259">
        <v>0</v>
      </c>
      <c r="P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 t="s">
        <v>36</v>
      </c>
      <c r="AB259" t="s">
        <v>43</v>
      </c>
      <c r="AC259" t="str">
        <f t="shared" ref="AC259:AC322" si="8">LEFT(C259,2)</f>
        <v>CP</v>
      </c>
      <c r="AD259" t="str">
        <f>_xlfn.XLOOKUP(C259,Mapping!A:A,Mapping!D:D,0,0)</f>
        <v>Bin</v>
      </c>
      <c r="AE259" t="str">
        <f t="shared" ref="AE259:AE322" si="9">IFERROR(IF(SEARCH("_TJ",C259)&gt;0,"TJ",NA()),IFERROR(IF(SEARCH("_JB",C259)&gt;0,"JB",NA()),"OLD"))</f>
        <v>OLD</v>
      </c>
    </row>
    <row r="260" spans="1:31" x14ac:dyDescent="0.2">
      <c r="A260" t="s">
        <v>39</v>
      </c>
      <c r="B260">
        <v>1012703552</v>
      </c>
      <c r="C260" t="s">
        <v>315</v>
      </c>
      <c r="D260" t="s">
        <v>31</v>
      </c>
      <c r="E260" s="1">
        <v>0.67291666666666672</v>
      </c>
      <c r="F260" t="s">
        <v>32</v>
      </c>
      <c r="G260" t="s">
        <v>33</v>
      </c>
      <c r="H260" t="s">
        <v>34</v>
      </c>
      <c r="I260" t="s">
        <v>84</v>
      </c>
      <c r="J260">
        <v>112</v>
      </c>
      <c r="K260">
        <v>0</v>
      </c>
      <c r="L260" t="s">
        <v>36</v>
      </c>
      <c r="M260" t="s">
        <v>37</v>
      </c>
      <c r="N260">
        <v>0</v>
      </c>
      <c r="O260">
        <v>0</v>
      </c>
      <c r="P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 t="s">
        <v>36</v>
      </c>
      <c r="AB260" t="s">
        <v>43</v>
      </c>
      <c r="AC260" t="str">
        <f t="shared" si="8"/>
        <v>CP</v>
      </c>
      <c r="AD260" t="str">
        <f>_xlfn.XLOOKUP(C260,Mapping!A:A,Mapping!D:D,0,0)</f>
        <v>Bin</v>
      </c>
      <c r="AE260" t="str">
        <f t="shared" si="9"/>
        <v>OLD</v>
      </c>
    </row>
    <row r="261" spans="1:31" x14ac:dyDescent="0.2">
      <c r="A261" t="s">
        <v>39</v>
      </c>
      <c r="B261">
        <v>1012703562</v>
      </c>
      <c r="C261" t="s">
        <v>316</v>
      </c>
      <c r="D261" t="s">
        <v>31</v>
      </c>
      <c r="E261" s="1">
        <v>0.67291666666666672</v>
      </c>
      <c r="F261" t="s">
        <v>32</v>
      </c>
      <c r="G261" t="s">
        <v>33</v>
      </c>
      <c r="H261" t="s">
        <v>41</v>
      </c>
      <c r="I261" t="s">
        <v>62</v>
      </c>
      <c r="J261">
        <v>530</v>
      </c>
      <c r="K261">
        <v>0</v>
      </c>
      <c r="L261" t="s">
        <v>36</v>
      </c>
      <c r="M261" t="s">
        <v>37</v>
      </c>
      <c r="N261">
        <v>0</v>
      </c>
      <c r="O261">
        <v>0</v>
      </c>
      <c r="P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 t="s">
        <v>36</v>
      </c>
      <c r="AB261" t="s">
        <v>43</v>
      </c>
      <c r="AC261" t="str">
        <f t="shared" si="8"/>
        <v>CP</v>
      </c>
      <c r="AD261" t="str">
        <f>_xlfn.XLOOKUP(C261,Mapping!A:A,Mapping!D:D,0,0)</f>
        <v>Bin</v>
      </c>
      <c r="AE261" t="str">
        <f t="shared" si="9"/>
        <v>OLD</v>
      </c>
    </row>
    <row r="262" spans="1:31" x14ac:dyDescent="0.2">
      <c r="A262" t="s">
        <v>39</v>
      </c>
      <c r="B262">
        <v>1012703572</v>
      </c>
      <c r="C262" t="s">
        <v>317</v>
      </c>
      <c r="D262" t="s">
        <v>31</v>
      </c>
      <c r="E262" s="1">
        <v>0.67291666666666672</v>
      </c>
      <c r="F262" t="s">
        <v>32</v>
      </c>
      <c r="G262" t="s">
        <v>33</v>
      </c>
      <c r="H262" t="s">
        <v>41</v>
      </c>
      <c r="I262" t="s">
        <v>62</v>
      </c>
      <c r="J262">
        <v>530</v>
      </c>
      <c r="K262">
        <v>0</v>
      </c>
      <c r="L262" t="s">
        <v>36</v>
      </c>
      <c r="M262" t="s">
        <v>37</v>
      </c>
      <c r="N262">
        <v>0</v>
      </c>
      <c r="O262">
        <v>0</v>
      </c>
      <c r="P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 t="s">
        <v>36</v>
      </c>
      <c r="AB262" t="s">
        <v>43</v>
      </c>
      <c r="AC262" t="str">
        <f t="shared" si="8"/>
        <v>CP</v>
      </c>
      <c r="AD262" t="str">
        <f>_xlfn.XLOOKUP(C262,Mapping!A:A,Mapping!D:D,0,0)</f>
        <v>Bin</v>
      </c>
      <c r="AE262" t="str">
        <f t="shared" si="9"/>
        <v>OLD</v>
      </c>
    </row>
    <row r="263" spans="1:31" x14ac:dyDescent="0.2">
      <c r="A263" t="s">
        <v>39</v>
      </c>
      <c r="B263">
        <v>1012703582</v>
      </c>
      <c r="C263" t="s">
        <v>318</v>
      </c>
      <c r="D263" t="s">
        <v>31</v>
      </c>
      <c r="E263" s="1">
        <v>0.67291666666666672</v>
      </c>
      <c r="F263" t="s">
        <v>32</v>
      </c>
      <c r="G263" t="s">
        <v>33</v>
      </c>
      <c r="H263" t="s">
        <v>34</v>
      </c>
      <c r="I263" t="s">
        <v>84</v>
      </c>
      <c r="J263">
        <v>212</v>
      </c>
      <c r="K263">
        <v>0</v>
      </c>
      <c r="L263" t="s">
        <v>36</v>
      </c>
      <c r="M263" t="s">
        <v>37</v>
      </c>
      <c r="N263">
        <v>0</v>
      </c>
      <c r="O263">
        <v>0</v>
      </c>
      <c r="P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 t="s">
        <v>36</v>
      </c>
      <c r="AB263" t="s">
        <v>43</v>
      </c>
      <c r="AC263" t="str">
        <f t="shared" si="8"/>
        <v>CP</v>
      </c>
      <c r="AD263" t="str">
        <f>_xlfn.XLOOKUP(C263,Mapping!A:A,Mapping!D:D,0,0)</f>
        <v>Bin</v>
      </c>
      <c r="AE263" t="str">
        <f t="shared" si="9"/>
        <v>OLD</v>
      </c>
    </row>
    <row r="264" spans="1:31" x14ac:dyDescent="0.2">
      <c r="A264" t="s">
        <v>39</v>
      </c>
      <c r="B264">
        <v>1012703592</v>
      </c>
      <c r="C264" t="s">
        <v>319</v>
      </c>
      <c r="D264" t="s">
        <v>31</v>
      </c>
      <c r="E264" s="1">
        <v>0.67291666666666672</v>
      </c>
      <c r="F264" t="s">
        <v>32</v>
      </c>
      <c r="G264" t="s">
        <v>33</v>
      </c>
      <c r="H264" t="s">
        <v>41</v>
      </c>
      <c r="I264" t="s">
        <v>62</v>
      </c>
      <c r="J264">
        <v>530</v>
      </c>
      <c r="K264">
        <v>0</v>
      </c>
      <c r="L264" t="s">
        <v>36</v>
      </c>
      <c r="M264" t="s">
        <v>37</v>
      </c>
      <c r="N264">
        <v>0</v>
      </c>
      <c r="O264">
        <v>0</v>
      </c>
      <c r="P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 t="s">
        <v>36</v>
      </c>
      <c r="AB264" t="s">
        <v>43</v>
      </c>
      <c r="AC264" t="str">
        <f t="shared" si="8"/>
        <v>CP</v>
      </c>
      <c r="AD264" t="str">
        <f>_xlfn.XLOOKUP(C264,Mapping!A:A,Mapping!D:D,0,0)</f>
        <v>Bin</v>
      </c>
      <c r="AE264" t="str">
        <f t="shared" si="9"/>
        <v>OLD</v>
      </c>
    </row>
    <row r="265" spans="1:31" x14ac:dyDescent="0.2">
      <c r="A265" t="s">
        <v>39</v>
      </c>
      <c r="B265">
        <v>1012703602</v>
      </c>
      <c r="C265" t="s">
        <v>320</v>
      </c>
      <c r="D265" t="s">
        <v>31</v>
      </c>
      <c r="E265" s="1">
        <v>0.67291666666666672</v>
      </c>
      <c r="F265" t="s">
        <v>32</v>
      </c>
      <c r="G265" t="s">
        <v>33</v>
      </c>
      <c r="H265" t="s">
        <v>41</v>
      </c>
      <c r="I265" t="s">
        <v>62</v>
      </c>
      <c r="J265">
        <v>530</v>
      </c>
      <c r="K265">
        <v>0</v>
      </c>
      <c r="L265" t="s">
        <v>36</v>
      </c>
      <c r="M265" t="s">
        <v>37</v>
      </c>
      <c r="N265">
        <v>0</v>
      </c>
      <c r="O265">
        <v>0</v>
      </c>
      <c r="P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 t="s">
        <v>36</v>
      </c>
      <c r="AB265" t="s">
        <v>43</v>
      </c>
      <c r="AC265" t="str">
        <f t="shared" si="8"/>
        <v>CP</v>
      </c>
      <c r="AD265" t="str">
        <f>_xlfn.XLOOKUP(C265,Mapping!A:A,Mapping!D:D,0,0)</f>
        <v>Bin</v>
      </c>
      <c r="AE265" t="str">
        <f t="shared" si="9"/>
        <v>OLD</v>
      </c>
    </row>
    <row r="266" spans="1:31" x14ac:dyDescent="0.2">
      <c r="A266" t="s">
        <v>39</v>
      </c>
      <c r="B266">
        <v>1012703612</v>
      </c>
      <c r="C266" t="s">
        <v>321</v>
      </c>
      <c r="D266" t="s">
        <v>31</v>
      </c>
      <c r="E266" s="1">
        <v>0.67291666666666672</v>
      </c>
      <c r="F266" t="s">
        <v>32</v>
      </c>
      <c r="G266" t="s">
        <v>33</v>
      </c>
      <c r="H266" t="s">
        <v>34</v>
      </c>
      <c r="I266" t="s">
        <v>84</v>
      </c>
      <c r="J266">
        <v>212</v>
      </c>
      <c r="K266">
        <v>0</v>
      </c>
      <c r="L266" t="s">
        <v>63</v>
      </c>
      <c r="M266">
        <v>150</v>
      </c>
      <c r="N266">
        <v>0</v>
      </c>
      <c r="O266">
        <v>0</v>
      </c>
      <c r="P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 t="s">
        <v>36</v>
      </c>
      <c r="AB266" t="s">
        <v>43</v>
      </c>
      <c r="AC266" t="str">
        <f t="shared" si="8"/>
        <v>CP</v>
      </c>
      <c r="AD266" t="str">
        <f>_xlfn.XLOOKUP(C266,Mapping!A:A,Mapping!D:D,0,0)</f>
        <v>Bin</v>
      </c>
      <c r="AE266" t="str">
        <f t="shared" si="9"/>
        <v>OLD</v>
      </c>
    </row>
    <row r="267" spans="1:31" x14ac:dyDescent="0.2">
      <c r="A267" t="s">
        <v>39</v>
      </c>
      <c r="B267">
        <v>1012703622</v>
      </c>
      <c r="C267" t="s">
        <v>322</v>
      </c>
      <c r="D267" t="s">
        <v>31</v>
      </c>
      <c r="E267" s="1">
        <v>0.67291666666666672</v>
      </c>
      <c r="F267" t="s">
        <v>32</v>
      </c>
      <c r="G267" t="s">
        <v>33</v>
      </c>
      <c r="H267" t="s">
        <v>41</v>
      </c>
      <c r="I267" t="s">
        <v>62</v>
      </c>
      <c r="J267">
        <v>280</v>
      </c>
      <c r="K267">
        <v>0</v>
      </c>
      <c r="L267" t="s">
        <v>36</v>
      </c>
      <c r="M267" t="s">
        <v>37</v>
      </c>
      <c r="N267">
        <v>0</v>
      </c>
      <c r="O267">
        <v>0</v>
      </c>
      <c r="P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 t="s">
        <v>36</v>
      </c>
      <c r="AB267" t="s">
        <v>43</v>
      </c>
      <c r="AC267" t="str">
        <f t="shared" si="8"/>
        <v>CP</v>
      </c>
      <c r="AD267" t="str">
        <f>_xlfn.XLOOKUP(C267,Mapping!A:A,Mapping!D:D,0,0)</f>
        <v>Bin</v>
      </c>
      <c r="AE267" t="str">
        <f t="shared" si="9"/>
        <v>OLD</v>
      </c>
    </row>
    <row r="268" spans="1:31" x14ac:dyDescent="0.2">
      <c r="A268" t="s">
        <v>39</v>
      </c>
      <c r="B268">
        <v>1012703632</v>
      </c>
      <c r="C268" t="s">
        <v>323</v>
      </c>
      <c r="D268" t="s">
        <v>31</v>
      </c>
      <c r="E268" s="1">
        <v>0.67291666666666672</v>
      </c>
      <c r="F268" t="s">
        <v>32</v>
      </c>
      <c r="G268" t="s">
        <v>33</v>
      </c>
      <c r="H268" t="s">
        <v>41</v>
      </c>
      <c r="I268" t="s">
        <v>62</v>
      </c>
      <c r="J268">
        <v>530</v>
      </c>
      <c r="K268">
        <v>0</v>
      </c>
      <c r="L268" t="s">
        <v>36</v>
      </c>
      <c r="M268" t="s">
        <v>37</v>
      </c>
      <c r="N268">
        <v>0</v>
      </c>
      <c r="O268">
        <v>0</v>
      </c>
      <c r="P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 t="s">
        <v>36</v>
      </c>
      <c r="AB268" t="s">
        <v>43</v>
      </c>
      <c r="AC268" t="str">
        <f t="shared" si="8"/>
        <v>CP</v>
      </c>
      <c r="AD268" t="str">
        <f>_xlfn.XLOOKUP(C268,Mapping!A:A,Mapping!D:D,0,0)</f>
        <v>Bin</v>
      </c>
      <c r="AE268" t="str">
        <f t="shared" si="9"/>
        <v>OLD</v>
      </c>
    </row>
    <row r="269" spans="1:31" x14ac:dyDescent="0.2">
      <c r="A269" t="s">
        <v>39</v>
      </c>
      <c r="B269">
        <v>1012703642</v>
      </c>
      <c r="C269" t="s">
        <v>324</v>
      </c>
      <c r="D269" t="s">
        <v>31</v>
      </c>
      <c r="E269" s="1">
        <v>0.67291666666666672</v>
      </c>
      <c r="F269" t="s">
        <v>32</v>
      </c>
      <c r="G269" t="s">
        <v>33</v>
      </c>
      <c r="H269" t="s">
        <v>34</v>
      </c>
      <c r="I269" t="s">
        <v>84</v>
      </c>
      <c r="J269">
        <v>404</v>
      </c>
      <c r="K269">
        <v>0</v>
      </c>
      <c r="L269" t="s">
        <v>36</v>
      </c>
      <c r="M269" t="s">
        <v>37</v>
      </c>
      <c r="N269">
        <v>0</v>
      </c>
      <c r="O269">
        <v>0</v>
      </c>
      <c r="P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 t="s">
        <v>36</v>
      </c>
      <c r="AB269" t="s">
        <v>43</v>
      </c>
      <c r="AC269" t="str">
        <f t="shared" si="8"/>
        <v>CP</v>
      </c>
      <c r="AD269" t="str">
        <f>_xlfn.XLOOKUP(C269,Mapping!A:A,Mapping!D:D,0,0)</f>
        <v>Bin</v>
      </c>
      <c r="AE269" t="str">
        <f t="shared" si="9"/>
        <v>OLD</v>
      </c>
    </row>
    <row r="270" spans="1:31" x14ac:dyDescent="0.2">
      <c r="A270" t="s">
        <v>39</v>
      </c>
      <c r="B270">
        <v>1012703652</v>
      </c>
      <c r="C270" t="s">
        <v>325</v>
      </c>
      <c r="D270" t="s">
        <v>31</v>
      </c>
      <c r="E270" s="1">
        <v>0.67291666666666672</v>
      </c>
      <c r="F270" t="s">
        <v>32</v>
      </c>
      <c r="G270" t="s">
        <v>33</v>
      </c>
      <c r="H270" t="s">
        <v>41</v>
      </c>
      <c r="I270" t="s">
        <v>62</v>
      </c>
      <c r="J270">
        <v>530</v>
      </c>
      <c r="K270">
        <v>0</v>
      </c>
      <c r="L270" t="s">
        <v>36</v>
      </c>
      <c r="M270" t="s">
        <v>37</v>
      </c>
      <c r="N270">
        <v>0</v>
      </c>
      <c r="O270">
        <v>0</v>
      </c>
      <c r="P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 t="s">
        <v>36</v>
      </c>
      <c r="AB270" t="s">
        <v>43</v>
      </c>
      <c r="AC270" t="str">
        <f t="shared" si="8"/>
        <v>CP</v>
      </c>
      <c r="AD270" t="str">
        <f>_xlfn.XLOOKUP(C270,Mapping!A:A,Mapping!D:D,0,0)</f>
        <v>Bin</v>
      </c>
      <c r="AE270" t="str">
        <f t="shared" si="9"/>
        <v>OLD</v>
      </c>
    </row>
    <row r="271" spans="1:31" x14ac:dyDescent="0.2">
      <c r="A271" t="s">
        <v>39</v>
      </c>
      <c r="B271">
        <v>1012703662</v>
      </c>
      <c r="C271" t="s">
        <v>326</v>
      </c>
      <c r="D271" t="s">
        <v>31</v>
      </c>
      <c r="E271" s="1">
        <v>0.67291666666666672</v>
      </c>
      <c r="F271" t="s">
        <v>32</v>
      </c>
      <c r="G271" t="s">
        <v>33</v>
      </c>
      <c r="H271" t="s">
        <v>41</v>
      </c>
      <c r="I271" t="s">
        <v>62</v>
      </c>
      <c r="J271">
        <v>1010</v>
      </c>
      <c r="K271">
        <v>0</v>
      </c>
      <c r="L271" t="s">
        <v>63</v>
      </c>
      <c r="M271">
        <v>150</v>
      </c>
      <c r="N271">
        <v>0</v>
      </c>
      <c r="O271">
        <v>0</v>
      </c>
      <c r="P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 t="s">
        <v>36</v>
      </c>
      <c r="AB271" t="s">
        <v>43</v>
      </c>
      <c r="AC271" t="str">
        <f t="shared" si="8"/>
        <v>CP</v>
      </c>
      <c r="AD271" t="str">
        <f>_xlfn.XLOOKUP(C271,Mapping!A:A,Mapping!D:D,0,0)</f>
        <v>Bin</v>
      </c>
      <c r="AE271" t="str">
        <f t="shared" si="9"/>
        <v>OLD</v>
      </c>
    </row>
    <row r="272" spans="1:31" x14ac:dyDescent="0.2">
      <c r="A272" t="s">
        <v>39</v>
      </c>
      <c r="B272">
        <v>1012703672</v>
      </c>
      <c r="C272" t="s">
        <v>327</v>
      </c>
      <c r="D272" t="s">
        <v>31</v>
      </c>
      <c r="E272" s="1">
        <v>0.67291666666666672</v>
      </c>
      <c r="F272" t="s">
        <v>32</v>
      </c>
      <c r="G272" t="s">
        <v>33</v>
      </c>
      <c r="H272" t="s">
        <v>34</v>
      </c>
      <c r="I272" t="s">
        <v>84</v>
      </c>
      <c r="J272">
        <v>112</v>
      </c>
      <c r="K272">
        <v>0</v>
      </c>
      <c r="L272" t="s">
        <v>36</v>
      </c>
      <c r="M272" t="s">
        <v>37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3.1059999999999999</v>
      </c>
      <c r="T272">
        <v>0</v>
      </c>
      <c r="U272">
        <v>0</v>
      </c>
      <c r="V272">
        <v>1</v>
      </c>
      <c r="W272">
        <v>0</v>
      </c>
      <c r="X272" t="s">
        <v>36</v>
      </c>
      <c r="Y272">
        <v>1</v>
      </c>
      <c r="Z272">
        <v>1</v>
      </c>
      <c r="AA272">
        <v>0</v>
      </c>
      <c r="AB272" t="s">
        <v>43</v>
      </c>
      <c r="AC272" t="str">
        <f t="shared" si="8"/>
        <v>CP</v>
      </c>
      <c r="AD272" t="str">
        <f>_xlfn.XLOOKUP(C272,Mapping!A:A,Mapping!D:D,0,0)</f>
        <v>Bin</v>
      </c>
      <c r="AE272" t="str">
        <f t="shared" si="9"/>
        <v>OLD</v>
      </c>
    </row>
    <row r="273" spans="1:31" x14ac:dyDescent="0.2">
      <c r="A273" t="s">
        <v>39</v>
      </c>
      <c r="B273">
        <v>1012703682</v>
      </c>
      <c r="C273" t="s">
        <v>328</v>
      </c>
      <c r="D273" t="s">
        <v>31</v>
      </c>
      <c r="E273" s="1">
        <v>0.67291666666666672</v>
      </c>
      <c r="F273" t="s">
        <v>32</v>
      </c>
      <c r="G273" t="s">
        <v>33</v>
      </c>
      <c r="H273" t="s">
        <v>41</v>
      </c>
      <c r="I273" t="s">
        <v>62</v>
      </c>
      <c r="J273">
        <v>530</v>
      </c>
      <c r="K273">
        <v>0</v>
      </c>
      <c r="L273" t="s">
        <v>63</v>
      </c>
      <c r="M273">
        <v>150</v>
      </c>
      <c r="N273">
        <v>0</v>
      </c>
      <c r="O273">
        <v>0</v>
      </c>
      <c r="P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 t="s">
        <v>36</v>
      </c>
      <c r="AB273" t="s">
        <v>43</v>
      </c>
      <c r="AC273" t="str">
        <f t="shared" si="8"/>
        <v>CP</v>
      </c>
      <c r="AD273" t="str">
        <f>_xlfn.XLOOKUP(C273,Mapping!A:A,Mapping!D:D,0,0)</f>
        <v>Bin</v>
      </c>
      <c r="AE273" t="str">
        <f t="shared" si="9"/>
        <v>OLD</v>
      </c>
    </row>
    <row r="274" spans="1:31" x14ac:dyDescent="0.2">
      <c r="A274" t="s">
        <v>39</v>
      </c>
      <c r="B274">
        <v>1012707882</v>
      </c>
      <c r="C274" t="s">
        <v>254</v>
      </c>
      <c r="D274" t="s">
        <v>31</v>
      </c>
      <c r="E274" s="1">
        <v>0.67291666666666672</v>
      </c>
      <c r="F274" t="s">
        <v>32</v>
      </c>
      <c r="G274" t="s">
        <v>33</v>
      </c>
      <c r="H274" t="s">
        <v>41</v>
      </c>
      <c r="I274" t="s">
        <v>84</v>
      </c>
      <c r="J274">
        <v>298</v>
      </c>
      <c r="K274">
        <v>0</v>
      </c>
      <c r="L274" t="s">
        <v>63</v>
      </c>
      <c r="M274">
        <v>250</v>
      </c>
      <c r="N274">
        <v>0</v>
      </c>
      <c r="O274">
        <v>0</v>
      </c>
      <c r="P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 t="s">
        <v>36</v>
      </c>
      <c r="AB274" t="s">
        <v>43</v>
      </c>
      <c r="AC274" t="str">
        <f t="shared" si="8"/>
        <v>CP</v>
      </c>
      <c r="AD274" t="str">
        <f>_xlfn.XLOOKUP(C274,Mapping!A:A,Mapping!D:D,0,0)</f>
        <v>Bin</v>
      </c>
      <c r="AE274" t="str">
        <f t="shared" si="9"/>
        <v>OLD</v>
      </c>
    </row>
    <row r="275" spans="1:31" x14ac:dyDescent="0.2">
      <c r="A275" t="s">
        <v>39</v>
      </c>
      <c r="B275">
        <v>1012707892</v>
      </c>
      <c r="C275" t="s">
        <v>329</v>
      </c>
      <c r="D275" t="s">
        <v>31</v>
      </c>
      <c r="E275" s="1">
        <v>0.67291666666666672</v>
      </c>
      <c r="F275" t="s">
        <v>32</v>
      </c>
      <c r="G275" t="s">
        <v>33</v>
      </c>
      <c r="H275" t="s">
        <v>41</v>
      </c>
      <c r="I275" t="s">
        <v>84</v>
      </c>
      <c r="J275">
        <v>280</v>
      </c>
      <c r="K275">
        <v>0</v>
      </c>
      <c r="L275" t="s">
        <v>36</v>
      </c>
      <c r="M275" t="s">
        <v>37</v>
      </c>
      <c r="N275">
        <v>0</v>
      </c>
      <c r="O275">
        <v>0</v>
      </c>
      <c r="P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 t="s">
        <v>36</v>
      </c>
      <c r="AB275" t="s">
        <v>43</v>
      </c>
      <c r="AC275" t="str">
        <f t="shared" si="8"/>
        <v>CP</v>
      </c>
      <c r="AD275" t="str">
        <f>_xlfn.XLOOKUP(C275,Mapping!A:A,Mapping!D:D,0,0)</f>
        <v>Bin</v>
      </c>
      <c r="AE275" t="str">
        <f t="shared" si="9"/>
        <v>OLD</v>
      </c>
    </row>
    <row r="276" spans="1:31" x14ac:dyDescent="0.2">
      <c r="A276" t="s">
        <v>39</v>
      </c>
      <c r="B276">
        <v>1012707912</v>
      </c>
      <c r="C276" t="s">
        <v>330</v>
      </c>
      <c r="D276" t="s">
        <v>31</v>
      </c>
      <c r="E276" s="1">
        <v>0.67291666666666672</v>
      </c>
      <c r="F276" t="s">
        <v>32</v>
      </c>
      <c r="G276" t="s">
        <v>33</v>
      </c>
      <c r="H276" t="s">
        <v>41</v>
      </c>
      <c r="I276" t="s">
        <v>84</v>
      </c>
      <c r="J276">
        <v>280</v>
      </c>
      <c r="K276">
        <v>0</v>
      </c>
      <c r="L276" t="s">
        <v>36</v>
      </c>
      <c r="M276" t="s">
        <v>37</v>
      </c>
      <c r="N276">
        <v>0</v>
      </c>
      <c r="O276">
        <v>0</v>
      </c>
      <c r="P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 t="s">
        <v>36</v>
      </c>
      <c r="AB276" t="s">
        <v>43</v>
      </c>
      <c r="AC276" t="str">
        <f t="shared" si="8"/>
        <v>CP</v>
      </c>
      <c r="AD276" t="str">
        <f>_xlfn.XLOOKUP(C276,Mapping!A:A,Mapping!D:D,0,0)</f>
        <v>Bin</v>
      </c>
      <c r="AE276" t="str">
        <f t="shared" si="9"/>
        <v>OLD</v>
      </c>
    </row>
    <row r="277" spans="1:31" x14ac:dyDescent="0.2">
      <c r="A277" t="s">
        <v>39</v>
      </c>
      <c r="B277">
        <v>1012707922</v>
      </c>
      <c r="C277" t="s">
        <v>331</v>
      </c>
      <c r="D277" t="s">
        <v>31</v>
      </c>
      <c r="E277" s="1">
        <v>0.67291666666666672</v>
      </c>
      <c r="F277" t="s">
        <v>32</v>
      </c>
      <c r="G277" t="s">
        <v>33</v>
      </c>
      <c r="H277" t="s">
        <v>41</v>
      </c>
      <c r="I277" t="s">
        <v>84</v>
      </c>
      <c r="J277">
        <v>598</v>
      </c>
      <c r="K277">
        <v>0</v>
      </c>
      <c r="L277" t="s">
        <v>63</v>
      </c>
      <c r="M277">
        <v>250</v>
      </c>
      <c r="N277">
        <v>0</v>
      </c>
      <c r="O277">
        <v>0</v>
      </c>
      <c r="P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 t="s">
        <v>36</v>
      </c>
      <c r="AB277" t="s">
        <v>43</v>
      </c>
      <c r="AC277" t="str">
        <f t="shared" si="8"/>
        <v>CP</v>
      </c>
      <c r="AD277" t="str">
        <f>_xlfn.XLOOKUP(C277,Mapping!A:A,Mapping!D:D,0,0)</f>
        <v>Bin</v>
      </c>
      <c r="AE277" t="str">
        <f t="shared" si="9"/>
        <v>OLD</v>
      </c>
    </row>
    <row r="278" spans="1:31" x14ac:dyDescent="0.2">
      <c r="A278" t="s">
        <v>39</v>
      </c>
      <c r="B278">
        <v>1012707932</v>
      </c>
      <c r="C278" t="s">
        <v>332</v>
      </c>
      <c r="D278" t="s">
        <v>31</v>
      </c>
      <c r="E278" s="1">
        <v>0.67291666666666672</v>
      </c>
      <c r="F278" t="s">
        <v>32</v>
      </c>
      <c r="G278" t="s">
        <v>33</v>
      </c>
      <c r="H278" t="s">
        <v>41</v>
      </c>
      <c r="I278" t="s">
        <v>84</v>
      </c>
      <c r="J278">
        <v>598</v>
      </c>
      <c r="K278">
        <v>0</v>
      </c>
      <c r="L278" t="s">
        <v>63</v>
      </c>
      <c r="M278">
        <v>250</v>
      </c>
      <c r="N278">
        <v>0</v>
      </c>
      <c r="O278">
        <v>0</v>
      </c>
      <c r="P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 t="s">
        <v>36</v>
      </c>
      <c r="AB278" t="s">
        <v>43</v>
      </c>
      <c r="AC278" t="str">
        <f t="shared" si="8"/>
        <v>CP</v>
      </c>
      <c r="AD278" t="str">
        <f>_xlfn.XLOOKUP(C278,Mapping!A:A,Mapping!D:D,0,0)</f>
        <v>Bin</v>
      </c>
      <c r="AE278" t="str">
        <f t="shared" si="9"/>
        <v>OLD</v>
      </c>
    </row>
    <row r="279" spans="1:31" x14ac:dyDescent="0.2">
      <c r="A279" t="s">
        <v>39</v>
      </c>
      <c r="B279">
        <v>1012710692</v>
      </c>
      <c r="C279" t="s">
        <v>333</v>
      </c>
      <c r="D279" t="s">
        <v>31</v>
      </c>
      <c r="E279" s="1">
        <v>0.67291666666666672</v>
      </c>
      <c r="F279" t="s">
        <v>32</v>
      </c>
      <c r="G279" t="s">
        <v>33</v>
      </c>
      <c r="H279" t="s">
        <v>41</v>
      </c>
      <c r="I279" t="s">
        <v>255</v>
      </c>
      <c r="J279">
        <v>1050</v>
      </c>
      <c r="K279">
        <v>0</v>
      </c>
      <c r="L279" t="s">
        <v>36</v>
      </c>
      <c r="M279" t="s">
        <v>37</v>
      </c>
      <c r="N279">
        <v>0</v>
      </c>
      <c r="O279">
        <v>0</v>
      </c>
      <c r="P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 t="s">
        <v>36</v>
      </c>
      <c r="AB279" t="s">
        <v>43</v>
      </c>
      <c r="AC279" t="str">
        <f t="shared" si="8"/>
        <v>CP</v>
      </c>
      <c r="AD279" t="str">
        <f>_xlfn.XLOOKUP(C279,Mapping!A:A,Mapping!D:D,0,0)</f>
        <v>Bin</v>
      </c>
      <c r="AE279" t="str">
        <f t="shared" si="9"/>
        <v>OLD</v>
      </c>
    </row>
    <row r="280" spans="1:31" x14ac:dyDescent="0.2">
      <c r="A280" t="s">
        <v>39</v>
      </c>
      <c r="B280">
        <v>1012710702</v>
      </c>
      <c r="C280" t="s">
        <v>334</v>
      </c>
      <c r="D280" t="s">
        <v>31</v>
      </c>
      <c r="E280" s="1">
        <v>0.67291666666666672</v>
      </c>
      <c r="F280" t="s">
        <v>32</v>
      </c>
      <c r="G280" t="s">
        <v>33</v>
      </c>
      <c r="H280" t="s">
        <v>41</v>
      </c>
      <c r="I280" t="s">
        <v>62</v>
      </c>
      <c r="J280">
        <v>280</v>
      </c>
      <c r="K280">
        <v>0</v>
      </c>
      <c r="L280" t="s">
        <v>36</v>
      </c>
      <c r="M280" t="s">
        <v>37</v>
      </c>
      <c r="N280">
        <v>0</v>
      </c>
      <c r="O280">
        <v>0</v>
      </c>
      <c r="P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 t="s">
        <v>36</v>
      </c>
      <c r="AB280" t="s">
        <v>43</v>
      </c>
      <c r="AC280" t="str">
        <f t="shared" si="8"/>
        <v>CP</v>
      </c>
      <c r="AD280" t="str">
        <f>_xlfn.XLOOKUP(C280,Mapping!A:A,Mapping!D:D,0,0)</f>
        <v>Bin</v>
      </c>
      <c r="AE280" t="str">
        <f t="shared" si="9"/>
        <v>OLD</v>
      </c>
    </row>
    <row r="281" spans="1:31" x14ac:dyDescent="0.2">
      <c r="A281" t="s">
        <v>39</v>
      </c>
      <c r="B281">
        <v>1012710722</v>
      </c>
      <c r="C281" t="s">
        <v>335</v>
      </c>
      <c r="D281" t="s">
        <v>31</v>
      </c>
      <c r="E281" s="1">
        <v>0.67291666666666672</v>
      </c>
      <c r="F281" t="s">
        <v>32</v>
      </c>
      <c r="G281" t="s">
        <v>33</v>
      </c>
      <c r="H281" t="s">
        <v>34</v>
      </c>
      <c r="I281" t="s">
        <v>84</v>
      </c>
      <c r="J281">
        <v>112</v>
      </c>
      <c r="K281">
        <v>0</v>
      </c>
      <c r="L281" t="s">
        <v>36</v>
      </c>
      <c r="M281" t="s">
        <v>37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 t="s">
        <v>36</v>
      </c>
      <c r="Y281">
        <v>0</v>
      </c>
      <c r="Z281">
        <v>0</v>
      </c>
      <c r="AA281">
        <v>0</v>
      </c>
      <c r="AB281" t="s">
        <v>43</v>
      </c>
      <c r="AC281" t="str">
        <f t="shared" si="8"/>
        <v>CP</v>
      </c>
      <c r="AD281" t="str">
        <f>_xlfn.XLOOKUP(C281,Mapping!A:A,Mapping!D:D,0,0)</f>
        <v>Bin</v>
      </c>
      <c r="AE281" t="str">
        <f t="shared" si="9"/>
        <v>OLD</v>
      </c>
    </row>
    <row r="282" spans="1:31" x14ac:dyDescent="0.2">
      <c r="A282" t="s">
        <v>39</v>
      </c>
      <c r="B282">
        <v>1012710732</v>
      </c>
      <c r="C282" t="s">
        <v>336</v>
      </c>
      <c r="D282" t="s">
        <v>31</v>
      </c>
      <c r="E282" s="1">
        <v>0.67291666666666672</v>
      </c>
      <c r="F282" t="s">
        <v>32</v>
      </c>
      <c r="G282" t="s">
        <v>33</v>
      </c>
      <c r="H282" t="s">
        <v>41</v>
      </c>
      <c r="I282" t="s">
        <v>62</v>
      </c>
      <c r="J282">
        <v>930</v>
      </c>
      <c r="K282">
        <v>0</v>
      </c>
      <c r="L282" t="s">
        <v>36</v>
      </c>
      <c r="M282" t="s">
        <v>37</v>
      </c>
      <c r="N282">
        <v>0</v>
      </c>
      <c r="O282">
        <v>0</v>
      </c>
      <c r="P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 t="s">
        <v>36</v>
      </c>
      <c r="AB282" t="s">
        <v>43</v>
      </c>
      <c r="AC282" t="str">
        <f t="shared" si="8"/>
        <v>CP</v>
      </c>
      <c r="AD282" t="str">
        <f>_xlfn.XLOOKUP(C282,Mapping!A:A,Mapping!D:D,0,0)</f>
        <v>Bin</v>
      </c>
      <c r="AE282" t="str">
        <f t="shared" si="9"/>
        <v>OLD</v>
      </c>
    </row>
    <row r="283" spans="1:31" x14ac:dyDescent="0.2">
      <c r="A283" t="s">
        <v>39</v>
      </c>
      <c r="B283">
        <v>1012710742</v>
      </c>
      <c r="C283" t="s">
        <v>337</v>
      </c>
      <c r="D283" t="s">
        <v>31</v>
      </c>
      <c r="E283" s="1">
        <v>0.67291666666666672</v>
      </c>
      <c r="F283" t="s">
        <v>32</v>
      </c>
      <c r="G283" t="s">
        <v>33</v>
      </c>
      <c r="H283" t="s">
        <v>41</v>
      </c>
      <c r="I283" t="s">
        <v>62</v>
      </c>
      <c r="J283">
        <v>930</v>
      </c>
      <c r="K283">
        <v>0</v>
      </c>
      <c r="L283" t="s">
        <v>36</v>
      </c>
      <c r="M283" t="s">
        <v>37</v>
      </c>
      <c r="N283">
        <v>0</v>
      </c>
      <c r="O283">
        <v>0</v>
      </c>
      <c r="P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 t="s">
        <v>36</v>
      </c>
      <c r="AB283" t="s">
        <v>43</v>
      </c>
      <c r="AC283" t="str">
        <f t="shared" si="8"/>
        <v>CP</v>
      </c>
      <c r="AD283" t="str">
        <f>_xlfn.XLOOKUP(C283,Mapping!A:A,Mapping!D:D,0,0)</f>
        <v>Bin</v>
      </c>
      <c r="AE283" t="str">
        <f t="shared" si="9"/>
        <v>OLD</v>
      </c>
    </row>
    <row r="284" spans="1:31" x14ac:dyDescent="0.2">
      <c r="A284" t="s">
        <v>39</v>
      </c>
      <c r="B284">
        <v>1012710752</v>
      </c>
      <c r="C284" t="s">
        <v>338</v>
      </c>
      <c r="D284" t="s">
        <v>31</v>
      </c>
      <c r="E284" s="1">
        <v>0.67291666666666672</v>
      </c>
      <c r="F284" t="s">
        <v>32</v>
      </c>
      <c r="G284" t="s">
        <v>33</v>
      </c>
      <c r="H284" t="s">
        <v>34</v>
      </c>
      <c r="I284" t="s">
        <v>84</v>
      </c>
      <c r="J284">
        <v>112</v>
      </c>
      <c r="K284">
        <v>0</v>
      </c>
      <c r="L284" t="s">
        <v>36</v>
      </c>
      <c r="M284" t="s">
        <v>37</v>
      </c>
      <c r="N284">
        <v>0</v>
      </c>
      <c r="O284">
        <v>0</v>
      </c>
      <c r="P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 t="s">
        <v>36</v>
      </c>
      <c r="AB284" t="s">
        <v>43</v>
      </c>
      <c r="AC284" t="str">
        <f t="shared" si="8"/>
        <v>CP</v>
      </c>
      <c r="AD284" t="str">
        <f>_xlfn.XLOOKUP(C284,Mapping!A:A,Mapping!D:D,0,0)</f>
        <v>Bin</v>
      </c>
      <c r="AE284" t="str">
        <f t="shared" si="9"/>
        <v>OLD</v>
      </c>
    </row>
    <row r="285" spans="1:31" x14ac:dyDescent="0.2">
      <c r="A285" t="s">
        <v>39</v>
      </c>
      <c r="B285">
        <v>1012710762</v>
      </c>
      <c r="C285" t="s">
        <v>339</v>
      </c>
      <c r="D285" t="s">
        <v>31</v>
      </c>
      <c r="E285" s="1">
        <v>0.67291666666666672</v>
      </c>
      <c r="F285" t="s">
        <v>32</v>
      </c>
      <c r="G285" t="s">
        <v>33</v>
      </c>
      <c r="H285" t="s">
        <v>41</v>
      </c>
      <c r="I285" t="s">
        <v>62</v>
      </c>
      <c r="J285">
        <v>930</v>
      </c>
      <c r="K285">
        <v>0</v>
      </c>
      <c r="L285" t="s">
        <v>36</v>
      </c>
      <c r="M285" t="s">
        <v>37</v>
      </c>
      <c r="N285">
        <v>0</v>
      </c>
      <c r="O285">
        <v>0</v>
      </c>
      <c r="P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 t="s">
        <v>36</v>
      </c>
      <c r="AB285" t="s">
        <v>43</v>
      </c>
      <c r="AC285" t="str">
        <f t="shared" si="8"/>
        <v>CP</v>
      </c>
      <c r="AD285" t="str">
        <f>_xlfn.XLOOKUP(C285,Mapping!A:A,Mapping!D:D,0,0)</f>
        <v>Bin</v>
      </c>
      <c r="AE285" t="str">
        <f t="shared" si="9"/>
        <v>OLD</v>
      </c>
    </row>
    <row r="286" spans="1:31" x14ac:dyDescent="0.2">
      <c r="A286" t="s">
        <v>39</v>
      </c>
      <c r="B286">
        <v>1012710772</v>
      </c>
      <c r="C286" t="s">
        <v>340</v>
      </c>
      <c r="D286" t="s">
        <v>31</v>
      </c>
      <c r="E286" s="1">
        <v>0.67291666666666672</v>
      </c>
      <c r="F286" t="s">
        <v>32</v>
      </c>
      <c r="G286" t="s">
        <v>33</v>
      </c>
      <c r="H286" t="s">
        <v>41</v>
      </c>
      <c r="I286" t="s">
        <v>62</v>
      </c>
      <c r="J286">
        <v>570</v>
      </c>
      <c r="K286">
        <v>0</v>
      </c>
      <c r="L286" t="s">
        <v>36</v>
      </c>
      <c r="M286" t="s">
        <v>37</v>
      </c>
      <c r="N286">
        <v>0</v>
      </c>
      <c r="O286">
        <v>0</v>
      </c>
      <c r="P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 t="s">
        <v>36</v>
      </c>
      <c r="AB286" t="s">
        <v>43</v>
      </c>
      <c r="AC286" t="str">
        <f t="shared" si="8"/>
        <v>CP</v>
      </c>
      <c r="AD286" t="str">
        <f>_xlfn.XLOOKUP(C286,Mapping!A:A,Mapping!D:D,0,0)</f>
        <v>Bin</v>
      </c>
      <c r="AE286" t="str">
        <f t="shared" si="9"/>
        <v>OLD</v>
      </c>
    </row>
    <row r="287" spans="1:31" x14ac:dyDescent="0.2">
      <c r="A287" t="s">
        <v>39</v>
      </c>
      <c r="B287">
        <v>1012710782</v>
      </c>
      <c r="C287" t="s">
        <v>341</v>
      </c>
      <c r="D287" t="s">
        <v>31</v>
      </c>
      <c r="E287" s="1">
        <v>0.67291666666666672</v>
      </c>
      <c r="F287" t="s">
        <v>32</v>
      </c>
      <c r="G287" t="s">
        <v>33</v>
      </c>
      <c r="H287" t="s">
        <v>34</v>
      </c>
      <c r="I287" t="s">
        <v>84</v>
      </c>
      <c r="J287">
        <v>228</v>
      </c>
      <c r="K287">
        <v>0</v>
      </c>
      <c r="L287" t="s">
        <v>36</v>
      </c>
      <c r="M287" t="s">
        <v>37</v>
      </c>
      <c r="N287">
        <v>0</v>
      </c>
      <c r="O287">
        <v>0</v>
      </c>
      <c r="P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 t="s">
        <v>36</v>
      </c>
      <c r="AB287" t="s">
        <v>43</v>
      </c>
      <c r="AC287" t="str">
        <f t="shared" si="8"/>
        <v>CP</v>
      </c>
      <c r="AD287" t="str">
        <f>_xlfn.XLOOKUP(C287,Mapping!A:A,Mapping!D:D,0,0)</f>
        <v>Bin</v>
      </c>
      <c r="AE287" t="str">
        <f t="shared" si="9"/>
        <v>OLD</v>
      </c>
    </row>
    <row r="288" spans="1:31" x14ac:dyDescent="0.2">
      <c r="A288" t="s">
        <v>39</v>
      </c>
      <c r="B288">
        <v>1012710792</v>
      </c>
      <c r="C288" t="s">
        <v>342</v>
      </c>
      <c r="D288" t="s">
        <v>31</v>
      </c>
      <c r="E288" s="1">
        <v>0.67291666666666672</v>
      </c>
      <c r="F288" t="s">
        <v>32</v>
      </c>
      <c r="G288" t="s">
        <v>33</v>
      </c>
      <c r="H288" t="s">
        <v>41</v>
      </c>
      <c r="I288" t="s">
        <v>62</v>
      </c>
      <c r="J288">
        <v>570</v>
      </c>
      <c r="K288">
        <v>0</v>
      </c>
      <c r="L288" t="s">
        <v>36</v>
      </c>
      <c r="M288" t="s">
        <v>37</v>
      </c>
      <c r="N288">
        <v>0</v>
      </c>
      <c r="O288">
        <v>0</v>
      </c>
      <c r="P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 t="s">
        <v>36</v>
      </c>
      <c r="AB288" t="s">
        <v>43</v>
      </c>
      <c r="AC288" t="str">
        <f t="shared" si="8"/>
        <v>CP</v>
      </c>
      <c r="AD288" t="str">
        <f>_xlfn.XLOOKUP(C288,Mapping!A:A,Mapping!D:D,0,0)</f>
        <v>Bin</v>
      </c>
      <c r="AE288" t="str">
        <f t="shared" si="9"/>
        <v>OLD</v>
      </c>
    </row>
    <row r="289" spans="1:31" x14ac:dyDescent="0.2">
      <c r="A289" t="s">
        <v>39</v>
      </c>
      <c r="B289">
        <v>1012710802</v>
      </c>
      <c r="C289" t="s">
        <v>343</v>
      </c>
      <c r="D289" t="s">
        <v>31</v>
      </c>
      <c r="E289" s="1">
        <v>0.67291666666666672</v>
      </c>
      <c r="F289" t="s">
        <v>32</v>
      </c>
      <c r="G289" t="s">
        <v>33</v>
      </c>
      <c r="H289" t="s">
        <v>41</v>
      </c>
      <c r="I289" t="s">
        <v>62</v>
      </c>
      <c r="J289">
        <v>930</v>
      </c>
      <c r="K289">
        <v>0</v>
      </c>
      <c r="L289" t="s">
        <v>36</v>
      </c>
      <c r="M289" t="s">
        <v>37</v>
      </c>
      <c r="N289">
        <v>0</v>
      </c>
      <c r="O289">
        <v>0</v>
      </c>
      <c r="P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 t="s">
        <v>36</v>
      </c>
      <c r="AB289" t="s">
        <v>119</v>
      </c>
      <c r="AC289" t="str">
        <f t="shared" si="8"/>
        <v>CP</v>
      </c>
      <c r="AD289" t="str">
        <f>_xlfn.XLOOKUP(C289,Mapping!A:A,Mapping!D:D,0,0)</f>
        <v>Archive</v>
      </c>
      <c r="AE289" t="str">
        <f t="shared" si="9"/>
        <v>OLD</v>
      </c>
    </row>
    <row r="290" spans="1:31" x14ac:dyDescent="0.2">
      <c r="A290" t="s">
        <v>39</v>
      </c>
      <c r="B290">
        <v>1012710812</v>
      </c>
      <c r="C290" t="s">
        <v>344</v>
      </c>
      <c r="D290" t="s">
        <v>31</v>
      </c>
      <c r="E290" s="1">
        <v>0.67291666666666672</v>
      </c>
      <c r="F290" t="s">
        <v>32</v>
      </c>
      <c r="G290" t="s">
        <v>33</v>
      </c>
      <c r="H290" t="s">
        <v>34</v>
      </c>
      <c r="I290" t="s">
        <v>84</v>
      </c>
      <c r="J290">
        <v>372</v>
      </c>
      <c r="K290">
        <v>0</v>
      </c>
      <c r="L290" t="s">
        <v>63</v>
      </c>
      <c r="M290">
        <v>150</v>
      </c>
      <c r="N290">
        <v>0</v>
      </c>
      <c r="O290">
        <v>0</v>
      </c>
      <c r="P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 t="s">
        <v>36</v>
      </c>
      <c r="AB290" t="s">
        <v>43</v>
      </c>
      <c r="AC290" t="str">
        <f t="shared" si="8"/>
        <v>CP</v>
      </c>
      <c r="AD290" t="str">
        <f>_xlfn.XLOOKUP(C290,Mapping!A:A,Mapping!D:D,0,0)</f>
        <v>Bin</v>
      </c>
      <c r="AE290" t="str">
        <f t="shared" si="9"/>
        <v>OLD</v>
      </c>
    </row>
    <row r="291" spans="1:31" x14ac:dyDescent="0.2">
      <c r="A291" t="s">
        <v>39</v>
      </c>
      <c r="B291">
        <v>1012710822</v>
      </c>
      <c r="C291" t="s">
        <v>345</v>
      </c>
      <c r="D291" t="s">
        <v>31</v>
      </c>
      <c r="E291" s="1">
        <v>0.67291666666666672</v>
      </c>
      <c r="F291" t="s">
        <v>32</v>
      </c>
      <c r="G291" t="s">
        <v>33</v>
      </c>
      <c r="H291" t="s">
        <v>41</v>
      </c>
      <c r="I291" t="s">
        <v>62</v>
      </c>
      <c r="J291">
        <v>280</v>
      </c>
      <c r="K291">
        <v>0</v>
      </c>
      <c r="L291" t="s">
        <v>36</v>
      </c>
      <c r="M291" t="s">
        <v>37</v>
      </c>
      <c r="N291">
        <v>0</v>
      </c>
      <c r="O291">
        <v>0</v>
      </c>
      <c r="P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 t="s">
        <v>36</v>
      </c>
      <c r="AB291" t="s">
        <v>43</v>
      </c>
      <c r="AC291" t="str">
        <f t="shared" si="8"/>
        <v>CP</v>
      </c>
      <c r="AD291" t="str">
        <f>_xlfn.XLOOKUP(C291,Mapping!A:A,Mapping!D:D,0,0)</f>
        <v>Bin</v>
      </c>
      <c r="AE291" t="str">
        <f t="shared" si="9"/>
        <v>OLD</v>
      </c>
    </row>
    <row r="292" spans="1:31" x14ac:dyDescent="0.2">
      <c r="A292" t="s">
        <v>39</v>
      </c>
      <c r="B292">
        <v>1012710832</v>
      </c>
      <c r="C292" t="s">
        <v>346</v>
      </c>
      <c r="D292" t="s">
        <v>31</v>
      </c>
      <c r="E292" s="1">
        <v>0.67291666666666672</v>
      </c>
      <c r="F292" t="s">
        <v>32</v>
      </c>
      <c r="G292" t="s">
        <v>33</v>
      </c>
      <c r="H292" t="s">
        <v>41</v>
      </c>
      <c r="I292" t="s">
        <v>62</v>
      </c>
      <c r="J292">
        <v>280</v>
      </c>
      <c r="K292">
        <v>0</v>
      </c>
      <c r="L292" t="s">
        <v>63</v>
      </c>
      <c r="M292">
        <v>150</v>
      </c>
      <c r="N292">
        <v>0</v>
      </c>
      <c r="O292">
        <v>0</v>
      </c>
      <c r="P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 t="s">
        <v>36</v>
      </c>
      <c r="AB292" t="s">
        <v>43</v>
      </c>
      <c r="AC292" t="str">
        <f t="shared" si="8"/>
        <v>CP</v>
      </c>
      <c r="AD292" t="str">
        <f>_xlfn.XLOOKUP(C292,Mapping!A:A,Mapping!D:D,0,0)</f>
        <v>Bin</v>
      </c>
      <c r="AE292" t="str">
        <f t="shared" si="9"/>
        <v>OLD</v>
      </c>
    </row>
    <row r="293" spans="1:31" x14ac:dyDescent="0.2">
      <c r="A293" t="s">
        <v>29</v>
      </c>
      <c r="B293">
        <v>1012710842</v>
      </c>
      <c r="C293" t="s">
        <v>347</v>
      </c>
      <c r="D293" t="s">
        <v>31</v>
      </c>
      <c r="E293" s="1">
        <v>0.67291666666666672</v>
      </c>
      <c r="F293" t="s">
        <v>32</v>
      </c>
      <c r="G293" t="s">
        <v>33</v>
      </c>
      <c r="H293" t="s">
        <v>34</v>
      </c>
      <c r="I293" t="s">
        <v>84</v>
      </c>
      <c r="J293">
        <v>36</v>
      </c>
      <c r="K293">
        <v>0</v>
      </c>
      <c r="L293" t="s">
        <v>36</v>
      </c>
      <c r="M293" t="s">
        <v>37</v>
      </c>
      <c r="N293">
        <v>260055</v>
      </c>
      <c r="O293">
        <v>10177</v>
      </c>
      <c r="P293">
        <v>3.9134000000000002</v>
      </c>
      <c r="Q293">
        <v>6</v>
      </c>
      <c r="R293">
        <v>315.27</v>
      </c>
      <c r="S293">
        <v>1.212</v>
      </c>
      <c r="T293">
        <v>3.1E-2</v>
      </c>
      <c r="U293">
        <v>52.545000000000002</v>
      </c>
      <c r="V293">
        <v>1</v>
      </c>
      <c r="W293">
        <v>0</v>
      </c>
      <c r="X293" t="s">
        <v>36</v>
      </c>
      <c r="Y293">
        <v>260055</v>
      </c>
      <c r="Z293">
        <v>188645</v>
      </c>
      <c r="AA293">
        <v>35076</v>
      </c>
      <c r="AB293" t="s">
        <v>348</v>
      </c>
      <c r="AC293" t="str">
        <f t="shared" si="8"/>
        <v>CP</v>
      </c>
      <c r="AD293" t="str">
        <f>_xlfn.XLOOKUP(C293,Mapping!A:A,Mapping!D:D,0,0)</f>
        <v>Keyword - Preroll</v>
      </c>
      <c r="AE293" t="str">
        <f t="shared" si="9"/>
        <v>OLD</v>
      </c>
    </row>
    <row r="294" spans="1:31" x14ac:dyDescent="0.2">
      <c r="A294" t="s">
        <v>39</v>
      </c>
      <c r="B294">
        <v>1012710862</v>
      </c>
      <c r="C294" t="s">
        <v>349</v>
      </c>
      <c r="D294" t="s">
        <v>31</v>
      </c>
      <c r="E294" s="1">
        <v>0.67291666666666672</v>
      </c>
      <c r="F294" t="s">
        <v>32</v>
      </c>
      <c r="G294" t="s">
        <v>33</v>
      </c>
      <c r="H294" t="s">
        <v>41</v>
      </c>
      <c r="I294" t="s">
        <v>62</v>
      </c>
      <c r="J294">
        <v>930</v>
      </c>
      <c r="K294">
        <v>0</v>
      </c>
      <c r="L294" t="s">
        <v>36</v>
      </c>
      <c r="M294" t="s">
        <v>37</v>
      </c>
      <c r="N294">
        <v>0</v>
      </c>
      <c r="O294">
        <v>0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 t="s">
        <v>36</v>
      </c>
      <c r="AB294" t="s">
        <v>43</v>
      </c>
      <c r="AC294" t="str">
        <f t="shared" si="8"/>
        <v>CP</v>
      </c>
      <c r="AD294" t="str">
        <f>_xlfn.XLOOKUP(C294,Mapping!A:A,Mapping!D:D,0,0)</f>
        <v>Bin</v>
      </c>
      <c r="AE294" t="str">
        <f t="shared" si="9"/>
        <v>OLD</v>
      </c>
    </row>
    <row r="295" spans="1:31" x14ac:dyDescent="0.2">
      <c r="A295" t="s">
        <v>39</v>
      </c>
      <c r="B295">
        <v>1012710872</v>
      </c>
      <c r="C295" t="s">
        <v>350</v>
      </c>
      <c r="D295" t="s">
        <v>31</v>
      </c>
      <c r="E295" s="1">
        <v>0.67291666666666672</v>
      </c>
      <c r="F295" t="s">
        <v>32</v>
      </c>
      <c r="G295" t="s">
        <v>33</v>
      </c>
      <c r="H295" t="s">
        <v>41</v>
      </c>
      <c r="I295" t="s">
        <v>62</v>
      </c>
      <c r="J295">
        <v>930</v>
      </c>
      <c r="K295">
        <v>0</v>
      </c>
      <c r="L295" t="s">
        <v>36</v>
      </c>
      <c r="M295" t="s">
        <v>37</v>
      </c>
      <c r="N295">
        <v>0</v>
      </c>
      <c r="O295">
        <v>0</v>
      </c>
      <c r="P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 t="s">
        <v>36</v>
      </c>
      <c r="AB295" t="s">
        <v>43</v>
      </c>
      <c r="AC295" t="str">
        <f t="shared" si="8"/>
        <v>CP</v>
      </c>
      <c r="AD295" t="str">
        <f>_xlfn.XLOOKUP(C295,Mapping!A:A,Mapping!D:D,0,0)</f>
        <v>Bin</v>
      </c>
      <c r="AE295" t="str">
        <f t="shared" si="9"/>
        <v>OLD</v>
      </c>
    </row>
    <row r="296" spans="1:31" x14ac:dyDescent="0.2">
      <c r="A296" t="s">
        <v>39</v>
      </c>
      <c r="B296">
        <v>1012710882</v>
      </c>
      <c r="C296" t="s">
        <v>351</v>
      </c>
      <c r="D296" t="s">
        <v>31</v>
      </c>
      <c r="E296" s="1">
        <v>0.67291666666666672</v>
      </c>
      <c r="F296" t="s">
        <v>32</v>
      </c>
      <c r="G296" t="s">
        <v>33</v>
      </c>
      <c r="H296" t="s">
        <v>34</v>
      </c>
      <c r="I296" t="s">
        <v>84</v>
      </c>
      <c r="J296">
        <v>228</v>
      </c>
      <c r="K296">
        <v>0</v>
      </c>
      <c r="L296" t="s">
        <v>36</v>
      </c>
      <c r="M296" t="s">
        <v>37</v>
      </c>
      <c r="N296">
        <v>0</v>
      </c>
      <c r="O296">
        <v>0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 t="s">
        <v>36</v>
      </c>
      <c r="AB296" t="s">
        <v>43</v>
      </c>
      <c r="AC296" t="str">
        <f t="shared" si="8"/>
        <v>CP</v>
      </c>
      <c r="AD296" t="str">
        <f>_xlfn.XLOOKUP(C296,Mapping!A:A,Mapping!D:D,0,0)</f>
        <v>Keyword - Preroll</v>
      </c>
      <c r="AE296" t="str">
        <f t="shared" si="9"/>
        <v>OLD</v>
      </c>
    </row>
    <row r="297" spans="1:31" x14ac:dyDescent="0.2">
      <c r="A297" t="s">
        <v>39</v>
      </c>
      <c r="B297">
        <v>1012710892</v>
      </c>
      <c r="C297" t="s">
        <v>352</v>
      </c>
      <c r="D297" t="s">
        <v>31</v>
      </c>
      <c r="E297" s="1">
        <v>0.67291666666666672</v>
      </c>
      <c r="F297" t="s">
        <v>32</v>
      </c>
      <c r="G297" t="s">
        <v>33</v>
      </c>
      <c r="H297" t="s">
        <v>41</v>
      </c>
      <c r="I297" t="s">
        <v>62</v>
      </c>
      <c r="J297">
        <v>930</v>
      </c>
      <c r="K297">
        <v>0</v>
      </c>
      <c r="L297" t="s">
        <v>36</v>
      </c>
      <c r="M297" t="s">
        <v>37</v>
      </c>
      <c r="N297">
        <v>0</v>
      </c>
      <c r="O297">
        <v>0</v>
      </c>
      <c r="P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 t="s">
        <v>36</v>
      </c>
      <c r="AB297" t="s">
        <v>43</v>
      </c>
      <c r="AC297" t="str">
        <f t="shared" si="8"/>
        <v>CP</v>
      </c>
      <c r="AD297" t="str">
        <f>_xlfn.XLOOKUP(C297,Mapping!A:A,Mapping!D:D,0,0)</f>
        <v>Bin</v>
      </c>
      <c r="AE297" t="str">
        <f t="shared" si="9"/>
        <v>OLD</v>
      </c>
    </row>
    <row r="298" spans="1:31" x14ac:dyDescent="0.2">
      <c r="A298" t="s">
        <v>39</v>
      </c>
      <c r="B298">
        <v>1012710902</v>
      </c>
      <c r="C298" t="s">
        <v>353</v>
      </c>
      <c r="D298" t="s">
        <v>31</v>
      </c>
      <c r="E298" s="1">
        <v>0.67291666666666672</v>
      </c>
      <c r="F298" t="s">
        <v>32</v>
      </c>
      <c r="G298" t="s">
        <v>33</v>
      </c>
      <c r="H298" t="s">
        <v>41</v>
      </c>
      <c r="I298" t="s">
        <v>62</v>
      </c>
      <c r="J298">
        <v>570</v>
      </c>
      <c r="K298">
        <v>0</v>
      </c>
      <c r="L298" t="s">
        <v>36</v>
      </c>
      <c r="M298" t="s">
        <v>37</v>
      </c>
      <c r="N298">
        <v>0</v>
      </c>
      <c r="O298">
        <v>0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 t="s">
        <v>36</v>
      </c>
      <c r="AB298" t="s">
        <v>43</v>
      </c>
      <c r="AC298" t="str">
        <f t="shared" si="8"/>
        <v>CP</v>
      </c>
      <c r="AD298" t="str">
        <f>_xlfn.XLOOKUP(C298,Mapping!A:A,Mapping!D:D,0,0)</f>
        <v>Bin</v>
      </c>
      <c r="AE298" t="str">
        <f t="shared" si="9"/>
        <v>OLD</v>
      </c>
    </row>
    <row r="299" spans="1:31" x14ac:dyDescent="0.2">
      <c r="A299" t="s">
        <v>39</v>
      </c>
      <c r="B299">
        <v>1012710912</v>
      </c>
      <c r="C299" t="s">
        <v>354</v>
      </c>
      <c r="D299" t="s">
        <v>31</v>
      </c>
      <c r="E299" s="1">
        <v>0.67291666666666672</v>
      </c>
      <c r="F299" t="s">
        <v>32</v>
      </c>
      <c r="G299" t="s">
        <v>33</v>
      </c>
      <c r="H299" t="s">
        <v>34</v>
      </c>
      <c r="I299" t="s">
        <v>84</v>
      </c>
      <c r="J299">
        <v>228</v>
      </c>
      <c r="K299">
        <v>0</v>
      </c>
      <c r="L299" t="s">
        <v>36</v>
      </c>
      <c r="M299" t="s">
        <v>37</v>
      </c>
      <c r="N299">
        <v>0</v>
      </c>
      <c r="O299">
        <v>0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 t="s">
        <v>36</v>
      </c>
      <c r="AB299" t="s">
        <v>43</v>
      </c>
      <c r="AC299" t="str">
        <f t="shared" si="8"/>
        <v>CP</v>
      </c>
      <c r="AD299" t="str">
        <f>_xlfn.XLOOKUP(C299,Mapping!A:A,Mapping!D:D,0,0)</f>
        <v>Keyword - Preroll</v>
      </c>
      <c r="AE299" t="str">
        <f t="shared" si="9"/>
        <v>OLD</v>
      </c>
    </row>
    <row r="300" spans="1:31" x14ac:dyDescent="0.2">
      <c r="A300" t="s">
        <v>39</v>
      </c>
      <c r="B300">
        <v>1012710922</v>
      </c>
      <c r="C300" t="s">
        <v>355</v>
      </c>
      <c r="D300" t="s">
        <v>31</v>
      </c>
      <c r="E300" s="1">
        <v>0.67291666666666672</v>
      </c>
      <c r="F300" t="s">
        <v>32</v>
      </c>
      <c r="G300" t="s">
        <v>33</v>
      </c>
      <c r="H300" t="s">
        <v>41</v>
      </c>
      <c r="I300" t="s">
        <v>62</v>
      </c>
      <c r="J300">
        <v>570</v>
      </c>
      <c r="K300">
        <v>0</v>
      </c>
      <c r="L300" t="s">
        <v>36</v>
      </c>
      <c r="M300" t="s">
        <v>37</v>
      </c>
      <c r="N300">
        <v>0</v>
      </c>
      <c r="O300">
        <v>0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 t="s">
        <v>36</v>
      </c>
      <c r="AB300" t="s">
        <v>43</v>
      </c>
      <c r="AC300" t="str">
        <f t="shared" si="8"/>
        <v>CP</v>
      </c>
      <c r="AD300" t="str">
        <f>_xlfn.XLOOKUP(C300,Mapping!A:A,Mapping!D:D,0,0)</f>
        <v>Bin</v>
      </c>
      <c r="AE300" t="str">
        <f t="shared" si="9"/>
        <v>OLD</v>
      </c>
    </row>
    <row r="301" spans="1:31" x14ac:dyDescent="0.2">
      <c r="A301" t="s">
        <v>39</v>
      </c>
      <c r="B301">
        <v>1012710932</v>
      </c>
      <c r="C301" t="s">
        <v>356</v>
      </c>
      <c r="D301" t="s">
        <v>31</v>
      </c>
      <c r="E301" s="1">
        <v>0.67291666666666672</v>
      </c>
      <c r="F301" t="s">
        <v>32</v>
      </c>
      <c r="G301" t="s">
        <v>33</v>
      </c>
      <c r="H301" t="s">
        <v>41</v>
      </c>
      <c r="I301" t="s">
        <v>62</v>
      </c>
      <c r="J301">
        <v>90</v>
      </c>
      <c r="K301">
        <v>0</v>
      </c>
      <c r="L301" t="s">
        <v>36</v>
      </c>
      <c r="M301" t="s">
        <v>37</v>
      </c>
      <c r="N301">
        <v>0</v>
      </c>
      <c r="O301">
        <v>0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 t="s">
        <v>36</v>
      </c>
      <c r="AB301" t="s">
        <v>348</v>
      </c>
      <c r="AC301" t="str">
        <f t="shared" si="8"/>
        <v>CP</v>
      </c>
      <c r="AD301" t="str">
        <f>_xlfn.XLOOKUP(C301,Mapping!A:A,Mapping!D:D,0,0)</f>
        <v>Missionary</v>
      </c>
      <c r="AE301" t="str">
        <f t="shared" si="9"/>
        <v>OLD</v>
      </c>
    </row>
    <row r="302" spans="1:31" x14ac:dyDescent="0.2">
      <c r="A302" t="s">
        <v>39</v>
      </c>
      <c r="B302">
        <v>1012710942</v>
      </c>
      <c r="C302" t="s">
        <v>357</v>
      </c>
      <c r="D302" t="s">
        <v>31</v>
      </c>
      <c r="E302" s="1">
        <v>0.67291666666666672</v>
      </c>
      <c r="F302" t="s">
        <v>32</v>
      </c>
      <c r="G302" t="s">
        <v>33</v>
      </c>
      <c r="H302" t="s">
        <v>34</v>
      </c>
      <c r="I302" t="s">
        <v>84</v>
      </c>
      <c r="J302">
        <v>112</v>
      </c>
      <c r="K302">
        <v>0</v>
      </c>
      <c r="L302" t="s">
        <v>36</v>
      </c>
      <c r="M302" t="s">
        <v>37</v>
      </c>
      <c r="N302">
        <v>0</v>
      </c>
      <c r="O302">
        <v>0</v>
      </c>
      <c r="P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 t="s">
        <v>36</v>
      </c>
      <c r="AB302" t="s">
        <v>43</v>
      </c>
      <c r="AC302" t="str">
        <f t="shared" si="8"/>
        <v>CP</v>
      </c>
      <c r="AD302" t="str">
        <f>_xlfn.XLOOKUP(C302,Mapping!A:A,Mapping!D:D,0,0)</f>
        <v>Bin</v>
      </c>
      <c r="AE302" t="str">
        <f t="shared" si="9"/>
        <v>OLD</v>
      </c>
    </row>
    <row r="303" spans="1:31" x14ac:dyDescent="0.2">
      <c r="A303" t="s">
        <v>39</v>
      </c>
      <c r="B303">
        <v>1012710962</v>
      </c>
      <c r="C303" t="s">
        <v>358</v>
      </c>
      <c r="D303" t="s">
        <v>31</v>
      </c>
      <c r="E303" s="1">
        <v>0.67291666666666672</v>
      </c>
      <c r="F303" t="s">
        <v>32</v>
      </c>
      <c r="G303" t="s">
        <v>33</v>
      </c>
      <c r="H303" t="s">
        <v>34</v>
      </c>
      <c r="I303" t="s">
        <v>84</v>
      </c>
      <c r="J303">
        <v>372</v>
      </c>
      <c r="K303">
        <v>0</v>
      </c>
      <c r="L303" t="s">
        <v>63</v>
      </c>
      <c r="M303">
        <v>150</v>
      </c>
      <c r="N303">
        <v>0</v>
      </c>
      <c r="O303">
        <v>0</v>
      </c>
      <c r="P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 t="s">
        <v>36</v>
      </c>
      <c r="AB303" t="s">
        <v>43</v>
      </c>
      <c r="AC303" t="str">
        <f t="shared" si="8"/>
        <v>CP</v>
      </c>
      <c r="AD303" t="str">
        <f>_xlfn.XLOOKUP(C303,Mapping!A:A,Mapping!D:D,0,0)</f>
        <v>Bin</v>
      </c>
      <c r="AE303" t="str">
        <f t="shared" si="9"/>
        <v>OLD</v>
      </c>
    </row>
    <row r="304" spans="1:31" x14ac:dyDescent="0.2">
      <c r="A304" t="s">
        <v>39</v>
      </c>
      <c r="B304">
        <v>1012710972</v>
      </c>
      <c r="C304" t="s">
        <v>359</v>
      </c>
      <c r="D304" t="s">
        <v>31</v>
      </c>
      <c r="E304" s="1">
        <v>0.67291666666666672</v>
      </c>
      <c r="F304" t="s">
        <v>32</v>
      </c>
      <c r="G304" t="s">
        <v>33</v>
      </c>
      <c r="H304" t="s">
        <v>41</v>
      </c>
      <c r="I304" t="s">
        <v>62</v>
      </c>
      <c r="J304">
        <v>930</v>
      </c>
      <c r="K304">
        <v>0</v>
      </c>
      <c r="L304" t="s">
        <v>36</v>
      </c>
      <c r="M304" t="s">
        <v>37</v>
      </c>
      <c r="N304">
        <v>0</v>
      </c>
      <c r="O304">
        <v>0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 t="s">
        <v>36</v>
      </c>
      <c r="AB304" t="s">
        <v>43</v>
      </c>
      <c r="AC304" t="str">
        <f t="shared" si="8"/>
        <v>CP</v>
      </c>
      <c r="AD304" t="str">
        <f>_xlfn.XLOOKUP(C304,Mapping!A:A,Mapping!D:D,0,0)</f>
        <v>Bin</v>
      </c>
      <c r="AE304" t="str">
        <f t="shared" si="9"/>
        <v>OLD</v>
      </c>
    </row>
    <row r="305" spans="1:31" x14ac:dyDescent="0.2">
      <c r="A305" t="s">
        <v>39</v>
      </c>
      <c r="B305">
        <v>1012710982</v>
      </c>
      <c r="C305" t="s">
        <v>360</v>
      </c>
      <c r="D305" t="s">
        <v>31</v>
      </c>
      <c r="E305" s="1">
        <v>0.67291666666666672</v>
      </c>
      <c r="F305" t="s">
        <v>32</v>
      </c>
      <c r="G305" t="s">
        <v>33</v>
      </c>
      <c r="H305" t="s">
        <v>41</v>
      </c>
      <c r="I305" t="s">
        <v>62</v>
      </c>
      <c r="J305">
        <v>930</v>
      </c>
      <c r="K305">
        <v>0</v>
      </c>
      <c r="L305" t="s">
        <v>36</v>
      </c>
      <c r="M305" t="s">
        <v>37</v>
      </c>
      <c r="N305">
        <v>0</v>
      </c>
      <c r="O305">
        <v>0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 t="s">
        <v>36</v>
      </c>
      <c r="AB305" t="s">
        <v>172</v>
      </c>
      <c r="AC305" t="str">
        <f t="shared" si="8"/>
        <v>CP</v>
      </c>
      <c r="AD305" t="str">
        <f>_xlfn.XLOOKUP(C305,Mapping!A:A,Mapping!D:D,0,0)</f>
        <v>Ocean</v>
      </c>
      <c r="AE305" t="str">
        <f t="shared" si="9"/>
        <v>OLD</v>
      </c>
    </row>
    <row r="306" spans="1:31" x14ac:dyDescent="0.2">
      <c r="A306" t="s">
        <v>39</v>
      </c>
      <c r="B306">
        <v>1012710992</v>
      </c>
      <c r="C306" t="s">
        <v>361</v>
      </c>
      <c r="D306" t="s">
        <v>31</v>
      </c>
      <c r="E306" s="1">
        <v>0.67291666666666672</v>
      </c>
      <c r="F306" t="s">
        <v>32</v>
      </c>
      <c r="G306" t="s">
        <v>33</v>
      </c>
      <c r="H306" t="s">
        <v>34</v>
      </c>
      <c r="I306" t="s">
        <v>84</v>
      </c>
      <c r="J306">
        <v>372</v>
      </c>
      <c r="K306">
        <v>0</v>
      </c>
      <c r="L306" t="s">
        <v>36</v>
      </c>
      <c r="M306" t="s">
        <v>37</v>
      </c>
      <c r="N306">
        <v>0</v>
      </c>
      <c r="O306">
        <v>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 t="s">
        <v>36</v>
      </c>
      <c r="AB306" t="s">
        <v>43</v>
      </c>
      <c r="AC306" t="str">
        <f t="shared" si="8"/>
        <v>CP</v>
      </c>
      <c r="AD306" t="str">
        <f>_xlfn.XLOOKUP(C306,Mapping!A:A,Mapping!D:D,0,0)</f>
        <v>Bin</v>
      </c>
      <c r="AE306" t="str">
        <f t="shared" si="9"/>
        <v>OLD</v>
      </c>
    </row>
    <row r="307" spans="1:31" x14ac:dyDescent="0.2">
      <c r="A307" t="s">
        <v>39</v>
      </c>
      <c r="B307">
        <v>1012711002</v>
      </c>
      <c r="C307" t="s">
        <v>362</v>
      </c>
      <c r="D307" t="s">
        <v>31</v>
      </c>
      <c r="E307" s="1">
        <v>0.67291666666666672</v>
      </c>
      <c r="F307" t="s">
        <v>32</v>
      </c>
      <c r="G307" t="s">
        <v>33</v>
      </c>
      <c r="H307" t="s">
        <v>41</v>
      </c>
      <c r="I307" t="s">
        <v>62</v>
      </c>
      <c r="J307">
        <v>930</v>
      </c>
      <c r="K307">
        <v>0</v>
      </c>
      <c r="L307" t="s">
        <v>36</v>
      </c>
      <c r="M307" t="s">
        <v>37</v>
      </c>
      <c r="N307">
        <v>0</v>
      </c>
      <c r="O307">
        <v>0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 t="s">
        <v>36</v>
      </c>
      <c r="AB307" t="s">
        <v>43</v>
      </c>
      <c r="AC307" t="str">
        <f t="shared" si="8"/>
        <v>CP</v>
      </c>
      <c r="AD307" t="str">
        <f>_xlfn.XLOOKUP(C307,Mapping!A:A,Mapping!D:D,0,0)</f>
        <v>Bin</v>
      </c>
      <c r="AE307" t="str">
        <f t="shared" si="9"/>
        <v>OLD</v>
      </c>
    </row>
    <row r="308" spans="1:31" x14ac:dyDescent="0.2">
      <c r="A308" t="s">
        <v>29</v>
      </c>
      <c r="B308">
        <v>1012711012</v>
      </c>
      <c r="C308" t="s">
        <v>363</v>
      </c>
      <c r="D308" t="s">
        <v>31</v>
      </c>
      <c r="E308" s="1">
        <v>0.67291666666666672</v>
      </c>
      <c r="F308" t="s">
        <v>32</v>
      </c>
      <c r="G308" t="s">
        <v>33</v>
      </c>
      <c r="H308" t="s">
        <v>41</v>
      </c>
      <c r="I308" t="s">
        <v>62</v>
      </c>
      <c r="J308">
        <v>810</v>
      </c>
      <c r="K308">
        <v>0</v>
      </c>
      <c r="L308" t="s">
        <v>36</v>
      </c>
      <c r="M308" t="s">
        <v>37</v>
      </c>
      <c r="N308">
        <v>19906</v>
      </c>
      <c r="O308">
        <v>1190</v>
      </c>
      <c r="P308">
        <v>5.9781000000000004</v>
      </c>
      <c r="Q308">
        <v>0</v>
      </c>
      <c r="R308">
        <v>27.47</v>
      </c>
      <c r="S308">
        <v>1.38</v>
      </c>
      <c r="T308">
        <v>2.3E-2</v>
      </c>
      <c r="U308">
        <v>0</v>
      </c>
      <c r="V308">
        <v>1</v>
      </c>
      <c r="W308">
        <v>0</v>
      </c>
      <c r="X308" t="s">
        <v>36</v>
      </c>
      <c r="Y308">
        <v>19906</v>
      </c>
      <c r="Z308">
        <v>17793</v>
      </c>
      <c r="AA308">
        <v>1554</v>
      </c>
      <c r="AB308" t="s">
        <v>172</v>
      </c>
      <c r="AC308" t="str">
        <f t="shared" si="8"/>
        <v>CP</v>
      </c>
      <c r="AD308" t="str">
        <f>_xlfn.XLOOKUP(C308,Mapping!A:A,Mapping!D:D,0,0)</f>
        <v>Ocean</v>
      </c>
      <c r="AE308" t="str">
        <f t="shared" si="9"/>
        <v>OLD</v>
      </c>
    </row>
    <row r="309" spans="1:31" x14ac:dyDescent="0.2">
      <c r="A309" t="s">
        <v>39</v>
      </c>
      <c r="B309">
        <v>1012711022</v>
      </c>
      <c r="C309" t="s">
        <v>364</v>
      </c>
      <c r="D309" t="s">
        <v>31</v>
      </c>
      <c r="E309" s="1">
        <v>0.67291666666666672</v>
      </c>
      <c r="F309" t="s">
        <v>32</v>
      </c>
      <c r="G309" t="s">
        <v>33</v>
      </c>
      <c r="H309" t="s">
        <v>41</v>
      </c>
      <c r="I309" t="s">
        <v>62</v>
      </c>
      <c r="J309">
        <v>930</v>
      </c>
      <c r="K309">
        <v>0</v>
      </c>
      <c r="L309" t="s">
        <v>36</v>
      </c>
      <c r="M309" t="s">
        <v>37</v>
      </c>
      <c r="N309">
        <v>0</v>
      </c>
      <c r="O309">
        <v>0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 t="s">
        <v>36</v>
      </c>
      <c r="AB309" t="s">
        <v>43</v>
      </c>
      <c r="AC309" t="str">
        <f t="shared" si="8"/>
        <v>CP</v>
      </c>
      <c r="AD309" t="str">
        <f>_xlfn.XLOOKUP(C309,Mapping!A:A,Mapping!D:D,0,0)</f>
        <v>Bin</v>
      </c>
      <c r="AE309" t="str">
        <f t="shared" si="9"/>
        <v>OLD</v>
      </c>
    </row>
    <row r="310" spans="1:31" x14ac:dyDescent="0.2">
      <c r="A310" t="s">
        <v>29</v>
      </c>
      <c r="B310">
        <v>1012711032</v>
      </c>
      <c r="C310" t="s">
        <v>365</v>
      </c>
      <c r="D310" t="s">
        <v>31</v>
      </c>
      <c r="E310" s="1">
        <v>0.67291666666666672</v>
      </c>
      <c r="F310" t="s">
        <v>32</v>
      </c>
      <c r="G310" t="s">
        <v>33</v>
      </c>
      <c r="H310" t="s">
        <v>34</v>
      </c>
      <c r="I310" t="s">
        <v>84</v>
      </c>
      <c r="J310">
        <v>372</v>
      </c>
      <c r="K310">
        <v>0</v>
      </c>
      <c r="L310" t="s">
        <v>36</v>
      </c>
      <c r="M310" t="s">
        <v>37</v>
      </c>
      <c r="N310">
        <v>31992</v>
      </c>
      <c r="O310">
        <v>1209</v>
      </c>
      <c r="P310">
        <v>3.7790699999999999</v>
      </c>
      <c r="Q310">
        <v>0</v>
      </c>
      <c r="R310">
        <v>97.98</v>
      </c>
      <c r="S310">
        <v>3.0630000000000002</v>
      </c>
      <c r="T310">
        <v>8.1000000000000003E-2</v>
      </c>
      <c r="U310">
        <v>0</v>
      </c>
      <c r="V310">
        <v>1</v>
      </c>
      <c r="W310">
        <v>0</v>
      </c>
      <c r="X310" t="s">
        <v>36</v>
      </c>
      <c r="Y310">
        <v>31992</v>
      </c>
      <c r="Z310">
        <v>25996</v>
      </c>
      <c r="AA310">
        <v>3268</v>
      </c>
      <c r="AB310" t="s">
        <v>172</v>
      </c>
      <c r="AC310" t="str">
        <f t="shared" si="8"/>
        <v>CP</v>
      </c>
      <c r="AD310" t="str">
        <f>_xlfn.XLOOKUP(C310,Mapping!A:A,Mapping!D:D,0,0)</f>
        <v>Keyword - Preroll</v>
      </c>
      <c r="AE310" t="str">
        <f t="shared" si="9"/>
        <v>OLD</v>
      </c>
    </row>
    <row r="311" spans="1:31" x14ac:dyDescent="0.2">
      <c r="A311" t="s">
        <v>39</v>
      </c>
      <c r="B311">
        <v>1012711042</v>
      </c>
      <c r="C311" t="s">
        <v>366</v>
      </c>
      <c r="D311" t="s">
        <v>31</v>
      </c>
      <c r="E311" s="1">
        <v>0.67291666666666672</v>
      </c>
      <c r="F311" t="s">
        <v>32</v>
      </c>
      <c r="G311" t="s">
        <v>33</v>
      </c>
      <c r="H311" t="s">
        <v>41</v>
      </c>
      <c r="I311" t="s">
        <v>62</v>
      </c>
      <c r="J311">
        <v>930</v>
      </c>
      <c r="K311">
        <v>0</v>
      </c>
      <c r="L311" t="s">
        <v>36</v>
      </c>
      <c r="M311" t="s">
        <v>37</v>
      </c>
      <c r="N311">
        <v>0</v>
      </c>
      <c r="O311">
        <v>0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 t="s">
        <v>36</v>
      </c>
      <c r="AB311" t="s">
        <v>43</v>
      </c>
      <c r="AC311" t="str">
        <f t="shared" si="8"/>
        <v>CP</v>
      </c>
      <c r="AD311" t="str">
        <f>_xlfn.XLOOKUP(C311,Mapping!A:A,Mapping!D:D,0,0)</f>
        <v>Bin</v>
      </c>
      <c r="AE311" t="str">
        <f t="shared" si="9"/>
        <v>OLD</v>
      </c>
    </row>
    <row r="312" spans="1:31" x14ac:dyDescent="0.2">
      <c r="A312" t="s">
        <v>39</v>
      </c>
      <c r="B312">
        <v>1012711052</v>
      </c>
      <c r="C312" t="s">
        <v>367</v>
      </c>
      <c r="D312" t="s">
        <v>31</v>
      </c>
      <c r="E312" s="1">
        <v>0.67291666666666672</v>
      </c>
      <c r="F312" t="s">
        <v>32</v>
      </c>
      <c r="G312" t="s">
        <v>33</v>
      </c>
      <c r="H312" t="s">
        <v>41</v>
      </c>
      <c r="I312" t="s">
        <v>62</v>
      </c>
      <c r="J312">
        <v>930</v>
      </c>
      <c r="K312">
        <v>0</v>
      </c>
      <c r="L312" t="s">
        <v>36</v>
      </c>
      <c r="M312" t="s">
        <v>37</v>
      </c>
      <c r="N312">
        <v>0</v>
      </c>
      <c r="O312">
        <v>0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 t="s">
        <v>36</v>
      </c>
      <c r="AB312" t="s">
        <v>43</v>
      </c>
      <c r="AC312" t="str">
        <f t="shared" si="8"/>
        <v>CP</v>
      </c>
      <c r="AD312" t="str">
        <f>_xlfn.XLOOKUP(C312,Mapping!A:A,Mapping!D:D,0,0)</f>
        <v>Bin</v>
      </c>
      <c r="AE312" t="str">
        <f t="shared" si="9"/>
        <v>OLD</v>
      </c>
    </row>
    <row r="313" spans="1:31" x14ac:dyDescent="0.2">
      <c r="A313" t="s">
        <v>39</v>
      </c>
      <c r="B313">
        <v>1012711062</v>
      </c>
      <c r="C313" t="s">
        <v>368</v>
      </c>
      <c r="D313" t="s">
        <v>31</v>
      </c>
      <c r="E313" s="1">
        <v>0.67291666666666672</v>
      </c>
      <c r="F313" t="s">
        <v>32</v>
      </c>
      <c r="G313" t="s">
        <v>33</v>
      </c>
      <c r="H313" t="s">
        <v>34</v>
      </c>
      <c r="I313" t="s">
        <v>84</v>
      </c>
      <c r="J313">
        <v>372</v>
      </c>
      <c r="K313">
        <v>0</v>
      </c>
      <c r="L313" t="s">
        <v>36</v>
      </c>
      <c r="M313" t="s">
        <v>37</v>
      </c>
      <c r="N313">
        <v>0</v>
      </c>
      <c r="O313">
        <v>0</v>
      </c>
      <c r="P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 t="s">
        <v>36</v>
      </c>
      <c r="AB313" t="s">
        <v>43</v>
      </c>
      <c r="AC313" t="str">
        <f t="shared" si="8"/>
        <v>CP</v>
      </c>
      <c r="AD313" t="str">
        <f>_xlfn.XLOOKUP(C313,Mapping!A:A,Mapping!D:D,0,0)</f>
        <v>Bin</v>
      </c>
      <c r="AE313" t="str">
        <f t="shared" si="9"/>
        <v>OLD</v>
      </c>
    </row>
    <row r="314" spans="1:31" x14ac:dyDescent="0.2">
      <c r="A314" t="s">
        <v>39</v>
      </c>
      <c r="B314">
        <v>1012711072</v>
      </c>
      <c r="C314" t="s">
        <v>369</v>
      </c>
      <c r="D314" t="s">
        <v>31</v>
      </c>
      <c r="E314" s="1">
        <v>0.67291666666666672</v>
      </c>
      <c r="F314" t="s">
        <v>32</v>
      </c>
      <c r="G314" t="s">
        <v>33</v>
      </c>
      <c r="H314" t="s">
        <v>41</v>
      </c>
      <c r="I314" t="s">
        <v>62</v>
      </c>
      <c r="J314">
        <v>930</v>
      </c>
      <c r="K314">
        <v>0</v>
      </c>
      <c r="L314" t="s">
        <v>36</v>
      </c>
      <c r="M314" t="s">
        <v>37</v>
      </c>
      <c r="N314">
        <v>0</v>
      </c>
      <c r="O314">
        <v>0</v>
      </c>
      <c r="P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 t="s">
        <v>36</v>
      </c>
      <c r="AB314" t="s">
        <v>43</v>
      </c>
      <c r="AC314" t="str">
        <f t="shared" si="8"/>
        <v>CP</v>
      </c>
      <c r="AD314" t="str">
        <f>_xlfn.XLOOKUP(C314,Mapping!A:A,Mapping!D:D,0,0)</f>
        <v>Bin</v>
      </c>
      <c r="AE314" t="str">
        <f t="shared" si="9"/>
        <v>OLD</v>
      </c>
    </row>
    <row r="315" spans="1:31" x14ac:dyDescent="0.2">
      <c r="A315" t="s">
        <v>39</v>
      </c>
      <c r="B315">
        <v>1012711082</v>
      </c>
      <c r="C315" t="s">
        <v>370</v>
      </c>
      <c r="D315" t="s">
        <v>31</v>
      </c>
      <c r="E315" s="1">
        <v>0.67291666666666672</v>
      </c>
      <c r="F315" t="s">
        <v>32</v>
      </c>
      <c r="G315" t="s">
        <v>33</v>
      </c>
      <c r="H315" t="s">
        <v>41</v>
      </c>
      <c r="I315" t="s">
        <v>84</v>
      </c>
      <c r="J315">
        <v>558</v>
      </c>
      <c r="K315">
        <v>0</v>
      </c>
      <c r="L315" t="s">
        <v>63</v>
      </c>
      <c r="M315">
        <v>250</v>
      </c>
      <c r="N315">
        <v>0</v>
      </c>
      <c r="O315">
        <v>0</v>
      </c>
      <c r="P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 t="s">
        <v>36</v>
      </c>
      <c r="AB315" t="s">
        <v>43</v>
      </c>
      <c r="AC315" t="str">
        <f t="shared" si="8"/>
        <v>CP</v>
      </c>
      <c r="AD315" t="str">
        <f>_xlfn.XLOOKUP(C315,Mapping!A:A,Mapping!D:D,0,0)</f>
        <v>Bin</v>
      </c>
      <c r="AE315" t="str">
        <f t="shared" si="9"/>
        <v>OLD</v>
      </c>
    </row>
    <row r="316" spans="1:31" x14ac:dyDescent="0.2">
      <c r="A316" t="s">
        <v>39</v>
      </c>
      <c r="B316">
        <v>1012718322</v>
      </c>
      <c r="C316" t="s">
        <v>371</v>
      </c>
      <c r="D316" t="s">
        <v>31</v>
      </c>
      <c r="E316" s="1">
        <v>0.67291666666666672</v>
      </c>
      <c r="F316" t="s">
        <v>32</v>
      </c>
      <c r="G316" t="s">
        <v>33</v>
      </c>
      <c r="H316" t="s">
        <v>41</v>
      </c>
      <c r="I316" t="s">
        <v>84</v>
      </c>
      <c r="J316">
        <v>614</v>
      </c>
      <c r="K316">
        <v>0</v>
      </c>
      <c r="L316" t="s">
        <v>63</v>
      </c>
      <c r="M316">
        <v>250</v>
      </c>
      <c r="N316">
        <v>0</v>
      </c>
      <c r="O316">
        <v>0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 t="s">
        <v>36</v>
      </c>
      <c r="AB316" t="s">
        <v>43</v>
      </c>
      <c r="AC316" t="str">
        <f t="shared" si="8"/>
        <v>CP</v>
      </c>
      <c r="AD316" t="str">
        <f>_xlfn.XLOOKUP(C316,Mapping!A:A,Mapping!D:D,0,0)</f>
        <v>Bin</v>
      </c>
      <c r="AE316" t="str">
        <f t="shared" si="9"/>
        <v>OLD</v>
      </c>
    </row>
    <row r="317" spans="1:31" x14ac:dyDescent="0.2">
      <c r="A317" t="s">
        <v>39</v>
      </c>
      <c r="B317">
        <v>1012718332</v>
      </c>
      <c r="C317" t="s">
        <v>372</v>
      </c>
      <c r="D317" t="s">
        <v>31</v>
      </c>
      <c r="E317" s="1">
        <v>0.67291666666666672</v>
      </c>
      <c r="F317" t="s">
        <v>32</v>
      </c>
      <c r="G317" t="s">
        <v>33</v>
      </c>
      <c r="H317" t="s">
        <v>41</v>
      </c>
      <c r="I317" t="s">
        <v>84</v>
      </c>
      <c r="J317">
        <v>614</v>
      </c>
      <c r="K317">
        <v>0</v>
      </c>
      <c r="L317" t="s">
        <v>36</v>
      </c>
      <c r="M317" t="s">
        <v>37</v>
      </c>
      <c r="N317">
        <v>0</v>
      </c>
      <c r="O317">
        <v>0</v>
      </c>
      <c r="P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 t="s">
        <v>36</v>
      </c>
      <c r="AB317" t="s">
        <v>43</v>
      </c>
      <c r="AC317" t="str">
        <f t="shared" si="8"/>
        <v>CP</v>
      </c>
      <c r="AD317" t="str">
        <f>_xlfn.XLOOKUP(C317,Mapping!A:A,Mapping!D:D,0,0)</f>
        <v>Bin</v>
      </c>
      <c r="AE317" t="str">
        <f t="shared" si="9"/>
        <v>OLD</v>
      </c>
    </row>
    <row r="318" spans="1:31" x14ac:dyDescent="0.2">
      <c r="A318" t="s">
        <v>39</v>
      </c>
      <c r="B318">
        <v>1012718342</v>
      </c>
      <c r="C318" t="s">
        <v>373</v>
      </c>
      <c r="D318" t="s">
        <v>31</v>
      </c>
      <c r="E318" s="1">
        <v>0.67291666666666672</v>
      </c>
      <c r="F318" t="s">
        <v>32</v>
      </c>
      <c r="G318" t="s">
        <v>33</v>
      </c>
      <c r="H318" t="s">
        <v>41</v>
      </c>
      <c r="I318" t="s">
        <v>84</v>
      </c>
      <c r="J318">
        <v>254</v>
      </c>
      <c r="K318">
        <v>0</v>
      </c>
      <c r="L318" t="s">
        <v>36</v>
      </c>
      <c r="M318" t="s">
        <v>37</v>
      </c>
      <c r="N318">
        <v>0</v>
      </c>
      <c r="O318">
        <v>0</v>
      </c>
      <c r="P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 t="s">
        <v>36</v>
      </c>
      <c r="AB318" t="s">
        <v>43</v>
      </c>
      <c r="AC318" t="str">
        <f t="shared" si="8"/>
        <v>CP</v>
      </c>
      <c r="AD318" t="str">
        <f>_xlfn.XLOOKUP(C318,Mapping!A:A,Mapping!D:D,0,0)</f>
        <v>Bin</v>
      </c>
      <c r="AE318" t="str">
        <f t="shared" si="9"/>
        <v>OLD</v>
      </c>
    </row>
    <row r="319" spans="1:31" x14ac:dyDescent="0.2">
      <c r="A319" t="s">
        <v>39</v>
      </c>
      <c r="B319">
        <v>1012718362</v>
      </c>
      <c r="C319" t="s">
        <v>374</v>
      </c>
      <c r="D319" t="s">
        <v>31</v>
      </c>
      <c r="E319" s="1">
        <v>0.67291666666666672</v>
      </c>
      <c r="F319" t="s">
        <v>32</v>
      </c>
      <c r="G319" t="s">
        <v>33</v>
      </c>
      <c r="H319" t="s">
        <v>41</v>
      </c>
      <c r="I319" t="s">
        <v>84</v>
      </c>
      <c r="J319">
        <v>254</v>
      </c>
      <c r="K319">
        <v>0</v>
      </c>
      <c r="L319" t="s">
        <v>63</v>
      </c>
      <c r="M319">
        <v>250</v>
      </c>
      <c r="N319">
        <v>0</v>
      </c>
      <c r="O319">
        <v>0</v>
      </c>
      <c r="P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 t="s">
        <v>36</v>
      </c>
      <c r="AB319" t="s">
        <v>43</v>
      </c>
      <c r="AC319" t="str">
        <f t="shared" si="8"/>
        <v>CP</v>
      </c>
      <c r="AD319" t="str">
        <f>_xlfn.XLOOKUP(C319,Mapping!A:A,Mapping!D:D,0,0)</f>
        <v>Bin</v>
      </c>
      <c r="AE319" t="str">
        <f t="shared" si="9"/>
        <v>OLD</v>
      </c>
    </row>
    <row r="320" spans="1:31" x14ac:dyDescent="0.2">
      <c r="A320" t="s">
        <v>39</v>
      </c>
      <c r="B320">
        <v>1012718372</v>
      </c>
      <c r="C320" t="s">
        <v>375</v>
      </c>
      <c r="D320" t="s">
        <v>31</v>
      </c>
      <c r="E320" s="1">
        <v>0.67291666666666672</v>
      </c>
      <c r="F320" t="s">
        <v>32</v>
      </c>
      <c r="G320" t="s">
        <v>33</v>
      </c>
      <c r="H320" t="s">
        <v>41</v>
      </c>
      <c r="I320" t="s">
        <v>84</v>
      </c>
      <c r="J320">
        <v>120</v>
      </c>
      <c r="K320">
        <v>0</v>
      </c>
      <c r="L320" t="s">
        <v>36</v>
      </c>
      <c r="M320" t="s">
        <v>37</v>
      </c>
      <c r="N320">
        <v>0</v>
      </c>
      <c r="O320">
        <v>0</v>
      </c>
      <c r="P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 t="s">
        <v>36</v>
      </c>
      <c r="AB320" t="s">
        <v>43</v>
      </c>
      <c r="AC320" t="str">
        <f t="shared" si="8"/>
        <v>CP</v>
      </c>
      <c r="AD320" t="str">
        <f>_xlfn.XLOOKUP(C320,Mapping!A:A,Mapping!D:D,0,0)</f>
        <v>Bin</v>
      </c>
      <c r="AE320" t="str">
        <f t="shared" si="9"/>
        <v>OLD</v>
      </c>
    </row>
    <row r="321" spans="1:31" x14ac:dyDescent="0.2">
      <c r="A321" t="s">
        <v>39</v>
      </c>
      <c r="B321">
        <v>1012718382</v>
      </c>
      <c r="C321" t="s">
        <v>376</v>
      </c>
      <c r="D321" t="s">
        <v>31</v>
      </c>
      <c r="E321" s="1">
        <v>0.67291666666666672</v>
      </c>
      <c r="F321" t="s">
        <v>32</v>
      </c>
      <c r="G321" t="s">
        <v>33</v>
      </c>
      <c r="H321" t="s">
        <v>41</v>
      </c>
      <c r="I321" t="s">
        <v>84</v>
      </c>
      <c r="J321">
        <v>254</v>
      </c>
      <c r="K321">
        <v>0</v>
      </c>
      <c r="L321" t="s">
        <v>63</v>
      </c>
      <c r="M321">
        <v>250</v>
      </c>
      <c r="N321">
        <v>0</v>
      </c>
      <c r="O321">
        <v>0</v>
      </c>
      <c r="P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 t="s">
        <v>36</v>
      </c>
      <c r="AB321" t="s">
        <v>43</v>
      </c>
      <c r="AC321" t="str">
        <f t="shared" si="8"/>
        <v>CP</v>
      </c>
      <c r="AD321" t="str">
        <f>_xlfn.XLOOKUP(C321,Mapping!A:A,Mapping!D:D,0,0)</f>
        <v>Bin</v>
      </c>
      <c r="AE321" t="str">
        <f t="shared" si="9"/>
        <v>OLD</v>
      </c>
    </row>
    <row r="322" spans="1:31" x14ac:dyDescent="0.2">
      <c r="A322" t="s">
        <v>39</v>
      </c>
      <c r="B322">
        <v>1012718502</v>
      </c>
      <c r="C322" t="s">
        <v>377</v>
      </c>
      <c r="D322" t="s">
        <v>31</v>
      </c>
      <c r="E322" s="1">
        <v>0.67291666666666672</v>
      </c>
      <c r="F322" t="s">
        <v>32</v>
      </c>
      <c r="G322" t="s">
        <v>33</v>
      </c>
      <c r="H322" t="s">
        <v>41</v>
      </c>
      <c r="I322" t="s">
        <v>84</v>
      </c>
      <c r="J322">
        <v>280</v>
      </c>
      <c r="K322">
        <v>0</v>
      </c>
      <c r="L322" t="s">
        <v>36</v>
      </c>
      <c r="M322" t="s">
        <v>37</v>
      </c>
      <c r="N322">
        <v>0</v>
      </c>
      <c r="O322">
        <v>0</v>
      </c>
      <c r="P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 t="s">
        <v>36</v>
      </c>
      <c r="AB322" t="s">
        <v>43</v>
      </c>
      <c r="AC322" t="str">
        <f t="shared" si="8"/>
        <v>CP</v>
      </c>
      <c r="AD322" t="str">
        <f>_xlfn.XLOOKUP(C322,Mapping!A:A,Mapping!D:D,0,0)</f>
        <v>Bin</v>
      </c>
      <c r="AE322" t="str">
        <f t="shared" si="9"/>
        <v>OLD</v>
      </c>
    </row>
    <row r="323" spans="1:31" x14ac:dyDescent="0.2">
      <c r="A323" t="s">
        <v>39</v>
      </c>
      <c r="B323">
        <v>1012718512</v>
      </c>
      <c r="C323" t="s">
        <v>378</v>
      </c>
      <c r="D323" t="s">
        <v>31</v>
      </c>
      <c r="E323" s="1">
        <v>0.67291666666666672</v>
      </c>
      <c r="F323" t="s">
        <v>32</v>
      </c>
      <c r="G323" t="s">
        <v>33</v>
      </c>
      <c r="H323" t="s">
        <v>41</v>
      </c>
      <c r="I323" t="s">
        <v>84</v>
      </c>
      <c r="J323">
        <v>254</v>
      </c>
      <c r="K323">
        <v>0</v>
      </c>
      <c r="L323" t="s">
        <v>63</v>
      </c>
      <c r="M323">
        <v>250</v>
      </c>
      <c r="N323">
        <v>0</v>
      </c>
      <c r="O323">
        <v>0</v>
      </c>
      <c r="P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 t="s">
        <v>36</v>
      </c>
      <c r="AB323" t="s">
        <v>43</v>
      </c>
      <c r="AC323" t="str">
        <f t="shared" ref="AC323:AC386" si="10">LEFT(C323,2)</f>
        <v>CP</v>
      </c>
      <c r="AD323" t="str">
        <f>_xlfn.XLOOKUP(C323,Mapping!A:A,Mapping!D:D,0,0)</f>
        <v>Bin</v>
      </c>
      <c r="AE323" t="str">
        <f t="shared" ref="AE323:AE386" si="11">IFERROR(IF(SEARCH("_TJ",C323)&gt;0,"TJ",NA()),IFERROR(IF(SEARCH("_JB",C323)&gt;0,"JB",NA()),"OLD"))</f>
        <v>OLD</v>
      </c>
    </row>
    <row r="324" spans="1:31" x14ac:dyDescent="0.2">
      <c r="A324" t="s">
        <v>39</v>
      </c>
      <c r="B324">
        <v>1012719952</v>
      </c>
      <c r="C324" t="s">
        <v>379</v>
      </c>
      <c r="D324" t="s">
        <v>31</v>
      </c>
      <c r="E324" s="1">
        <v>0.67291666666666672</v>
      </c>
      <c r="F324" t="s">
        <v>32</v>
      </c>
      <c r="G324" t="s">
        <v>33</v>
      </c>
      <c r="H324" t="s">
        <v>41</v>
      </c>
      <c r="I324" t="s">
        <v>84</v>
      </c>
      <c r="J324">
        <v>280</v>
      </c>
      <c r="K324">
        <v>0</v>
      </c>
      <c r="L324" t="s">
        <v>36</v>
      </c>
      <c r="M324" t="s">
        <v>37</v>
      </c>
      <c r="N324">
        <v>0</v>
      </c>
      <c r="O324">
        <v>0</v>
      </c>
      <c r="P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 t="s">
        <v>36</v>
      </c>
      <c r="AB324" t="s">
        <v>43</v>
      </c>
      <c r="AC324" t="str">
        <f t="shared" si="10"/>
        <v>CP</v>
      </c>
      <c r="AD324" t="str">
        <f>_xlfn.XLOOKUP(C324,Mapping!A:A,Mapping!D:D,0,0)</f>
        <v>Bin</v>
      </c>
      <c r="AE324" t="str">
        <f t="shared" si="11"/>
        <v>OLD</v>
      </c>
    </row>
    <row r="325" spans="1:31" x14ac:dyDescent="0.2">
      <c r="A325" t="s">
        <v>39</v>
      </c>
      <c r="B325">
        <v>1012719972</v>
      </c>
      <c r="C325" t="s">
        <v>380</v>
      </c>
      <c r="D325" t="s">
        <v>31</v>
      </c>
      <c r="E325" s="1">
        <v>0.67291666666666672</v>
      </c>
      <c r="F325" t="s">
        <v>32</v>
      </c>
      <c r="G325" t="s">
        <v>33</v>
      </c>
      <c r="H325" t="s">
        <v>41</v>
      </c>
      <c r="I325" t="s">
        <v>84</v>
      </c>
      <c r="J325">
        <v>644</v>
      </c>
      <c r="K325">
        <v>0</v>
      </c>
      <c r="L325" t="s">
        <v>63</v>
      </c>
      <c r="M325">
        <v>150</v>
      </c>
      <c r="N325">
        <v>0</v>
      </c>
      <c r="O325">
        <v>0</v>
      </c>
      <c r="P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 t="s">
        <v>36</v>
      </c>
      <c r="AB325" t="s">
        <v>43</v>
      </c>
      <c r="AC325" t="str">
        <f t="shared" si="10"/>
        <v>CP</v>
      </c>
      <c r="AD325" t="str">
        <f>_xlfn.XLOOKUP(C325,Mapping!A:A,Mapping!D:D,0,0)</f>
        <v>Bin</v>
      </c>
      <c r="AE325" t="str">
        <f t="shared" si="11"/>
        <v>OLD</v>
      </c>
    </row>
    <row r="326" spans="1:31" x14ac:dyDescent="0.2">
      <c r="A326" t="s">
        <v>39</v>
      </c>
      <c r="B326">
        <v>1012719982</v>
      </c>
      <c r="C326" t="s">
        <v>381</v>
      </c>
      <c r="D326" t="s">
        <v>31</v>
      </c>
      <c r="E326" s="1">
        <v>0.67291666666666672</v>
      </c>
      <c r="F326" t="s">
        <v>32</v>
      </c>
      <c r="G326" t="s">
        <v>33</v>
      </c>
      <c r="H326" t="s">
        <v>41</v>
      </c>
      <c r="I326" t="s">
        <v>84</v>
      </c>
      <c r="J326">
        <v>644</v>
      </c>
      <c r="K326">
        <v>0</v>
      </c>
      <c r="L326" t="s">
        <v>63</v>
      </c>
      <c r="M326">
        <v>250</v>
      </c>
      <c r="N326">
        <v>0</v>
      </c>
      <c r="O326">
        <v>0</v>
      </c>
      <c r="P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 t="s">
        <v>36</v>
      </c>
      <c r="AB326" t="s">
        <v>43</v>
      </c>
      <c r="AC326" t="str">
        <f t="shared" si="10"/>
        <v>CP</v>
      </c>
      <c r="AD326" t="str">
        <f>_xlfn.XLOOKUP(C326,Mapping!A:A,Mapping!D:D,0,0)</f>
        <v>Bin</v>
      </c>
      <c r="AE326" t="str">
        <f t="shared" si="11"/>
        <v>OLD</v>
      </c>
    </row>
    <row r="327" spans="1:31" x14ac:dyDescent="0.2">
      <c r="A327" t="s">
        <v>39</v>
      </c>
      <c r="B327">
        <v>1012726522</v>
      </c>
      <c r="C327" t="s">
        <v>382</v>
      </c>
      <c r="D327" t="s">
        <v>31</v>
      </c>
      <c r="E327" s="1">
        <v>0.67291666666666672</v>
      </c>
      <c r="F327" t="s">
        <v>32</v>
      </c>
      <c r="G327" t="s">
        <v>33</v>
      </c>
      <c r="H327" t="s">
        <v>41</v>
      </c>
      <c r="I327" t="s">
        <v>62</v>
      </c>
      <c r="J327">
        <v>280</v>
      </c>
      <c r="K327">
        <v>0</v>
      </c>
      <c r="L327" t="s">
        <v>36</v>
      </c>
      <c r="M327" t="s">
        <v>37</v>
      </c>
      <c r="N327">
        <v>0</v>
      </c>
      <c r="O327">
        <v>0</v>
      </c>
      <c r="P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 t="s">
        <v>36</v>
      </c>
      <c r="AB327" t="s">
        <v>43</v>
      </c>
      <c r="AC327" t="str">
        <f t="shared" si="10"/>
        <v>CP</v>
      </c>
      <c r="AD327" t="str">
        <f>_xlfn.XLOOKUP(C327,Mapping!A:A,Mapping!D:D,0,0)</f>
        <v>Bin</v>
      </c>
      <c r="AE327" t="str">
        <f t="shared" si="11"/>
        <v>OLD</v>
      </c>
    </row>
    <row r="328" spans="1:31" x14ac:dyDescent="0.2">
      <c r="A328" t="s">
        <v>39</v>
      </c>
      <c r="B328">
        <v>1012726532</v>
      </c>
      <c r="C328" t="s">
        <v>383</v>
      </c>
      <c r="D328" t="s">
        <v>31</v>
      </c>
      <c r="E328" s="1">
        <v>0.67291666666666672</v>
      </c>
      <c r="F328" t="s">
        <v>32</v>
      </c>
      <c r="G328" t="s">
        <v>33</v>
      </c>
      <c r="H328" t="s">
        <v>34</v>
      </c>
      <c r="I328" t="s">
        <v>84</v>
      </c>
      <c r="J328">
        <v>112</v>
      </c>
      <c r="K328">
        <v>0</v>
      </c>
      <c r="L328" t="s">
        <v>36</v>
      </c>
      <c r="M328" t="s">
        <v>37</v>
      </c>
      <c r="N328">
        <v>0</v>
      </c>
      <c r="O328">
        <v>0</v>
      </c>
      <c r="P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 t="s">
        <v>36</v>
      </c>
      <c r="AB328" t="s">
        <v>43</v>
      </c>
      <c r="AC328" t="str">
        <f t="shared" si="10"/>
        <v>CP</v>
      </c>
      <c r="AD328" t="str">
        <f>_xlfn.XLOOKUP(C328,Mapping!A:A,Mapping!D:D,0,0)</f>
        <v>Bin</v>
      </c>
      <c r="AE328" t="str">
        <f t="shared" si="11"/>
        <v>OLD</v>
      </c>
    </row>
    <row r="329" spans="1:31" x14ac:dyDescent="0.2">
      <c r="A329" t="s">
        <v>39</v>
      </c>
      <c r="B329">
        <v>1012726582</v>
      </c>
      <c r="C329" t="s">
        <v>384</v>
      </c>
      <c r="D329" t="s">
        <v>31</v>
      </c>
      <c r="E329" s="1">
        <v>0.67291666666666672</v>
      </c>
      <c r="F329" t="s">
        <v>32</v>
      </c>
      <c r="G329" t="s">
        <v>33</v>
      </c>
      <c r="H329" t="s">
        <v>41</v>
      </c>
      <c r="I329" t="s">
        <v>62</v>
      </c>
      <c r="J329">
        <v>280</v>
      </c>
      <c r="K329">
        <v>0</v>
      </c>
      <c r="L329" t="s">
        <v>63</v>
      </c>
      <c r="M329">
        <v>150</v>
      </c>
      <c r="N329">
        <v>0</v>
      </c>
      <c r="O329">
        <v>0</v>
      </c>
      <c r="P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 t="s">
        <v>36</v>
      </c>
      <c r="AB329" t="s">
        <v>43</v>
      </c>
      <c r="AC329" t="str">
        <f t="shared" si="10"/>
        <v>CP</v>
      </c>
      <c r="AD329" t="str">
        <f>_xlfn.XLOOKUP(C329,Mapping!A:A,Mapping!D:D,0,0)</f>
        <v>Bin</v>
      </c>
      <c r="AE329" t="str">
        <f t="shared" si="11"/>
        <v>OLD</v>
      </c>
    </row>
    <row r="330" spans="1:31" x14ac:dyDescent="0.2">
      <c r="A330" t="s">
        <v>39</v>
      </c>
      <c r="B330">
        <v>1012726592</v>
      </c>
      <c r="C330" t="s">
        <v>385</v>
      </c>
      <c r="D330" t="s">
        <v>31</v>
      </c>
      <c r="E330" s="1">
        <v>0.67291666666666672</v>
      </c>
      <c r="F330" t="s">
        <v>32</v>
      </c>
      <c r="G330" t="s">
        <v>33</v>
      </c>
      <c r="H330" t="s">
        <v>41</v>
      </c>
      <c r="I330" t="s">
        <v>62</v>
      </c>
      <c r="J330">
        <v>280</v>
      </c>
      <c r="K330">
        <v>0</v>
      </c>
      <c r="L330" t="s">
        <v>36</v>
      </c>
      <c r="M330" t="s">
        <v>37</v>
      </c>
      <c r="N330">
        <v>0</v>
      </c>
      <c r="O330">
        <v>0</v>
      </c>
      <c r="P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 t="s">
        <v>36</v>
      </c>
      <c r="AB330" t="s">
        <v>43</v>
      </c>
      <c r="AC330" t="str">
        <f t="shared" si="10"/>
        <v>(c</v>
      </c>
      <c r="AD330" t="str">
        <f>_xlfn.XLOOKUP(C330,Mapping!A:A,Mapping!D:D,0,0)</f>
        <v>Bin</v>
      </c>
      <c r="AE330" t="str">
        <f t="shared" si="11"/>
        <v>OLD</v>
      </c>
    </row>
    <row r="331" spans="1:31" x14ac:dyDescent="0.2">
      <c r="A331" t="s">
        <v>39</v>
      </c>
      <c r="B331">
        <v>1012726602</v>
      </c>
      <c r="C331" t="s">
        <v>386</v>
      </c>
      <c r="D331" t="s">
        <v>31</v>
      </c>
      <c r="E331" s="1">
        <v>0.67291666666666672</v>
      </c>
      <c r="F331" t="s">
        <v>32</v>
      </c>
      <c r="G331" t="s">
        <v>33</v>
      </c>
      <c r="H331" t="s">
        <v>41</v>
      </c>
      <c r="I331" t="s">
        <v>62</v>
      </c>
      <c r="J331">
        <v>280</v>
      </c>
      <c r="K331">
        <v>0</v>
      </c>
      <c r="L331" t="s">
        <v>36</v>
      </c>
      <c r="M331" t="s">
        <v>37</v>
      </c>
      <c r="N331">
        <v>0</v>
      </c>
      <c r="O331">
        <v>0</v>
      </c>
      <c r="P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 t="s">
        <v>36</v>
      </c>
      <c r="AB331" t="s">
        <v>43</v>
      </c>
      <c r="AC331" t="str">
        <f t="shared" si="10"/>
        <v>CP</v>
      </c>
      <c r="AD331" t="str">
        <f>_xlfn.XLOOKUP(C331,Mapping!A:A,Mapping!D:D,0,0)</f>
        <v>Bin</v>
      </c>
      <c r="AE331" t="str">
        <f t="shared" si="11"/>
        <v>OLD</v>
      </c>
    </row>
    <row r="332" spans="1:31" x14ac:dyDescent="0.2">
      <c r="A332" t="s">
        <v>39</v>
      </c>
      <c r="B332">
        <v>1012726612</v>
      </c>
      <c r="C332" t="s">
        <v>387</v>
      </c>
      <c r="D332" t="s">
        <v>31</v>
      </c>
      <c r="E332" s="1">
        <v>0.67291666666666672</v>
      </c>
      <c r="F332" t="s">
        <v>32</v>
      </c>
      <c r="G332" t="s">
        <v>33</v>
      </c>
      <c r="H332" t="s">
        <v>41</v>
      </c>
      <c r="I332" t="s">
        <v>62</v>
      </c>
      <c r="J332">
        <v>280</v>
      </c>
      <c r="K332">
        <v>0</v>
      </c>
      <c r="L332" t="s">
        <v>36</v>
      </c>
      <c r="M332" t="s">
        <v>37</v>
      </c>
      <c r="N332">
        <v>0</v>
      </c>
      <c r="O332">
        <v>0</v>
      </c>
      <c r="P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 t="s">
        <v>36</v>
      </c>
      <c r="AB332" t="s">
        <v>43</v>
      </c>
      <c r="AC332" t="str">
        <f t="shared" si="10"/>
        <v>CP</v>
      </c>
      <c r="AD332" t="str">
        <f>_xlfn.XLOOKUP(C332,Mapping!A:A,Mapping!D:D,0,0)</f>
        <v>Bin</v>
      </c>
      <c r="AE332" t="str">
        <f t="shared" si="11"/>
        <v>OLD</v>
      </c>
    </row>
    <row r="333" spans="1:31" x14ac:dyDescent="0.2">
      <c r="A333" t="s">
        <v>39</v>
      </c>
      <c r="B333">
        <v>1012726622</v>
      </c>
      <c r="C333" t="s">
        <v>388</v>
      </c>
      <c r="D333" t="s">
        <v>31</v>
      </c>
      <c r="E333" s="1">
        <v>0.67291666666666672</v>
      </c>
      <c r="F333" t="s">
        <v>32</v>
      </c>
      <c r="G333" t="s">
        <v>33</v>
      </c>
      <c r="H333" t="s">
        <v>34</v>
      </c>
      <c r="I333" t="s">
        <v>84</v>
      </c>
      <c r="J333">
        <v>112</v>
      </c>
      <c r="K333">
        <v>0</v>
      </c>
      <c r="L333" t="s">
        <v>36</v>
      </c>
      <c r="M333" t="s">
        <v>37</v>
      </c>
      <c r="N333">
        <v>0</v>
      </c>
      <c r="O333">
        <v>0</v>
      </c>
      <c r="P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 t="s">
        <v>36</v>
      </c>
      <c r="AB333" t="s">
        <v>43</v>
      </c>
      <c r="AC333" t="str">
        <f t="shared" si="10"/>
        <v>CP</v>
      </c>
      <c r="AD333" t="str">
        <f>_xlfn.XLOOKUP(C333,Mapping!A:A,Mapping!D:D,0,0)</f>
        <v>Bin</v>
      </c>
      <c r="AE333" t="str">
        <f t="shared" si="11"/>
        <v>OLD</v>
      </c>
    </row>
    <row r="334" spans="1:31" x14ac:dyDescent="0.2">
      <c r="A334" t="s">
        <v>39</v>
      </c>
      <c r="B334">
        <v>1012726642</v>
      </c>
      <c r="C334" t="s">
        <v>389</v>
      </c>
      <c r="D334" t="s">
        <v>31</v>
      </c>
      <c r="E334" s="1">
        <v>0.67291666666666672</v>
      </c>
      <c r="F334" t="s">
        <v>32</v>
      </c>
      <c r="G334" t="s">
        <v>33</v>
      </c>
      <c r="H334" t="s">
        <v>41</v>
      </c>
      <c r="I334" t="s">
        <v>62</v>
      </c>
      <c r="J334">
        <v>280</v>
      </c>
      <c r="K334">
        <v>0</v>
      </c>
      <c r="L334" t="s">
        <v>36</v>
      </c>
      <c r="M334" t="s">
        <v>37</v>
      </c>
      <c r="N334">
        <v>0</v>
      </c>
      <c r="O334">
        <v>0</v>
      </c>
      <c r="P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 t="s">
        <v>36</v>
      </c>
      <c r="AB334" t="s">
        <v>43</v>
      </c>
      <c r="AC334" t="str">
        <f t="shared" si="10"/>
        <v>CP</v>
      </c>
      <c r="AD334" t="str">
        <f>_xlfn.XLOOKUP(C334,Mapping!A:A,Mapping!D:D,0,0)</f>
        <v>Bin</v>
      </c>
      <c r="AE334" t="str">
        <f t="shared" si="11"/>
        <v>OLD</v>
      </c>
    </row>
    <row r="335" spans="1:31" x14ac:dyDescent="0.2">
      <c r="A335" t="s">
        <v>39</v>
      </c>
      <c r="B335">
        <v>1012726652</v>
      </c>
      <c r="C335" t="s">
        <v>390</v>
      </c>
      <c r="D335" t="s">
        <v>31</v>
      </c>
      <c r="E335" s="1">
        <v>0.67291666666666672</v>
      </c>
      <c r="F335" t="s">
        <v>32</v>
      </c>
      <c r="G335" t="s">
        <v>33</v>
      </c>
      <c r="H335" t="s">
        <v>41</v>
      </c>
      <c r="I335" t="s">
        <v>62</v>
      </c>
      <c r="J335">
        <v>280</v>
      </c>
      <c r="K335">
        <v>0</v>
      </c>
      <c r="L335" t="s">
        <v>36</v>
      </c>
      <c r="M335" t="s">
        <v>37</v>
      </c>
      <c r="N335">
        <v>0</v>
      </c>
      <c r="O335">
        <v>0</v>
      </c>
      <c r="P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 t="s">
        <v>36</v>
      </c>
      <c r="AB335" t="s">
        <v>43</v>
      </c>
      <c r="AC335" t="str">
        <f t="shared" si="10"/>
        <v>CP</v>
      </c>
      <c r="AD335" t="str">
        <f>_xlfn.XLOOKUP(C335,Mapping!A:A,Mapping!D:D,0,0)</f>
        <v>Bin</v>
      </c>
      <c r="AE335" t="str">
        <f t="shared" si="11"/>
        <v>OLD</v>
      </c>
    </row>
    <row r="336" spans="1:31" x14ac:dyDescent="0.2">
      <c r="A336" t="s">
        <v>39</v>
      </c>
      <c r="B336">
        <v>1012726662</v>
      </c>
      <c r="C336" t="s">
        <v>391</v>
      </c>
      <c r="D336" t="s">
        <v>31</v>
      </c>
      <c r="E336" s="1">
        <v>0.67291666666666672</v>
      </c>
      <c r="F336" t="s">
        <v>32</v>
      </c>
      <c r="G336" t="s">
        <v>33</v>
      </c>
      <c r="H336" t="s">
        <v>34</v>
      </c>
      <c r="I336" t="s">
        <v>84</v>
      </c>
      <c r="J336">
        <v>112</v>
      </c>
      <c r="K336">
        <v>0</v>
      </c>
      <c r="L336" t="s">
        <v>36</v>
      </c>
      <c r="M336" t="s">
        <v>37</v>
      </c>
      <c r="N336">
        <v>0</v>
      </c>
      <c r="O336">
        <v>0</v>
      </c>
      <c r="P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 t="s">
        <v>36</v>
      </c>
      <c r="AB336" t="s">
        <v>43</v>
      </c>
      <c r="AC336" t="str">
        <f t="shared" si="10"/>
        <v>CP</v>
      </c>
      <c r="AD336" t="str">
        <f>_xlfn.XLOOKUP(C336,Mapping!A:A,Mapping!D:D,0,0)</f>
        <v>Bin</v>
      </c>
      <c r="AE336" t="str">
        <f t="shared" si="11"/>
        <v>OLD</v>
      </c>
    </row>
    <row r="337" spans="1:31" x14ac:dyDescent="0.2">
      <c r="A337" t="s">
        <v>39</v>
      </c>
      <c r="B337">
        <v>1012726672</v>
      </c>
      <c r="C337" t="s">
        <v>392</v>
      </c>
      <c r="D337" t="s">
        <v>31</v>
      </c>
      <c r="E337" s="1">
        <v>0.67291666666666672</v>
      </c>
      <c r="F337" t="s">
        <v>32</v>
      </c>
      <c r="G337" t="s">
        <v>33</v>
      </c>
      <c r="H337" t="s">
        <v>41</v>
      </c>
      <c r="I337" t="s">
        <v>62</v>
      </c>
      <c r="J337">
        <v>280</v>
      </c>
      <c r="K337">
        <v>0</v>
      </c>
      <c r="L337" t="s">
        <v>36</v>
      </c>
      <c r="M337" t="s">
        <v>37</v>
      </c>
      <c r="N337">
        <v>0</v>
      </c>
      <c r="O337">
        <v>0</v>
      </c>
      <c r="P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 t="s">
        <v>36</v>
      </c>
      <c r="AB337" t="s">
        <v>43</v>
      </c>
      <c r="AC337" t="str">
        <f t="shared" si="10"/>
        <v>CP</v>
      </c>
      <c r="AD337" t="str">
        <f>_xlfn.XLOOKUP(C337,Mapping!A:A,Mapping!D:D,0,0)</f>
        <v>Bin</v>
      </c>
      <c r="AE337" t="str">
        <f t="shared" si="11"/>
        <v>OLD</v>
      </c>
    </row>
    <row r="338" spans="1:31" x14ac:dyDescent="0.2">
      <c r="A338" t="s">
        <v>39</v>
      </c>
      <c r="B338">
        <v>1012726682</v>
      </c>
      <c r="C338" t="s">
        <v>393</v>
      </c>
      <c r="D338" t="s">
        <v>31</v>
      </c>
      <c r="E338" s="1">
        <v>0.67291666666666672</v>
      </c>
      <c r="F338" t="s">
        <v>32</v>
      </c>
      <c r="G338" t="s">
        <v>33</v>
      </c>
      <c r="H338" t="s">
        <v>41</v>
      </c>
      <c r="I338" t="s">
        <v>62</v>
      </c>
      <c r="J338">
        <v>280</v>
      </c>
      <c r="K338">
        <v>0</v>
      </c>
      <c r="L338" t="s">
        <v>36</v>
      </c>
      <c r="M338" t="s">
        <v>37</v>
      </c>
      <c r="N338">
        <v>0</v>
      </c>
      <c r="O338">
        <v>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 t="s">
        <v>36</v>
      </c>
      <c r="AB338" t="s">
        <v>43</v>
      </c>
      <c r="AC338" t="str">
        <f t="shared" si="10"/>
        <v>CP</v>
      </c>
      <c r="AD338" t="str">
        <f>_xlfn.XLOOKUP(C338,Mapping!A:A,Mapping!D:D,0,0)</f>
        <v>Bin</v>
      </c>
      <c r="AE338" t="str">
        <f t="shared" si="11"/>
        <v>OLD</v>
      </c>
    </row>
    <row r="339" spans="1:31" x14ac:dyDescent="0.2">
      <c r="A339" t="s">
        <v>39</v>
      </c>
      <c r="B339">
        <v>1012726692</v>
      </c>
      <c r="C339" t="s">
        <v>394</v>
      </c>
      <c r="D339" t="s">
        <v>31</v>
      </c>
      <c r="E339" s="1">
        <v>0.67291666666666672</v>
      </c>
      <c r="F339" t="s">
        <v>32</v>
      </c>
      <c r="G339" t="s">
        <v>33</v>
      </c>
      <c r="H339" t="s">
        <v>34</v>
      </c>
      <c r="I339" t="s">
        <v>84</v>
      </c>
      <c r="J339">
        <v>112</v>
      </c>
      <c r="K339">
        <v>0</v>
      </c>
      <c r="L339" t="s">
        <v>63</v>
      </c>
      <c r="M339">
        <v>150</v>
      </c>
      <c r="N339">
        <v>0</v>
      </c>
      <c r="O339">
        <v>0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 t="s">
        <v>36</v>
      </c>
      <c r="AB339" t="s">
        <v>43</v>
      </c>
      <c r="AC339" t="str">
        <f t="shared" si="10"/>
        <v>CP</v>
      </c>
      <c r="AD339" t="str">
        <f>_xlfn.XLOOKUP(C339,Mapping!A:A,Mapping!D:D,0,0)</f>
        <v>Bin</v>
      </c>
      <c r="AE339" t="str">
        <f t="shared" si="11"/>
        <v>OLD</v>
      </c>
    </row>
    <row r="340" spans="1:31" x14ac:dyDescent="0.2">
      <c r="A340" t="s">
        <v>39</v>
      </c>
      <c r="B340">
        <v>1012726702</v>
      </c>
      <c r="C340" t="s">
        <v>395</v>
      </c>
      <c r="D340" t="s">
        <v>31</v>
      </c>
      <c r="E340" s="1">
        <v>0.67291666666666672</v>
      </c>
      <c r="F340" t="s">
        <v>32</v>
      </c>
      <c r="G340" t="s">
        <v>33</v>
      </c>
      <c r="H340" t="s">
        <v>41</v>
      </c>
      <c r="I340" t="s">
        <v>62</v>
      </c>
      <c r="J340">
        <v>280</v>
      </c>
      <c r="K340">
        <v>0</v>
      </c>
      <c r="L340" t="s">
        <v>36</v>
      </c>
      <c r="M340" t="s">
        <v>37</v>
      </c>
      <c r="N340">
        <v>0</v>
      </c>
      <c r="O340">
        <v>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 t="s">
        <v>36</v>
      </c>
      <c r="AB340" t="s">
        <v>43</v>
      </c>
      <c r="AC340" t="str">
        <f t="shared" si="10"/>
        <v>CP</v>
      </c>
      <c r="AD340" t="str">
        <f>_xlfn.XLOOKUP(C340,Mapping!A:A,Mapping!D:D,0,0)</f>
        <v>Bin</v>
      </c>
      <c r="AE340" t="str">
        <f t="shared" si="11"/>
        <v>OLD</v>
      </c>
    </row>
    <row r="341" spans="1:31" x14ac:dyDescent="0.2">
      <c r="A341" t="s">
        <v>39</v>
      </c>
      <c r="B341">
        <v>1012726712</v>
      </c>
      <c r="C341" t="s">
        <v>396</v>
      </c>
      <c r="D341" t="s">
        <v>31</v>
      </c>
      <c r="E341" s="1">
        <v>0.67291666666666672</v>
      </c>
      <c r="F341" t="s">
        <v>32</v>
      </c>
      <c r="G341" t="s">
        <v>33</v>
      </c>
      <c r="H341" t="s">
        <v>41</v>
      </c>
      <c r="I341" t="s">
        <v>62</v>
      </c>
      <c r="J341">
        <v>280</v>
      </c>
      <c r="K341">
        <v>0</v>
      </c>
      <c r="L341" t="s">
        <v>36</v>
      </c>
      <c r="M341" t="s">
        <v>37</v>
      </c>
      <c r="N341">
        <v>0</v>
      </c>
      <c r="O341">
        <v>0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 t="s">
        <v>36</v>
      </c>
      <c r="AB341" t="s">
        <v>43</v>
      </c>
      <c r="AC341" t="str">
        <f t="shared" si="10"/>
        <v>CP</v>
      </c>
      <c r="AD341" t="str">
        <f>_xlfn.XLOOKUP(C341,Mapping!A:A,Mapping!D:D,0,0)</f>
        <v>Bin</v>
      </c>
      <c r="AE341" t="str">
        <f t="shared" si="11"/>
        <v>OLD</v>
      </c>
    </row>
    <row r="342" spans="1:31" x14ac:dyDescent="0.2">
      <c r="A342" t="s">
        <v>39</v>
      </c>
      <c r="B342">
        <v>1012726722</v>
      </c>
      <c r="C342" t="s">
        <v>397</v>
      </c>
      <c r="D342" t="s">
        <v>31</v>
      </c>
      <c r="E342" s="1">
        <v>0.67291666666666672</v>
      </c>
      <c r="F342" t="s">
        <v>32</v>
      </c>
      <c r="G342" t="s">
        <v>33</v>
      </c>
      <c r="H342" t="s">
        <v>34</v>
      </c>
      <c r="I342" t="s">
        <v>84</v>
      </c>
      <c r="J342">
        <v>112</v>
      </c>
      <c r="K342">
        <v>0</v>
      </c>
      <c r="L342" t="s">
        <v>36</v>
      </c>
      <c r="M342" t="s">
        <v>37</v>
      </c>
      <c r="N342">
        <v>0</v>
      </c>
      <c r="O342">
        <v>0</v>
      </c>
      <c r="P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 t="s">
        <v>36</v>
      </c>
      <c r="AB342" t="s">
        <v>43</v>
      </c>
      <c r="AC342" t="str">
        <f t="shared" si="10"/>
        <v>CP</v>
      </c>
      <c r="AD342" t="str">
        <f>_xlfn.XLOOKUP(C342,Mapping!A:A,Mapping!D:D,0,0)</f>
        <v>Keyword - Preroll</v>
      </c>
      <c r="AE342" t="str">
        <f t="shared" si="11"/>
        <v>OLD</v>
      </c>
    </row>
    <row r="343" spans="1:31" x14ac:dyDescent="0.2">
      <c r="A343" t="s">
        <v>39</v>
      </c>
      <c r="B343">
        <v>1012726732</v>
      </c>
      <c r="C343" t="s">
        <v>398</v>
      </c>
      <c r="D343" t="s">
        <v>31</v>
      </c>
      <c r="E343" s="1">
        <v>0.67291666666666672</v>
      </c>
      <c r="F343" t="s">
        <v>32</v>
      </c>
      <c r="G343" t="s">
        <v>33</v>
      </c>
      <c r="H343" t="s">
        <v>41</v>
      </c>
      <c r="I343" t="s">
        <v>62</v>
      </c>
      <c r="J343">
        <v>280</v>
      </c>
      <c r="K343">
        <v>0</v>
      </c>
      <c r="L343" t="s">
        <v>36</v>
      </c>
      <c r="M343" t="s">
        <v>37</v>
      </c>
      <c r="N343">
        <v>0</v>
      </c>
      <c r="O343">
        <v>0</v>
      </c>
      <c r="P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 t="s">
        <v>36</v>
      </c>
      <c r="AB343" t="s">
        <v>43</v>
      </c>
      <c r="AC343" t="str">
        <f t="shared" si="10"/>
        <v>CP</v>
      </c>
      <c r="AD343" t="str">
        <f>_xlfn.XLOOKUP(C343,Mapping!A:A,Mapping!D:D,0,0)</f>
        <v>Bin</v>
      </c>
      <c r="AE343" t="str">
        <f t="shared" si="11"/>
        <v>OLD</v>
      </c>
    </row>
    <row r="344" spans="1:31" x14ac:dyDescent="0.2">
      <c r="A344" t="s">
        <v>39</v>
      </c>
      <c r="B344">
        <v>1012726742</v>
      </c>
      <c r="C344" t="s">
        <v>399</v>
      </c>
      <c r="D344" t="s">
        <v>31</v>
      </c>
      <c r="E344" s="1">
        <v>0.67291666666666672</v>
      </c>
      <c r="F344" t="s">
        <v>32</v>
      </c>
      <c r="G344" t="s">
        <v>33</v>
      </c>
      <c r="H344" t="s">
        <v>41</v>
      </c>
      <c r="I344" t="s">
        <v>62</v>
      </c>
      <c r="J344">
        <v>280</v>
      </c>
      <c r="K344">
        <v>0</v>
      </c>
      <c r="L344" t="s">
        <v>36</v>
      </c>
      <c r="M344" t="s">
        <v>37</v>
      </c>
      <c r="N344">
        <v>0</v>
      </c>
      <c r="O344">
        <v>0</v>
      </c>
      <c r="P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 t="s">
        <v>36</v>
      </c>
      <c r="AB344" t="s">
        <v>43</v>
      </c>
      <c r="AC344" t="str">
        <f t="shared" si="10"/>
        <v>CP</v>
      </c>
      <c r="AD344" t="str">
        <f>_xlfn.XLOOKUP(C344,Mapping!A:A,Mapping!D:D,0,0)</f>
        <v>Bin</v>
      </c>
      <c r="AE344" t="str">
        <f t="shared" si="11"/>
        <v>OLD</v>
      </c>
    </row>
    <row r="345" spans="1:31" x14ac:dyDescent="0.2">
      <c r="A345" t="s">
        <v>29</v>
      </c>
      <c r="B345">
        <v>1012726752</v>
      </c>
      <c r="C345" t="s">
        <v>400</v>
      </c>
      <c r="D345" t="s">
        <v>31</v>
      </c>
      <c r="E345" s="1">
        <v>0.67291666666666672</v>
      </c>
      <c r="F345" t="s">
        <v>32</v>
      </c>
      <c r="G345" t="s">
        <v>33</v>
      </c>
      <c r="H345" t="s">
        <v>34</v>
      </c>
      <c r="I345" t="s">
        <v>84</v>
      </c>
      <c r="J345">
        <v>112</v>
      </c>
      <c r="K345">
        <v>0</v>
      </c>
      <c r="L345" t="s">
        <v>36</v>
      </c>
      <c r="M345" t="s">
        <v>37</v>
      </c>
      <c r="N345">
        <v>250312</v>
      </c>
      <c r="O345">
        <v>9702</v>
      </c>
      <c r="P345">
        <v>3.8759600000000001</v>
      </c>
      <c r="Q345">
        <v>3</v>
      </c>
      <c r="R345">
        <v>353.83</v>
      </c>
      <c r="S345">
        <v>1.4139999999999999</v>
      </c>
      <c r="T345">
        <v>3.5999999999999997E-2</v>
      </c>
      <c r="U345">
        <v>117.943</v>
      </c>
      <c r="V345">
        <v>1</v>
      </c>
      <c r="W345">
        <v>0</v>
      </c>
      <c r="X345" t="s">
        <v>36</v>
      </c>
      <c r="Y345">
        <v>250312</v>
      </c>
      <c r="Z345">
        <v>193125</v>
      </c>
      <c r="AA345">
        <v>27960</v>
      </c>
      <c r="AB345" t="s">
        <v>401</v>
      </c>
      <c r="AC345" t="str">
        <f t="shared" si="10"/>
        <v>CP</v>
      </c>
      <c r="AD345" t="str">
        <f>_xlfn.XLOOKUP(C345,Mapping!A:A,Mapping!D:D,0,0)</f>
        <v>Keyword - Preroll</v>
      </c>
      <c r="AE345" t="str">
        <f t="shared" si="11"/>
        <v>OLD</v>
      </c>
    </row>
    <row r="346" spans="1:31" x14ac:dyDescent="0.2">
      <c r="A346" t="s">
        <v>39</v>
      </c>
      <c r="B346">
        <v>1012726762</v>
      </c>
      <c r="C346" t="s">
        <v>402</v>
      </c>
      <c r="D346" t="s">
        <v>31</v>
      </c>
      <c r="E346" s="1">
        <v>0.67291666666666672</v>
      </c>
      <c r="F346" t="s">
        <v>32</v>
      </c>
      <c r="G346" t="s">
        <v>33</v>
      </c>
      <c r="H346" t="s">
        <v>41</v>
      </c>
      <c r="I346" t="s">
        <v>62</v>
      </c>
      <c r="J346">
        <v>280</v>
      </c>
      <c r="K346">
        <v>0</v>
      </c>
      <c r="L346" t="s">
        <v>36</v>
      </c>
      <c r="M346" t="s">
        <v>37</v>
      </c>
      <c r="N346">
        <v>0</v>
      </c>
      <c r="O346">
        <v>0</v>
      </c>
      <c r="P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 t="s">
        <v>36</v>
      </c>
      <c r="AB346" t="s">
        <v>43</v>
      </c>
      <c r="AC346" t="str">
        <f t="shared" si="10"/>
        <v>CP</v>
      </c>
      <c r="AD346" t="str">
        <f>_xlfn.XLOOKUP(C346,Mapping!A:A,Mapping!D:D,0,0)</f>
        <v>Bin</v>
      </c>
      <c r="AE346" t="str">
        <f t="shared" si="11"/>
        <v>OLD</v>
      </c>
    </row>
    <row r="347" spans="1:31" x14ac:dyDescent="0.2">
      <c r="A347" t="s">
        <v>39</v>
      </c>
      <c r="B347">
        <v>1012726802</v>
      </c>
      <c r="C347" t="s">
        <v>403</v>
      </c>
      <c r="D347" t="s">
        <v>31</v>
      </c>
      <c r="E347" s="1">
        <v>0.67291666666666672</v>
      </c>
      <c r="F347" t="s">
        <v>32</v>
      </c>
      <c r="G347" t="s">
        <v>33</v>
      </c>
      <c r="H347" t="s">
        <v>41</v>
      </c>
      <c r="I347" t="s">
        <v>62</v>
      </c>
      <c r="J347">
        <v>280</v>
      </c>
      <c r="K347">
        <v>0</v>
      </c>
      <c r="L347" t="s">
        <v>36</v>
      </c>
      <c r="M347" t="s">
        <v>37</v>
      </c>
      <c r="N347">
        <v>0</v>
      </c>
      <c r="O347">
        <v>0</v>
      </c>
      <c r="P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 t="s">
        <v>36</v>
      </c>
      <c r="AB347" t="s">
        <v>43</v>
      </c>
      <c r="AC347" t="str">
        <f t="shared" si="10"/>
        <v>CP</v>
      </c>
      <c r="AD347" t="str">
        <f>_xlfn.XLOOKUP(C347,Mapping!A:A,Mapping!D:D,0,0)</f>
        <v>Bin</v>
      </c>
      <c r="AE347" t="str">
        <f t="shared" si="11"/>
        <v>OLD</v>
      </c>
    </row>
    <row r="348" spans="1:31" x14ac:dyDescent="0.2">
      <c r="A348" t="s">
        <v>39</v>
      </c>
      <c r="B348">
        <v>1012726812</v>
      </c>
      <c r="C348" t="s">
        <v>404</v>
      </c>
      <c r="D348" t="s">
        <v>31</v>
      </c>
      <c r="E348" s="1">
        <v>0.67291666666666672</v>
      </c>
      <c r="F348" t="s">
        <v>32</v>
      </c>
      <c r="G348" t="s">
        <v>33</v>
      </c>
      <c r="H348" t="s">
        <v>34</v>
      </c>
      <c r="I348" t="s">
        <v>84</v>
      </c>
      <c r="J348">
        <v>112</v>
      </c>
      <c r="K348">
        <v>0</v>
      </c>
      <c r="L348" t="s">
        <v>36</v>
      </c>
      <c r="M348" t="s">
        <v>37</v>
      </c>
      <c r="N348">
        <v>0</v>
      </c>
      <c r="O348">
        <v>0</v>
      </c>
      <c r="P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 t="s">
        <v>36</v>
      </c>
      <c r="AB348" t="s">
        <v>43</v>
      </c>
      <c r="AC348" t="str">
        <f t="shared" si="10"/>
        <v>CP</v>
      </c>
      <c r="AD348" t="str">
        <f>_xlfn.XLOOKUP(C348,Mapping!A:A,Mapping!D:D,0,0)</f>
        <v>Keyword - Preroll</v>
      </c>
      <c r="AE348" t="str">
        <f t="shared" si="11"/>
        <v>OLD</v>
      </c>
    </row>
    <row r="349" spans="1:31" x14ac:dyDescent="0.2">
      <c r="A349" t="s">
        <v>39</v>
      </c>
      <c r="B349">
        <v>1012726822</v>
      </c>
      <c r="C349" t="s">
        <v>405</v>
      </c>
      <c r="D349" t="s">
        <v>31</v>
      </c>
      <c r="E349" s="1">
        <v>0.67291666666666672</v>
      </c>
      <c r="F349" t="s">
        <v>32</v>
      </c>
      <c r="G349" t="s">
        <v>33</v>
      </c>
      <c r="H349" t="s">
        <v>41</v>
      </c>
      <c r="I349" t="s">
        <v>62</v>
      </c>
      <c r="J349">
        <v>280</v>
      </c>
      <c r="K349">
        <v>0</v>
      </c>
      <c r="L349" t="s">
        <v>36</v>
      </c>
      <c r="M349" t="s">
        <v>37</v>
      </c>
      <c r="N349">
        <v>0</v>
      </c>
      <c r="O349">
        <v>0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 t="s">
        <v>36</v>
      </c>
      <c r="AB349" t="s">
        <v>43</v>
      </c>
      <c r="AC349" t="str">
        <f t="shared" si="10"/>
        <v>CP</v>
      </c>
      <c r="AD349" t="str">
        <f>_xlfn.XLOOKUP(C349,Mapping!A:A,Mapping!D:D,0,0)</f>
        <v>Bin</v>
      </c>
      <c r="AE349" t="str">
        <f t="shared" si="11"/>
        <v>OLD</v>
      </c>
    </row>
    <row r="350" spans="1:31" x14ac:dyDescent="0.2">
      <c r="A350" t="s">
        <v>39</v>
      </c>
      <c r="B350">
        <v>1012726842</v>
      </c>
      <c r="C350" t="s">
        <v>406</v>
      </c>
      <c r="D350" t="s">
        <v>31</v>
      </c>
      <c r="E350" s="1">
        <v>0.67291666666666672</v>
      </c>
      <c r="F350" t="s">
        <v>32</v>
      </c>
      <c r="G350" t="s">
        <v>33</v>
      </c>
      <c r="H350" t="s">
        <v>41</v>
      </c>
      <c r="I350" t="s">
        <v>62</v>
      </c>
      <c r="J350">
        <v>280</v>
      </c>
      <c r="K350">
        <v>0</v>
      </c>
      <c r="L350" t="s">
        <v>36</v>
      </c>
      <c r="M350" t="s">
        <v>37</v>
      </c>
      <c r="N350">
        <v>0</v>
      </c>
      <c r="O350">
        <v>0</v>
      </c>
      <c r="P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 t="s">
        <v>36</v>
      </c>
      <c r="AB350" t="s">
        <v>43</v>
      </c>
      <c r="AC350" t="str">
        <f t="shared" si="10"/>
        <v>CP</v>
      </c>
      <c r="AD350" t="str">
        <f>_xlfn.XLOOKUP(C350,Mapping!A:A,Mapping!D:D,0,0)</f>
        <v>Bin</v>
      </c>
      <c r="AE350" t="str">
        <f t="shared" si="11"/>
        <v>OLD</v>
      </c>
    </row>
    <row r="351" spans="1:31" x14ac:dyDescent="0.2">
      <c r="A351" t="s">
        <v>39</v>
      </c>
      <c r="B351">
        <v>1012726852</v>
      </c>
      <c r="C351" t="s">
        <v>407</v>
      </c>
      <c r="D351" t="s">
        <v>31</v>
      </c>
      <c r="E351" s="1">
        <v>0.67291666666666672</v>
      </c>
      <c r="F351" t="s">
        <v>32</v>
      </c>
      <c r="G351" t="s">
        <v>33</v>
      </c>
      <c r="H351" t="s">
        <v>34</v>
      </c>
      <c r="I351" t="s">
        <v>84</v>
      </c>
      <c r="J351">
        <v>112</v>
      </c>
      <c r="K351">
        <v>0</v>
      </c>
      <c r="L351" t="s">
        <v>36</v>
      </c>
      <c r="M351" t="s">
        <v>37</v>
      </c>
      <c r="N351">
        <v>0</v>
      </c>
      <c r="O351">
        <v>0</v>
      </c>
      <c r="P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 t="s">
        <v>36</v>
      </c>
      <c r="AB351" t="s">
        <v>43</v>
      </c>
      <c r="AC351" t="str">
        <f t="shared" si="10"/>
        <v>CP</v>
      </c>
      <c r="AD351" t="str">
        <f>_xlfn.XLOOKUP(C351,Mapping!A:A,Mapping!D:D,0,0)</f>
        <v>Keyword - Preroll</v>
      </c>
      <c r="AE351" t="str">
        <f t="shared" si="11"/>
        <v>OLD</v>
      </c>
    </row>
    <row r="352" spans="1:31" x14ac:dyDescent="0.2">
      <c r="A352" t="s">
        <v>39</v>
      </c>
      <c r="B352">
        <v>1012726862</v>
      </c>
      <c r="C352" t="s">
        <v>408</v>
      </c>
      <c r="D352" t="s">
        <v>31</v>
      </c>
      <c r="E352" s="1">
        <v>0.67291666666666672</v>
      </c>
      <c r="F352" t="s">
        <v>32</v>
      </c>
      <c r="G352" t="s">
        <v>33</v>
      </c>
      <c r="H352" t="s">
        <v>41</v>
      </c>
      <c r="I352" t="s">
        <v>62</v>
      </c>
      <c r="J352">
        <v>280</v>
      </c>
      <c r="K352">
        <v>0</v>
      </c>
      <c r="L352" t="s">
        <v>36</v>
      </c>
      <c r="M352" t="s">
        <v>37</v>
      </c>
      <c r="N352">
        <v>0</v>
      </c>
      <c r="O352">
        <v>0</v>
      </c>
      <c r="P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 t="s">
        <v>36</v>
      </c>
      <c r="AB352" t="s">
        <v>43</v>
      </c>
      <c r="AC352" t="str">
        <f t="shared" si="10"/>
        <v>CP</v>
      </c>
      <c r="AD352" t="str">
        <f>_xlfn.XLOOKUP(C352,Mapping!A:A,Mapping!D:D,0,0)</f>
        <v>Bin</v>
      </c>
      <c r="AE352" t="str">
        <f t="shared" si="11"/>
        <v>OLD</v>
      </c>
    </row>
    <row r="353" spans="1:31" x14ac:dyDescent="0.2">
      <c r="A353" t="s">
        <v>39</v>
      </c>
      <c r="B353">
        <v>1012726882</v>
      </c>
      <c r="C353" t="s">
        <v>409</v>
      </c>
      <c r="D353" t="s">
        <v>31</v>
      </c>
      <c r="E353" s="1">
        <v>0.67291666666666672</v>
      </c>
      <c r="F353" t="s">
        <v>32</v>
      </c>
      <c r="G353" t="s">
        <v>33</v>
      </c>
      <c r="H353" t="s">
        <v>41</v>
      </c>
      <c r="I353" t="s">
        <v>62</v>
      </c>
      <c r="J353">
        <v>280</v>
      </c>
      <c r="K353">
        <v>0</v>
      </c>
      <c r="L353" t="s">
        <v>63</v>
      </c>
      <c r="M353">
        <v>150</v>
      </c>
      <c r="N353">
        <v>0</v>
      </c>
      <c r="O353">
        <v>0</v>
      </c>
      <c r="P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 t="s">
        <v>36</v>
      </c>
      <c r="AB353" t="s">
        <v>43</v>
      </c>
      <c r="AC353" t="str">
        <f t="shared" si="10"/>
        <v>CP</v>
      </c>
      <c r="AD353" t="str">
        <f>_xlfn.XLOOKUP(C353,Mapping!A:A,Mapping!D:D,0,0)</f>
        <v>Bin</v>
      </c>
      <c r="AE353" t="str">
        <f t="shared" si="11"/>
        <v>OLD</v>
      </c>
    </row>
    <row r="354" spans="1:31" x14ac:dyDescent="0.2">
      <c r="A354" t="s">
        <v>39</v>
      </c>
      <c r="B354">
        <v>1012726892</v>
      </c>
      <c r="C354" t="s">
        <v>410</v>
      </c>
      <c r="D354" t="s">
        <v>31</v>
      </c>
      <c r="E354" s="1">
        <v>0.67291666666666672</v>
      </c>
      <c r="F354" t="s">
        <v>32</v>
      </c>
      <c r="G354" t="s">
        <v>33</v>
      </c>
      <c r="H354" t="s">
        <v>34</v>
      </c>
      <c r="I354" t="s">
        <v>84</v>
      </c>
      <c r="J354">
        <v>112</v>
      </c>
      <c r="K354">
        <v>0</v>
      </c>
      <c r="L354" t="s">
        <v>36</v>
      </c>
      <c r="M354" t="s">
        <v>37</v>
      </c>
      <c r="N354">
        <v>0</v>
      </c>
      <c r="O354">
        <v>0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 t="s">
        <v>36</v>
      </c>
      <c r="AB354" t="s">
        <v>43</v>
      </c>
      <c r="AC354" t="str">
        <f t="shared" si="10"/>
        <v>CP</v>
      </c>
      <c r="AD354" t="str">
        <f>_xlfn.XLOOKUP(C354,Mapping!A:A,Mapping!D:D,0,0)</f>
        <v>Bin</v>
      </c>
      <c r="AE354" t="str">
        <f t="shared" si="11"/>
        <v>OLD</v>
      </c>
    </row>
    <row r="355" spans="1:31" x14ac:dyDescent="0.2">
      <c r="A355" t="s">
        <v>39</v>
      </c>
      <c r="B355">
        <v>1012726902</v>
      </c>
      <c r="C355" t="s">
        <v>411</v>
      </c>
      <c r="D355" t="s">
        <v>31</v>
      </c>
      <c r="E355" s="1">
        <v>0.67291666666666672</v>
      </c>
      <c r="F355" t="s">
        <v>32</v>
      </c>
      <c r="G355" t="s">
        <v>33</v>
      </c>
      <c r="H355" t="s">
        <v>41</v>
      </c>
      <c r="I355" t="s">
        <v>62</v>
      </c>
      <c r="J355">
        <v>280</v>
      </c>
      <c r="K355">
        <v>0</v>
      </c>
      <c r="L355" t="s">
        <v>36</v>
      </c>
      <c r="M355" t="s">
        <v>37</v>
      </c>
      <c r="N355">
        <v>0</v>
      </c>
      <c r="O355">
        <v>0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 t="s">
        <v>36</v>
      </c>
      <c r="AB355" t="s">
        <v>43</v>
      </c>
      <c r="AC355" t="str">
        <f t="shared" si="10"/>
        <v>CP</v>
      </c>
      <c r="AD355" t="str">
        <f>_xlfn.XLOOKUP(C355,Mapping!A:A,Mapping!D:D,0,0)</f>
        <v>Bin</v>
      </c>
      <c r="AE355" t="str">
        <f t="shared" si="11"/>
        <v>OLD</v>
      </c>
    </row>
    <row r="356" spans="1:31" x14ac:dyDescent="0.2">
      <c r="A356" t="s">
        <v>39</v>
      </c>
      <c r="B356">
        <v>1012726912</v>
      </c>
      <c r="C356" t="s">
        <v>412</v>
      </c>
      <c r="D356" t="s">
        <v>31</v>
      </c>
      <c r="E356" s="1">
        <v>0.67291666666666672</v>
      </c>
      <c r="F356" t="s">
        <v>32</v>
      </c>
      <c r="G356" t="s">
        <v>33</v>
      </c>
      <c r="H356" t="s">
        <v>41</v>
      </c>
      <c r="I356" t="s">
        <v>62</v>
      </c>
      <c r="J356">
        <v>280</v>
      </c>
      <c r="K356">
        <v>0</v>
      </c>
      <c r="L356" t="s">
        <v>36</v>
      </c>
      <c r="M356" t="s">
        <v>37</v>
      </c>
      <c r="N356">
        <v>0</v>
      </c>
      <c r="O356">
        <v>0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 t="s">
        <v>36</v>
      </c>
      <c r="AB356" t="s">
        <v>43</v>
      </c>
      <c r="AC356" t="str">
        <f t="shared" si="10"/>
        <v>CP</v>
      </c>
      <c r="AD356" t="str">
        <f>_xlfn.XLOOKUP(C356,Mapping!A:A,Mapping!D:D,0,0)</f>
        <v>Bin</v>
      </c>
      <c r="AE356" t="str">
        <f t="shared" si="11"/>
        <v>OLD</v>
      </c>
    </row>
    <row r="357" spans="1:31" x14ac:dyDescent="0.2">
      <c r="A357" t="s">
        <v>39</v>
      </c>
      <c r="B357">
        <v>1012726922</v>
      </c>
      <c r="C357" t="s">
        <v>413</v>
      </c>
      <c r="D357" t="s">
        <v>31</v>
      </c>
      <c r="E357" s="1">
        <v>0.67291666666666672</v>
      </c>
      <c r="F357" t="s">
        <v>32</v>
      </c>
      <c r="G357" t="s">
        <v>33</v>
      </c>
      <c r="H357" t="s">
        <v>34</v>
      </c>
      <c r="I357" t="s">
        <v>84</v>
      </c>
      <c r="J357">
        <v>112</v>
      </c>
      <c r="K357">
        <v>0</v>
      </c>
      <c r="L357" t="s">
        <v>36</v>
      </c>
      <c r="M357" t="s">
        <v>37</v>
      </c>
      <c r="N357">
        <v>0</v>
      </c>
      <c r="O357">
        <v>0</v>
      </c>
      <c r="P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 t="s">
        <v>36</v>
      </c>
      <c r="AB357" t="s">
        <v>43</v>
      </c>
      <c r="AC357" t="str">
        <f t="shared" si="10"/>
        <v>CP</v>
      </c>
      <c r="AD357" t="str">
        <f>_xlfn.XLOOKUP(C357,Mapping!A:A,Mapping!D:D,0,0)</f>
        <v>Bin</v>
      </c>
      <c r="AE357" t="str">
        <f t="shared" si="11"/>
        <v>OLD</v>
      </c>
    </row>
    <row r="358" spans="1:31" x14ac:dyDescent="0.2">
      <c r="A358" t="s">
        <v>39</v>
      </c>
      <c r="B358">
        <v>1012726932</v>
      </c>
      <c r="C358" t="s">
        <v>414</v>
      </c>
      <c r="D358" t="s">
        <v>31</v>
      </c>
      <c r="E358" s="1">
        <v>0.67291666666666672</v>
      </c>
      <c r="F358" t="s">
        <v>32</v>
      </c>
      <c r="G358" t="s">
        <v>33</v>
      </c>
      <c r="H358" t="s">
        <v>41</v>
      </c>
      <c r="I358" t="s">
        <v>62</v>
      </c>
      <c r="J358">
        <v>280</v>
      </c>
      <c r="K358">
        <v>0</v>
      </c>
      <c r="L358" t="s">
        <v>36</v>
      </c>
      <c r="M358" t="s">
        <v>37</v>
      </c>
      <c r="N358">
        <v>0</v>
      </c>
      <c r="O358">
        <v>0</v>
      </c>
      <c r="P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 t="s">
        <v>36</v>
      </c>
      <c r="AB358" t="s">
        <v>43</v>
      </c>
      <c r="AC358" t="str">
        <f t="shared" si="10"/>
        <v>CP</v>
      </c>
      <c r="AD358" t="str">
        <f>_xlfn.XLOOKUP(C358,Mapping!A:A,Mapping!D:D,0,0)</f>
        <v>Bin</v>
      </c>
      <c r="AE358" t="str">
        <f t="shared" si="11"/>
        <v>OLD</v>
      </c>
    </row>
    <row r="359" spans="1:31" x14ac:dyDescent="0.2">
      <c r="A359" t="s">
        <v>39</v>
      </c>
      <c r="B359">
        <v>1012726942</v>
      </c>
      <c r="C359" t="s">
        <v>415</v>
      </c>
      <c r="D359" t="s">
        <v>31</v>
      </c>
      <c r="E359" s="1">
        <v>0.67291666666666672</v>
      </c>
      <c r="F359" t="s">
        <v>32</v>
      </c>
      <c r="G359" t="s">
        <v>33</v>
      </c>
      <c r="H359" t="s">
        <v>41</v>
      </c>
      <c r="I359" t="s">
        <v>62</v>
      </c>
      <c r="J359">
        <v>280</v>
      </c>
      <c r="K359">
        <v>0</v>
      </c>
      <c r="L359" t="s">
        <v>36</v>
      </c>
      <c r="M359" t="s">
        <v>37</v>
      </c>
      <c r="N359">
        <v>0</v>
      </c>
      <c r="O359">
        <v>0</v>
      </c>
      <c r="P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 t="s">
        <v>36</v>
      </c>
      <c r="AB359" t="s">
        <v>43</v>
      </c>
      <c r="AC359" t="str">
        <f t="shared" si="10"/>
        <v>CP</v>
      </c>
      <c r="AD359" t="str">
        <f>_xlfn.XLOOKUP(C359,Mapping!A:A,Mapping!D:D,0,0)</f>
        <v>Bin</v>
      </c>
      <c r="AE359" t="str">
        <f t="shared" si="11"/>
        <v>OLD</v>
      </c>
    </row>
    <row r="360" spans="1:31" x14ac:dyDescent="0.2">
      <c r="A360" t="s">
        <v>39</v>
      </c>
      <c r="B360">
        <v>1012726952</v>
      </c>
      <c r="C360" t="s">
        <v>416</v>
      </c>
      <c r="D360" t="s">
        <v>31</v>
      </c>
      <c r="E360" s="1">
        <v>0.67291666666666672</v>
      </c>
      <c r="F360" t="s">
        <v>32</v>
      </c>
      <c r="G360" t="s">
        <v>33</v>
      </c>
      <c r="H360" t="s">
        <v>34</v>
      </c>
      <c r="I360" t="s">
        <v>84</v>
      </c>
      <c r="J360">
        <v>112</v>
      </c>
      <c r="K360">
        <v>0</v>
      </c>
      <c r="L360" t="s">
        <v>36</v>
      </c>
      <c r="M360" t="s">
        <v>37</v>
      </c>
      <c r="N360">
        <v>0</v>
      </c>
      <c r="O360">
        <v>0</v>
      </c>
      <c r="P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 t="s">
        <v>36</v>
      </c>
      <c r="AB360" t="s">
        <v>43</v>
      </c>
      <c r="AC360" t="str">
        <f t="shared" si="10"/>
        <v>CP</v>
      </c>
      <c r="AD360" t="str">
        <f>_xlfn.XLOOKUP(C360,Mapping!A:A,Mapping!D:D,0,0)</f>
        <v>Bin</v>
      </c>
      <c r="AE360" t="str">
        <f t="shared" si="11"/>
        <v>OLD</v>
      </c>
    </row>
    <row r="361" spans="1:31" x14ac:dyDescent="0.2">
      <c r="A361" t="s">
        <v>39</v>
      </c>
      <c r="B361">
        <v>1012726962</v>
      </c>
      <c r="C361" t="s">
        <v>417</v>
      </c>
      <c r="D361" t="s">
        <v>31</v>
      </c>
      <c r="E361" s="1">
        <v>0.67291666666666672</v>
      </c>
      <c r="F361" t="s">
        <v>32</v>
      </c>
      <c r="G361" t="s">
        <v>33</v>
      </c>
      <c r="H361" t="s">
        <v>41</v>
      </c>
      <c r="I361" t="s">
        <v>62</v>
      </c>
      <c r="J361">
        <v>280</v>
      </c>
      <c r="K361">
        <v>0</v>
      </c>
      <c r="L361" t="s">
        <v>36</v>
      </c>
      <c r="M361" t="s">
        <v>37</v>
      </c>
      <c r="N361">
        <v>0</v>
      </c>
      <c r="O361">
        <v>0</v>
      </c>
      <c r="P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 t="s">
        <v>36</v>
      </c>
      <c r="AB361" t="s">
        <v>43</v>
      </c>
      <c r="AC361" t="str">
        <f t="shared" si="10"/>
        <v>CP</v>
      </c>
      <c r="AD361" t="str">
        <f>_xlfn.XLOOKUP(C361,Mapping!A:A,Mapping!D:D,0,0)</f>
        <v>Bin</v>
      </c>
      <c r="AE361" t="str">
        <f t="shared" si="11"/>
        <v>OLD</v>
      </c>
    </row>
    <row r="362" spans="1:31" x14ac:dyDescent="0.2">
      <c r="A362" t="s">
        <v>39</v>
      </c>
      <c r="B362">
        <v>1012726972</v>
      </c>
      <c r="C362" t="s">
        <v>418</v>
      </c>
      <c r="D362" t="s">
        <v>31</v>
      </c>
      <c r="E362" s="1">
        <v>0.67291666666666672</v>
      </c>
      <c r="F362" t="s">
        <v>32</v>
      </c>
      <c r="G362" t="s">
        <v>33</v>
      </c>
      <c r="H362" t="s">
        <v>41</v>
      </c>
      <c r="I362" t="s">
        <v>62</v>
      </c>
      <c r="J362">
        <v>280</v>
      </c>
      <c r="K362">
        <v>0</v>
      </c>
      <c r="L362" t="s">
        <v>63</v>
      </c>
      <c r="M362">
        <v>150</v>
      </c>
      <c r="N362">
        <v>0</v>
      </c>
      <c r="O362">
        <v>0</v>
      </c>
      <c r="P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 t="s">
        <v>36</v>
      </c>
      <c r="AB362" t="s">
        <v>43</v>
      </c>
      <c r="AC362" t="str">
        <f t="shared" si="10"/>
        <v>CP</v>
      </c>
      <c r="AD362" t="str">
        <f>_xlfn.XLOOKUP(C362,Mapping!A:A,Mapping!D:D,0,0)</f>
        <v>Bin</v>
      </c>
      <c r="AE362" t="str">
        <f t="shared" si="11"/>
        <v>OLD</v>
      </c>
    </row>
    <row r="363" spans="1:31" x14ac:dyDescent="0.2">
      <c r="A363" t="s">
        <v>39</v>
      </c>
      <c r="B363">
        <v>1012726982</v>
      </c>
      <c r="C363" t="s">
        <v>419</v>
      </c>
      <c r="D363" t="s">
        <v>31</v>
      </c>
      <c r="E363" s="1">
        <v>0.67291666666666672</v>
      </c>
      <c r="F363" t="s">
        <v>32</v>
      </c>
      <c r="G363" t="s">
        <v>33</v>
      </c>
      <c r="H363" t="s">
        <v>34</v>
      </c>
      <c r="I363" t="s">
        <v>84</v>
      </c>
      <c r="J363">
        <v>112</v>
      </c>
      <c r="K363">
        <v>0</v>
      </c>
      <c r="L363" t="s">
        <v>63</v>
      </c>
      <c r="M363">
        <v>150</v>
      </c>
      <c r="N363">
        <v>0</v>
      </c>
      <c r="O363">
        <v>0</v>
      </c>
      <c r="P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 t="s">
        <v>36</v>
      </c>
      <c r="AB363" t="s">
        <v>43</v>
      </c>
      <c r="AC363" t="str">
        <f t="shared" si="10"/>
        <v>CP</v>
      </c>
      <c r="AD363" t="str">
        <f>_xlfn.XLOOKUP(C363,Mapping!A:A,Mapping!D:D,0,0)</f>
        <v>Bin</v>
      </c>
      <c r="AE363" t="str">
        <f t="shared" si="11"/>
        <v>OLD</v>
      </c>
    </row>
    <row r="364" spans="1:31" x14ac:dyDescent="0.2">
      <c r="A364" t="s">
        <v>39</v>
      </c>
      <c r="B364">
        <v>1012726992</v>
      </c>
      <c r="C364" t="s">
        <v>420</v>
      </c>
      <c r="D364" t="s">
        <v>31</v>
      </c>
      <c r="E364" s="1">
        <v>0.67291666666666672</v>
      </c>
      <c r="F364" t="s">
        <v>32</v>
      </c>
      <c r="G364" t="s">
        <v>33</v>
      </c>
      <c r="H364" t="s">
        <v>41</v>
      </c>
      <c r="I364" t="s">
        <v>62</v>
      </c>
      <c r="J364">
        <v>280</v>
      </c>
      <c r="K364">
        <v>0</v>
      </c>
      <c r="L364" t="s">
        <v>36</v>
      </c>
      <c r="M364" t="s">
        <v>37</v>
      </c>
      <c r="N364">
        <v>0</v>
      </c>
      <c r="O364">
        <v>0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 t="s">
        <v>36</v>
      </c>
      <c r="AB364" t="s">
        <v>43</v>
      </c>
      <c r="AC364" t="str">
        <f t="shared" si="10"/>
        <v>CP</v>
      </c>
      <c r="AD364" t="str">
        <f>_xlfn.XLOOKUP(C364,Mapping!A:A,Mapping!D:D,0,0)</f>
        <v>Bin</v>
      </c>
      <c r="AE364" t="str">
        <f t="shared" si="11"/>
        <v>OLD</v>
      </c>
    </row>
    <row r="365" spans="1:31" x14ac:dyDescent="0.2">
      <c r="A365" t="s">
        <v>39</v>
      </c>
      <c r="B365">
        <v>1012727002</v>
      </c>
      <c r="C365" t="s">
        <v>421</v>
      </c>
      <c r="D365" t="s">
        <v>31</v>
      </c>
      <c r="E365" s="1">
        <v>0.67291666666666672</v>
      </c>
      <c r="F365" t="s">
        <v>32</v>
      </c>
      <c r="G365" t="s">
        <v>33</v>
      </c>
      <c r="H365" t="s">
        <v>41</v>
      </c>
      <c r="I365" t="s">
        <v>62</v>
      </c>
      <c r="J365">
        <v>280</v>
      </c>
      <c r="K365">
        <v>0</v>
      </c>
      <c r="L365" t="s">
        <v>36</v>
      </c>
      <c r="M365" t="s">
        <v>37</v>
      </c>
      <c r="N365">
        <v>0</v>
      </c>
      <c r="O365">
        <v>0</v>
      </c>
      <c r="P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 t="s">
        <v>36</v>
      </c>
      <c r="AB365" t="s">
        <v>43</v>
      </c>
      <c r="AC365" t="str">
        <f t="shared" si="10"/>
        <v>CP</v>
      </c>
      <c r="AD365" t="str">
        <f>_xlfn.XLOOKUP(C365,Mapping!A:A,Mapping!D:D,0,0)</f>
        <v>Bin</v>
      </c>
      <c r="AE365" t="str">
        <f t="shared" si="11"/>
        <v>OLD</v>
      </c>
    </row>
    <row r="366" spans="1:31" x14ac:dyDescent="0.2">
      <c r="A366" t="s">
        <v>29</v>
      </c>
      <c r="B366">
        <v>1012727012</v>
      </c>
      <c r="C366" t="s">
        <v>422</v>
      </c>
      <c r="D366" t="s">
        <v>31</v>
      </c>
      <c r="E366" s="1">
        <v>0.67291666666666672</v>
      </c>
      <c r="F366" t="s">
        <v>32</v>
      </c>
      <c r="G366" t="s">
        <v>33</v>
      </c>
      <c r="H366" t="s">
        <v>34</v>
      </c>
      <c r="I366" t="s">
        <v>84</v>
      </c>
      <c r="J366">
        <v>112</v>
      </c>
      <c r="K366">
        <v>0</v>
      </c>
      <c r="L366" t="s">
        <v>63</v>
      </c>
      <c r="M366">
        <v>150</v>
      </c>
      <c r="N366">
        <v>28558</v>
      </c>
      <c r="O366">
        <v>1395</v>
      </c>
      <c r="P366">
        <v>4.8848000000000003</v>
      </c>
      <c r="Q366">
        <v>1</v>
      </c>
      <c r="R366">
        <v>56.01</v>
      </c>
      <c r="S366">
        <v>1.9610000000000001</v>
      </c>
      <c r="T366">
        <v>0.04</v>
      </c>
      <c r="U366">
        <v>56.008000000000003</v>
      </c>
      <c r="V366">
        <v>1</v>
      </c>
      <c r="W366">
        <v>0</v>
      </c>
      <c r="X366" t="s">
        <v>36</v>
      </c>
      <c r="Y366">
        <v>28558</v>
      </c>
      <c r="Z366">
        <v>23330</v>
      </c>
      <c r="AA366">
        <v>3007</v>
      </c>
      <c r="AB366" t="s">
        <v>423</v>
      </c>
      <c r="AC366" t="str">
        <f t="shared" si="10"/>
        <v>CP</v>
      </c>
      <c r="AD366" t="str">
        <f>_xlfn.XLOOKUP(C366,Mapping!A:A,Mapping!D:D,0,0)</f>
        <v>Trans</v>
      </c>
      <c r="AE366" t="str">
        <f t="shared" si="11"/>
        <v>OLD</v>
      </c>
    </row>
    <row r="367" spans="1:31" x14ac:dyDescent="0.2">
      <c r="A367" t="s">
        <v>39</v>
      </c>
      <c r="B367">
        <v>1012727022</v>
      </c>
      <c r="C367" t="s">
        <v>424</v>
      </c>
      <c r="D367" t="s">
        <v>31</v>
      </c>
      <c r="E367" s="1">
        <v>0.67291666666666672</v>
      </c>
      <c r="F367" t="s">
        <v>32</v>
      </c>
      <c r="G367" t="s">
        <v>33</v>
      </c>
      <c r="H367" t="s">
        <v>41</v>
      </c>
      <c r="I367" t="s">
        <v>62</v>
      </c>
      <c r="J367">
        <v>280</v>
      </c>
      <c r="K367">
        <v>0</v>
      </c>
      <c r="L367" t="s">
        <v>36</v>
      </c>
      <c r="M367" t="s">
        <v>37</v>
      </c>
      <c r="N367">
        <v>0</v>
      </c>
      <c r="O367">
        <v>0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 t="s">
        <v>36</v>
      </c>
      <c r="AB367" t="s">
        <v>43</v>
      </c>
      <c r="AC367" t="str">
        <f t="shared" si="10"/>
        <v>CP</v>
      </c>
      <c r="AD367" t="str">
        <f>_xlfn.XLOOKUP(C367,Mapping!A:A,Mapping!D:D,0,0)</f>
        <v>Bin</v>
      </c>
      <c r="AE367" t="str">
        <f t="shared" si="11"/>
        <v>OLD</v>
      </c>
    </row>
    <row r="368" spans="1:31" x14ac:dyDescent="0.2">
      <c r="A368" t="s">
        <v>39</v>
      </c>
      <c r="B368">
        <v>1012727032</v>
      </c>
      <c r="C368" t="s">
        <v>425</v>
      </c>
      <c r="D368" t="s">
        <v>31</v>
      </c>
      <c r="E368" s="1">
        <v>0.67291666666666672</v>
      </c>
      <c r="F368" t="s">
        <v>32</v>
      </c>
      <c r="G368" t="s">
        <v>33</v>
      </c>
      <c r="H368" t="s">
        <v>41</v>
      </c>
      <c r="I368" t="s">
        <v>62</v>
      </c>
      <c r="J368">
        <v>280</v>
      </c>
      <c r="K368">
        <v>0</v>
      </c>
      <c r="L368" t="s">
        <v>36</v>
      </c>
      <c r="M368" t="s">
        <v>37</v>
      </c>
      <c r="N368">
        <v>0</v>
      </c>
      <c r="O368">
        <v>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 t="s">
        <v>36</v>
      </c>
      <c r="AB368" t="s">
        <v>43</v>
      </c>
      <c r="AC368" t="str">
        <f t="shared" si="10"/>
        <v>CP</v>
      </c>
      <c r="AD368" t="str">
        <f>_xlfn.XLOOKUP(C368,Mapping!A:A,Mapping!D:D,0,0)</f>
        <v>Bin</v>
      </c>
      <c r="AE368" t="str">
        <f t="shared" si="11"/>
        <v>OLD</v>
      </c>
    </row>
    <row r="369" spans="1:31" x14ac:dyDescent="0.2">
      <c r="A369" t="s">
        <v>29</v>
      </c>
      <c r="B369">
        <v>1012727042</v>
      </c>
      <c r="C369" t="s">
        <v>426</v>
      </c>
      <c r="D369" t="s">
        <v>31</v>
      </c>
      <c r="E369" s="1">
        <v>0.67291666666666672</v>
      </c>
      <c r="F369" t="s">
        <v>32</v>
      </c>
      <c r="G369" t="s">
        <v>33</v>
      </c>
      <c r="H369" t="s">
        <v>34</v>
      </c>
      <c r="I369" t="s">
        <v>84</v>
      </c>
      <c r="J369">
        <v>160</v>
      </c>
      <c r="K369">
        <v>0</v>
      </c>
      <c r="L369" t="s">
        <v>36</v>
      </c>
      <c r="M369" t="s">
        <v>37</v>
      </c>
      <c r="N369">
        <v>108097</v>
      </c>
      <c r="O369">
        <v>4252</v>
      </c>
      <c r="P369">
        <v>3.9335</v>
      </c>
      <c r="Q369">
        <v>0</v>
      </c>
      <c r="R369">
        <v>322.89999999999998</v>
      </c>
      <c r="S369">
        <v>2.9870000000000001</v>
      </c>
      <c r="T369">
        <v>7.5999999999999998E-2</v>
      </c>
      <c r="U369">
        <v>0</v>
      </c>
      <c r="V369">
        <v>1</v>
      </c>
      <c r="W369">
        <v>0</v>
      </c>
      <c r="X369" t="s">
        <v>36</v>
      </c>
      <c r="Y369">
        <v>108098</v>
      </c>
      <c r="Z369">
        <v>87150</v>
      </c>
      <c r="AA369">
        <v>10886</v>
      </c>
      <c r="AB369" t="s">
        <v>423</v>
      </c>
      <c r="AC369" t="str">
        <f t="shared" si="10"/>
        <v>CP</v>
      </c>
      <c r="AD369" t="str">
        <f>_xlfn.XLOOKUP(C369,Mapping!A:A,Mapping!D:D,0,0)</f>
        <v>Trans</v>
      </c>
      <c r="AE369" t="str">
        <f t="shared" si="11"/>
        <v>OLD</v>
      </c>
    </row>
    <row r="370" spans="1:31" x14ac:dyDescent="0.2">
      <c r="A370" t="s">
        <v>39</v>
      </c>
      <c r="B370">
        <v>1012727052</v>
      </c>
      <c r="C370" t="s">
        <v>427</v>
      </c>
      <c r="D370" t="s">
        <v>31</v>
      </c>
      <c r="E370" s="1">
        <v>0.67291666666666672</v>
      </c>
      <c r="F370" t="s">
        <v>32</v>
      </c>
      <c r="G370" t="s">
        <v>33</v>
      </c>
      <c r="H370" t="s">
        <v>41</v>
      </c>
      <c r="I370" t="s">
        <v>62</v>
      </c>
      <c r="J370">
        <v>280</v>
      </c>
      <c r="K370">
        <v>0</v>
      </c>
      <c r="L370" t="s">
        <v>36</v>
      </c>
      <c r="M370" t="s">
        <v>37</v>
      </c>
      <c r="N370">
        <v>0</v>
      </c>
      <c r="O370">
        <v>0</v>
      </c>
      <c r="P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 t="s">
        <v>36</v>
      </c>
      <c r="AB370" t="s">
        <v>43</v>
      </c>
      <c r="AC370" t="str">
        <f t="shared" si="10"/>
        <v>CP</v>
      </c>
      <c r="AD370" t="str">
        <f>_xlfn.XLOOKUP(C370,Mapping!A:A,Mapping!D:D,0,0)</f>
        <v>Bin</v>
      </c>
      <c r="AE370" t="str">
        <f t="shared" si="11"/>
        <v>OLD</v>
      </c>
    </row>
    <row r="371" spans="1:31" x14ac:dyDescent="0.2">
      <c r="A371" t="s">
        <v>39</v>
      </c>
      <c r="B371">
        <v>1012727062</v>
      </c>
      <c r="C371" t="s">
        <v>428</v>
      </c>
      <c r="D371" t="s">
        <v>31</v>
      </c>
      <c r="E371" s="1">
        <v>0.67291666666666672</v>
      </c>
      <c r="F371" t="s">
        <v>32</v>
      </c>
      <c r="G371" t="s">
        <v>33</v>
      </c>
      <c r="H371" t="s">
        <v>41</v>
      </c>
      <c r="I371" t="s">
        <v>62</v>
      </c>
      <c r="J371">
        <v>280</v>
      </c>
      <c r="K371">
        <v>0</v>
      </c>
      <c r="L371" t="s">
        <v>36</v>
      </c>
      <c r="M371" t="s">
        <v>37</v>
      </c>
      <c r="N371">
        <v>0</v>
      </c>
      <c r="O371">
        <v>0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 t="s">
        <v>36</v>
      </c>
      <c r="AB371" t="s">
        <v>43</v>
      </c>
      <c r="AC371" t="str">
        <f t="shared" si="10"/>
        <v>CP</v>
      </c>
      <c r="AD371" t="str">
        <f>_xlfn.XLOOKUP(C371,Mapping!A:A,Mapping!D:D,0,0)</f>
        <v>Bin</v>
      </c>
      <c r="AE371" t="str">
        <f t="shared" si="11"/>
        <v>OLD</v>
      </c>
    </row>
    <row r="372" spans="1:31" x14ac:dyDescent="0.2">
      <c r="A372" t="s">
        <v>39</v>
      </c>
      <c r="B372">
        <v>1012727072</v>
      </c>
      <c r="C372" t="s">
        <v>429</v>
      </c>
      <c r="D372" t="s">
        <v>31</v>
      </c>
      <c r="E372" s="1">
        <v>0.67291666666666672</v>
      </c>
      <c r="F372" t="s">
        <v>32</v>
      </c>
      <c r="G372" t="s">
        <v>33</v>
      </c>
      <c r="H372" t="s">
        <v>34</v>
      </c>
      <c r="I372" t="s">
        <v>84</v>
      </c>
      <c r="J372">
        <v>112</v>
      </c>
      <c r="K372">
        <v>0</v>
      </c>
      <c r="L372" t="s">
        <v>36</v>
      </c>
      <c r="M372" t="s">
        <v>37</v>
      </c>
      <c r="N372">
        <v>0</v>
      </c>
      <c r="O372">
        <v>0</v>
      </c>
      <c r="P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 t="s">
        <v>36</v>
      </c>
      <c r="AB372" t="s">
        <v>43</v>
      </c>
      <c r="AC372" t="str">
        <f t="shared" si="10"/>
        <v>CP</v>
      </c>
      <c r="AD372" t="str">
        <f>_xlfn.XLOOKUP(C372,Mapping!A:A,Mapping!D:D,0,0)</f>
        <v>Bin</v>
      </c>
      <c r="AE372" t="str">
        <f t="shared" si="11"/>
        <v>OLD</v>
      </c>
    </row>
    <row r="373" spans="1:31" x14ac:dyDescent="0.2">
      <c r="A373" t="s">
        <v>39</v>
      </c>
      <c r="B373">
        <v>1012727082</v>
      </c>
      <c r="C373" t="s">
        <v>430</v>
      </c>
      <c r="D373" t="s">
        <v>31</v>
      </c>
      <c r="E373" s="1">
        <v>0.67291666666666672</v>
      </c>
      <c r="F373" t="s">
        <v>32</v>
      </c>
      <c r="G373" t="s">
        <v>33</v>
      </c>
      <c r="H373" t="s">
        <v>41</v>
      </c>
      <c r="I373" t="s">
        <v>62</v>
      </c>
      <c r="J373">
        <v>280</v>
      </c>
      <c r="K373">
        <v>0</v>
      </c>
      <c r="L373" t="s">
        <v>36</v>
      </c>
      <c r="M373" t="s">
        <v>37</v>
      </c>
      <c r="N373">
        <v>0</v>
      </c>
      <c r="O373">
        <v>0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 t="s">
        <v>36</v>
      </c>
      <c r="AB373" t="s">
        <v>43</v>
      </c>
      <c r="AC373" t="str">
        <f t="shared" si="10"/>
        <v>CP</v>
      </c>
      <c r="AD373" t="str">
        <f>_xlfn.XLOOKUP(C373,Mapping!A:A,Mapping!D:D,0,0)</f>
        <v>Bin</v>
      </c>
      <c r="AE373" t="str">
        <f t="shared" si="11"/>
        <v>OLD</v>
      </c>
    </row>
    <row r="374" spans="1:31" x14ac:dyDescent="0.2">
      <c r="A374" t="s">
        <v>39</v>
      </c>
      <c r="B374">
        <v>1012727092</v>
      </c>
      <c r="C374" t="s">
        <v>431</v>
      </c>
      <c r="D374" t="s">
        <v>31</v>
      </c>
      <c r="E374" s="1">
        <v>0.67291666666666672</v>
      </c>
      <c r="F374" t="s">
        <v>32</v>
      </c>
      <c r="G374" t="s">
        <v>33</v>
      </c>
      <c r="H374" t="s">
        <v>41</v>
      </c>
      <c r="I374" t="s">
        <v>62</v>
      </c>
      <c r="J374">
        <v>280</v>
      </c>
      <c r="K374">
        <v>0</v>
      </c>
      <c r="L374" t="s">
        <v>36</v>
      </c>
      <c r="M374" t="s">
        <v>37</v>
      </c>
      <c r="N374">
        <v>0</v>
      </c>
      <c r="O374">
        <v>0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 t="s">
        <v>36</v>
      </c>
      <c r="AB374" t="s">
        <v>43</v>
      </c>
      <c r="AC374" t="str">
        <f t="shared" si="10"/>
        <v>CP</v>
      </c>
      <c r="AD374" t="str">
        <f>_xlfn.XLOOKUP(C374,Mapping!A:A,Mapping!D:D,0,0)</f>
        <v>Trans</v>
      </c>
      <c r="AE374" t="str">
        <f t="shared" si="11"/>
        <v>OLD</v>
      </c>
    </row>
    <row r="375" spans="1:31" x14ac:dyDescent="0.2">
      <c r="A375" t="s">
        <v>29</v>
      </c>
      <c r="B375">
        <v>1012727102</v>
      </c>
      <c r="C375" t="s">
        <v>432</v>
      </c>
      <c r="D375" t="s">
        <v>31</v>
      </c>
      <c r="E375" s="1">
        <v>0.67291666666666672</v>
      </c>
      <c r="F375" t="s">
        <v>32</v>
      </c>
      <c r="G375" t="s">
        <v>33</v>
      </c>
      <c r="H375" t="s">
        <v>34</v>
      </c>
      <c r="I375" t="s">
        <v>84</v>
      </c>
      <c r="J375">
        <v>112</v>
      </c>
      <c r="K375">
        <v>0</v>
      </c>
      <c r="L375" t="s">
        <v>36</v>
      </c>
      <c r="M375" t="s">
        <v>37</v>
      </c>
      <c r="N375">
        <v>197082</v>
      </c>
      <c r="O375">
        <v>7582</v>
      </c>
      <c r="P375">
        <v>3.8471299999999999</v>
      </c>
      <c r="Q375">
        <v>2</v>
      </c>
      <c r="R375">
        <v>424.85</v>
      </c>
      <c r="S375">
        <v>2.1560000000000001</v>
      </c>
      <c r="T375">
        <v>5.6000000000000001E-2</v>
      </c>
      <c r="U375">
        <v>212.423</v>
      </c>
      <c r="V375">
        <v>1</v>
      </c>
      <c r="W375">
        <v>0</v>
      </c>
      <c r="X375" t="s">
        <v>36</v>
      </c>
      <c r="Y375">
        <v>197082</v>
      </c>
      <c r="Z375">
        <v>150733</v>
      </c>
      <c r="AA375">
        <v>21855</v>
      </c>
      <c r="AB375" t="s">
        <v>423</v>
      </c>
      <c r="AC375" t="str">
        <f t="shared" si="10"/>
        <v>CP</v>
      </c>
      <c r="AD375" t="str">
        <f>_xlfn.XLOOKUP(C375,Mapping!A:A,Mapping!D:D,0,0)</f>
        <v>Trans</v>
      </c>
      <c r="AE375" t="str">
        <f t="shared" si="11"/>
        <v>OLD</v>
      </c>
    </row>
    <row r="376" spans="1:31" x14ac:dyDescent="0.2">
      <c r="A376" t="s">
        <v>39</v>
      </c>
      <c r="B376">
        <v>1012727112</v>
      </c>
      <c r="C376" t="s">
        <v>433</v>
      </c>
      <c r="D376" t="s">
        <v>31</v>
      </c>
      <c r="E376" s="1">
        <v>0.67291666666666672</v>
      </c>
      <c r="F376" t="s">
        <v>32</v>
      </c>
      <c r="G376" t="s">
        <v>33</v>
      </c>
      <c r="H376" t="s">
        <v>41</v>
      </c>
      <c r="I376" t="s">
        <v>62</v>
      </c>
      <c r="J376">
        <v>280</v>
      </c>
      <c r="K376">
        <v>0</v>
      </c>
      <c r="L376" t="s">
        <v>36</v>
      </c>
      <c r="M376" t="s">
        <v>37</v>
      </c>
      <c r="N376">
        <v>0</v>
      </c>
      <c r="O376">
        <v>0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 t="s">
        <v>36</v>
      </c>
      <c r="AB376" t="s">
        <v>43</v>
      </c>
      <c r="AC376" t="str">
        <f t="shared" si="10"/>
        <v>CP</v>
      </c>
      <c r="AD376" t="str">
        <f>_xlfn.XLOOKUP(C376,Mapping!A:A,Mapping!D:D,0,0)</f>
        <v>Bin</v>
      </c>
      <c r="AE376" t="str">
        <f t="shared" si="11"/>
        <v>OLD</v>
      </c>
    </row>
    <row r="377" spans="1:31" x14ac:dyDescent="0.2">
      <c r="A377" t="s">
        <v>39</v>
      </c>
      <c r="B377">
        <v>1012732752</v>
      </c>
      <c r="C377" t="s">
        <v>434</v>
      </c>
      <c r="D377" t="s">
        <v>31</v>
      </c>
      <c r="E377" s="1">
        <v>0.67291666666666672</v>
      </c>
      <c r="F377" t="s">
        <v>32</v>
      </c>
      <c r="G377" t="s">
        <v>33</v>
      </c>
      <c r="H377" t="s">
        <v>41</v>
      </c>
      <c r="I377" t="s">
        <v>84</v>
      </c>
      <c r="J377">
        <v>280</v>
      </c>
      <c r="K377">
        <v>0</v>
      </c>
      <c r="L377" t="s">
        <v>36</v>
      </c>
      <c r="M377" t="s">
        <v>37</v>
      </c>
      <c r="N377">
        <v>0</v>
      </c>
      <c r="O377">
        <v>0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 t="s">
        <v>36</v>
      </c>
      <c r="AB377" t="s">
        <v>43</v>
      </c>
      <c r="AC377" t="str">
        <f t="shared" si="10"/>
        <v>CP</v>
      </c>
      <c r="AD377" t="str">
        <f>_xlfn.XLOOKUP(C377,Mapping!A:A,Mapping!D:D,0,0)</f>
        <v>Bin</v>
      </c>
      <c r="AE377" t="str">
        <f t="shared" si="11"/>
        <v>OLD</v>
      </c>
    </row>
    <row r="378" spans="1:31" x14ac:dyDescent="0.2">
      <c r="A378" t="s">
        <v>39</v>
      </c>
      <c r="B378">
        <v>1012732782</v>
      </c>
      <c r="C378" t="s">
        <v>435</v>
      </c>
      <c r="D378" t="s">
        <v>31</v>
      </c>
      <c r="E378" s="1">
        <v>0.67291666666666672</v>
      </c>
      <c r="F378" t="s">
        <v>32</v>
      </c>
      <c r="G378" t="s">
        <v>33</v>
      </c>
      <c r="H378" t="s">
        <v>41</v>
      </c>
      <c r="I378" t="s">
        <v>84</v>
      </c>
      <c r="J378">
        <v>280</v>
      </c>
      <c r="K378">
        <v>0</v>
      </c>
      <c r="L378" t="s">
        <v>63</v>
      </c>
      <c r="M378">
        <v>250</v>
      </c>
      <c r="N378">
        <v>0</v>
      </c>
      <c r="O378">
        <v>0</v>
      </c>
      <c r="P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 t="s">
        <v>36</v>
      </c>
      <c r="AB378" t="s">
        <v>43</v>
      </c>
      <c r="AC378" t="str">
        <f t="shared" si="10"/>
        <v>CP</v>
      </c>
      <c r="AD378" t="str">
        <f>_xlfn.XLOOKUP(C378,Mapping!A:A,Mapping!D:D,0,0)</f>
        <v>Bin</v>
      </c>
      <c r="AE378" t="str">
        <f t="shared" si="11"/>
        <v>OLD</v>
      </c>
    </row>
    <row r="379" spans="1:31" x14ac:dyDescent="0.2">
      <c r="A379" t="s">
        <v>29</v>
      </c>
      <c r="B379">
        <v>1012732792</v>
      </c>
      <c r="C379" t="s">
        <v>436</v>
      </c>
      <c r="D379" t="s">
        <v>31</v>
      </c>
      <c r="E379" s="1">
        <v>0.67291666666666672</v>
      </c>
      <c r="F379" t="s">
        <v>32</v>
      </c>
      <c r="G379" t="s">
        <v>33</v>
      </c>
      <c r="H379" t="s">
        <v>41</v>
      </c>
      <c r="I379" t="s">
        <v>84</v>
      </c>
      <c r="J379">
        <v>280</v>
      </c>
      <c r="K379">
        <v>0</v>
      </c>
      <c r="L379" t="s">
        <v>36</v>
      </c>
      <c r="M379" t="s">
        <v>37</v>
      </c>
      <c r="N379">
        <v>3591</v>
      </c>
      <c r="O379">
        <v>155</v>
      </c>
      <c r="P379">
        <v>4.3163499999999999</v>
      </c>
      <c r="Q379">
        <v>0</v>
      </c>
      <c r="R379">
        <v>6.15</v>
      </c>
      <c r="S379">
        <v>1.7110000000000001</v>
      </c>
      <c r="T379">
        <v>0.04</v>
      </c>
      <c r="U379">
        <v>0</v>
      </c>
      <c r="V379">
        <v>1</v>
      </c>
      <c r="W379">
        <v>0</v>
      </c>
      <c r="X379" t="s">
        <v>36</v>
      </c>
      <c r="Y379">
        <v>3591</v>
      </c>
      <c r="Z379">
        <v>3200</v>
      </c>
      <c r="AA379">
        <v>291</v>
      </c>
      <c r="AB379" t="s">
        <v>303</v>
      </c>
      <c r="AC379" t="str">
        <f t="shared" si="10"/>
        <v>CP</v>
      </c>
      <c r="AD379" t="str">
        <f>_xlfn.XLOOKUP(C379,Mapping!A:A,Mapping!D:D,0,0)</f>
        <v>Keyword - Preroll</v>
      </c>
      <c r="AE379" t="str">
        <f t="shared" si="11"/>
        <v>OLD</v>
      </c>
    </row>
    <row r="380" spans="1:31" x14ac:dyDescent="0.2">
      <c r="A380" t="s">
        <v>39</v>
      </c>
      <c r="B380">
        <v>1012732802</v>
      </c>
      <c r="C380" t="s">
        <v>437</v>
      </c>
      <c r="D380" t="s">
        <v>31</v>
      </c>
      <c r="E380" s="1">
        <v>0.67291666666666672</v>
      </c>
      <c r="F380" t="s">
        <v>32</v>
      </c>
      <c r="G380" t="s">
        <v>33</v>
      </c>
      <c r="H380" t="s">
        <v>41</v>
      </c>
      <c r="I380" t="s">
        <v>84</v>
      </c>
      <c r="J380">
        <v>280</v>
      </c>
      <c r="K380">
        <v>0</v>
      </c>
      <c r="L380" t="s">
        <v>63</v>
      </c>
      <c r="M380">
        <v>250</v>
      </c>
      <c r="N380">
        <v>0</v>
      </c>
      <c r="O380">
        <v>0</v>
      </c>
      <c r="P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 t="s">
        <v>36</v>
      </c>
      <c r="AB380" t="s">
        <v>43</v>
      </c>
      <c r="AC380" t="str">
        <f t="shared" si="10"/>
        <v>CP</v>
      </c>
      <c r="AD380" t="str">
        <f>_xlfn.XLOOKUP(C380,Mapping!A:A,Mapping!D:D,0,0)</f>
        <v>Bin</v>
      </c>
      <c r="AE380" t="str">
        <f t="shared" si="11"/>
        <v>OLD</v>
      </c>
    </row>
    <row r="381" spans="1:31" x14ac:dyDescent="0.2">
      <c r="A381" t="s">
        <v>39</v>
      </c>
      <c r="B381">
        <v>1012732812</v>
      </c>
      <c r="C381" t="s">
        <v>438</v>
      </c>
      <c r="D381" t="s">
        <v>31</v>
      </c>
      <c r="E381" s="1">
        <v>0.67291666666666672</v>
      </c>
      <c r="F381" t="s">
        <v>32</v>
      </c>
      <c r="G381" t="s">
        <v>33</v>
      </c>
      <c r="H381" t="s">
        <v>41</v>
      </c>
      <c r="I381" t="s">
        <v>84</v>
      </c>
      <c r="J381">
        <v>280</v>
      </c>
      <c r="K381">
        <v>0</v>
      </c>
      <c r="L381" t="s">
        <v>63</v>
      </c>
      <c r="M381">
        <v>250</v>
      </c>
      <c r="N381">
        <v>0</v>
      </c>
      <c r="O381">
        <v>0</v>
      </c>
      <c r="P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 t="s">
        <v>36</v>
      </c>
      <c r="AB381" t="s">
        <v>43</v>
      </c>
      <c r="AC381" t="str">
        <f t="shared" si="10"/>
        <v>CP</v>
      </c>
      <c r="AD381" t="str">
        <f>_xlfn.XLOOKUP(C381,Mapping!A:A,Mapping!D:D,0,0)</f>
        <v>Bin</v>
      </c>
      <c r="AE381" t="str">
        <f t="shared" si="11"/>
        <v>OLD</v>
      </c>
    </row>
    <row r="382" spans="1:31" x14ac:dyDescent="0.2">
      <c r="A382" t="s">
        <v>39</v>
      </c>
      <c r="B382">
        <v>1012732822</v>
      </c>
      <c r="C382" t="s">
        <v>439</v>
      </c>
      <c r="D382" t="s">
        <v>31</v>
      </c>
      <c r="E382" s="1">
        <v>0.67291666666666672</v>
      </c>
      <c r="F382" t="s">
        <v>32</v>
      </c>
      <c r="G382" t="s">
        <v>33</v>
      </c>
      <c r="H382" t="s">
        <v>41</v>
      </c>
      <c r="I382" t="s">
        <v>84</v>
      </c>
      <c r="J382">
        <v>280</v>
      </c>
      <c r="K382">
        <v>0</v>
      </c>
      <c r="L382" t="s">
        <v>63</v>
      </c>
      <c r="M382">
        <v>250</v>
      </c>
      <c r="N382">
        <v>0</v>
      </c>
      <c r="O382">
        <v>0</v>
      </c>
      <c r="P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 t="s">
        <v>36</v>
      </c>
      <c r="AB382" t="s">
        <v>43</v>
      </c>
      <c r="AC382" t="str">
        <f t="shared" si="10"/>
        <v>CP</v>
      </c>
      <c r="AD382" t="str">
        <f>_xlfn.XLOOKUP(C382,Mapping!A:A,Mapping!D:D,0,0)</f>
        <v>Bin</v>
      </c>
      <c r="AE382" t="str">
        <f t="shared" si="11"/>
        <v>OLD</v>
      </c>
    </row>
    <row r="383" spans="1:31" x14ac:dyDescent="0.2">
      <c r="A383" t="s">
        <v>39</v>
      </c>
      <c r="B383">
        <v>1012732832</v>
      </c>
      <c r="C383" t="s">
        <v>440</v>
      </c>
      <c r="D383" t="s">
        <v>31</v>
      </c>
      <c r="E383" s="1">
        <v>0.67291666666666672</v>
      </c>
      <c r="F383" t="s">
        <v>32</v>
      </c>
      <c r="G383" t="s">
        <v>33</v>
      </c>
      <c r="H383" t="s">
        <v>41</v>
      </c>
      <c r="I383" t="s">
        <v>84</v>
      </c>
      <c r="J383">
        <v>280</v>
      </c>
      <c r="K383">
        <v>0</v>
      </c>
      <c r="L383" t="s">
        <v>63</v>
      </c>
      <c r="M383">
        <v>250</v>
      </c>
      <c r="N383">
        <v>0</v>
      </c>
      <c r="O383">
        <v>0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 t="s">
        <v>36</v>
      </c>
      <c r="AB383" t="s">
        <v>43</v>
      </c>
      <c r="AC383" t="str">
        <f t="shared" si="10"/>
        <v>CP</v>
      </c>
      <c r="AD383" t="str">
        <f>_xlfn.XLOOKUP(C383,Mapping!A:A,Mapping!D:D,0,0)</f>
        <v>Bin</v>
      </c>
      <c r="AE383" t="str">
        <f t="shared" si="11"/>
        <v>OLD</v>
      </c>
    </row>
    <row r="384" spans="1:31" x14ac:dyDescent="0.2">
      <c r="A384" t="s">
        <v>39</v>
      </c>
      <c r="B384">
        <v>1012732842</v>
      </c>
      <c r="C384" t="s">
        <v>441</v>
      </c>
      <c r="D384" t="s">
        <v>31</v>
      </c>
      <c r="E384" s="1">
        <v>0.67291666666666672</v>
      </c>
      <c r="F384" t="s">
        <v>32</v>
      </c>
      <c r="G384" t="s">
        <v>33</v>
      </c>
      <c r="H384" t="s">
        <v>41</v>
      </c>
      <c r="I384" t="s">
        <v>84</v>
      </c>
      <c r="J384">
        <v>280</v>
      </c>
      <c r="K384">
        <v>0</v>
      </c>
      <c r="L384" t="s">
        <v>63</v>
      </c>
      <c r="M384">
        <v>250</v>
      </c>
      <c r="N384">
        <v>0</v>
      </c>
      <c r="O384">
        <v>0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 t="s">
        <v>36</v>
      </c>
      <c r="AB384" t="s">
        <v>43</v>
      </c>
      <c r="AC384" t="str">
        <f t="shared" si="10"/>
        <v>CP</v>
      </c>
      <c r="AD384" t="str">
        <f>_xlfn.XLOOKUP(C384,Mapping!A:A,Mapping!D:D,0,0)</f>
        <v>Bin</v>
      </c>
      <c r="AE384" t="str">
        <f t="shared" si="11"/>
        <v>OLD</v>
      </c>
    </row>
    <row r="385" spans="1:31" x14ac:dyDescent="0.2">
      <c r="A385" t="s">
        <v>39</v>
      </c>
      <c r="B385">
        <v>1012732852</v>
      </c>
      <c r="C385" t="s">
        <v>442</v>
      </c>
      <c r="D385" t="s">
        <v>31</v>
      </c>
      <c r="E385" s="1">
        <v>0.67291666666666672</v>
      </c>
      <c r="F385" t="s">
        <v>32</v>
      </c>
      <c r="G385" t="s">
        <v>33</v>
      </c>
      <c r="H385" t="s">
        <v>41</v>
      </c>
      <c r="I385" t="s">
        <v>84</v>
      </c>
      <c r="J385">
        <v>280</v>
      </c>
      <c r="K385">
        <v>0</v>
      </c>
      <c r="L385" t="s">
        <v>63</v>
      </c>
      <c r="M385">
        <v>250</v>
      </c>
      <c r="N385">
        <v>0</v>
      </c>
      <c r="O385">
        <v>0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 t="s">
        <v>36</v>
      </c>
      <c r="AB385" t="s">
        <v>43</v>
      </c>
      <c r="AC385" t="str">
        <f t="shared" si="10"/>
        <v>CP</v>
      </c>
      <c r="AD385" t="str">
        <f>_xlfn.XLOOKUP(C385,Mapping!A:A,Mapping!D:D,0,0)</f>
        <v>Bin</v>
      </c>
      <c r="AE385" t="str">
        <f t="shared" si="11"/>
        <v>OLD</v>
      </c>
    </row>
    <row r="386" spans="1:31" x14ac:dyDescent="0.2">
      <c r="A386" t="s">
        <v>39</v>
      </c>
      <c r="B386">
        <v>1012732862</v>
      </c>
      <c r="C386" t="s">
        <v>443</v>
      </c>
      <c r="D386" t="s">
        <v>31</v>
      </c>
      <c r="E386" s="1">
        <v>0.67291666666666672</v>
      </c>
      <c r="F386" t="s">
        <v>32</v>
      </c>
      <c r="G386" t="s">
        <v>33</v>
      </c>
      <c r="H386" t="s">
        <v>41</v>
      </c>
      <c r="I386" t="s">
        <v>84</v>
      </c>
      <c r="J386">
        <v>280</v>
      </c>
      <c r="K386">
        <v>0</v>
      </c>
      <c r="L386" t="s">
        <v>63</v>
      </c>
      <c r="M386">
        <v>250</v>
      </c>
      <c r="N386">
        <v>0</v>
      </c>
      <c r="O386">
        <v>0</v>
      </c>
      <c r="P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 t="s">
        <v>36</v>
      </c>
      <c r="AB386" t="s">
        <v>43</v>
      </c>
      <c r="AC386" t="str">
        <f t="shared" si="10"/>
        <v>CP</v>
      </c>
      <c r="AD386" t="str">
        <f>_xlfn.XLOOKUP(C386,Mapping!A:A,Mapping!D:D,0,0)</f>
        <v>Bin</v>
      </c>
      <c r="AE386" t="str">
        <f t="shared" si="11"/>
        <v>OLD</v>
      </c>
    </row>
    <row r="387" spans="1:31" x14ac:dyDescent="0.2">
      <c r="A387" t="s">
        <v>39</v>
      </c>
      <c r="B387">
        <v>1012732872</v>
      </c>
      <c r="C387" t="s">
        <v>444</v>
      </c>
      <c r="D387" t="s">
        <v>31</v>
      </c>
      <c r="E387" s="1">
        <v>0.67291666666666672</v>
      </c>
      <c r="F387" t="s">
        <v>32</v>
      </c>
      <c r="G387" t="s">
        <v>33</v>
      </c>
      <c r="H387" t="s">
        <v>41</v>
      </c>
      <c r="I387" t="s">
        <v>84</v>
      </c>
      <c r="J387">
        <v>280</v>
      </c>
      <c r="K387">
        <v>0</v>
      </c>
      <c r="L387" t="s">
        <v>63</v>
      </c>
      <c r="M387">
        <v>250</v>
      </c>
      <c r="N387">
        <v>0</v>
      </c>
      <c r="O387">
        <v>0</v>
      </c>
      <c r="P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 t="s">
        <v>36</v>
      </c>
      <c r="AB387" t="s">
        <v>43</v>
      </c>
      <c r="AC387" t="str">
        <f t="shared" ref="AC387:AC450" si="12">LEFT(C387,2)</f>
        <v>CP</v>
      </c>
      <c r="AD387" t="str">
        <f>_xlfn.XLOOKUP(C387,Mapping!A:A,Mapping!D:D,0,0)</f>
        <v>Bin</v>
      </c>
      <c r="AE387" t="str">
        <f t="shared" ref="AE387:AE450" si="13">IFERROR(IF(SEARCH("_TJ",C387)&gt;0,"TJ",NA()),IFERROR(IF(SEARCH("_JB",C387)&gt;0,"JB",NA()),"OLD"))</f>
        <v>OLD</v>
      </c>
    </row>
    <row r="388" spans="1:31" x14ac:dyDescent="0.2">
      <c r="A388" t="s">
        <v>39</v>
      </c>
      <c r="B388">
        <v>1012732882</v>
      </c>
      <c r="C388" t="s">
        <v>445</v>
      </c>
      <c r="D388" t="s">
        <v>31</v>
      </c>
      <c r="E388" s="1">
        <v>0.67291666666666672</v>
      </c>
      <c r="F388" t="s">
        <v>32</v>
      </c>
      <c r="G388" t="s">
        <v>33</v>
      </c>
      <c r="H388" t="s">
        <v>41</v>
      </c>
      <c r="I388" t="s">
        <v>84</v>
      </c>
      <c r="J388">
        <v>280</v>
      </c>
      <c r="K388">
        <v>0</v>
      </c>
      <c r="L388" t="s">
        <v>63</v>
      </c>
      <c r="M388">
        <v>250</v>
      </c>
      <c r="N388">
        <v>0</v>
      </c>
      <c r="O388">
        <v>0</v>
      </c>
      <c r="P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 t="s">
        <v>36</v>
      </c>
      <c r="AB388" t="s">
        <v>43</v>
      </c>
      <c r="AC388" t="str">
        <f t="shared" si="12"/>
        <v>CP</v>
      </c>
      <c r="AD388" t="str">
        <f>_xlfn.XLOOKUP(C388,Mapping!A:A,Mapping!D:D,0,0)</f>
        <v>Bin</v>
      </c>
      <c r="AE388" t="str">
        <f t="shared" si="13"/>
        <v>OLD</v>
      </c>
    </row>
    <row r="389" spans="1:31" x14ac:dyDescent="0.2">
      <c r="A389" t="s">
        <v>39</v>
      </c>
      <c r="B389">
        <v>1012732892</v>
      </c>
      <c r="C389" t="s">
        <v>446</v>
      </c>
      <c r="D389" t="s">
        <v>31</v>
      </c>
      <c r="E389" s="1">
        <v>0.67291666666666672</v>
      </c>
      <c r="F389" t="s">
        <v>32</v>
      </c>
      <c r="G389" t="s">
        <v>33</v>
      </c>
      <c r="H389" t="s">
        <v>41</v>
      </c>
      <c r="I389" t="s">
        <v>84</v>
      </c>
      <c r="J389">
        <v>280</v>
      </c>
      <c r="K389">
        <v>0</v>
      </c>
      <c r="L389" t="s">
        <v>63</v>
      </c>
      <c r="M389">
        <v>250</v>
      </c>
      <c r="N389">
        <v>0</v>
      </c>
      <c r="O389">
        <v>0</v>
      </c>
      <c r="P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 t="s">
        <v>36</v>
      </c>
      <c r="AB389" t="s">
        <v>43</v>
      </c>
      <c r="AC389" t="str">
        <f t="shared" si="12"/>
        <v>CP</v>
      </c>
      <c r="AD389" t="str">
        <f>_xlfn.XLOOKUP(C389,Mapping!A:A,Mapping!D:D,0,0)</f>
        <v>Bin</v>
      </c>
      <c r="AE389" t="str">
        <f t="shared" si="13"/>
        <v>OLD</v>
      </c>
    </row>
    <row r="390" spans="1:31" x14ac:dyDescent="0.2">
      <c r="A390" t="s">
        <v>39</v>
      </c>
      <c r="B390">
        <v>1012732902</v>
      </c>
      <c r="C390" t="s">
        <v>447</v>
      </c>
      <c r="D390" t="s">
        <v>31</v>
      </c>
      <c r="E390" s="1">
        <v>0.67291666666666672</v>
      </c>
      <c r="F390" t="s">
        <v>32</v>
      </c>
      <c r="G390" t="s">
        <v>33</v>
      </c>
      <c r="H390" t="s">
        <v>41</v>
      </c>
      <c r="I390" t="s">
        <v>84</v>
      </c>
      <c r="J390">
        <v>280</v>
      </c>
      <c r="K390">
        <v>0</v>
      </c>
      <c r="L390" t="s">
        <v>36</v>
      </c>
      <c r="M390" t="s">
        <v>37</v>
      </c>
      <c r="N390">
        <v>0</v>
      </c>
      <c r="O390">
        <v>0</v>
      </c>
      <c r="P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 t="s">
        <v>36</v>
      </c>
      <c r="AB390" t="s">
        <v>43</v>
      </c>
      <c r="AC390" t="str">
        <f t="shared" si="12"/>
        <v>CP</v>
      </c>
      <c r="AD390" t="str">
        <f>_xlfn.XLOOKUP(C390,Mapping!A:A,Mapping!D:D,0,0)</f>
        <v>Bin</v>
      </c>
      <c r="AE390" t="str">
        <f t="shared" si="13"/>
        <v>OLD</v>
      </c>
    </row>
    <row r="391" spans="1:31" x14ac:dyDescent="0.2">
      <c r="A391" t="s">
        <v>39</v>
      </c>
      <c r="B391">
        <v>1012732912</v>
      </c>
      <c r="C391" t="s">
        <v>448</v>
      </c>
      <c r="D391" t="s">
        <v>31</v>
      </c>
      <c r="E391" s="1">
        <v>0.67291666666666672</v>
      </c>
      <c r="F391" t="s">
        <v>32</v>
      </c>
      <c r="G391" t="s">
        <v>33</v>
      </c>
      <c r="H391" t="s">
        <v>41</v>
      </c>
      <c r="I391" t="s">
        <v>84</v>
      </c>
      <c r="J391">
        <v>280</v>
      </c>
      <c r="K391">
        <v>0</v>
      </c>
      <c r="L391" t="s">
        <v>36</v>
      </c>
      <c r="M391" t="s">
        <v>37</v>
      </c>
      <c r="N391">
        <v>0</v>
      </c>
      <c r="O391">
        <v>0</v>
      </c>
      <c r="P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 t="s">
        <v>36</v>
      </c>
      <c r="AB391" t="s">
        <v>43</v>
      </c>
      <c r="AC391" t="str">
        <f t="shared" si="12"/>
        <v>CP</v>
      </c>
      <c r="AD391" t="str">
        <f>_xlfn.XLOOKUP(C391,Mapping!A:A,Mapping!D:D,0,0)</f>
        <v>Bin</v>
      </c>
      <c r="AE391" t="str">
        <f t="shared" si="13"/>
        <v>OLD</v>
      </c>
    </row>
    <row r="392" spans="1:31" x14ac:dyDescent="0.2">
      <c r="A392" t="s">
        <v>39</v>
      </c>
      <c r="B392">
        <v>1012732922</v>
      </c>
      <c r="C392" t="s">
        <v>449</v>
      </c>
      <c r="D392" t="s">
        <v>31</v>
      </c>
      <c r="E392" s="1">
        <v>0.67291666666666672</v>
      </c>
      <c r="F392" t="s">
        <v>32</v>
      </c>
      <c r="G392" t="s">
        <v>33</v>
      </c>
      <c r="H392" t="s">
        <v>41</v>
      </c>
      <c r="I392" t="s">
        <v>84</v>
      </c>
      <c r="J392">
        <v>280</v>
      </c>
      <c r="K392">
        <v>0</v>
      </c>
      <c r="L392" t="s">
        <v>63</v>
      </c>
      <c r="M392">
        <v>250</v>
      </c>
      <c r="N392">
        <v>0</v>
      </c>
      <c r="O392">
        <v>0</v>
      </c>
      <c r="P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 t="s">
        <v>36</v>
      </c>
      <c r="AB392" t="s">
        <v>43</v>
      </c>
      <c r="AC392" t="str">
        <f t="shared" si="12"/>
        <v>CP</v>
      </c>
      <c r="AD392" t="str">
        <f>_xlfn.XLOOKUP(C392,Mapping!A:A,Mapping!D:D,0,0)</f>
        <v>Bin</v>
      </c>
      <c r="AE392" t="str">
        <f t="shared" si="13"/>
        <v>OLD</v>
      </c>
    </row>
    <row r="393" spans="1:31" x14ac:dyDescent="0.2">
      <c r="A393" t="s">
        <v>39</v>
      </c>
      <c r="B393">
        <v>1012732932</v>
      </c>
      <c r="C393" t="s">
        <v>450</v>
      </c>
      <c r="D393" t="s">
        <v>31</v>
      </c>
      <c r="E393" s="1">
        <v>0.67291666666666672</v>
      </c>
      <c r="F393" t="s">
        <v>32</v>
      </c>
      <c r="G393" t="s">
        <v>33</v>
      </c>
      <c r="H393" t="s">
        <v>41</v>
      </c>
      <c r="I393" t="s">
        <v>84</v>
      </c>
      <c r="J393">
        <v>280</v>
      </c>
      <c r="K393">
        <v>0</v>
      </c>
      <c r="L393" t="s">
        <v>63</v>
      </c>
      <c r="M393">
        <v>250</v>
      </c>
      <c r="N393">
        <v>0</v>
      </c>
      <c r="O393">
        <v>0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 t="s">
        <v>36</v>
      </c>
      <c r="AB393" t="s">
        <v>43</v>
      </c>
      <c r="AC393" t="str">
        <f t="shared" si="12"/>
        <v>CP</v>
      </c>
      <c r="AD393" t="str">
        <f>_xlfn.XLOOKUP(C393,Mapping!A:A,Mapping!D:D,0,0)</f>
        <v>Bin</v>
      </c>
      <c r="AE393" t="str">
        <f t="shared" si="13"/>
        <v>OLD</v>
      </c>
    </row>
    <row r="394" spans="1:31" x14ac:dyDescent="0.2">
      <c r="A394" t="s">
        <v>39</v>
      </c>
      <c r="B394">
        <v>1012732942</v>
      </c>
      <c r="C394" t="s">
        <v>451</v>
      </c>
      <c r="D394" t="s">
        <v>31</v>
      </c>
      <c r="E394" s="1">
        <v>0.67291666666666672</v>
      </c>
      <c r="F394" t="s">
        <v>32</v>
      </c>
      <c r="G394" t="s">
        <v>33</v>
      </c>
      <c r="H394" t="s">
        <v>41</v>
      </c>
      <c r="I394" t="s">
        <v>84</v>
      </c>
      <c r="J394">
        <v>280</v>
      </c>
      <c r="K394">
        <v>0</v>
      </c>
      <c r="L394" t="s">
        <v>63</v>
      </c>
      <c r="M394">
        <v>250</v>
      </c>
      <c r="N394">
        <v>0</v>
      </c>
      <c r="O394">
        <v>0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 t="s">
        <v>36</v>
      </c>
      <c r="AB394" t="s">
        <v>43</v>
      </c>
      <c r="AC394" t="str">
        <f t="shared" si="12"/>
        <v>CP</v>
      </c>
      <c r="AD394" t="str">
        <f>_xlfn.XLOOKUP(C394,Mapping!A:A,Mapping!D:D,0,0)</f>
        <v>Bin</v>
      </c>
      <c r="AE394" t="str">
        <f t="shared" si="13"/>
        <v>OLD</v>
      </c>
    </row>
    <row r="395" spans="1:31" x14ac:dyDescent="0.2">
      <c r="A395" t="s">
        <v>39</v>
      </c>
      <c r="B395">
        <v>1012732962</v>
      </c>
      <c r="C395" t="s">
        <v>452</v>
      </c>
      <c r="D395" t="s">
        <v>31</v>
      </c>
      <c r="E395" s="1">
        <v>0.67291666666666672</v>
      </c>
      <c r="F395" t="s">
        <v>32</v>
      </c>
      <c r="G395" t="s">
        <v>33</v>
      </c>
      <c r="H395" t="s">
        <v>41</v>
      </c>
      <c r="I395" t="s">
        <v>84</v>
      </c>
      <c r="J395">
        <v>280</v>
      </c>
      <c r="K395">
        <v>0</v>
      </c>
      <c r="L395" t="s">
        <v>63</v>
      </c>
      <c r="M395">
        <v>250</v>
      </c>
      <c r="N395">
        <v>0</v>
      </c>
      <c r="O395">
        <v>0</v>
      </c>
      <c r="P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 t="s">
        <v>36</v>
      </c>
      <c r="AB395" t="s">
        <v>43</v>
      </c>
      <c r="AC395" t="str">
        <f t="shared" si="12"/>
        <v>CP</v>
      </c>
      <c r="AD395" t="str">
        <f>_xlfn.XLOOKUP(C395,Mapping!A:A,Mapping!D:D,0,0)</f>
        <v>Bin</v>
      </c>
      <c r="AE395" t="str">
        <f t="shared" si="13"/>
        <v>OLD</v>
      </c>
    </row>
    <row r="396" spans="1:31" x14ac:dyDescent="0.2">
      <c r="A396" t="s">
        <v>39</v>
      </c>
      <c r="B396">
        <v>1012732972</v>
      </c>
      <c r="C396" t="s">
        <v>453</v>
      </c>
      <c r="D396" t="s">
        <v>31</v>
      </c>
      <c r="E396" s="1">
        <v>0.67291666666666672</v>
      </c>
      <c r="F396" t="s">
        <v>32</v>
      </c>
      <c r="G396" t="s">
        <v>33</v>
      </c>
      <c r="H396" t="s">
        <v>41</v>
      </c>
      <c r="I396" t="s">
        <v>84</v>
      </c>
      <c r="J396">
        <v>280</v>
      </c>
      <c r="K396">
        <v>0</v>
      </c>
      <c r="L396" t="s">
        <v>36</v>
      </c>
      <c r="M396" t="s">
        <v>37</v>
      </c>
      <c r="N396">
        <v>0</v>
      </c>
      <c r="O396">
        <v>0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 t="s">
        <v>36</v>
      </c>
      <c r="AB396" t="s">
        <v>43</v>
      </c>
      <c r="AC396" t="str">
        <f t="shared" si="12"/>
        <v>CP</v>
      </c>
      <c r="AD396" t="str">
        <f>_xlfn.XLOOKUP(C396,Mapping!A:A,Mapping!D:D,0,0)</f>
        <v>Bin</v>
      </c>
      <c r="AE396" t="str">
        <f t="shared" si="13"/>
        <v>OLD</v>
      </c>
    </row>
    <row r="397" spans="1:31" x14ac:dyDescent="0.2">
      <c r="A397" t="s">
        <v>39</v>
      </c>
      <c r="B397">
        <v>1012732982</v>
      </c>
      <c r="C397" t="s">
        <v>454</v>
      </c>
      <c r="D397" t="s">
        <v>31</v>
      </c>
      <c r="E397" s="1">
        <v>0.67291666666666672</v>
      </c>
      <c r="F397" t="s">
        <v>32</v>
      </c>
      <c r="G397" t="s">
        <v>33</v>
      </c>
      <c r="H397" t="s">
        <v>41</v>
      </c>
      <c r="I397" t="s">
        <v>84</v>
      </c>
      <c r="J397">
        <v>280</v>
      </c>
      <c r="K397">
        <v>0</v>
      </c>
      <c r="L397" t="s">
        <v>63</v>
      </c>
      <c r="M397">
        <v>250</v>
      </c>
      <c r="N397">
        <v>0</v>
      </c>
      <c r="O397">
        <v>0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 t="s">
        <v>36</v>
      </c>
      <c r="AB397" t="s">
        <v>43</v>
      </c>
      <c r="AC397" t="str">
        <f t="shared" si="12"/>
        <v>CP</v>
      </c>
      <c r="AD397" t="str">
        <f>_xlfn.XLOOKUP(C397,Mapping!A:A,Mapping!D:D,0,0)</f>
        <v>Bin</v>
      </c>
      <c r="AE397" t="str">
        <f t="shared" si="13"/>
        <v>OLD</v>
      </c>
    </row>
    <row r="398" spans="1:31" x14ac:dyDescent="0.2">
      <c r="A398" t="s">
        <v>39</v>
      </c>
      <c r="B398">
        <v>1012732992</v>
      </c>
      <c r="C398" t="s">
        <v>455</v>
      </c>
      <c r="D398" t="s">
        <v>31</v>
      </c>
      <c r="E398" s="1">
        <v>0.67291666666666672</v>
      </c>
      <c r="F398" t="s">
        <v>32</v>
      </c>
      <c r="G398" t="s">
        <v>33</v>
      </c>
      <c r="H398" t="s">
        <v>41</v>
      </c>
      <c r="I398" t="s">
        <v>84</v>
      </c>
      <c r="J398">
        <v>280</v>
      </c>
      <c r="K398">
        <v>0</v>
      </c>
      <c r="L398" t="s">
        <v>36</v>
      </c>
      <c r="M398" t="s">
        <v>37</v>
      </c>
      <c r="N398">
        <v>0</v>
      </c>
      <c r="O398">
        <v>0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 t="s">
        <v>36</v>
      </c>
      <c r="AB398" t="s">
        <v>43</v>
      </c>
      <c r="AC398" t="str">
        <f t="shared" si="12"/>
        <v>CP</v>
      </c>
      <c r="AD398" t="str">
        <f>_xlfn.XLOOKUP(C398,Mapping!A:A,Mapping!D:D,0,0)</f>
        <v>Bin</v>
      </c>
      <c r="AE398" t="str">
        <f t="shared" si="13"/>
        <v>OLD</v>
      </c>
    </row>
    <row r="399" spans="1:31" x14ac:dyDescent="0.2">
      <c r="A399" t="s">
        <v>39</v>
      </c>
      <c r="B399">
        <v>1012733002</v>
      </c>
      <c r="C399" t="s">
        <v>456</v>
      </c>
      <c r="D399" t="s">
        <v>31</v>
      </c>
      <c r="E399" s="1">
        <v>0.67291666666666672</v>
      </c>
      <c r="F399" t="s">
        <v>32</v>
      </c>
      <c r="G399" t="s">
        <v>33</v>
      </c>
      <c r="H399" t="s">
        <v>41</v>
      </c>
      <c r="I399" t="s">
        <v>84</v>
      </c>
      <c r="J399">
        <v>280</v>
      </c>
      <c r="K399">
        <v>0</v>
      </c>
      <c r="L399" t="s">
        <v>63</v>
      </c>
      <c r="M399">
        <v>250</v>
      </c>
      <c r="N399">
        <v>0</v>
      </c>
      <c r="O399">
        <v>0</v>
      </c>
      <c r="P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 t="s">
        <v>36</v>
      </c>
      <c r="AB399" t="s">
        <v>43</v>
      </c>
      <c r="AC399" t="str">
        <f t="shared" si="12"/>
        <v>CP</v>
      </c>
      <c r="AD399" t="str">
        <f>_xlfn.XLOOKUP(C399,Mapping!A:A,Mapping!D:D,0,0)</f>
        <v>Bin</v>
      </c>
      <c r="AE399" t="str">
        <f t="shared" si="13"/>
        <v>OLD</v>
      </c>
    </row>
    <row r="400" spans="1:31" x14ac:dyDescent="0.2">
      <c r="A400" t="s">
        <v>39</v>
      </c>
      <c r="B400">
        <v>1012733012</v>
      </c>
      <c r="C400" t="s">
        <v>457</v>
      </c>
      <c r="D400" t="s">
        <v>31</v>
      </c>
      <c r="E400" s="1">
        <v>0.67291666666666672</v>
      </c>
      <c r="F400" t="s">
        <v>32</v>
      </c>
      <c r="G400" t="s">
        <v>33</v>
      </c>
      <c r="H400" t="s">
        <v>41</v>
      </c>
      <c r="I400" t="s">
        <v>84</v>
      </c>
      <c r="J400">
        <v>280</v>
      </c>
      <c r="K400">
        <v>0</v>
      </c>
      <c r="L400" t="s">
        <v>63</v>
      </c>
      <c r="M400">
        <v>250</v>
      </c>
      <c r="N400">
        <v>0</v>
      </c>
      <c r="O400">
        <v>0</v>
      </c>
      <c r="P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 t="s">
        <v>36</v>
      </c>
      <c r="AB400" t="s">
        <v>43</v>
      </c>
      <c r="AC400" t="str">
        <f t="shared" si="12"/>
        <v>CP</v>
      </c>
      <c r="AD400" t="str">
        <f>_xlfn.XLOOKUP(C400,Mapping!A:A,Mapping!D:D,0,0)</f>
        <v>Bin</v>
      </c>
      <c r="AE400" t="str">
        <f t="shared" si="13"/>
        <v>OLD</v>
      </c>
    </row>
    <row r="401" spans="1:31" x14ac:dyDescent="0.2">
      <c r="A401" t="s">
        <v>39</v>
      </c>
      <c r="B401">
        <v>1012733022</v>
      </c>
      <c r="C401" t="s">
        <v>227</v>
      </c>
      <c r="D401" t="s">
        <v>31</v>
      </c>
      <c r="E401" s="1">
        <v>0.67291666666666672</v>
      </c>
      <c r="F401" t="s">
        <v>32</v>
      </c>
      <c r="G401" t="s">
        <v>33</v>
      </c>
      <c r="H401" t="s">
        <v>41</v>
      </c>
      <c r="I401" t="s">
        <v>84</v>
      </c>
      <c r="J401">
        <v>280</v>
      </c>
      <c r="K401">
        <v>0</v>
      </c>
      <c r="L401" t="s">
        <v>63</v>
      </c>
      <c r="M401">
        <v>250</v>
      </c>
      <c r="N401">
        <v>0</v>
      </c>
      <c r="O401">
        <v>0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 t="s">
        <v>36</v>
      </c>
      <c r="AB401" t="s">
        <v>43</v>
      </c>
      <c r="AC401" t="str">
        <f t="shared" si="12"/>
        <v>CP</v>
      </c>
      <c r="AD401" t="str">
        <f>_xlfn.XLOOKUP(C401,Mapping!A:A,Mapping!D:D,0,0)</f>
        <v>Bin</v>
      </c>
      <c r="AE401" t="str">
        <f t="shared" si="13"/>
        <v>OLD</v>
      </c>
    </row>
    <row r="402" spans="1:31" x14ac:dyDescent="0.2">
      <c r="A402" t="s">
        <v>39</v>
      </c>
      <c r="B402">
        <v>1012733032</v>
      </c>
      <c r="C402" t="s">
        <v>458</v>
      </c>
      <c r="D402" t="s">
        <v>31</v>
      </c>
      <c r="E402" s="1">
        <v>0.67291666666666672</v>
      </c>
      <c r="F402" t="s">
        <v>32</v>
      </c>
      <c r="G402" t="s">
        <v>33</v>
      </c>
      <c r="H402" t="s">
        <v>41</v>
      </c>
      <c r="I402" t="s">
        <v>84</v>
      </c>
      <c r="J402">
        <v>280</v>
      </c>
      <c r="K402">
        <v>0</v>
      </c>
      <c r="L402" t="s">
        <v>63</v>
      </c>
      <c r="M402">
        <v>250</v>
      </c>
      <c r="N402">
        <v>0</v>
      </c>
      <c r="O402">
        <v>0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 t="s">
        <v>36</v>
      </c>
      <c r="AB402" t="s">
        <v>43</v>
      </c>
      <c r="AC402" t="str">
        <f t="shared" si="12"/>
        <v>CP</v>
      </c>
      <c r="AD402" t="str">
        <f>_xlfn.XLOOKUP(C402,Mapping!A:A,Mapping!D:D,0,0)</f>
        <v>Bin</v>
      </c>
      <c r="AE402" t="str">
        <f t="shared" si="13"/>
        <v>OLD</v>
      </c>
    </row>
    <row r="403" spans="1:31" x14ac:dyDescent="0.2">
      <c r="A403" t="s">
        <v>39</v>
      </c>
      <c r="B403">
        <v>1012733042</v>
      </c>
      <c r="C403" t="s">
        <v>459</v>
      </c>
      <c r="D403" t="s">
        <v>31</v>
      </c>
      <c r="E403" s="1">
        <v>0.67291666666666672</v>
      </c>
      <c r="F403" t="s">
        <v>32</v>
      </c>
      <c r="G403" t="s">
        <v>33</v>
      </c>
      <c r="H403" t="s">
        <v>41</v>
      </c>
      <c r="I403" t="s">
        <v>84</v>
      </c>
      <c r="J403">
        <v>280</v>
      </c>
      <c r="K403">
        <v>0</v>
      </c>
      <c r="L403" t="s">
        <v>63</v>
      </c>
      <c r="M403">
        <v>250</v>
      </c>
      <c r="N403">
        <v>0</v>
      </c>
      <c r="O403">
        <v>0</v>
      </c>
      <c r="P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 t="s">
        <v>36</v>
      </c>
      <c r="AB403" t="s">
        <v>43</v>
      </c>
      <c r="AC403" t="str">
        <f t="shared" si="12"/>
        <v>CP</v>
      </c>
      <c r="AD403" t="str">
        <f>_xlfn.XLOOKUP(C403,Mapping!A:A,Mapping!D:D,0,0)</f>
        <v>Bin</v>
      </c>
      <c r="AE403" t="str">
        <f t="shared" si="13"/>
        <v>OLD</v>
      </c>
    </row>
    <row r="404" spans="1:31" x14ac:dyDescent="0.2">
      <c r="A404" t="s">
        <v>39</v>
      </c>
      <c r="B404">
        <v>1012733052</v>
      </c>
      <c r="C404" t="s">
        <v>460</v>
      </c>
      <c r="D404" t="s">
        <v>31</v>
      </c>
      <c r="E404" s="1">
        <v>0.67291666666666672</v>
      </c>
      <c r="F404" t="s">
        <v>32</v>
      </c>
      <c r="G404" t="s">
        <v>33</v>
      </c>
      <c r="H404" t="s">
        <v>41</v>
      </c>
      <c r="I404" t="s">
        <v>84</v>
      </c>
      <c r="J404">
        <v>280</v>
      </c>
      <c r="K404">
        <v>0</v>
      </c>
      <c r="L404" t="s">
        <v>63</v>
      </c>
      <c r="M404">
        <v>250</v>
      </c>
      <c r="N404">
        <v>0</v>
      </c>
      <c r="O404">
        <v>0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 t="s">
        <v>36</v>
      </c>
      <c r="AB404" t="s">
        <v>43</v>
      </c>
      <c r="AC404" t="str">
        <f t="shared" si="12"/>
        <v>CP</v>
      </c>
      <c r="AD404" t="str">
        <f>_xlfn.XLOOKUP(C404,Mapping!A:A,Mapping!D:D,0,0)</f>
        <v>Bin</v>
      </c>
      <c r="AE404" t="str">
        <f t="shared" si="13"/>
        <v>OLD</v>
      </c>
    </row>
    <row r="405" spans="1:31" x14ac:dyDescent="0.2">
      <c r="A405" t="s">
        <v>39</v>
      </c>
      <c r="B405">
        <v>1012733062</v>
      </c>
      <c r="C405" t="s">
        <v>461</v>
      </c>
      <c r="D405" t="s">
        <v>31</v>
      </c>
      <c r="E405" s="1">
        <v>0.67291666666666672</v>
      </c>
      <c r="F405" t="s">
        <v>32</v>
      </c>
      <c r="G405" t="s">
        <v>33</v>
      </c>
      <c r="H405" t="s">
        <v>41</v>
      </c>
      <c r="I405" t="s">
        <v>84</v>
      </c>
      <c r="J405">
        <v>280</v>
      </c>
      <c r="K405">
        <v>0</v>
      </c>
      <c r="L405" t="s">
        <v>36</v>
      </c>
      <c r="M405" t="s">
        <v>37</v>
      </c>
      <c r="N405">
        <v>0</v>
      </c>
      <c r="O405">
        <v>0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 t="s">
        <v>36</v>
      </c>
      <c r="AB405" t="s">
        <v>43</v>
      </c>
      <c r="AC405" t="str">
        <f t="shared" si="12"/>
        <v>CP</v>
      </c>
      <c r="AD405" t="str">
        <f>_xlfn.XLOOKUP(C405,Mapping!A:A,Mapping!D:D,0,0)</f>
        <v>Bin</v>
      </c>
      <c r="AE405" t="str">
        <f t="shared" si="13"/>
        <v>OLD</v>
      </c>
    </row>
    <row r="406" spans="1:31" x14ac:dyDescent="0.2">
      <c r="A406" t="s">
        <v>39</v>
      </c>
      <c r="B406">
        <v>1012733072</v>
      </c>
      <c r="C406" t="s">
        <v>462</v>
      </c>
      <c r="D406" t="s">
        <v>31</v>
      </c>
      <c r="E406" s="1">
        <v>0.67291666666666672</v>
      </c>
      <c r="F406" t="s">
        <v>32</v>
      </c>
      <c r="G406" t="s">
        <v>33</v>
      </c>
      <c r="H406" t="s">
        <v>41</v>
      </c>
      <c r="I406" t="s">
        <v>84</v>
      </c>
      <c r="J406">
        <v>280</v>
      </c>
      <c r="K406">
        <v>0</v>
      </c>
      <c r="L406" t="s">
        <v>63</v>
      </c>
      <c r="M406">
        <v>250</v>
      </c>
      <c r="N406">
        <v>0</v>
      </c>
      <c r="O406">
        <v>0</v>
      </c>
      <c r="P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 t="s">
        <v>36</v>
      </c>
      <c r="AB406" t="s">
        <v>43</v>
      </c>
      <c r="AC406" t="str">
        <f t="shared" si="12"/>
        <v>CP</v>
      </c>
      <c r="AD406" t="str">
        <f>_xlfn.XLOOKUP(C406,Mapping!A:A,Mapping!D:D,0,0)</f>
        <v>Bin</v>
      </c>
      <c r="AE406" t="str">
        <f t="shared" si="13"/>
        <v>OLD</v>
      </c>
    </row>
    <row r="407" spans="1:31" x14ac:dyDescent="0.2">
      <c r="A407" t="s">
        <v>39</v>
      </c>
      <c r="B407">
        <v>1012733082</v>
      </c>
      <c r="C407" t="s">
        <v>463</v>
      </c>
      <c r="D407" t="s">
        <v>31</v>
      </c>
      <c r="E407" s="1">
        <v>0.67291666666666672</v>
      </c>
      <c r="F407" t="s">
        <v>32</v>
      </c>
      <c r="G407" t="s">
        <v>33</v>
      </c>
      <c r="H407" t="s">
        <v>41</v>
      </c>
      <c r="I407" t="s">
        <v>84</v>
      </c>
      <c r="J407">
        <v>280</v>
      </c>
      <c r="K407">
        <v>0</v>
      </c>
      <c r="L407" t="s">
        <v>36</v>
      </c>
      <c r="M407" t="s">
        <v>37</v>
      </c>
      <c r="N407">
        <v>0</v>
      </c>
      <c r="O407">
        <v>0</v>
      </c>
      <c r="P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 t="s">
        <v>36</v>
      </c>
      <c r="AB407" t="s">
        <v>303</v>
      </c>
      <c r="AC407" t="str">
        <f t="shared" si="12"/>
        <v>CP</v>
      </c>
      <c r="AD407" t="str">
        <f>_xlfn.XLOOKUP(C407,Mapping!A:A,Mapping!D:D,0,0)</f>
        <v>Tests</v>
      </c>
      <c r="AE407" t="str">
        <f t="shared" si="13"/>
        <v>OLD</v>
      </c>
    </row>
    <row r="408" spans="1:31" x14ac:dyDescent="0.2">
      <c r="A408" t="s">
        <v>39</v>
      </c>
      <c r="B408">
        <v>1012733092</v>
      </c>
      <c r="C408" t="s">
        <v>464</v>
      </c>
      <c r="D408" t="s">
        <v>31</v>
      </c>
      <c r="E408" s="1">
        <v>0.67291666666666672</v>
      </c>
      <c r="F408" t="s">
        <v>32</v>
      </c>
      <c r="G408" t="s">
        <v>33</v>
      </c>
      <c r="H408" t="s">
        <v>41</v>
      </c>
      <c r="I408" t="s">
        <v>84</v>
      </c>
      <c r="J408">
        <v>280</v>
      </c>
      <c r="K408">
        <v>0</v>
      </c>
      <c r="L408" t="s">
        <v>63</v>
      </c>
      <c r="M408">
        <v>250</v>
      </c>
      <c r="N408">
        <v>0</v>
      </c>
      <c r="O408">
        <v>0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 t="s">
        <v>36</v>
      </c>
      <c r="AB408" t="s">
        <v>43</v>
      </c>
      <c r="AC408" t="str">
        <f t="shared" si="12"/>
        <v>CP</v>
      </c>
      <c r="AD408" t="str">
        <f>_xlfn.XLOOKUP(C408,Mapping!A:A,Mapping!D:D,0,0)</f>
        <v>Bin</v>
      </c>
      <c r="AE408" t="str">
        <f t="shared" si="13"/>
        <v>OLD</v>
      </c>
    </row>
    <row r="409" spans="1:31" x14ac:dyDescent="0.2">
      <c r="A409" t="s">
        <v>39</v>
      </c>
      <c r="B409">
        <v>1012733112</v>
      </c>
      <c r="C409" t="s">
        <v>465</v>
      </c>
      <c r="D409" t="s">
        <v>31</v>
      </c>
      <c r="E409" s="1">
        <v>0.67291666666666672</v>
      </c>
      <c r="F409" t="s">
        <v>32</v>
      </c>
      <c r="G409" t="s">
        <v>33</v>
      </c>
      <c r="H409" t="s">
        <v>41</v>
      </c>
      <c r="I409" t="s">
        <v>84</v>
      </c>
      <c r="J409">
        <v>280</v>
      </c>
      <c r="K409">
        <v>0</v>
      </c>
      <c r="L409" t="s">
        <v>36</v>
      </c>
      <c r="M409" t="s">
        <v>37</v>
      </c>
      <c r="N409">
        <v>0</v>
      </c>
      <c r="O409">
        <v>0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 t="s">
        <v>36</v>
      </c>
      <c r="AB409" t="s">
        <v>303</v>
      </c>
      <c r="AC409" t="str">
        <f t="shared" si="12"/>
        <v>CP</v>
      </c>
      <c r="AD409" t="str">
        <f>_xlfn.XLOOKUP(C409,Mapping!A:A,Mapping!D:D,0,0)</f>
        <v>Tests</v>
      </c>
      <c r="AE409" t="str">
        <f t="shared" si="13"/>
        <v>OLD</v>
      </c>
    </row>
    <row r="410" spans="1:31" x14ac:dyDescent="0.2">
      <c r="A410" t="s">
        <v>39</v>
      </c>
      <c r="B410">
        <v>1012733122</v>
      </c>
      <c r="C410" t="s">
        <v>466</v>
      </c>
      <c r="D410" t="s">
        <v>31</v>
      </c>
      <c r="E410" s="1">
        <v>0.67291666666666672</v>
      </c>
      <c r="F410" t="s">
        <v>32</v>
      </c>
      <c r="G410" t="s">
        <v>33</v>
      </c>
      <c r="H410" t="s">
        <v>41</v>
      </c>
      <c r="I410" t="s">
        <v>84</v>
      </c>
      <c r="J410">
        <v>280</v>
      </c>
      <c r="K410">
        <v>0</v>
      </c>
      <c r="L410" t="s">
        <v>63</v>
      </c>
      <c r="M410">
        <v>250</v>
      </c>
      <c r="N410">
        <v>0</v>
      </c>
      <c r="O410">
        <v>0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 t="s">
        <v>36</v>
      </c>
      <c r="AB410" t="s">
        <v>43</v>
      </c>
      <c r="AC410" t="str">
        <f t="shared" si="12"/>
        <v>CP</v>
      </c>
      <c r="AD410" t="str">
        <f>_xlfn.XLOOKUP(C410,Mapping!A:A,Mapping!D:D,0,0)</f>
        <v>Bin</v>
      </c>
      <c r="AE410" t="str">
        <f t="shared" si="13"/>
        <v>OLD</v>
      </c>
    </row>
    <row r="411" spans="1:31" x14ac:dyDescent="0.2">
      <c r="A411" t="s">
        <v>39</v>
      </c>
      <c r="B411">
        <v>1012733132</v>
      </c>
      <c r="C411" t="s">
        <v>467</v>
      </c>
      <c r="D411" t="s">
        <v>31</v>
      </c>
      <c r="E411" s="1">
        <v>0.67291666666666672</v>
      </c>
      <c r="F411" t="s">
        <v>32</v>
      </c>
      <c r="G411" t="s">
        <v>33</v>
      </c>
      <c r="H411" t="s">
        <v>41</v>
      </c>
      <c r="I411" t="s">
        <v>84</v>
      </c>
      <c r="J411">
        <v>280</v>
      </c>
      <c r="K411">
        <v>0</v>
      </c>
      <c r="L411" t="s">
        <v>63</v>
      </c>
      <c r="M411">
        <v>250</v>
      </c>
      <c r="N411">
        <v>0</v>
      </c>
      <c r="O411">
        <v>0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 t="s">
        <v>36</v>
      </c>
      <c r="AB411" t="s">
        <v>43</v>
      </c>
      <c r="AC411" t="str">
        <f t="shared" si="12"/>
        <v>CP</v>
      </c>
      <c r="AD411" t="str">
        <f>_xlfn.XLOOKUP(C411,Mapping!A:A,Mapping!D:D,0,0)</f>
        <v>Bin</v>
      </c>
      <c r="AE411" t="str">
        <f t="shared" si="13"/>
        <v>OLD</v>
      </c>
    </row>
    <row r="412" spans="1:31" x14ac:dyDescent="0.2">
      <c r="A412" t="s">
        <v>39</v>
      </c>
      <c r="B412">
        <v>1012733142</v>
      </c>
      <c r="C412" t="s">
        <v>468</v>
      </c>
      <c r="D412" t="s">
        <v>31</v>
      </c>
      <c r="E412" s="1">
        <v>0.67291666666666672</v>
      </c>
      <c r="F412" t="s">
        <v>32</v>
      </c>
      <c r="G412" t="s">
        <v>33</v>
      </c>
      <c r="H412" t="s">
        <v>41</v>
      </c>
      <c r="I412" t="s">
        <v>84</v>
      </c>
      <c r="J412">
        <v>280</v>
      </c>
      <c r="K412">
        <v>0</v>
      </c>
      <c r="L412" t="s">
        <v>63</v>
      </c>
      <c r="M412">
        <v>250</v>
      </c>
      <c r="N412">
        <v>0</v>
      </c>
      <c r="O412">
        <v>0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 t="s">
        <v>36</v>
      </c>
      <c r="AB412" t="s">
        <v>43</v>
      </c>
      <c r="AC412" t="str">
        <f t="shared" si="12"/>
        <v>CP</v>
      </c>
      <c r="AD412" t="str">
        <f>_xlfn.XLOOKUP(C412,Mapping!A:A,Mapping!D:D,0,0)</f>
        <v>Bin</v>
      </c>
      <c r="AE412" t="str">
        <f t="shared" si="13"/>
        <v>OLD</v>
      </c>
    </row>
    <row r="413" spans="1:31" x14ac:dyDescent="0.2">
      <c r="A413" t="s">
        <v>39</v>
      </c>
      <c r="B413">
        <v>1012733152</v>
      </c>
      <c r="C413" t="s">
        <v>469</v>
      </c>
      <c r="D413" t="s">
        <v>31</v>
      </c>
      <c r="E413" s="1">
        <v>0.67291666666666672</v>
      </c>
      <c r="F413" t="s">
        <v>32</v>
      </c>
      <c r="G413" t="s">
        <v>33</v>
      </c>
      <c r="H413" t="s">
        <v>41</v>
      </c>
      <c r="I413" t="s">
        <v>84</v>
      </c>
      <c r="J413">
        <v>280</v>
      </c>
      <c r="K413">
        <v>0</v>
      </c>
      <c r="L413" t="s">
        <v>63</v>
      </c>
      <c r="M413">
        <v>250</v>
      </c>
      <c r="N413">
        <v>0</v>
      </c>
      <c r="O413">
        <v>0</v>
      </c>
      <c r="P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 t="s">
        <v>36</v>
      </c>
      <c r="AB413" t="s">
        <v>43</v>
      </c>
      <c r="AC413" t="str">
        <f t="shared" si="12"/>
        <v>CP</v>
      </c>
      <c r="AD413" t="str">
        <f>_xlfn.XLOOKUP(C413,Mapping!A:A,Mapping!D:D,0,0)</f>
        <v>Bin</v>
      </c>
      <c r="AE413" t="str">
        <f t="shared" si="13"/>
        <v>OLD</v>
      </c>
    </row>
    <row r="414" spans="1:31" x14ac:dyDescent="0.2">
      <c r="A414" t="s">
        <v>39</v>
      </c>
      <c r="B414">
        <v>1012733172</v>
      </c>
      <c r="C414" t="s">
        <v>470</v>
      </c>
      <c r="D414" t="s">
        <v>31</v>
      </c>
      <c r="E414" s="1">
        <v>0.67291666666666672</v>
      </c>
      <c r="F414" t="s">
        <v>32</v>
      </c>
      <c r="G414" t="s">
        <v>33</v>
      </c>
      <c r="H414" t="s">
        <v>41</v>
      </c>
      <c r="I414" t="s">
        <v>84</v>
      </c>
      <c r="J414">
        <v>280</v>
      </c>
      <c r="K414">
        <v>0</v>
      </c>
      <c r="L414" t="s">
        <v>63</v>
      </c>
      <c r="M414">
        <v>250</v>
      </c>
      <c r="N414">
        <v>0</v>
      </c>
      <c r="O414">
        <v>0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 t="s">
        <v>36</v>
      </c>
      <c r="AB414" t="s">
        <v>43</v>
      </c>
      <c r="AC414" t="str">
        <f t="shared" si="12"/>
        <v>CP</v>
      </c>
      <c r="AD414" t="str">
        <f>_xlfn.XLOOKUP(C414,Mapping!A:A,Mapping!D:D,0,0)</f>
        <v>Bin</v>
      </c>
      <c r="AE414" t="str">
        <f t="shared" si="13"/>
        <v>OLD</v>
      </c>
    </row>
    <row r="415" spans="1:31" x14ac:dyDescent="0.2">
      <c r="A415" t="s">
        <v>39</v>
      </c>
      <c r="B415">
        <v>1012733182</v>
      </c>
      <c r="C415" t="s">
        <v>471</v>
      </c>
      <c r="D415" t="s">
        <v>31</v>
      </c>
      <c r="E415" s="1">
        <v>0.67291666666666672</v>
      </c>
      <c r="F415" t="s">
        <v>32</v>
      </c>
      <c r="G415" t="s">
        <v>33</v>
      </c>
      <c r="H415" t="s">
        <v>41</v>
      </c>
      <c r="I415" t="s">
        <v>84</v>
      </c>
      <c r="J415">
        <v>280</v>
      </c>
      <c r="K415">
        <v>0</v>
      </c>
      <c r="L415" t="s">
        <v>63</v>
      </c>
      <c r="M415">
        <v>250</v>
      </c>
      <c r="N415">
        <v>0</v>
      </c>
      <c r="O415">
        <v>0</v>
      </c>
      <c r="P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 t="s">
        <v>36</v>
      </c>
      <c r="AB415" t="s">
        <v>43</v>
      </c>
      <c r="AC415" t="str">
        <f t="shared" si="12"/>
        <v>CP</v>
      </c>
      <c r="AD415" t="str">
        <f>_xlfn.XLOOKUP(C415,Mapping!A:A,Mapping!D:D,0,0)</f>
        <v>Bin</v>
      </c>
      <c r="AE415" t="str">
        <f t="shared" si="13"/>
        <v>OLD</v>
      </c>
    </row>
    <row r="416" spans="1:31" x14ac:dyDescent="0.2">
      <c r="A416" t="s">
        <v>39</v>
      </c>
      <c r="B416">
        <v>1012733192</v>
      </c>
      <c r="C416" t="s">
        <v>472</v>
      </c>
      <c r="D416" t="s">
        <v>31</v>
      </c>
      <c r="E416" s="1">
        <v>0.67291666666666672</v>
      </c>
      <c r="F416" t="s">
        <v>32</v>
      </c>
      <c r="G416" t="s">
        <v>33</v>
      </c>
      <c r="H416" t="s">
        <v>41</v>
      </c>
      <c r="I416" t="s">
        <v>84</v>
      </c>
      <c r="J416">
        <v>280</v>
      </c>
      <c r="K416">
        <v>0</v>
      </c>
      <c r="L416" t="s">
        <v>63</v>
      </c>
      <c r="M416">
        <v>250</v>
      </c>
      <c r="N416">
        <v>0</v>
      </c>
      <c r="O416">
        <v>0</v>
      </c>
      <c r="P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 t="s">
        <v>36</v>
      </c>
      <c r="AB416" t="s">
        <v>43</v>
      </c>
      <c r="AC416" t="str">
        <f t="shared" si="12"/>
        <v>CP</v>
      </c>
      <c r="AD416" t="str">
        <f>_xlfn.XLOOKUP(C416,Mapping!A:A,Mapping!D:D,0,0)</f>
        <v>Bin</v>
      </c>
      <c r="AE416" t="str">
        <f t="shared" si="13"/>
        <v>OLD</v>
      </c>
    </row>
    <row r="417" spans="1:31" x14ac:dyDescent="0.2">
      <c r="A417" t="s">
        <v>39</v>
      </c>
      <c r="B417">
        <v>1012733212</v>
      </c>
      <c r="C417" t="s">
        <v>473</v>
      </c>
      <c r="D417" t="s">
        <v>31</v>
      </c>
      <c r="E417" s="1">
        <v>0.67291666666666672</v>
      </c>
      <c r="F417" t="s">
        <v>32</v>
      </c>
      <c r="G417" t="s">
        <v>33</v>
      </c>
      <c r="H417" t="s">
        <v>41</v>
      </c>
      <c r="I417" t="s">
        <v>84</v>
      </c>
      <c r="J417">
        <v>280</v>
      </c>
      <c r="K417">
        <v>0</v>
      </c>
      <c r="L417" t="s">
        <v>36</v>
      </c>
      <c r="M417" t="s">
        <v>37</v>
      </c>
      <c r="N417">
        <v>0</v>
      </c>
      <c r="O417">
        <v>0</v>
      </c>
      <c r="P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 t="s">
        <v>36</v>
      </c>
      <c r="AB417" t="s">
        <v>303</v>
      </c>
      <c r="AC417" t="str">
        <f t="shared" si="12"/>
        <v>CP</v>
      </c>
      <c r="AD417" t="str">
        <f>_xlfn.XLOOKUP(C417,Mapping!A:A,Mapping!D:D,0,0)</f>
        <v>Tests</v>
      </c>
      <c r="AE417" t="str">
        <f t="shared" si="13"/>
        <v>OLD</v>
      </c>
    </row>
    <row r="418" spans="1:31" x14ac:dyDescent="0.2">
      <c r="A418" t="s">
        <v>39</v>
      </c>
      <c r="B418">
        <v>1012733222</v>
      </c>
      <c r="C418" t="s">
        <v>474</v>
      </c>
      <c r="D418" t="s">
        <v>31</v>
      </c>
      <c r="E418" s="1">
        <v>0.67291666666666672</v>
      </c>
      <c r="F418" t="s">
        <v>32</v>
      </c>
      <c r="G418" t="s">
        <v>33</v>
      </c>
      <c r="H418" t="s">
        <v>41</v>
      </c>
      <c r="I418" t="s">
        <v>84</v>
      </c>
      <c r="J418">
        <v>280</v>
      </c>
      <c r="K418">
        <v>0</v>
      </c>
      <c r="L418" t="s">
        <v>63</v>
      </c>
      <c r="M418">
        <v>250</v>
      </c>
      <c r="N418">
        <v>0</v>
      </c>
      <c r="O418">
        <v>0</v>
      </c>
      <c r="P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 t="s">
        <v>36</v>
      </c>
      <c r="AB418" t="s">
        <v>43</v>
      </c>
      <c r="AC418" t="str">
        <f t="shared" si="12"/>
        <v>CP</v>
      </c>
      <c r="AD418" t="str">
        <f>_xlfn.XLOOKUP(C418,Mapping!A:A,Mapping!D:D,0,0)</f>
        <v>Bin</v>
      </c>
      <c r="AE418" t="str">
        <f t="shared" si="13"/>
        <v>OLD</v>
      </c>
    </row>
    <row r="419" spans="1:31" x14ac:dyDescent="0.2">
      <c r="A419" t="s">
        <v>39</v>
      </c>
      <c r="B419">
        <v>1012733232</v>
      </c>
      <c r="C419" t="s">
        <v>234</v>
      </c>
      <c r="D419" t="s">
        <v>31</v>
      </c>
      <c r="E419" s="1">
        <v>0.67291666666666672</v>
      </c>
      <c r="F419" t="s">
        <v>32</v>
      </c>
      <c r="G419" t="s">
        <v>33</v>
      </c>
      <c r="H419" t="s">
        <v>41</v>
      </c>
      <c r="I419" t="s">
        <v>84</v>
      </c>
      <c r="J419">
        <v>280</v>
      </c>
      <c r="K419">
        <v>0</v>
      </c>
      <c r="L419" t="s">
        <v>63</v>
      </c>
      <c r="M419">
        <v>250</v>
      </c>
      <c r="N419">
        <v>0</v>
      </c>
      <c r="O419">
        <v>0</v>
      </c>
      <c r="P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 t="s">
        <v>36</v>
      </c>
      <c r="AB419" t="s">
        <v>43</v>
      </c>
      <c r="AC419" t="str">
        <f t="shared" si="12"/>
        <v>CP</v>
      </c>
      <c r="AD419" t="str">
        <f>_xlfn.XLOOKUP(C419,Mapping!A:A,Mapping!D:D,0,0)</f>
        <v>Bin</v>
      </c>
      <c r="AE419" t="str">
        <f t="shared" si="13"/>
        <v>OLD</v>
      </c>
    </row>
    <row r="420" spans="1:31" x14ac:dyDescent="0.2">
      <c r="A420" t="s">
        <v>39</v>
      </c>
      <c r="B420">
        <v>1012733242</v>
      </c>
      <c r="C420" t="s">
        <v>475</v>
      </c>
      <c r="D420" t="s">
        <v>31</v>
      </c>
      <c r="E420" s="1">
        <v>0.67291666666666672</v>
      </c>
      <c r="F420" t="s">
        <v>32</v>
      </c>
      <c r="G420" t="s">
        <v>33</v>
      </c>
      <c r="H420" t="s">
        <v>41</v>
      </c>
      <c r="I420" t="s">
        <v>84</v>
      </c>
      <c r="J420">
        <v>280</v>
      </c>
      <c r="K420">
        <v>0</v>
      </c>
      <c r="L420" t="s">
        <v>36</v>
      </c>
      <c r="M420" t="s">
        <v>37</v>
      </c>
      <c r="N420">
        <v>0</v>
      </c>
      <c r="O420">
        <v>0</v>
      </c>
      <c r="P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 t="s">
        <v>36</v>
      </c>
      <c r="AB420" t="s">
        <v>43</v>
      </c>
      <c r="AC420" t="str">
        <f t="shared" si="12"/>
        <v>CP</v>
      </c>
      <c r="AD420" t="str">
        <f>_xlfn.XLOOKUP(C420,Mapping!A:A,Mapping!D:D,0,0)</f>
        <v>Bin</v>
      </c>
      <c r="AE420" t="str">
        <f t="shared" si="13"/>
        <v>OLD</v>
      </c>
    </row>
    <row r="421" spans="1:31" x14ac:dyDescent="0.2">
      <c r="A421" t="s">
        <v>39</v>
      </c>
      <c r="B421">
        <v>1012733252</v>
      </c>
      <c r="C421" t="s">
        <v>476</v>
      </c>
      <c r="D421" t="s">
        <v>31</v>
      </c>
      <c r="E421" s="1">
        <v>0.67291666666666672</v>
      </c>
      <c r="F421" t="s">
        <v>32</v>
      </c>
      <c r="G421" t="s">
        <v>33</v>
      </c>
      <c r="H421" t="s">
        <v>41</v>
      </c>
      <c r="I421" t="s">
        <v>84</v>
      </c>
      <c r="J421">
        <v>280</v>
      </c>
      <c r="K421">
        <v>0</v>
      </c>
      <c r="L421" t="s">
        <v>63</v>
      </c>
      <c r="M421">
        <v>250</v>
      </c>
      <c r="N421">
        <v>0</v>
      </c>
      <c r="O421">
        <v>0</v>
      </c>
      <c r="P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 t="s">
        <v>36</v>
      </c>
      <c r="AB421" t="s">
        <v>43</v>
      </c>
      <c r="AC421" t="str">
        <f t="shared" si="12"/>
        <v>CP</v>
      </c>
      <c r="AD421" t="str">
        <f>_xlfn.XLOOKUP(C421,Mapping!A:A,Mapping!D:D,0,0)</f>
        <v>Bin</v>
      </c>
      <c r="AE421" t="str">
        <f t="shared" si="13"/>
        <v>OLD</v>
      </c>
    </row>
    <row r="422" spans="1:31" x14ac:dyDescent="0.2">
      <c r="A422" t="s">
        <v>39</v>
      </c>
      <c r="B422">
        <v>1012733262</v>
      </c>
      <c r="C422" t="s">
        <v>477</v>
      </c>
      <c r="D422" t="s">
        <v>31</v>
      </c>
      <c r="E422" s="1">
        <v>0.67291666666666672</v>
      </c>
      <c r="F422" t="s">
        <v>32</v>
      </c>
      <c r="G422" t="s">
        <v>33</v>
      </c>
      <c r="H422" t="s">
        <v>41</v>
      </c>
      <c r="I422" t="s">
        <v>84</v>
      </c>
      <c r="J422">
        <v>280</v>
      </c>
      <c r="K422">
        <v>0</v>
      </c>
      <c r="L422" t="s">
        <v>63</v>
      </c>
      <c r="M422">
        <v>250</v>
      </c>
      <c r="N422">
        <v>0</v>
      </c>
      <c r="O422">
        <v>0</v>
      </c>
      <c r="P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 t="s">
        <v>36</v>
      </c>
      <c r="AB422" t="s">
        <v>43</v>
      </c>
      <c r="AC422" t="str">
        <f t="shared" si="12"/>
        <v>CP</v>
      </c>
      <c r="AD422" t="str">
        <f>_xlfn.XLOOKUP(C422,Mapping!A:A,Mapping!D:D,0,0)</f>
        <v>Bin</v>
      </c>
      <c r="AE422" t="str">
        <f t="shared" si="13"/>
        <v>OLD</v>
      </c>
    </row>
    <row r="423" spans="1:31" x14ac:dyDescent="0.2">
      <c r="A423" t="s">
        <v>39</v>
      </c>
      <c r="B423">
        <v>1012733272</v>
      </c>
      <c r="C423" t="s">
        <v>478</v>
      </c>
      <c r="D423" t="s">
        <v>31</v>
      </c>
      <c r="E423" s="1">
        <v>0.67291666666666672</v>
      </c>
      <c r="F423" t="s">
        <v>32</v>
      </c>
      <c r="G423" t="s">
        <v>33</v>
      </c>
      <c r="H423" t="s">
        <v>41</v>
      </c>
      <c r="I423" t="s">
        <v>84</v>
      </c>
      <c r="J423">
        <v>280</v>
      </c>
      <c r="K423">
        <v>0</v>
      </c>
      <c r="L423" t="s">
        <v>63</v>
      </c>
      <c r="M423">
        <v>250</v>
      </c>
      <c r="N423">
        <v>0</v>
      </c>
      <c r="O423">
        <v>0</v>
      </c>
      <c r="P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 t="s">
        <v>36</v>
      </c>
      <c r="AB423" t="s">
        <v>43</v>
      </c>
      <c r="AC423" t="str">
        <f t="shared" si="12"/>
        <v>CP</v>
      </c>
      <c r="AD423" t="str">
        <f>_xlfn.XLOOKUP(C423,Mapping!A:A,Mapping!D:D,0,0)</f>
        <v>Bin</v>
      </c>
      <c r="AE423" t="str">
        <f t="shared" si="13"/>
        <v>OLD</v>
      </c>
    </row>
    <row r="424" spans="1:31" x14ac:dyDescent="0.2">
      <c r="A424" t="s">
        <v>39</v>
      </c>
      <c r="B424">
        <v>1012733282</v>
      </c>
      <c r="C424" t="s">
        <v>479</v>
      </c>
      <c r="D424" t="s">
        <v>31</v>
      </c>
      <c r="E424" s="1">
        <v>0.67291666666666672</v>
      </c>
      <c r="F424" t="s">
        <v>32</v>
      </c>
      <c r="G424" t="s">
        <v>33</v>
      </c>
      <c r="H424" t="s">
        <v>41</v>
      </c>
      <c r="I424" t="s">
        <v>84</v>
      </c>
      <c r="J424">
        <v>280</v>
      </c>
      <c r="K424">
        <v>0</v>
      </c>
      <c r="L424" t="s">
        <v>63</v>
      </c>
      <c r="M424">
        <v>250</v>
      </c>
      <c r="N424">
        <v>0</v>
      </c>
      <c r="O424">
        <v>0</v>
      </c>
      <c r="P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 t="s">
        <v>36</v>
      </c>
      <c r="AB424" t="s">
        <v>43</v>
      </c>
      <c r="AC424" t="str">
        <f t="shared" si="12"/>
        <v>CP</v>
      </c>
      <c r="AD424" t="str">
        <f>_xlfn.XLOOKUP(C424,Mapping!A:A,Mapping!D:D,0,0)</f>
        <v>Bin</v>
      </c>
      <c r="AE424" t="str">
        <f t="shared" si="13"/>
        <v>OLD</v>
      </c>
    </row>
    <row r="425" spans="1:31" x14ac:dyDescent="0.2">
      <c r="A425" t="s">
        <v>39</v>
      </c>
      <c r="B425">
        <v>1012733292</v>
      </c>
      <c r="C425" t="s">
        <v>480</v>
      </c>
      <c r="D425" t="s">
        <v>31</v>
      </c>
      <c r="E425" s="1">
        <v>0.67291666666666672</v>
      </c>
      <c r="F425" t="s">
        <v>32</v>
      </c>
      <c r="G425" t="s">
        <v>33</v>
      </c>
      <c r="H425" t="s">
        <v>41</v>
      </c>
      <c r="I425" t="s">
        <v>84</v>
      </c>
      <c r="J425">
        <v>280</v>
      </c>
      <c r="K425">
        <v>0</v>
      </c>
      <c r="L425" t="s">
        <v>36</v>
      </c>
      <c r="M425" t="s">
        <v>37</v>
      </c>
      <c r="N425">
        <v>0</v>
      </c>
      <c r="O425">
        <v>0</v>
      </c>
      <c r="P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 t="s">
        <v>36</v>
      </c>
      <c r="AB425" t="s">
        <v>43</v>
      </c>
      <c r="AC425" t="str">
        <f t="shared" si="12"/>
        <v>CP</v>
      </c>
      <c r="AD425" t="str">
        <f>_xlfn.XLOOKUP(C425,Mapping!A:A,Mapping!D:D,0,0)</f>
        <v>Bin</v>
      </c>
      <c r="AE425" t="str">
        <f t="shared" si="13"/>
        <v>OLD</v>
      </c>
    </row>
    <row r="426" spans="1:31" x14ac:dyDescent="0.2">
      <c r="A426" t="s">
        <v>39</v>
      </c>
      <c r="B426">
        <v>1012733302</v>
      </c>
      <c r="C426" t="s">
        <v>481</v>
      </c>
      <c r="D426" t="s">
        <v>31</v>
      </c>
      <c r="E426" s="1">
        <v>0.67291666666666672</v>
      </c>
      <c r="F426" t="s">
        <v>32</v>
      </c>
      <c r="G426" t="s">
        <v>33</v>
      </c>
      <c r="H426" t="s">
        <v>41</v>
      </c>
      <c r="I426" t="s">
        <v>84</v>
      </c>
      <c r="J426">
        <v>280</v>
      </c>
      <c r="K426">
        <v>0</v>
      </c>
      <c r="L426" t="s">
        <v>63</v>
      </c>
      <c r="M426">
        <v>250</v>
      </c>
      <c r="N426">
        <v>0</v>
      </c>
      <c r="O426">
        <v>0</v>
      </c>
      <c r="P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 t="s">
        <v>36</v>
      </c>
      <c r="AB426" t="s">
        <v>43</v>
      </c>
      <c r="AC426" t="str">
        <f t="shared" si="12"/>
        <v>CP</v>
      </c>
      <c r="AD426" t="str">
        <f>_xlfn.XLOOKUP(C426,Mapping!A:A,Mapping!D:D,0,0)</f>
        <v>Bin</v>
      </c>
      <c r="AE426" t="str">
        <f t="shared" si="13"/>
        <v>OLD</v>
      </c>
    </row>
    <row r="427" spans="1:31" x14ac:dyDescent="0.2">
      <c r="A427" t="s">
        <v>39</v>
      </c>
      <c r="B427">
        <v>1012733312</v>
      </c>
      <c r="C427" t="s">
        <v>482</v>
      </c>
      <c r="D427" t="s">
        <v>31</v>
      </c>
      <c r="E427" s="1">
        <v>0.67291666666666672</v>
      </c>
      <c r="F427" t="s">
        <v>32</v>
      </c>
      <c r="G427" t="s">
        <v>33</v>
      </c>
      <c r="H427" t="s">
        <v>41</v>
      </c>
      <c r="I427" t="s">
        <v>84</v>
      </c>
      <c r="J427">
        <v>280</v>
      </c>
      <c r="K427">
        <v>0</v>
      </c>
      <c r="L427" t="s">
        <v>63</v>
      </c>
      <c r="M427">
        <v>250</v>
      </c>
      <c r="N427">
        <v>0</v>
      </c>
      <c r="O427">
        <v>0</v>
      </c>
      <c r="P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 t="s">
        <v>36</v>
      </c>
      <c r="AB427" t="s">
        <v>43</v>
      </c>
      <c r="AC427" t="str">
        <f t="shared" si="12"/>
        <v>CP</v>
      </c>
      <c r="AD427" t="str">
        <f>_xlfn.XLOOKUP(C427,Mapping!A:A,Mapping!D:D,0,0)</f>
        <v>Bin</v>
      </c>
      <c r="AE427" t="str">
        <f t="shared" si="13"/>
        <v>OLD</v>
      </c>
    </row>
    <row r="428" spans="1:31" x14ac:dyDescent="0.2">
      <c r="A428" t="s">
        <v>39</v>
      </c>
      <c r="B428">
        <v>1012733322</v>
      </c>
      <c r="C428" t="s">
        <v>483</v>
      </c>
      <c r="D428" t="s">
        <v>31</v>
      </c>
      <c r="E428" s="1">
        <v>0.67291666666666672</v>
      </c>
      <c r="F428" t="s">
        <v>32</v>
      </c>
      <c r="G428" t="s">
        <v>33</v>
      </c>
      <c r="H428" t="s">
        <v>41</v>
      </c>
      <c r="I428" t="s">
        <v>62</v>
      </c>
      <c r="J428">
        <v>280</v>
      </c>
      <c r="K428">
        <v>0</v>
      </c>
      <c r="L428" t="s">
        <v>36</v>
      </c>
      <c r="M428" t="s">
        <v>37</v>
      </c>
      <c r="N428">
        <v>0</v>
      </c>
      <c r="O428">
        <v>0</v>
      </c>
      <c r="P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 t="s">
        <v>36</v>
      </c>
      <c r="AB428" t="s">
        <v>484</v>
      </c>
      <c r="AC428" t="str">
        <f t="shared" si="12"/>
        <v>CP</v>
      </c>
      <c r="AD428" t="str">
        <f>_xlfn.XLOOKUP(C428,Mapping!A:A,Mapping!D:D,0,0)</f>
        <v>Marvel</v>
      </c>
      <c r="AE428" t="str">
        <f t="shared" si="13"/>
        <v>OLD</v>
      </c>
    </row>
    <row r="429" spans="1:31" x14ac:dyDescent="0.2">
      <c r="A429" t="s">
        <v>39</v>
      </c>
      <c r="B429">
        <v>1012733332</v>
      </c>
      <c r="C429" t="s">
        <v>485</v>
      </c>
      <c r="D429" t="s">
        <v>31</v>
      </c>
      <c r="E429" s="1">
        <v>0.67291666666666672</v>
      </c>
      <c r="F429" t="s">
        <v>32</v>
      </c>
      <c r="G429" t="s">
        <v>33</v>
      </c>
      <c r="H429" t="s">
        <v>41</v>
      </c>
      <c r="I429" t="s">
        <v>84</v>
      </c>
      <c r="J429">
        <v>280</v>
      </c>
      <c r="K429">
        <v>0</v>
      </c>
      <c r="L429" t="s">
        <v>63</v>
      </c>
      <c r="M429">
        <v>250</v>
      </c>
      <c r="N429">
        <v>0</v>
      </c>
      <c r="O429">
        <v>0</v>
      </c>
      <c r="P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 t="s">
        <v>36</v>
      </c>
      <c r="AB429" t="s">
        <v>43</v>
      </c>
      <c r="AC429" t="str">
        <f t="shared" si="12"/>
        <v>CP</v>
      </c>
      <c r="AD429" t="str">
        <f>_xlfn.XLOOKUP(C429,Mapping!A:A,Mapping!D:D,0,0)</f>
        <v>Bin</v>
      </c>
      <c r="AE429" t="str">
        <f t="shared" si="13"/>
        <v>OLD</v>
      </c>
    </row>
    <row r="430" spans="1:31" x14ac:dyDescent="0.2">
      <c r="A430" t="s">
        <v>39</v>
      </c>
      <c r="B430">
        <v>1012733342</v>
      </c>
      <c r="C430" t="s">
        <v>486</v>
      </c>
      <c r="D430" t="s">
        <v>31</v>
      </c>
      <c r="E430" s="1">
        <v>0.67291666666666672</v>
      </c>
      <c r="F430" t="s">
        <v>32</v>
      </c>
      <c r="G430" t="s">
        <v>33</v>
      </c>
      <c r="H430" t="s">
        <v>41</v>
      </c>
      <c r="I430" t="s">
        <v>84</v>
      </c>
      <c r="J430">
        <v>280</v>
      </c>
      <c r="K430">
        <v>0</v>
      </c>
      <c r="L430" t="s">
        <v>63</v>
      </c>
      <c r="M430">
        <v>250</v>
      </c>
      <c r="N430">
        <v>0</v>
      </c>
      <c r="O430">
        <v>0</v>
      </c>
      <c r="P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 t="s">
        <v>36</v>
      </c>
      <c r="AB430" t="s">
        <v>43</v>
      </c>
      <c r="AC430" t="str">
        <f t="shared" si="12"/>
        <v>CP</v>
      </c>
      <c r="AD430" t="str">
        <f>_xlfn.XLOOKUP(C430,Mapping!A:A,Mapping!D:D,0,0)</f>
        <v>Bin</v>
      </c>
      <c r="AE430" t="str">
        <f t="shared" si="13"/>
        <v>OLD</v>
      </c>
    </row>
    <row r="431" spans="1:31" x14ac:dyDescent="0.2">
      <c r="A431" t="s">
        <v>39</v>
      </c>
      <c r="B431">
        <v>1012733352</v>
      </c>
      <c r="C431" t="s">
        <v>487</v>
      </c>
      <c r="D431" t="s">
        <v>31</v>
      </c>
      <c r="E431" s="1">
        <v>0.67291666666666672</v>
      </c>
      <c r="F431" t="s">
        <v>32</v>
      </c>
      <c r="G431" t="s">
        <v>33</v>
      </c>
      <c r="H431" t="s">
        <v>41</v>
      </c>
      <c r="I431" t="s">
        <v>84</v>
      </c>
      <c r="J431">
        <v>280</v>
      </c>
      <c r="K431">
        <v>0</v>
      </c>
      <c r="L431" t="s">
        <v>36</v>
      </c>
      <c r="M431" t="s">
        <v>37</v>
      </c>
      <c r="N431">
        <v>0</v>
      </c>
      <c r="O431">
        <v>0</v>
      </c>
      <c r="P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 t="s">
        <v>36</v>
      </c>
      <c r="AB431" t="s">
        <v>43</v>
      </c>
      <c r="AC431" t="str">
        <f t="shared" si="12"/>
        <v>CP</v>
      </c>
      <c r="AD431" t="str">
        <f>_xlfn.XLOOKUP(C431,Mapping!A:A,Mapping!D:D,0,0)</f>
        <v>Bin</v>
      </c>
      <c r="AE431" t="str">
        <f t="shared" si="13"/>
        <v>OLD</v>
      </c>
    </row>
    <row r="432" spans="1:31" x14ac:dyDescent="0.2">
      <c r="A432" t="s">
        <v>39</v>
      </c>
      <c r="B432">
        <v>1012733522</v>
      </c>
      <c r="C432" t="s">
        <v>488</v>
      </c>
      <c r="D432" t="s">
        <v>31</v>
      </c>
      <c r="E432" s="1">
        <v>0.67291666666666672</v>
      </c>
      <c r="F432" t="s">
        <v>32</v>
      </c>
      <c r="G432" t="s">
        <v>33</v>
      </c>
      <c r="H432" t="s">
        <v>41</v>
      </c>
      <c r="I432" t="s">
        <v>84</v>
      </c>
      <c r="J432">
        <v>280</v>
      </c>
      <c r="K432">
        <v>0</v>
      </c>
      <c r="L432" t="s">
        <v>63</v>
      </c>
      <c r="M432">
        <v>250</v>
      </c>
      <c r="N432">
        <v>0</v>
      </c>
      <c r="O432">
        <v>0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 t="s">
        <v>36</v>
      </c>
      <c r="AB432" t="s">
        <v>43</v>
      </c>
      <c r="AC432" t="str">
        <f t="shared" si="12"/>
        <v>CP</v>
      </c>
      <c r="AD432" t="str">
        <f>_xlfn.XLOOKUP(C432,Mapping!A:A,Mapping!D:D,0,0)</f>
        <v>Bin</v>
      </c>
      <c r="AE432" t="str">
        <f t="shared" si="13"/>
        <v>OLD</v>
      </c>
    </row>
    <row r="433" spans="1:31" x14ac:dyDescent="0.2">
      <c r="A433" t="s">
        <v>39</v>
      </c>
      <c r="B433">
        <v>1012733532</v>
      </c>
      <c r="C433" t="s">
        <v>489</v>
      </c>
      <c r="D433" t="s">
        <v>31</v>
      </c>
      <c r="E433" s="1">
        <v>0.67291666666666672</v>
      </c>
      <c r="F433" t="s">
        <v>32</v>
      </c>
      <c r="G433" t="s">
        <v>33</v>
      </c>
      <c r="H433" t="s">
        <v>41</v>
      </c>
      <c r="I433" t="s">
        <v>84</v>
      </c>
      <c r="J433">
        <v>280</v>
      </c>
      <c r="K433">
        <v>0</v>
      </c>
      <c r="L433" t="s">
        <v>63</v>
      </c>
      <c r="M433">
        <v>250</v>
      </c>
      <c r="N433">
        <v>0</v>
      </c>
      <c r="O433">
        <v>0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 t="s">
        <v>36</v>
      </c>
      <c r="AB433" t="s">
        <v>43</v>
      </c>
      <c r="AC433" t="str">
        <f t="shared" si="12"/>
        <v>CP</v>
      </c>
      <c r="AD433" t="str">
        <f>_xlfn.XLOOKUP(C433,Mapping!A:A,Mapping!D:D,0,0)</f>
        <v>Bin</v>
      </c>
      <c r="AE433" t="str">
        <f t="shared" si="13"/>
        <v>OLD</v>
      </c>
    </row>
    <row r="434" spans="1:31" x14ac:dyDescent="0.2">
      <c r="A434" t="s">
        <v>39</v>
      </c>
      <c r="B434">
        <v>1012733542</v>
      </c>
      <c r="C434" t="s">
        <v>490</v>
      </c>
      <c r="D434" t="s">
        <v>31</v>
      </c>
      <c r="E434" s="1">
        <v>0.67291666666666672</v>
      </c>
      <c r="F434" t="s">
        <v>32</v>
      </c>
      <c r="G434" t="s">
        <v>33</v>
      </c>
      <c r="H434" t="s">
        <v>41</v>
      </c>
      <c r="I434" t="s">
        <v>84</v>
      </c>
      <c r="J434">
        <v>280</v>
      </c>
      <c r="K434">
        <v>0</v>
      </c>
      <c r="L434" t="s">
        <v>63</v>
      </c>
      <c r="M434">
        <v>250</v>
      </c>
      <c r="N434">
        <v>0</v>
      </c>
      <c r="O434">
        <v>0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 t="s">
        <v>36</v>
      </c>
      <c r="AB434" t="s">
        <v>43</v>
      </c>
      <c r="AC434" t="str">
        <f t="shared" si="12"/>
        <v>CP</v>
      </c>
      <c r="AD434" t="str">
        <f>_xlfn.XLOOKUP(C434,Mapping!A:A,Mapping!D:D,0,0)</f>
        <v>Bin</v>
      </c>
      <c r="AE434" t="str">
        <f t="shared" si="13"/>
        <v>OLD</v>
      </c>
    </row>
    <row r="435" spans="1:31" x14ac:dyDescent="0.2">
      <c r="A435" t="s">
        <v>39</v>
      </c>
      <c r="B435">
        <v>1012733562</v>
      </c>
      <c r="C435" t="s">
        <v>491</v>
      </c>
      <c r="D435" t="s">
        <v>31</v>
      </c>
      <c r="E435" s="1">
        <v>0.67291666666666672</v>
      </c>
      <c r="F435" t="s">
        <v>32</v>
      </c>
      <c r="G435" t="s">
        <v>33</v>
      </c>
      <c r="H435" t="s">
        <v>41</v>
      </c>
      <c r="I435" t="s">
        <v>84</v>
      </c>
      <c r="J435">
        <v>280</v>
      </c>
      <c r="K435">
        <v>0</v>
      </c>
      <c r="L435" t="s">
        <v>63</v>
      </c>
      <c r="M435">
        <v>250</v>
      </c>
      <c r="N435">
        <v>0</v>
      </c>
      <c r="O435">
        <v>0</v>
      </c>
      <c r="P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 t="s">
        <v>36</v>
      </c>
      <c r="AB435" t="s">
        <v>43</v>
      </c>
      <c r="AC435" t="str">
        <f t="shared" si="12"/>
        <v>CP</v>
      </c>
      <c r="AD435" t="str">
        <f>_xlfn.XLOOKUP(C435,Mapping!A:A,Mapping!D:D,0,0)</f>
        <v>Bin</v>
      </c>
      <c r="AE435" t="str">
        <f t="shared" si="13"/>
        <v>OLD</v>
      </c>
    </row>
    <row r="436" spans="1:31" x14ac:dyDescent="0.2">
      <c r="A436" t="s">
        <v>29</v>
      </c>
      <c r="B436">
        <v>1012733572</v>
      </c>
      <c r="C436" t="s">
        <v>492</v>
      </c>
      <c r="D436" t="s">
        <v>31</v>
      </c>
      <c r="E436" s="1">
        <v>0.67291666666666672</v>
      </c>
      <c r="F436" t="s">
        <v>32</v>
      </c>
      <c r="G436" t="s">
        <v>33</v>
      </c>
      <c r="H436" t="s">
        <v>41</v>
      </c>
      <c r="I436" t="s">
        <v>84</v>
      </c>
      <c r="J436">
        <v>280</v>
      </c>
      <c r="K436">
        <v>0</v>
      </c>
      <c r="L436" t="s">
        <v>36</v>
      </c>
      <c r="M436" t="s">
        <v>37</v>
      </c>
      <c r="N436">
        <v>4317</v>
      </c>
      <c r="O436">
        <v>241</v>
      </c>
      <c r="P436">
        <v>5.5825800000000001</v>
      </c>
      <c r="Q436">
        <v>2</v>
      </c>
      <c r="R436">
        <v>7.25</v>
      </c>
      <c r="S436">
        <v>1.679</v>
      </c>
      <c r="T436">
        <v>0.03</v>
      </c>
      <c r="U436">
        <v>3.6230000000000002</v>
      </c>
      <c r="V436">
        <v>1</v>
      </c>
      <c r="W436">
        <v>0</v>
      </c>
      <c r="X436" t="s">
        <v>36</v>
      </c>
      <c r="Y436">
        <v>4317</v>
      </c>
      <c r="Z436">
        <v>3847</v>
      </c>
      <c r="AA436">
        <v>295</v>
      </c>
      <c r="AB436" t="s">
        <v>303</v>
      </c>
      <c r="AC436" t="str">
        <f t="shared" si="12"/>
        <v>CP</v>
      </c>
      <c r="AD436" t="str">
        <f>_xlfn.XLOOKUP(C436,Mapping!A:A,Mapping!D:D,0,0)</f>
        <v>Keyword - Preroll</v>
      </c>
      <c r="AE436" t="str">
        <f t="shared" si="13"/>
        <v>OLD</v>
      </c>
    </row>
    <row r="437" spans="1:31" x14ac:dyDescent="0.2">
      <c r="A437" t="s">
        <v>39</v>
      </c>
      <c r="B437">
        <v>1012741762</v>
      </c>
      <c r="C437" t="s">
        <v>108</v>
      </c>
      <c r="D437" t="s">
        <v>31</v>
      </c>
      <c r="E437" s="1">
        <v>0.67291666666666672</v>
      </c>
      <c r="F437" t="s">
        <v>32</v>
      </c>
      <c r="G437" t="s">
        <v>33</v>
      </c>
      <c r="H437" t="s">
        <v>41</v>
      </c>
      <c r="I437" t="s">
        <v>62</v>
      </c>
      <c r="J437">
        <v>280</v>
      </c>
      <c r="K437">
        <v>0</v>
      </c>
      <c r="L437" t="s">
        <v>63</v>
      </c>
      <c r="M437">
        <v>250</v>
      </c>
      <c r="N437">
        <v>0</v>
      </c>
      <c r="O437">
        <v>0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 t="s">
        <v>36</v>
      </c>
      <c r="AB437" t="s">
        <v>43</v>
      </c>
      <c r="AC437" t="str">
        <f t="shared" si="12"/>
        <v>CP</v>
      </c>
      <c r="AD437" t="str">
        <f>_xlfn.XLOOKUP(C437,Mapping!A:A,Mapping!D:D,0,0)</f>
        <v>Bin</v>
      </c>
      <c r="AE437" t="str">
        <f t="shared" si="13"/>
        <v>OLD</v>
      </c>
    </row>
    <row r="438" spans="1:31" x14ac:dyDescent="0.2">
      <c r="A438" t="s">
        <v>39</v>
      </c>
      <c r="B438">
        <v>1012741772</v>
      </c>
      <c r="C438" t="s">
        <v>493</v>
      </c>
      <c r="D438" t="s">
        <v>31</v>
      </c>
      <c r="E438" s="1">
        <v>0.67291666666666672</v>
      </c>
      <c r="F438" t="s">
        <v>32</v>
      </c>
      <c r="G438" t="s">
        <v>33</v>
      </c>
      <c r="H438" t="s">
        <v>41</v>
      </c>
      <c r="I438" t="s">
        <v>62</v>
      </c>
      <c r="J438">
        <v>280</v>
      </c>
      <c r="K438">
        <v>0</v>
      </c>
      <c r="L438" t="s">
        <v>63</v>
      </c>
      <c r="M438">
        <v>250</v>
      </c>
      <c r="N438">
        <v>0</v>
      </c>
      <c r="O438">
        <v>0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 t="s">
        <v>36</v>
      </c>
      <c r="AB438" t="s">
        <v>43</v>
      </c>
      <c r="AC438" t="str">
        <f t="shared" si="12"/>
        <v>CP</v>
      </c>
      <c r="AD438" t="str">
        <f>_xlfn.XLOOKUP(C438,Mapping!A:A,Mapping!D:D,0,0)</f>
        <v>Bin</v>
      </c>
      <c r="AE438" t="str">
        <f t="shared" si="13"/>
        <v>OLD</v>
      </c>
    </row>
    <row r="439" spans="1:31" x14ac:dyDescent="0.2">
      <c r="A439" t="s">
        <v>39</v>
      </c>
      <c r="B439">
        <v>1012741792</v>
      </c>
      <c r="C439" t="s">
        <v>494</v>
      </c>
      <c r="D439" t="s">
        <v>31</v>
      </c>
      <c r="E439" s="1">
        <v>0.67291666666666672</v>
      </c>
      <c r="F439" t="s">
        <v>32</v>
      </c>
      <c r="G439" t="s">
        <v>33</v>
      </c>
      <c r="H439" t="s">
        <v>34</v>
      </c>
      <c r="I439" t="s">
        <v>84</v>
      </c>
      <c r="J439">
        <v>112</v>
      </c>
      <c r="K439">
        <v>0</v>
      </c>
      <c r="L439" t="s">
        <v>63</v>
      </c>
      <c r="M439">
        <v>250</v>
      </c>
      <c r="N439">
        <v>0</v>
      </c>
      <c r="O439">
        <v>0</v>
      </c>
      <c r="P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 t="s">
        <v>36</v>
      </c>
      <c r="AB439" t="s">
        <v>43</v>
      </c>
      <c r="AC439" t="str">
        <f t="shared" si="12"/>
        <v>CP</v>
      </c>
      <c r="AD439" t="str">
        <f>_xlfn.XLOOKUP(C439,Mapping!A:A,Mapping!D:D,0,0)</f>
        <v>Bin</v>
      </c>
      <c r="AE439" t="str">
        <f t="shared" si="13"/>
        <v>OLD</v>
      </c>
    </row>
    <row r="440" spans="1:31" x14ac:dyDescent="0.2">
      <c r="A440" t="s">
        <v>39</v>
      </c>
      <c r="B440">
        <v>1012750232</v>
      </c>
      <c r="C440" t="s">
        <v>495</v>
      </c>
      <c r="D440" t="s">
        <v>31</v>
      </c>
      <c r="E440" s="1">
        <v>0.67291666666666672</v>
      </c>
      <c r="F440" t="s">
        <v>32</v>
      </c>
      <c r="G440" t="s">
        <v>33</v>
      </c>
      <c r="H440" t="s">
        <v>34</v>
      </c>
      <c r="I440" t="s">
        <v>84</v>
      </c>
      <c r="J440">
        <v>112</v>
      </c>
      <c r="K440">
        <v>0</v>
      </c>
      <c r="L440" t="s">
        <v>63</v>
      </c>
      <c r="M440">
        <v>250</v>
      </c>
      <c r="N440">
        <v>0</v>
      </c>
      <c r="O440">
        <v>0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 t="s">
        <v>36</v>
      </c>
      <c r="AB440" t="s">
        <v>43</v>
      </c>
      <c r="AC440" t="str">
        <f t="shared" si="12"/>
        <v>CP</v>
      </c>
      <c r="AD440" t="str">
        <f>_xlfn.XLOOKUP(C440,Mapping!A:A,Mapping!D:D,0,0)</f>
        <v>Bin</v>
      </c>
      <c r="AE440" t="str">
        <f t="shared" si="13"/>
        <v>OLD</v>
      </c>
    </row>
    <row r="441" spans="1:31" x14ac:dyDescent="0.2">
      <c r="A441" t="s">
        <v>39</v>
      </c>
      <c r="B441">
        <v>1012750242</v>
      </c>
      <c r="C441" t="s">
        <v>496</v>
      </c>
      <c r="D441" t="s">
        <v>31</v>
      </c>
      <c r="E441" s="1">
        <v>0.67291666666666672</v>
      </c>
      <c r="F441" t="s">
        <v>32</v>
      </c>
      <c r="G441" t="s">
        <v>33</v>
      </c>
      <c r="H441" t="s">
        <v>41</v>
      </c>
      <c r="I441" t="s">
        <v>62</v>
      </c>
      <c r="J441">
        <v>280</v>
      </c>
      <c r="K441">
        <v>0</v>
      </c>
      <c r="L441" t="s">
        <v>63</v>
      </c>
      <c r="M441">
        <v>250</v>
      </c>
      <c r="N441">
        <v>0</v>
      </c>
      <c r="O441">
        <v>0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 t="s">
        <v>36</v>
      </c>
      <c r="AB441" t="s">
        <v>43</v>
      </c>
      <c r="AC441" t="str">
        <f t="shared" si="12"/>
        <v>CP</v>
      </c>
      <c r="AD441" t="str">
        <f>_xlfn.XLOOKUP(C441,Mapping!A:A,Mapping!D:D,0,0)</f>
        <v>Bin</v>
      </c>
      <c r="AE441" t="str">
        <f t="shared" si="13"/>
        <v>OLD</v>
      </c>
    </row>
    <row r="442" spans="1:31" x14ac:dyDescent="0.2">
      <c r="A442" t="s">
        <v>39</v>
      </c>
      <c r="B442">
        <v>1012750252</v>
      </c>
      <c r="C442" t="s">
        <v>497</v>
      </c>
      <c r="D442" t="s">
        <v>31</v>
      </c>
      <c r="E442" s="1">
        <v>0.67291666666666672</v>
      </c>
      <c r="F442" t="s">
        <v>32</v>
      </c>
      <c r="G442" t="s">
        <v>33</v>
      </c>
      <c r="H442" t="s">
        <v>41</v>
      </c>
      <c r="I442" t="s">
        <v>62</v>
      </c>
      <c r="J442">
        <v>280</v>
      </c>
      <c r="K442">
        <v>0</v>
      </c>
      <c r="L442" t="s">
        <v>63</v>
      </c>
      <c r="M442">
        <v>250</v>
      </c>
      <c r="N442">
        <v>0</v>
      </c>
      <c r="O442">
        <v>0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 t="s">
        <v>36</v>
      </c>
      <c r="AB442" t="s">
        <v>43</v>
      </c>
      <c r="AC442" t="str">
        <f t="shared" si="12"/>
        <v>CP</v>
      </c>
      <c r="AD442" t="str">
        <f>_xlfn.XLOOKUP(C442,Mapping!A:A,Mapping!D:D,0,0)</f>
        <v>Bin</v>
      </c>
      <c r="AE442" t="str">
        <f t="shared" si="13"/>
        <v>OLD</v>
      </c>
    </row>
    <row r="443" spans="1:31" x14ac:dyDescent="0.2">
      <c r="A443" t="s">
        <v>39</v>
      </c>
      <c r="B443">
        <v>1012750262</v>
      </c>
      <c r="C443" t="s">
        <v>498</v>
      </c>
      <c r="D443" t="s">
        <v>31</v>
      </c>
      <c r="E443" s="1">
        <v>0.67291666666666672</v>
      </c>
      <c r="F443" t="s">
        <v>32</v>
      </c>
      <c r="G443" t="s">
        <v>33</v>
      </c>
      <c r="H443" t="s">
        <v>41</v>
      </c>
      <c r="I443" t="s">
        <v>62</v>
      </c>
      <c r="J443">
        <v>280</v>
      </c>
      <c r="K443">
        <v>0</v>
      </c>
      <c r="L443" t="s">
        <v>63</v>
      </c>
      <c r="M443">
        <v>250</v>
      </c>
      <c r="N443">
        <v>0</v>
      </c>
      <c r="O443">
        <v>0</v>
      </c>
      <c r="P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 t="s">
        <v>36</v>
      </c>
      <c r="AB443" t="s">
        <v>43</v>
      </c>
      <c r="AC443" t="str">
        <f t="shared" si="12"/>
        <v>CP</v>
      </c>
      <c r="AD443" t="str">
        <f>_xlfn.XLOOKUP(C443,Mapping!A:A,Mapping!D:D,0,0)</f>
        <v>Bin</v>
      </c>
      <c r="AE443" t="str">
        <f t="shared" si="13"/>
        <v>OLD</v>
      </c>
    </row>
    <row r="444" spans="1:31" x14ac:dyDescent="0.2">
      <c r="A444" t="s">
        <v>39</v>
      </c>
      <c r="B444">
        <v>1012750272</v>
      </c>
      <c r="C444" t="s">
        <v>499</v>
      </c>
      <c r="D444" t="s">
        <v>31</v>
      </c>
      <c r="E444" s="1">
        <v>0.67291666666666672</v>
      </c>
      <c r="F444" t="s">
        <v>32</v>
      </c>
      <c r="G444" t="s">
        <v>33</v>
      </c>
      <c r="H444" t="s">
        <v>41</v>
      </c>
      <c r="I444" t="s">
        <v>62</v>
      </c>
      <c r="J444">
        <v>280</v>
      </c>
      <c r="K444">
        <v>0</v>
      </c>
      <c r="L444" t="s">
        <v>63</v>
      </c>
      <c r="M444">
        <v>250</v>
      </c>
      <c r="N444">
        <v>0</v>
      </c>
      <c r="O444">
        <v>0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 t="s">
        <v>36</v>
      </c>
      <c r="AB444" t="s">
        <v>43</v>
      </c>
      <c r="AC444" t="str">
        <f t="shared" si="12"/>
        <v>CP</v>
      </c>
      <c r="AD444" t="str">
        <f>_xlfn.XLOOKUP(C444,Mapping!A:A,Mapping!D:D,0,0)</f>
        <v>Bin</v>
      </c>
      <c r="AE444" t="str">
        <f t="shared" si="13"/>
        <v>OLD</v>
      </c>
    </row>
    <row r="445" spans="1:31" x14ac:dyDescent="0.2">
      <c r="A445" t="s">
        <v>39</v>
      </c>
      <c r="B445">
        <v>1012750282</v>
      </c>
      <c r="C445" t="s">
        <v>500</v>
      </c>
      <c r="D445" t="s">
        <v>31</v>
      </c>
      <c r="E445" s="1">
        <v>0.67291666666666672</v>
      </c>
      <c r="F445" t="s">
        <v>32</v>
      </c>
      <c r="G445" t="s">
        <v>33</v>
      </c>
      <c r="H445" t="s">
        <v>34</v>
      </c>
      <c r="I445" t="s">
        <v>84</v>
      </c>
      <c r="J445">
        <v>112</v>
      </c>
      <c r="K445">
        <v>0</v>
      </c>
      <c r="L445" t="s">
        <v>63</v>
      </c>
      <c r="M445">
        <v>250</v>
      </c>
      <c r="N445">
        <v>0</v>
      </c>
      <c r="O445">
        <v>0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 t="s">
        <v>36</v>
      </c>
      <c r="AB445" t="s">
        <v>43</v>
      </c>
      <c r="AC445" t="str">
        <f t="shared" si="12"/>
        <v>CP</v>
      </c>
      <c r="AD445" t="str">
        <f>_xlfn.XLOOKUP(C445,Mapping!A:A,Mapping!D:D,0,0)</f>
        <v>Bin</v>
      </c>
      <c r="AE445" t="str">
        <f t="shared" si="13"/>
        <v>OLD</v>
      </c>
    </row>
    <row r="446" spans="1:31" x14ac:dyDescent="0.2">
      <c r="A446" t="s">
        <v>39</v>
      </c>
      <c r="B446">
        <v>1012750292</v>
      </c>
      <c r="C446" t="s">
        <v>501</v>
      </c>
      <c r="D446" t="s">
        <v>31</v>
      </c>
      <c r="E446" s="1">
        <v>0.67291666666666672</v>
      </c>
      <c r="F446" t="s">
        <v>32</v>
      </c>
      <c r="G446" t="s">
        <v>33</v>
      </c>
      <c r="H446" t="s">
        <v>34</v>
      </c>
      <c r="I446" t="s">
        <v>84</v>
      </c>
      <c r="J446">
        <v>112</v>
      </c>
      <c r="K446">
        <v>0</v>
      </c>
      <c r="L446" t="s">
        <v>63</v>
      </c>
      <c r="M446">
        <v>250</v>
      </c>
      <c r="N446">
        <v>0</v>
      </c>
      <c r="O446">
        <v>0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 t="s">
        <v>36</v>
      </c>
      <c r="AB446" t="s">
        <v>43</v>
      </c>
      <c r="AC446" t="str">
        <f t="shared" si="12"/>
        <v>CP</v>
      </c>
      <c r="AD446" t="str">
        <f>_xlfn.XLOOKUP(C446,Mapping!A:A,Mapping!D:D,0,0)</f>
        <v>Bin</v>
      </c>
      <c r="AE446" t="str">
        <f t="shared" si="13"/>
        <v>OLD</v>
      </c>
    </row>
    <row r="447" spans="1:31" x14ac:dyDescent="0.2">
      <c r="A447" t="s">
        <v>39</v>
      </c>
      <c r="B447">
        <v>1012750302</v>
      </c>
      <c r="C447" t="s">
        <v>502</v>
      </c>
      <c r="D447" t="s">
        <v>31</v>
      </c>
      <c r="E447" s="1">
        <v>0.67291666666666672</v>
      </c>
      <c r="F447" t="s">
        <v>32</v>
      </c>
      <c r="G447" t="s">
        <v>33</v>
      </c>
      <c r="H447" t="s">
        <v>41</v>
      </c>
      <c r="I447" t="s">
        <v>62</v>
      </c>
      <c r="J447">
        <v>280</v>
      </c>
      <c r="K447">
        <v>0</v>
      </c>
      <c r="L447" t="s">
        <v>63</v>
      </c>
      <c r="M447">
        <v>250</v>
      </c>
      <c r="N447">
        <v>0</v>
      </c>
      <c r="O447">
        <v>0</v>
      </c>
      <c r="P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 t="s">
        <v>36</v>
      </c>
      <c r="AB447" t="s">
        <v>43</v>
      </c>
      <c r="AC447" t="str">
        <f t="shared" si="12"/>
        <v>CP</v>
      </c>
      <c r="AD447" t="str">
        <f>_xlfn.XLOOKUP(C447,Mapping!A:A,Mapping!D:D,0,0)</f>
        <v>Bin</v>
      </c>
      <c r="AE447" t="str">
        <f t="shared" si="13"/>
        <v>OLD</v>
      </c>
    </row>
    <row r="448" spans="1:31" x14ac:dyDescent="0.2">
      <c r="A448" t="s">
        <v>39</v>
      </c>
      <c r="B448">
        <v>1012750312</v>
      </c>
      <c r="C448" t="s">
        <v>503</v>
      </c>
      <c r="D448" t="s">
        <v>31</v>
      </c>
      <c r="E448" s="1">
        <v>0.67291666666666672</v>
      </c>
      <c r="F448" t="s">
        <v>32</v>
      </c>
      <c r="G448" t="s">
        <v>33</v>
      </c>
      <c r="H448" t="s">
        <v>41</v>
      </c>
      <c r="I448" t="s">
        <v>62</v>
      </c>
      <c r="J448">
        <v>280</v>
      </c>
      <c r="K448">
        <v>0</v>
      </c>
      <c r="L448" t="s">
        <v>36</v>
      </c>
      <c r="M448" t="s">
        <v>37</v>
      </c>
      <c r="N448">
        <v>0</v>
      </c>
      <c r="O448">
        <v>0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 t="s">
        <v>36</v>
      </c>
      <c r="AB448" t="s">
        <v>43</v>
      </c>
      <c r="AC448" t="str">
        <f t="shared" si="12"/>
        <v>CP</v>
      </c>
      <c r="AD448" t="str">
        <f>_xlfn.XLOOKUP(C448,Mapping!A:A,Mapping!D:D,0,0)</f>
        <v>Bin</v>
      </c>
      <c r="AE448" t="str">
        <f t="shared" si="13"/>
        <v>OLD</v>
      </c>
    </row>
    <row r="449" spans="1:31" x14ac:dyDescent="0.2">
      <c r="A449" t="s">
        <v>39</v>
      </c>
      <c r="B449">
        <v>1012750322</v>
      </c>
      <c r="C449" t="s">
        <v>504</v>
      </c>
      <c r="D449" t="s">
        <v>31</v>
      </c>
      <c r="E449" s="1">
        <v>0.67291666666666672</v>
      </c>
      <c r="F449" t="s">
        <v>32</v>
      </c>
      <c r="G449" t="s">
        <v>33</v>
      </c>
      <c r="H449" t="s">
        <v>41</v>
      </c>
      <c r="I449" t="s">
        <v>62</v>
      </c>
      <c r="J449">
        <v>280</v>
      </c>
      <c r="K449">
        <v>0</v>
      </c>
      <c r="L449" t="s">
        <v>36</v>
      </c>
      <c r="M449" t="s">
        <v>37</v>
      </c>
      <c r="N449">
        <v>0</v>
      </c>
      <c r="O449">
        <v>0</v>
      </c>
      <c r="P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 t="s">
        <v>36</v>
      </c>
      <c r="AB449" t="s">
        <v>43</v>
      </c>
      <c r="AC449" t="str">
        <f t="shared" si="12"/>
        <v>CP</v>
      </c>
      <c r="AD449" t="str">
        <f>_xlfn.XLOOKUP(C449,Mapping!A:A,Mapping!D:D,0,0)</f>
        <v>Bin</v>
      </c>
      <c r="AE449" t="str">
        <f t="shared" si="13"/>
        <v>OLD</v>
      </c>
    </row>
    <row r="450" spans="1:31" x14ac:dyDescent="0.2">
      <c r="A450" t="s">
        <v>39</v>
      </c>
      <c r="B450">
        <v>1012750332</v>
      </c>
      <c r="C450" t="s">
        <v>505</v>
      </c>
      <c r="D450" t="s">
        <v>31</v>
      </c>
      <c r="E450" s="1">
        <v>0.67291666666666672</v>
      </c>
      <c r="F450" t="s">
        <v>32</v>
      </c>
      <c r="G450" t="s">
        <v>33</v>
      </c>
      <c r="H450" t="s">
        <v>41</v>
      </c>
      <c r="I450" t="s">
        <v>62</v>
      </c>
      <c r="J450">
        <v>280</v>
      </c>
      <c r="K450">
        <v>0</v>
      </c>
      <c r="L450" t="s">
        <v>63</v>
      </c>
      <c r="M450">
        <v>250</v>
      </c>
      <c r="N450">
        <v>0</v>
      </c>
      <c r="O450">
        <v>0</v>
      </c>
      <c r="P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 t="s">
        <v>36</v>
      </c>
      <c r="AB450" t="s">
        <v>43</v>
      </c>
      <c r="AC450" t="str">
        <f t="shared" si="12"/>
        <v>CP</v>
      </c>
      <c r="AD450" t="str">
        <f>_xlfn.XLOOKUP(C450,Mapping!A:A,Mapping!D:D,0,0)</f>
        <v>Bin</v>
      </c>
      <c r="AE450" t="str">
        <f t="shared" si="13"/>
        <v>OLD</v>
      </c>
    </row>
    <row r="451" spans="1:31" x14ac:dyDescent="0.2">
      <c r="A451" t="s">
        <v>39</v>
      </c>
      <c r="B451">
        <v>1012750342</v>
      </c>
      <c r="C451" t="s">
        <v>506</v>
      </c>
      <c r="D451" t="s">
        <v>31</v>
      </c>
      <c r="E451" s="1">
        <v>0.67291666666666672</v>
      </c>
      <c r="F451" t="s">
        <v>32</v>
      </c>
      <c r="G451" t="s">
        <v>33</v>
      </c>
      <c r="H451" t="s">
        <v>34</v>
      </c>
      <c r="I451" t="s">
        <v>84</v>
      </c>
      <c r="J451">
        <v>112</v>
      </c>
      <c r="K451">
        <v>0</v>
      </c>
      <c r="L451" t="s">
        <v>63</v>
      </c>
      <c r="M451">
        <v>250</v>
      </c>
      <c r="N451">
        <v>0</v>
      </c>
      <c r="O451">
        <v>0</v>
      </c>
      <c r="P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 t="s">
        <v>36</v>
      </c>
      <c r="AB451" t="s">
        <v>43</v>
      </c>
      <c r="AC451" t="str">
        <f t="shared" ref="AC451:AC514" si="14">LEFT(C451,2)</f>
        <v>CP</v>
      </c>
      <c r="AD451" t="str">
        <f>_xlfn.XLOOKUP(C451,Mapping!A:A,Mapping!D:D,0,0)</f>
        <v>Bin</v>
      </c>
      <c r="AE451" t="str">
        <f t="shared" ref="AE451:AE514" si="15">IFERROR(IF(SEARCH("_TJ",C451)&gt;0,"TJ",NA()),IFERROR(IF(SEARCH("_JB",C451)&gt;0,"JB",NA()),"OLD"))</f>
        <v>OLD</v>
      </c>
    </row>
    <row r="452" spans="1:31" x14ac:dyDescent="0.2">
      <c r="A452" t="s">
        <v>39</v>
      </c>
      <c r="B452">
        <v>1012750352</v>
      </c>
      <c r="C452" t="s">
        <v>483</v>
      </c>
      <c r="D452" t="s">
        <v>31</v>
      </c>
      <c r="E452" s="1">
        <v>0.67291666666666672</v>
      </c>
      <c r="F452" t="s">
        <v>32</v>
      </c>
      <c r="G452" t="s">
        <v>33</v>
      </c>
      <c r="H452" t="s">
        <v>41</v>
      </c>
      <c r="I452" t="s">
        <v>62</v>
      </c>
      <c r="J452">
        <v>280</v>
      </c>
      <c r="K452">
        <v>0</v>
      </c>
      <c r="L452" t="s">
        <v>36</v>
      </c>
      <c r="M452" t="s">
        <v>37</v>
      </c>
      <c r="N452">
        <v>0</v>
      </c>
      <c r="O452">
        <v>0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 t="s">
        <v>36</v>
      </c>
      <c r="AB452" t="s">
        <v>119</v>
      </c>
      <c r="AC452" t="str">
        <f t="shared" si="14"/>
        <v>CP</v>
      </c>
      <c r="AD452" t="str">
        <f>_xlfn.XLOOKUP(C452,Mapping!A:A,Mapping!D:D,0,0)</f>
        <v>Marvel</v>
      </c>
      <c r="AE452" t="str">
        <f t="shared" si="15"/>
        <v>OLD</v>
      </c>
    </row>
    <row r="453" spans="1:31" x14ac:dyDescent="0.2">
      <c r="A453" t="s">
        <v>39</v>
      </c>
      <c r="B453">
        <v>1012750362</v>
      </c>
      <c r="C453" t="s">
        <v>507</v>
      </c>
      <c r="D453" t="s">
        <v>31</v>
      </c>
      <c r="E453" s="1">
        <v>0.67291666666666672</v>
      </c>
      <c r="F453" t="s">
        <v>32</v>
      </c>
      <c r="G453" t="s">
        <v>33</v>
      </c>
      <c r="H453" t="s">
        <v>41</v>
      </c>
      <c r="I453" t="s">
        <v>62</v>
      </c>
      <c r="J453">
        <v>280</v>
      </c>
      <c r="K453">
        <v>0</v>
      </c>
      <c r="L453" t="s">
        <v>36</v>
      </c>
      <c r="M453" t="s">
        <v>37</v>
      </c>
      <c r="N453">
        <v>0</v>
      </c>
      <c r="O453">
        <v>0</v>
      </c>
      <c r="P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 t="s">
        <v>36</v>
      </c>
      <c r="AB453" t="s">
        <v>484</v>
      </c>
      <c r="AC453" t="str">
        <f t="shared" si="14"/>
        <v>CP</v>
      </c>
      <c r="AD453" t="str">
        <f>_xlfn.XLOOKUP(C453,Mapping!A:A,Mapping!D:D,0,0)</f>
        <v>Marvel</v>
      </c>
      <c r="AE453" t="str">
        <f t="shared" si="15"/>
        <v>OLD</v>
      </c>
    </row>
    <row r="454" spans="1:31" x14ac:dyDescent="0.2">
      <c r="A454" t="s">
        <v>29</v>
      </c>
      <c r="B454">
        <v>1012750372</v>
      </c>
      <c r="C454" t="s">
        <v>508</v>
      </c>
      <c r="D454" t="s">
        <v>31</v>
      </c>
      <c r="E454" s="1">
        <v>0.67291666666666672</v>
      </c>
      <c r="F454" t="s">
        <v>32</v>
      </c>
      <c r="G454" t="s">
        <v>33</v>
      </c>
      <c r="H454" t="s">
        <v>34</v>
      </c>
      <c r="I454" t="s">
        <v>84</v>
      </c>
      <c r="J454">
        <v>112</v>
      </c>
      <c r="K454">
        <v>0</v>
      </c>
      <c r="L454" t="s">
        <v>36</v>
      </c>
      <c r="M454" t="s">
        <v>37</v>
      </c>
      <c r="N454">
        <v>167371</v>
      </c>
      <c r="O454">
        <v>9814</v>
      </c>
      <c r="P454">
        <v>5.8636200000000001</v>
      </c>
      <c r="Q454">
        <v>14</v>
      </c>
      <c r="R454">
        <v>493.52</v>
      </c>
      <c r="S454">
        <v>2.9489999999999998</v>
      </c>
      <c r="T454">
        <v>0.05</v>
      </c>
      <c r="U454">
        <v>35.250999999999998</v>
      </c>
      <c r="V454">
        <v>1</v>
      </c>
      <c r="W454">
        <v>0</v>
      </c>
      <c r="X454" t="s">
        <v>36</v>
      </c>
      <c r="Y454">
        <v>167370</v>
      </c>
      <c r="Z454">
        <v>132272</v>
      </c>
      <c r="AA454">
        <v>15217</v>
      </c>
      <c r="AB454" t="s">
        <v>484</v>
      </c>
      <c r="AC454" t="str">
        <f t="shared" si="14"/>
        <v>CP</v>
      </c>
      <c r="AD454" t="str">
        <f>_xlfn.XLOOKUP(C454,Mapping!A:A,Mapping!D:D,0,0)</f>
        <v>Keyword - Preroll</v>
      </c>
      <c r="AE454" t="str">
        <f t="shared" si="15"/>
        <v>OLD</v>
      </c>
    </row>
    <row r="455" spans="1:31" x14ac:dyDescent="0.2">
      <c r="A455" t="s">
        <v>39</v>
      </c>
      <c r="B455">
        <v>1012750382</v>
      </c>
      <c r="C455" t="s">
        <v>509</v>
      </c>
      <c r="D455" t="s">
        <v>31</v>
      </c>
      <c r="E455" s="1">
        <v>0.67291666666666672</v>
      </c>
      <c r="F455" t="s">
        <v>32</v>
      </c>
      <c r="G455" t="s">
        <v>33</v>
      </c>
      <c r="H455" t="s">
        <v>34</v>
      </c>
      <c r="I455" t="s">
        <v>84</v>
      </c>
      <c r="J455">
        <v>112</v>
      </c>
      <c r="K455">
        <v>0</v>
      </c>
      <c r="L455" t="s">
        <v>36</v>
      </c>
      <c r="M455" t="s">
        <v>37</v>
      </c>
      <c r="N455">
        <v>0</v>
      </c>
      <c r="O455">
        <v>0</v>
      </c>
      <c r="P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 t="s">
        <v>36</v>
      </c>
      <c r="AB455" t="s">
        <v>484</v>
      </c>
      <c r="AC455" t="str">
        <f t="shared" si="14"/>
        <v>CP</v>
      </c>
      <c r="AD455" t="str">
        <f>_xlfn.XLOOKUP(C455,Mapping!A:A,Mapping!D:D,0,0)</f>
        <v>Marvel</v>
      </c>
      <c r="AE455" t="str">
        <f t="shared" si="15"/>
        <v>OLD</v>
      </c>
    </row>
    <row r="456" spans="1:31" x14ac:dyDescent="0.2">
      <c r="A456" t="s">
        <v>29</v>
      </c>
      <c r="B456">
        <v>1012750392</v>
      </c>
      <c r="C456" t="s">
        <v>510</v>
      </c>
      <c r="D456" t="s">
        <v>31</v>
      </c>
      <c r="E456" s="1">
        <v>0.67291666666666672</v>
      </c>
      <c r="F456" t="s">
        <v>32</v>
      </c>
      <c r="G456" t="s">
        <v>33</v>
      </c>
      <c r="H456" t="s">
        <v>41</v>
      </c>
      <c r="I456" t="s">
        <v>62</v>
      </c>
      <c r="J456">
        <v>280</v>
      </c>
      <c r="K456">
        <v>0</v>
      </c>
      <c r="L456" t="s">
        <v>36</v>
      </c>
      <c r="M456" t="s">
        <v>37</v>
      </c>
      <c r="N456">
        <v>5819</v>
      </c>
      <c r="O456">
        <v>270</v>
      </c>
      <c r="P456">
        <v>4.6399699999999999</v>
      </c>
      <c r="Q456">
        <v>0</v>
      </c>
      <c r="R456">
        <v>11.03</v>
      </c>
      <c r="S456">
        <v>1.8959999999999999</v>
      </c>
      <c r="T456">
        <v>4.1000000000000002E-2</v>
      </c>
      <c r="U456">
        <v>0</v>
      </c>
      <c r="V456">
        <v>1</v>
      </c>
      <c r="W456">
        <v>0</v>
      </c>
      <c r="X456" t="s">
        <v>36</v>
      </c>
      <c r="Y456">
        <v>5819</v>
      </c>
      <c r="Z456">
        <v>5293</v>
      </c>
      <c r="AA456">
        <v>358</v>
      </c>
      <c r="AB456" t="s">
        <v>484</v>
      </c>
      <c r="AC456" t="str">
        <f t="shared" si="14"/>
        <v>CP</v>
      </c>
      <c r="AD456" t="str">
        <f>_xlfn.XLOOKUP(C456,Mapping!A:A,Mapping!D:D,0,0)</f>
        <v>Keyword - Preroll</v>
      </c>
      <c r="AE456" t="str">
        <f t="shared" si="15"/>
        <v>OLD</v>
      </c>
    </row>
    <row r="457" spans="1:31" x14ac:dyDescent="0.2">
      <c r="A457" t="s">
        <v>29</v>
      </c>
      <c r="B457">
        <v>1012750402</v>
      </c>
      <c r="C457" t="s">
        <v>511</v>
      </c>
      <c r="D457" t="s">
        <v>31</v>
      </c>
      <c r="E457" s="1">
        <v>0.67291666666666672</v>
      </c>
      <c r="F457" t="s">
        <v>32</v>
      </c>
      <c r="G457" t="s">
        <v>33</v>
      </c>
      <c r="H457" t="s">
        <v>41</v>
      </c>
      <c r="I457" t="s">
        <v>62</v>
      </c>
      <c r="J457">
        <v>280</v>
      </c>
      <c r="K457">
        <v>0</v>
      </c>
      <c r="L457" t="s">
        <v>36</v>
      </c>
      <c r="M457" t="s">
        <v>37</v>
      </c>
      <c r="N457">
        <v>45827</v>
      </c>
      <c r="O457">
        <v>3898</v>
      </c>
      <c r="P457">
        <v>8.5059000000000005</v>
      </c>
      <c r="Q457">
        <v>1</v>
      </c>
      <c r="R457">
        <v>53.46</v>
      </c>
      <c r="S457">
        <v>1.167</v>
      </c>
      <c r="T457">
        <v>1.4E-2</v>
      </c>
      <c r="U457">
        <v>53.457999999999998</v>
      </c>
      <c r="V457">
        <v>1</v>
      </c>
      <c r="W457">
        <v>0</v>
      </c>
      <c r="X457" t="s">
        <v>36</v>
      </c>
      <c r="Y457">
        <v>45828</v>
      </c>
      <c r="Z457">
        <v>41190</v>
      </c>
      <c r="AA457">
        <v>3270</v>
      </c>
      <c r="AB457" t="s">
        <v>484</v>
      </c>
      <c r="AC457" t="str">
        <f t="shared" si="14"/>
        <v>CP</v>
      </c>
      <c r="AD457" t="str">
        <f>_xlfn.XLOOKUP(C457,Mapping!A:A,Mapping!D:D,0,0)</f>
        <v>Keyword - Preroll</v>
      </c>
      <c r="AE457" t="str">
        <f t="shared" si="15"/>
        <v>OLD</v>
      </c>
    </row>
    <row r="458" spans="1:31" x14ac:dyDescent="0.2">
      <c r="A458" t="s">
        <v>39</v>
      </c>
      <c r="B458">
        <v>1012750412</v>
      </c>
      <c r="C458" t="s">
        <v>512</v>
      </c>
      <c r="D458" t="s">
        <v>31</v>
      </c>
      <c r="E458" s="1">
        <v>0.67291666666666672</v>
      </c>
      <c r="F458" t="s">
        <v>32</v>
      </c>
      <c r="G458" t="s">
        <v>33</v>
      </c>
      <c r="H458" t="s">
        <v>41</v>
      </c>
      <c r="I458" t="s">
        <v>62</v>
      </c>
      <c r="J458">
        <v>280</v>
      </c>
      <c r="K458">
        <v>0</v>
      </c>
      <c r="L458" t="s">
        <v>36</v>
      </c>
      <c r="M458" t="s">
        <v>37</v>
      </c>
      <c r="N458">
        <v>0</v>
      </c>
      <c r="O458">
        <v>0</v>
      </c>
      <c r="P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 t="s">
        <v>36</v>
      </c>
      <c r="AB458" t="s">
        <v>43</v>
      </c>
      <c r="AC458" t="str">
        <f t="shared" si="14"/>
        <v>CP</v>
      </c>
      <c r="AD458" t="str">
        <f>_xlfn.XLOOKUP(C458,Mapping!A:A,Mapping!D:D,0,0)</f>
        <v>Bin</v>
      </c>
      <c r="AE458" t="str">
        <f t="shared" si="15"/>
        <v>OLD</v>
      </c>
    </row>
    <row r="459" spans="1:31" x14ac:dyDescent="0.2">
      <c r="A459" t="s">
        <v>39</v>
      </c>
      <c r="B459">
        <v>1012750422</v>
      </c>
      <c r="C459" t="s">
        <v>513</v>
      </c>
      <c r="D459" t="s">
        <v>31</v>
      </c>
      <c r="E459" s="1">
        <v>0.67291666666666672</v>
      </c>
      <c r="F459" t="s">
        <v>32</v>
      </c>
      <c r="G459" t="s">
        <v>33</v>
      </c>
      <c r="H459" t="s">
        <v>41</v>
      </c>
      <c r="I459" t="s">
        <v>62</v>
      </c>
      <c r="J459">
        <v>280</v>
      </c>
      <c r="K459">
        <v>0</v>
      </c>
      <c r="L459" t="s">
        <v>36</v>
      </c>
      <c r="M459" t="s">
        <v>37</v>
      </c>
      <c r="N459">
        <v>0</v>
      </c>
      <c r="O459">
        <v>0</v>
      </c>
      <c r="P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 t="s">
        <v>36</v>
      </c>
      <c r="AB459" t="s">
        <v>484</v>
      </c>
      <c r="AC459" t="str">
        <f t="shared" si="14"/>
        <v>CP</v>
      </c>
      <c r="AD459" t="str">
        <f>_xlfn.XLOOKUP(C459,Mapping!A:A,Mapping!D:D,0,0)</f>
        <v>Marvel</v>
      </c>
      <c r="AE459" t="str">
        <f t="shared" si="15"/>
        <v>OLD</v>
      </c>
    </row>
    <row r="460" spans="1:31" x14ac:dyDescent="0.2">
      <c r="A460" t="s">
        <v>29</v>
      </c>
      <c r="B460">
        <v>1012750432</v>
      </c>
      <c r="C460" t="s">
        <v>514</v>
      </c>
      <c r="D460" t="s">
        <v>31</v>
      </c>
      <c r="E460" s="1">
        <v>0.67291666666666672</v>
      </c>
      <c r="F460" t="s">
        <v>32</v>
      </c>
      <c r="G460" t="s">
        <v>33</v>
      </c>
      <c r="H460" t="s">
        <v>34</v>
      </c>
      <c r="I460" t="s">
        <v>84</v>
      </c>
      <c r="J460">
        <v>112</v>
      </c>
      <c r="K460">
        <v>0</v>
      </c>
      <c r="L460" t="s">
        <v>36</v>
      </c>
      <c r="M460" t="s">
        <v>37</v>
      </c>
      <c r="N460">
        <v>59933</v>
      </c>
      <c r="O460">
        <v>3098</v>
      </c>
      <c r="P460">
        <v>5.1691099999999999</v>
      </c>
      <c r="Q460">
        <v>1</v>
      </c>
      <c r="R460">
        <v>175.13</v>
      </c>
      <c r="S460">
        <v>2.9220000000000002</v>
      </c>
      <c r="T460">
        <v>5.7000000000000002E-2</v>
      </c>
      <c r="U460">
        <v>175.13200000000001</v>
      </c>
      <c r="V460">
        <v>1</v>
      </c>
      <c r="W460">
        <v>0</v>
      </c>
      <c r="X460" t="s">
        <v>36</v>
      </c>
      <c r="Y460">
        <v>59929</v>
      </c>
      <c r="Z460">
        <v>45568</v>
      </c>
      <c r="AA460">
        <v>5930</v>
      </c>
      <c r="AB460" t="s">
        <v>484</v>
      </c>
      <c r="AC460" t="str">
        <f t="shared" si="14"/>
        <v>CP</v>
      </c>
      <c r="AD460" t="str">
        <f>_xlfn.XLOOKUP(C460,Mapping!A:A,Mapping!D:D,0,0)</f>
        <v>Keyword - Preroll</v>
      </c>
      <c r="AE460" t="str">
        <f t="shared" si="15"/>
        <v>OLD</v>
      </c>
    </row>
    <row r="461" spans="1:31" x14ac:dyDescent="0.2">
      <c r="A461" t="s">
        <v>29</v>
      </c>
      <c r="B461">
        <v>1012750442</v>
      </c>
      <c r="C461" t="s">
        <v>515</v>
      </c>
      <c r="D461" t="s">
        <v>31</v>
      </c>
      <c r="E461" s="1">
        <v>0.67291666666666672</v>
      </c>
      <c r="F461" t="s">
        <v>32</v>
      </c>
      <c r="G461" t="s">
        <v>33</v>
      </c>
      <c r="H461" t="s">
        <v>34</v>
      </c>
      <c r="I461" t="s">
        <v>84</v>
      </c>
      <c r="J461">
        <v>112</v>
      </c>
      <c r="K461">
        <v>0</v>
      </c>
      <c r="L461" t="s">
        <v>36</v>
      </c>
      <c r="M461" t="s">
        <v>37</v>
      </c>
      <c r="N461">
        <v>6185</v>
      </c>
      <c r="O461">
        <v>214</v>
      </c>
      <c r="P461">
        <v>3.4599799999999998</v>
      </c>
      <c r="Q461">
        <v>0</v>
      </c>
      <c r="R461">
        <v>17.91</v>
      </c>
      <c r="S461">
        <v>2.8969999999999998</v>
      </c>
      <c r="T461">
        <v>8.4000000000000005E-2</v>
      </c>
      <c r="U461">
        <v>0</v>
      </c>
      <c r="V461">
        <v>1</v>
      </c>
      <c r="W461">
        <v>0</v>
      </c>
      <c r="X461" t="s">
        <v>36</v>
      </c>
      <c r="Y461">
        <v>6185</v>
      </c>
      <c r="Z461">
        <v>4576</v>
      </c>
      <c r="AA461">
        <v>700</v>
      </c>
      <c r="AB461" t="s">
        <v>484</v>
      </c>
      <c r="AC461" t="str">
        <f t="shared" si="14"/>
        <v>CP</v>
      </c>
      <c r="AD461" t="str">
        <f>_xlfn.XLOOKUP(C461,Mapping!A:A,Mapping!D:D,0,0)</f>
        <v>Keyword - Preroll</v>
      </c>
      <c r="AE461" t="str">
        <f t="shared" si="15"/>
        <v>OLD</v>
      </c>
    </row>
    <row r="462" spans="1:31" x14ac:dyDescent="0.2">
      <c r="A462" t="s">
        <v>29</v>
      </c>
      <c r="B462">
        <v>1012750452</v>
      </c>
      <c r="C462" t="s">
        <v>516</v>
      </c>
      <c r="D462" t="s">
        <v>31</v>
      </c>
      <c r="E462" s="1">
        <v>0.67291666666666672</v>
      </c>
      <c r="F462" t="s">
        <v>32</v>
      </c>
      <c r="G462" t="s">
        <v>33</v>
      </c>
      <c r="H462" t="s">
        <v>41</v>
      </c>
      <c r="I462" t="s">
        <v>62</v>
      </c>
      <c r="J462">
        <v>280</v>
      </c>
      <c r="K462">
        <v>0</v>
      </c>
      <c r="L462" t="s">
        <v>36</v>
      </c>
      <c r="M462" t="s">
        <v>37</v>
      </c>
      <c r="N462">
        <v>846</v>
      </c>
      <c r="O462">
        <v>41</v>
      </c>
      <c r="P462">
        <v>4.84633</v>
      </c>
      <c r="Q462">
        <v>0</v>
      </c>
      <c r="R462">
        <v>1.62</v>
      </c>
      <c r="S462">
        <v>1.9119999999999999</v>
      </c>
      <c r="T462">
        <v>3.9E-2</v>
      </c>
      <c r="U462">
        <v>0</v>
      </c>
      <c r="V462">
        <v>1</v>
      </c>
      <c r="W462">
        <v>0</v>
      </c>
      <c r="X462" t="s">
        <v>36</v>
      </c>
      <c r="Y462">
        <v>846</v>
      </c>
      <c r="Z462">
        <v>794</v>
      </c>
      <c r="AA462">
        <v>34</v>
      </c>
      <c r="AB462" t="s">
        <v>484</v>
      </c>
      <c r="AC462" t="str">
        <f t="shared" si="14"/>
        <v>CP</v>
      </c>
      <c r="AD462" t="str">
        <f>_xlfn.XLOOKUP(C462,Mapping!A:A,Mapping!D:D,0,0)</f>
        <v>Keyword - Preroll</v>
      </c>
      <c r="AE462" t="str">
        <f t="shared" si="15"/>
        <v>OLD</v>
      </c>
    </row>
    <row r="463" spans="1:31" x14ac:dyDescent="0.2">
      <c r="A463" t="s">
        <v>39</v>
      </c>
      <c r="B463">
        <v>1012750462</v>
      </c>
      <c r="C463" t="s">
        <v>517</v>
      </c>
      <c r="D463" t="s">
        <v>31</v>
      </c>
      <c r="E463" s="1">
        <v>0.67291666666666672</v>
      </c>
      <c r="F463" t="s">
        <v>32</v>
      </c>
      <c r="G463" t="s">
        <v>33</v>
      </c>
      <c r="H463" t="s">
        <v>41</v>
      </c>
      <c r="I463" t="s">
        <v>62</v>
      </c>
      <c r="J463">
        <v>280</v>
      </c>
      <c r="K463">
        <v>0</v>
      </c>
      <c r="L463" t="s">
        <v>63</v>
      </c>
      <c r="M463">
        <v>250</v>
      </c>
      <c r="N463">
        <v>0</v>
      </c>
      <c r="O463">
        <v>0</v>
      </c>
      <c r="P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 t="s">
        <v>36</v>
      </c>
      <c r="AB463" t="s">
        <v>43</v>
      </c>
      <c r="AC463" t="str">
        <f t="shared" si="14"/>
        <v>CP</v>
      </c>
      <c r="AD463" t="str">
        <f>_xlfn.XLOOKUP(C463,Mapping!A:A,Mapping!D:D,0,0)</f>
        <v>Bin</v>
      </c>
      <c r="AE463" t="str">
        <f t="shared" si="15"/>
        <v>OLD</v>
      </c>
    </row>
    <row r="464" spans="1:31" x14ac:dyDescent="0.2">
      <c r="A464" t="s">
        <v>39</v>
      </c>
      <c r="B464">
        <v>1012750472</v>
      </c>
      <c r="C464" t="s">
        <v>518</v>
      </c>
      <c r="D464" t="s">
        <v>31</v>
      </c>
      <c r="E464" s="1">
        <v>0.67291666666666672</v>
      </c>
      <c r="F464" t="s">
        <v>32</v>
      </c>
      <c r="G464" t="s">
        <v>33</v>
      </c>
      <c r="H464" t="s">
        <v>41</v>
      </c>
      <c r="I464" t="s">
        <v>62</v>
      </c>
      <c r="J464">
        <v>280</v>
      </c>
      <c r="K464">
        <v>0</v>
      </c>
      <c r="L464" t="s">
        <v>36</v>
      </c>
      <c r="M464" t="s">
        <v>37</v>
      </c>
      <c r="N464">
        <v>0</v>
      </c>
      <c r="O464">
        <v>0</v>
      </c>
      <c r="P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 t="s">
        <v>36</v>
      </c>
      <c r="AB464" t="s">
        <v>43</v>
      </c>
      <c r="AC464" t="str">
        <f t="shared" si="14"/>
        <v>CP</v>
      </c>
      <c r="AD464" t="str">
        <f>_xlfn.XLOOKUP(C464,Mapping!A:A,Mapping!D:D,0,0)</f>
        <v>Bin</v>
      </c>
      <c r="AE464" t="str">
        <f t="shared" si="15"/>
        <v>OLD</v>
      </c>
    </row>
    <row r="465" spans="1:31" x14ac:dyDescent="0.2">
      <c r="A465" t="s">
        <v>39</v>
      </c>
      <c r="B465">
        <v>1012750482</v>
      </c>
      <c r="C465" t="s">
        <v>519</v>
      </c>
      <c r="D465" t="s">
        <v>31</v>
      </c>
      <c r="E465" s="1">
        <v>0.67291666666666672</v>
      </c>
      <c r="F465" t="s">
        <v>32</v>
      </c>
      <c r="G465" t="s">
        <v>33</v>
      </c>
      <c r="H465" t="s">
        <v>41</v>
      </c>
      <c r="I465" t="s">
        <v>62</v>
      </c>
      <c r="J465">
        <v>280</v>
      </c>
      <c r="K465">
        <v>0</v>
      </c>
      <c r="L465" t="s">
        <v>36</v>
      </c>
      <c r="M465" t="s">
        <v>37</v>
      </c>
      <c r="N465">
        <v>0</v>
      </c>
      <c r="O465">
        <v>0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 t="s">
        <v>36</v>
      </c>
      <c r="AB465" t="s">
        <v>484</v>
      </c>
      <c r="AC465" t="str">
        <f t="shared" si="14"/>
        <v>CP</v>
      </c>
      <c r="AD465" t="str">
        <f>_xlfn.XLOOKUP(C465,Mapping!A:A,Mapping!D:D,0,0)</f>
        <v>Marvel</v>
      </c>
      <c r="AE465" t="str">
        <f t="shared" si="15"/>
        <v>OLD</v>
      </c>
    </row>
    <row r="466" spans="1:31" x14ac:dyDescent="0.2">
      <c r="A466" t="s">
        <v>39</v>
      </c>
      <c r="B466">
        <v>1012750492</v>
      </c>
      <c r="C466" t="s">
        <v>520</v>
      </c>
      <c r="D466" t="s">
        <v>31</v>
      </c>
      <c r="E466" s="1">
        <v>0.67291666666666672</v>
      </c>
      <c r="F466" t="s">
        <v>32</v>
      </c>
      <c r="G466" t="s">
        <v>33</v>
      </c>
      <c r="H466" t="s">
        <v>34</v>
      </c>
      <c r="I466" t="s">
        <v>84</v>
      </c>
      <c r="J466">
        <v>112</v>
      </c>
      <c r="K466">
        <v>0</v>
      </c>
      <c r="L466" t="s">
        <v>36</v>
      </c>
      <c r="M466" t="s">
        <v>37</v>
      </c>
      <c r="N466">
        <v>0</v>
      </c>
      <c r="O466">
        <v>0</v>
      </c>
      <c r="P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 t="s">
        <v>36</v>
      </c>
      <c r="AB466" t="s">
        <v>484</v>
      </c>
      <c r="AC466" t="str">
        <f t="shared" si="14"/>
        <v>CP</v>
      </c>
      <c r="AD466" t="str">
        <f>_xlfn.XLOOKUP(C466,Mapping!A:A,Mapping!D:D,0,0)</f>
        <v>Marvel</v>
      </c>
      <c r="AE466" t="str">
        <f t="shared" si="15"/>
        <v>OLD</v>
      </c>
    </row>
    <row r="467" spans="1:31" x14ac:dyDescent="0.2">
      <c r="A467" t="s">
        <v>39</v>
      </c>
      <c r="B467">
        <v>1012750502</v>
      </c>
      <c r="C467" t="s">
        <v>521</v>
      </c>
      <c r="D467" t="s">
        <v>31</v>
      </c>
      <c r="E467" s="1">
        <v>0.67291666666666672</v>
      </c>
      <c r="F467" t="s">
        <v>32</v>
      </c>
      <c r="G467" t="s">
        <v>33</v>
      </c>
      <c r="H467" t="s">
        <v>34</v>
      </c>
      <c r="I467" t="s">
        <v>84</v>
      </c>
      <c r="J467">
        <v>112</v>
      </c>
      <c r="K467">
        <v>0</v>
      </c>
      <c r="L467" t="s">
        <v>63</v>
      </c>
      <c r="M467">
        <v>250</v>
      </c>
      <c r="N467">
        <v>0</v>
      </c>
      <c r="O467">
        <v>0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 t="s">
        <v>36</v>
      </c>
      <c r="AB467" t="s">
        <v>43</v>
      </c>
      <c r="AC467" t="str">
        <f t="shared" si="14"/>
        <v>CP</v>
      </c>
      <c r="AD467" t="str">
        <f>_xlfn.XLOOKUP(C467,Mapping!A:A,Mapping!D:D,0,0)</f>
        <v>Bin</v>
      </c>
      <c r="AE467" t="str">
        <f t="shared" si="15"/>
        <v>OLD</v>
      </c>
    </row>
    <row r="468" spans="1:31" x14ac:dyDescent="0.2">
      <c r="A468" t="s">
        <v>39</v>
      </c>
      <c r="B468">
        <v>1012750512</v>
      </c>
      <c r="C468" t="s">
        <v>522</v>
      </c>
      <c r="D468" t="s">
        <v>31</v>
      </c>
      <c r="E468" s="1">
        <v>0.67291666666666672</v>
      </c>
      <c r="F468" t="s">
        <v>32</v>
      </c>
      <c r="G468" t="s">
        <v>33</v>
      </c>
      <c r="H468" t="s">
        <v>41</v>
      </c>
      <c r="I468" t="s">
        <v>62</v>
      </c>
      <c r="J468">
        <v>280</v>
      </c>
      <c r="K468">
        <v>0</v>
      </c>
      <c r="L468" t="s">
        <v>63</v>
      </c>
      <c r="M468">
        <v>250</v>
      </c>
      <c r="N468">
        <v>0</v>
      </c>
      <c r="O468">
        <v>0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 t="s">
        <v>36</v>
      </c>
      <c r="AB468" t="s">
        <v>43</v>
      </c>
      <c r="AC468" t="str">
        <f t="shared" si="14"/>
        <v>CP</v>
      </c>
      <c r="AD468" t="str">
        <f>_xlfn.XLOOKUP(C468,Mapping!A:A,Mapping!D:D,0,0)</f>
        <v>Bin</v>
      </c>
      <c r="AE468" t="str">
        <f t="shared" si="15"/>
        <v>OLD</v>
      </c>
    </row>
    <row r="469" spans="1:31" x14ac:dyDescent="0.2">
      <c r="A469" t="s">
        <v>29</v>
      </c>
      <c r="B469">
        <v>1012750522</v>
      </c>
      <c r="C469" t="s">
        <v>523</v>
      </c>
      <c r="D469" t="s">
        <v>31</v>
      </c>
      <c r="E469" s="1">
        <v>0.67291666666666672</v>
      </c>
      <c r="F469" t="s">
        <v>32</v>
      </c>
      <c r="G469" t="s">
        <v>33</v>
      </c>
      <c r="H469" t="s">
        <v>41</v>
      </c>
      <c r="I469" t="s">
        <v>62</v>
      </c>
      <c r="J469">
        <v>280</v>
      </c>
      <c r="K469">
        <v>0</v>
      </c>
      <c r="L469" t="s">
        <v>36</v>
      </c>
      <c r="M469" t="s">
        <v>37</v>
      </c>
      <c r="N469">
        <v>17622</v>
      </c>
      <c r="O469">
        <v>840</v>
      </c>
      <c r="P469">
        <v>4.7667700000000002</v>
      </c>
      <c r="Q469">
        <v>0</v>
      </c>
      <c r="R469">
        <v>32.200000000000003</v>
      </c>
      <c r="S469">
        <v>1.8280000000000001</v>
      </c>
      <c r="T469">
        <v>3.7999999999999999E-2</v>
      </c>
      <c r="U469">
        <v>0</v>
      </c>
      <c r="V469">
        <v>1</v>
      </c>
      <c r="W469">
        <v>0</v>
      </c>
      <c r="X469" t="s">
        <v>36</v>
      </c>
      <c r="Y469">
        <v>17622</v>
      </c>
      <c r="Z469">
        <v>15925</v>
      </c>
      <c r="AA469">
        <v>1218</v>
      </c>
      <c r="AB469" t="s">
        <v>172</v>
      </c>
      <c r="AC469" t="str">
        <f t="shared" si="14"/>
        <v>CP</v>
      </c>
      <c r="AD469" t="str">
        <f>_xlfn.XLOOKUP(C469,Mapping!A:A,Mapping!D:D,0,0)</f>
        <v>Keyword - Preroll</v>
      </c>
      <c r="AE469" t="str">
        <f t="shared" si="15"/>
        <v>OLD</v>
      </c>
    </row>
    <row r="470" spans="1:31" x14ac:dyDescent="0.2">
      <c r="A470" t="s">
        <v>39</v>
      </c>
      <c r="B470">
        <v>1012750532</v>
      </c>
      <c r="C470" t="s">
        <v>524</v>
      </c>
      <c r="D470" t="s">
        <v>31</v>
      </c>
      <c r="E470" s="1">
        <v>0.67291666666666672</v>
      </c>
      <c r="F470" t="s">
        <v>32</v>
      </c>
      <c r="G470" t="s">
        <v>33</v>
      </c>
      <c r="H470" t="s">
        <v>41</v>
      </c>
      <c r="I470" t="s">
        <v>62</v>
      </c>
      <c r="J470">
        <v>280</v>
      </c>
      <c r="K470">
        <v>0</v>
      </c>
      <c r="L470" t="s">
        <v>36</v>
      </c>
      <c r="M470" t="s">
        <v>37</v>
      </c>
      <c r="N470">
        <v>0</v>
      </c>
      <c r="O470">
        <v>0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 t="s">
        <v>36</v>
      </c>
      <c r="AB470" t="s">
        <v>172</v>
      </c>
      <c r="AC470" t="str">
        <f t="shared" si="14"/>
        <v>CP</v>
      </c>
      <c r="AD470" t="str">
        <f>_xlfn.XLOOKUP(C470,Mapping!A:A,Mapping!D:D,0,0)</f>
        <v>Ocean</v>
      </c>
      <c r="AE470" t="str">
        <f t="shared" si="15"/>
        <v>OLD</v>
      </c>
    </row>
    <row r="471" spans="1:31" x14ac:dyDescent="0.2">
      <c r="A471" t="s">
        <v>39</v>
      </c>
      <c r="B471">
        <v>1012750542</v>
      </c>
      <c r="C471" t="s">
        <v>525</v>
      </c>
      <c r="D471" t="s">
        <v>31</v>
      </c>
      <c r="E471" s="1">
        <v>0.67291666666666672</v>
      </c>
      <c r="F471" t="s">
        <v>32</v>
      </c>
      <c r="G471" t="s">
        <v>33</v>
      </c>
      <c r="H471" t="s">
        <v>41</v>
      </c>
      <c r="I471" t="s">
        <v>62</v>
      </c>
      <c r="J471">
        <v>280</v>
      </c>
      <c r="K471">
        <v>0</v>
      </c>
      <c r="L471" t="s">
        <v>36</v>
      </c>
      <c r="M471" t="s">
        <v>37</v>
      </c>
      <c r="N471">
        <v>0</v>
      </c>
      <c r="O471">
        <v>0</v>
      </c>
      <c r="P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 t="s">
        <v>36</v>
      </c>
      <c r="AB471" t="s">
        <v>172</v>
      </c>
      <c r="AC471" t="str">
        <f t="shared" si="14"/>
        <v>CP</v>
      </c>
      <c r="AD471" t="str">
        <f>_xlfn.XLOOKUP(C471,Mapping!A:A,Mapping!D:D,0,0)</f>
        <v>Ocean</v>
      </c>
      <c r="AE471" t="str">
        <f t="shared" si="15"/>
        <v>OLD</v>
      </c>
    </row>
    <row r="472" spans="1:31" x14ac:dyDescent="0.2">
      <c r="A472" t="s">
        <v>39</v>
      </c>
      <c r="B472">
        <v>1012750552</v>
      </c>
      <c r="C472" t="s">
        <v>526</v>
      </c>
      <c r="D472" t="s">
        <v>31</v>
      </c>
      <c r="E472" s="1">
        <v>0.67291666666666672</v>
      </c>
      <c r="F472" t="s">
        <v>32</v>
      </c>
      <c r="G472" t="s">
        <v>33</v>
      </c>
      <c r="H472" t="s">
        <v>34</v>
      </c>
      <c r="I472" t="s">
        <v>84</v>
      </c>
      <c r="J472">
        <v>112</v>
      </c>
      <c r="K472">
        <v>0</v>
      </c>
      <c r="L472" t="s">
        <v>36</v>
      </c>
      <c r="M472" t="s">
        <v>37</v>
      </c>
      <c r="N472">
        <v>0</v>
      </c>
      <c r="O472">
        <v>0</v>
      </c>
      <c r="P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 t="s">
        <v>36</v>
      </c>
      <c r="AB472" t="s">
        <v>43</v>
      </c>
      <c r="AC472" t="str">
        <f t="shared" si="14"/>
        <v>CP</v>
      </c>
      <c r="AD472" t="str">
        <f>_xlfn.XLOOKUP(C472,Mapping!A:A,Mapping!D:D,0,0)</f>
        <v>Bin</v>
      </c>
      <c r="AE472" t="str">
        <f t="shared" si="15"/>
        <v>OLD</v>
      </c>
    </row>
    <row r="473" spans="1:31" x14ac:dyDescent="0.2">
      <c r="A473" t="s">
        <v>39</v>
      </c>
      <c r="B473">
        <v>1012750562</v>
      </c>
      <c r="C473" t="s">
        <v>527</v>
      </c>
      <c r="D473" t="s">
        <v>31</v>
      </c>
      <c r="E473" s="1">
        <v>0.67291666666666672</v>
      </c>
      <c r="F473" t="s">
        <v>32</v>
      </c>
      <c r="G473" t="s">
        <v>33</v>
      </c>
      <c r="H473" t="s">
        <v>34</v>
      </c>
      <c r="I473" t="s">
        <v>84</v>
      </c>
      <c r="J473">
        <v>112</v>
      </c>
      <c r="K473">
        <v>0</v>
      </c>
      <c r="L473" t="s">
        <v>36</v>
      </c>
      <c r="M473" t="s">
        <v>37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2.133</v>
      </c>
      <c r="T473">
        <v>0</v>
      </c>
      <c r="U473">
        <v>0</v>
      </c>
      <c r="V473">
        <v>1</v>
      </c>
      <c r="W473">
        <v>0</v>
      </c>
      <c r="X473" t="s">
        <v>36</v>
      </c>
      <c r="Y473">
        <v>1</v>
      </c>
      <c r="Z473">
        <v>0</v>
      </c>
      <c r="AA473">
        <v>0</v>
      </c>
      <c r="AB473" t="s">
        <v>172</v>
      </c>
      <c r="AC473" t="str">
        <f t="shared" si="14"/>
        <v>CP</v>
      </c>
      <c r="AD473" t="str">
        <f>_xlfn.XLOOKUP(C473,Mapping!A:A,Mapping!D:D,0,0)</f>
        <v>Ocean</v>
      </c>
      <c r="AE473" t="str">
        <f t="shared" si="15"/>
        <v>OLD</v>
      </c>
    </row>
    <row r="474" spans="1:31" x14ac:dyDescent="0.2">
      <c r="A474" t="s">
        <v>29</v>
      </c>
      <c r="B474">
        <v>1012750572</v>
      </c>
      <c r="C474" t="s">
        <v>528</v>
      </c>
      <c r="D474" t="s">
        <v>31</v>
      </c>
      <c r="E474" s="1">
        <v>0.67291666666666672</v>
      </c>
      <c r="F474" t="s">
        <v>32</v>
      </c>
      <c r="G474" t="s">
        <v>33</v>
      </c>
      <c r="H474" t="s">
        <v>41</v>
      </c>
      <c r="I474" t="s">
        <v>62</v>
      </c>
      <c r="J474">
        <v>280</v>
      </c>
      <c r="K474">
        <v>0</v>
      </c>
      <c r="L474" t="s">
        <v>36</v>
      </c>
      <c r="M474" t="s">
        <v>37</v>
      </c>
      <c r="N474">
        <v>6018</v>
      </c>
      <c r="O474">
        <v>291</v>
      </c>
      <c r="P474">
        <v>4.8354900000000001</v>
      </c>
      <c r="Q474">
        <v>0</v>
      </c>
      <c r="R474">
        <v>11.39</v>
      </c>
      <c r="S474">
        <v>1.893</v>
      </c>
      <c r="T474">
        <v>3.9E-2</v>
      </c>
      <c r="U474">
        <v>0</v>
      </c>
      <c r="V474">
        <v>1</v>
      </c>
      <c r="W474">
        <v>0</v>
      </c>
      <c r="X474" t="s">
        <v>36</v>
      </c>
      <c r="Y474">
        <v>6018</v>
      </c>
      <c r="Z474">
        <v>5593</v>
      </c>
      <c r="AA474">
        <v>280</v>
      </c>
      <c r="AB474" t="s">
        <v>172</v>
      </c>
      <c r="AC474" t="str">
        <f t="shared" si="14"/>
        <v>CP</v>
      </c>
      <c r="AD474" t="str">
        <f>_xlfn.XLOOKUP(C474,Mapping!A:A,Mapping!D:D,0,0)</f>
        <v>Keyword - Preroll</v>
      </c>
      <c r="AE474" t="str">
        <f t="shared" si="15"/>
        <v>OLD</v>
      </c>
    </row>
    <row r="475" spans="1:31" x14ac:dyDescent="0.2">
      <c r="A475" t="s">
        <v>39</v>
      </c>
      <c r="B475">
        <v>1012750582</v>
      </c>
      <c r="C475" t="s">
        <v>529</v>
      </c>
      <c r="D475" t="s">
        <v>31</v>
      </c>
      <c r="E475" s="1">
        <v>0.67291666666666672</v>
      </c>
      <c r="F475" t="s">
        <v>32</v>
      </c>
      <c r="G475" t="s">
        <v>33</v>
      </c>
      <c r="H475" t="s">
        <v>41</v>
      </c>
      <c r="I475" t="s">
        <v>62</v>
      </c>
      <c r="J475">
        <v>280</v>
      </c>
      <c r="K475">
        <v>0</v>
      </c>
      <c r="L475" t="s">
        <v>63</v>
      </c>
      <c r="M475">
        <v>250</v>
      </c>
      <c r="N475">
        <v>0</v>
      </c>
      <c r="O475">
        <v>0</v>
      </c>
      <c r="P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 t="s">
        <v>36</v>
      </c>
      <c r="AB475" t="s">
        <v>43</v>
      </c>
      <c r="AC475" t="str">
        <f t="shared" si="14"/>
        <v>CP</v>
      </c>
      <c r="AD475" t="str">
        <f>_xlfn.XLOOKUP(C475,Mapping!A:A,Mapping!D:D,0,0)</f>
        <v>Bin</v>
      </c>
      <c r="AE475" t="str">
        <f t="shared" si="15"/>
        <v>OLD</v>
      </c>
    </row>
    <row r="476" spans="1:31" x14ac:dyDescent="0.2">
      <c r="A476" t="s">
        <v>39</v>
      </c>
      <c r="B476">
        <v>1012750592</v>
      </c>
      <c r="C476" t="s">
        <v>530</v>
      </c>
      <c r="D476" t="s">
        <v>31</v>
      </c>
      <c r="E476" s="1">
        <v>0.67291666666666672</v>
      </c>
      <c r="F476" t="s">
        <v>32</v>
      </c>
      <c r="G476" t="s">
        <v>33</v>
      </c>
      <c r="H476" t="s">
        <v>41</v>
      </c>
      <c r="I476" t="s">
        <v>62</v>
      </c>
      <c r="J476">
        <v>280</v>
      </c>
      <c r="K476">
        <v>0</v>
      </c>
      <c r="L476" t="s">
        <v>63</v>
      </c>
      <c r="M476">
        <v>250</v>
      </c>
      <c r="N476">
        <v>0</v>
      </c>
      <c r="O476">
        <v>0</v>
      </c>
      <c r="P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 t="s">
        <v>36</v>
      </c>
      <c r="AB476" t="s">
        <v>43</v>
      </c>
      <c r="AC476" t="str">
        <f t="shared" si="14"/>
        <v>CP</v>
      </c>
      <c r="AD476" t="str">
        <f>_xlfn.XLOOKUP(C476,Mapping!A:A,Mapping!D:D,0,0)</f>
        <v>Bin</v>
      </c>
      <c r="AE476" t="str">
        <f t="shared" si="15"/>
        <v>OLD</v>
      </c>
    </row>
    <row r="477" spans="1:31" x14ac:dyDescent="0.2">
      <c r="A477" t="s">
        <v>39</v>
      </c>
      <c r="B477">
        <v>1012750602</v>
      </c>
      <c r="C477" t="s">
        <v>531</v>
      </c>
      <c r="D477" t="s">
        <v>31</v>
      </c>
      <c r="E477" s="1">
        <v>0.67291666666666672</v>
      </c>
      <c r="F477" t="s">
        <v>32</v>
      </c>
      <c r="G477" t="s">
        <v>33</v>
      </c>
      <c r="H477" t="s">
        <v>41</v>
      </c>
      <c r="I477" t="s">
        <v>62</v>
      </c>
      <c r="J477">
        <v>280</v>
      </c>
      <c r="K477">
        <v>0</v>
      </c>
      <c r="L477" t="s">
        <v>63</v>
      </c>
      <c r="M477">
        <v>250</v>
      </c>
      <c r="N477">
        <v>0</v>
      </c>
      <c r="O477">
        <v>0</v>
      </c>
      <c r="P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 t="s">
        <v>36</v>
      </c>
      <c r="AB477" t="s">
        <v>43</v>
      </c>
      <c r="AC477" t="str">
        <f t="shared" si="14"/>
        <v>CP</v>
      </c>
      <c r="AD477" t="str">
        <f>_xlfn.XLOOKUP(C477,Mapping!A:A,Mapping!D:D,0,0)</f>
        <v>Bin</v>
      </c>
      <c r="AE477" t="str">
        <f t="shared" si="15"/>
        <v>OLD</v>
      </c>
    </row>
    <row r="478" spans="1:31" x14ac:dyDescent="0.2">
      <c r="A478" t="s">
        <v>39</v>
      </c>
      <c r="B478">
        <v>1012750612</v>
      </c>
      <c r="C478" t="s">
        <v>532</v>
      </c>
      <c r="D478" t="s">
        <v>31</v>
      </c>
      <c r="E478" s="1">
        <v>0.67291666666666672</v>
      </c>
      <c r="F478" t="s">
        <v>32</v>
      </c>
      <c r="G478" t="s">
        <v>33</v>
      </c>
      <c r="H478" t="s">
        <v>34</v>
      </c>
      <c r="I478" t="s">
        <v>84</v>
      </c>
      <c r="J478">
        <v>112</v>
      </c>
      <c r="K478">
        <v>0</v>
      </c>
      <c r="L478" t="s">
        <v>63</v>
      </c>
      <c r="M478">
        <v>250</v>
      </c>
      <c r="N478">
        <v>0</v>
      </c>
      <c r="O478">
        <v>0</v>
      </c>
      <c r="P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 t="s">
        <v>36</v>
      </c>
      <c r="AB478" t="s">
        <v>43</v>
      </c>
      <c r="AC478" t="str">
        <f t="shared" si="14"/>
        <v>CP</v>
      </c>
      <c r="AD478" t="str">
        <f>_xlfn.XLOOKUP(C478,Mapping!A:A,Mapping!D:D,0,0)</f>
        <v>Bin</v>
      </c>
      <c r="AE478" t="str">
        <f t="shared" si="15"/>
        <v>OLD</v>
      </c>
    </row>
    <row r="479" spans="1:31" x14ac:dyDescent="0.2">
      <c r="A479" t="s">
        <v>39</v>
      </c>
      <c r="B479">
        <v>1012750622</v>
      </c>
      <c r="C479" t="s">
        <v>533</v>
      </c>
      <c r="D479" t="s">
        <v>31</v>
      </c>
      <c r="E479" s="1">
        <v>0.67291666666666672</v>
      </c>
      <c r="F479" t="s">
        <v>32</v>
      </c>
      <c r="G479" t="s">
        <v>33</v>
      </c>
      <c r="H479" t="s">
        <v>34</v>
      </c>
      <c r="I479" t="s">
        <v>84</v>
      </c>
      <c r="J479">
        <v>112</v>
      </c>
      <c r="K479">
        <v>0</v>
      </c>
      <c r="L479" t="s">
        <v>36</v>
      </c>
      <c r="M479" t="s">
        <v>37</v>
      </c>
      <c r="N479">
        <v>0</v>
      </c>
      <c r="O479">
        <v>0</v>
      </c>
      <c r="P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 t="s">
        <v>36</v>
      </c>
      <c r="AB479" t="s">
        <v>43</v>
      </c>
      <c r="AC479" t="str">
        <f t="shared" si="14"/>
        <v>CP</v>
      </c>
      <c r="AD479" t="str">
        <f>_xlfn.XLOOKUP(C479,Mapping!A:A,Mapping!D:D,0,0)</f>
        <v>Bin</v>
      </c>
      <c r="AE479" t="str">
        <f t="shared" si="15"/>
        <v>OLD</v>
      </c>
    </row>
    <row r="480" spans="1:31" x14ac:dyDescent="0.2">
      <c r="A480" t="s">
        <v>39</v>
      </c>
      <c r="B480">
        <v>1012750632</v>
      </c>
      <c r="C480" t="s">
        <v>534</v>
      </c>
      <c r="D480" t="s">
        <v>31</v>
      </c>
      <c r="E480" s="1">
        <v>0.67291666666666672</v>
      </c>
      <c r="F480" t="s">
        <v>32</v>
      </c>
      <c r="G480" t="s">
        <v>33</v>
      </c>
      <c r="H480" t="s">
        <v>41</v>
      </c>
      <c r="I480" t="s">
        <v>62</v>
      </c>
      <c r="J480">
        <v>280</v>
      </c>
      <c r="K480">
        <v>0</v>
      </c>
      <c r="L480" t="s">
        <v>36</v>
      </c>
      <c r="M480" t="s">
        <v>37</v>
      </c>
      <c r="N480">
        <v>0</v>
      </c>
      <c r="O480">
        <v>0</v>
      </c>
      <c r="P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 t="s">
        <v>36</v>
      </c>
      <c r="AB480" t="s">
        <v>43</v>
      </c>
      <c r="AC480" t="str">
        <f t="shared" si="14"/>
        <v>CP</v>
      </c>
      <c r="AD480" t="str">
        <f>_xlfn.XLOOKUP(C480,Mapping!A:A,Mapping!D:D,0,0)</f>
        <v>Bin</v>
      </c>
      <c r="AE480" t="str">
        <f t="shared" si="15"/>
        <v>OLD</v>
      </c>
    </row>
    <row r="481" spans="1:31" x14ac:dyDescent="0.2">
      <c r="A481" t="s">
        <v>39</v>
      </c>
      <c r="B481">
        <v>1012750642</v>
      </c>
      <c r="C481" t="s">
        <v>535</v>
      </c>
      <c r="D481" t="s">
        <v>31</v>
      </c>
      <c r="E481" s="1">
        <v>0.67291666666666672</v>
      </c>
      <c r="F481" t="s">
        <v>32</v>
      </c>
      <c r="G481" t="s">
        <v>33</v>
      </c>
      <c r="H481" t="s">
        <v>41</v>
      </c>
      <c r="I481" t="s">
        <v>62</v>
      </c>
      <c r="J481">
        <v>280</v>
      </c>
      <c r="K481">
        <v>0</v>
      </c>
      <c r="L481" t="s">
        <v>36</v>
      </c>
      <c r="M481" t="s">
        <v>37</v>
      </c>
      <c r="N481">
        <v>0</v>
      </c>
      <c r="O481">
        <v>0</v>
      </c>
      <c r="P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 t="s">
        <v>36</v>
      </c>
      <c r="AB481" t="s">
        <v>43</v>
      </c>
      <c r="AC481" t="str">
        <f t="shared" si="14"/>
        <v>CP</v>
      </c>
      <c r="AD481" t="str">
        <f>_xlfn.XLOOKUP(C481,Mapping!A:A,Mapping!D:D,0,0)</f>
        <v>Bin</v>
      </c>
      <c r="AE481" t="str">
        <f t="shared" si="15"/>
        <v>OLD</v>
      </c>
    </row>
    <row r="482" spans="1:31" x14ac:dyDescent="0.2">
      <c r="A482" t="s">
        <v>39</v>
      </c>
      <c r="B482">
        <v>1012750652</v>
      </c>
      <c r="C482" t="s">
        <v>536</v>
      </c>
      <c r="D482" t="s">
        <v>31</v>
      </c>
      <c r="E482" s="1">
        <v>0.67291666666666672</v>
      </c>
      <c r="F482" t="s">
        <v>32</v>
      </c>
      <c r="G482" t="s">
        <v>33</v>
      </c>
      <c r="H482" t="s">
        <v>41</v>
      </c>
      <c r="I482" t="s">
        <v>62</v>
      </c>
      <c r="J482">
        <v>280</v>
      </c>
      <c r="K482">
        <v>0</v>
      </c>
      <c r="L482" t="s">
        <v>63</v>
      </c>
      <c r="M482">
        <v>250</v>
      </c>
      <c r="N482">
        <v>0</v>
      </c>
      <c r="O482">
        <v>0</v>
      </c>
      <c r="P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 t="s">
        <v>36</v>
      </c>
      <c r="AB482" t="s">
        <v>43</v>
      </c>
      <c r="AC482" t="str">
        <f t="shared" si="14"/>
        <v>CP</v>
      </c>
      <c r="AD482" t="str">
        <f>_xlfn.XLOOKUP(C482,Mapping!A:A,Mapping!D:D,0,0)</f>
        <v>Bin</v>
      </c>
      <c r="AE482" t="str">
        <f t="shared" si="15"/>
        <v>OLD</v>
      </c>
    </row>
    <row r="483" spans="1:31" x14ac:dyDescent="0.2">
      <c r="A483" t="s">
        <v>39</v>
      </c>
      <c r="B483">
        <v>1012750662</v>
      </c>
      <c r="C483" t="s">
        <v>537</v>
      </c>
      <c r="D483" t="s">
        <v>31</v>
      </c>
      <c r="E483" s="1">
        <v>0.67291666666666672</v>
      </c>
      <c r="F483" t="s">
        <v>32</v>
      </c>
      <c r="G483" t="s">
        <v>33</v>
      </c>
      <c r="H483" t="s">
        <v>41</v>
      </c>
      <c r="I483" t="s">
        <v>62</v>
      </c>
      <c r="J483">
        <v>280</v>
      </c>
      <c r="K483">
        <v>0</v>
      </c>
      <c r="L483" t="s">
        <v>63</v>
      </c>
      <c r="M483">
        <v>250</v>
      </c>
      <c r="N483">
        <v>0</v>
      </c>
      <c r="O483">
        <v>0</v>
      </c>
      <c r="P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 t="s">
        <v>36</v>
      </c>
      <c r="AB483" t="s">
        <v>43</v>
      </c>
      <c r="AC483" t="str">
        <f t="shared" si="14"/>
        <v>CP</v>
      </c>
      <c r="AD483" t="str">
        <f>_xlfn.XLOOKUP(C483,Mapping!A:A,Mapping!D:D,0,0)</f>
        <v>Bin</v>
      </c>
      <c r="AE483" t="str">
        <f t="shared" si="15"/>
        <v>OLD</v>
      </c>
    </row>
    <row r="484" spans="1:31" x14ac:dyDescent="0.2">
      <c r="A484" t="s">
        <v>39</v>
      </c>
      <c r="B484">
        <v>1012750672</v>
      </c>
      <c r="C484" t="s">
        <v>538</v>
      </c>
      <c r="D484" t="s">
        <v>31</v>
      </c>
      <c r="E484" s="1">
        <v>0.67291666666666672</v>
      </c>
      <c r="F484" t="s">
        <v>32</v>
      </c>
      <c r="G484" t="s">
        <v>33</v>
      </c>
      <c r="H484" t="s">
        <v>34</v>
      </c>
      <c r="I484" t="s">
        <v>84</v>
      </c>
      <c r="J484">
        <v>112</v>
      </c>
      <c r="K484">
        <v>0</v>
      </c>
      <c r="L484" t="s">
        <v>63</v>
      </c>
      <c r="M484">
        <v>250</v>
      </c>
      <c r="N484">
        <v>0</v>
      </c>
      <c r="O484">
        <v>0</v>
      </c>
      <c r="P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 t="s">
        <v>36</v>
      </c>
      <c r="AB484" t="s">
        <v>43</v>
      </c>
      <c r="AC484" t="str">
        <f t="shared" si="14"/>
        <v>CP</v>
      </c>
      <c r="AD484" t="str">
        <f>_xlfn.XLOOKUP(C484,Mapping!A:A,Mapping!D:D,0,0)</f>
        <v>Bin</v>
      </c>
      <c r="AE484" t="str">
        <f t="shared" si="15"/>
        <v>OLD</v>
      </c>
    </row>
    <row r="485" spans="1:31" x14ac:dyDescent="0.2">
      <c r="A485" t="s">
        <v>39</v>
      </c>
      <c r="B485">
        <v>1012750682</v>
      </c>
      <c r="C485" t="s">
        <v>539</v>
      </c>
      <c r="D485" t="s">
        <v>31</v>
      </c>
      <c r="E485" s="1">
        <v>0.67291666666666672</v>
      </c>
      <c r="F485" t="s">
        <v>32</v>
      </c>
      <c r="G485" t="s">
        <v>33</v>
      </c>
      <c r="H485" t="s">
        <v>34</v>
      </c>
      <c r="I485" t="s">
        <v>84</v>
      </c>
      <c r="J485">
        <v>112</v>
      </c>
      <c r="K485">
        <v>0</v>
      </c>
      <c r="L485" t="s">
        <v>63</v>
      </c>
      <c r="M485">
        <v>250</v>
      </c>
      <c r="N485">
        <v>0</v>
      </c>
      <c r="O485">
        <v>0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 t="s">
        <v>36</v>
      </c>
      <c r="AB485" t="s">
        <v>43</v>
      </c>
      <c r="AC485" t="str">
        <f t="shared" si="14"/>
        <v>CP</v>
      </c>
      <c r="AD485" t="str">
        <f>_xlfn.XLOOKUP(C485,Mapping!A:A,Mapping!D:D,0,0)</f>
        <v>Bin</v>
      </c>
      <c r="AE485" t="str">
        <f t="shared" si="15"/>
        <v>OLD</v>
      </c>
    </row>
    <row r="486" spans="1:31" x14ac:dyDescent="0.2">
      <c r="A486" t="s">
        <v>39</v>
      </c>
      <c r="B486">
        <v>1012750692</v>
      </c>
      <c r="C486" t="s">
        <v>540</v>
      </c>
      <c r="D486" t="s">
        <v>31</v>
      </c>
      <c r="E486" s="1">
        <v>0.67291666666666672</v>
      </c>
      <c r="F486" t="s">
        <v>32</v>
      </c>
      <c r="G486" t="s">
        <v>33</v>
      </c>
      <c r="H486" t="s">
        <v>41</v>
      </c>
      <c r="I486" t="s">
        <v>62</v>
      </c>
      <c r="J486">
        <v>280</v>
      </c>
      <c r="K486">
        <v>0</v>
      </c>
      <c r="L486" t="s">
        <v>36</v>
      </c>
      <c r="M486" t="s">
        <v>37</v>
      </c>
      <c r="N486">
        <v>0</v>
      </c>
      <c r="O486">
        <v>0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 t="s">
        <v>36</v>
      </c>
      <c r="AB486" t="s">
        <v>43</v>
      </c>
      <c r="AC486" t="str">
        <f t="shared" si="14"/>
        <v>CP</v>
      </c>
      <c r="AD486" t="str">
        <f>_xlfn.XLOOKUP(C486,Mapping!A:A,Mapping!D:D,0,0)</f>
        <v>Bin</v>
      </c>
      <c r="AE486" t="str">
        <f t="shared" si="15"/>
        <v>OLD</v>
      </c>
    </row>
    <row r="487" spans="1:31" x14ac:dyDescent="0.2">
      <c r="A487" t="s">
        <v>39</v>
      </c>
      <c r="B487">
        <v>1012750702</v>
      </c>
      <c r="C487" t="s">
        <v>541</v>
      </c>
      <c r="D487" t="s">
        <v>31</v>
      </c>
      <c r="E487" s="1">
        <v>0.67291666666666672</v>
      </c>
      <c r="F487" t="s">
        <v>32</v>
      </c>
      <c r="G487" t="s">
        <v>33</v>
      </c>
      <c r="H487" t="s">
        <v>41</v>
      </c>
      <c r="I487" t="s">
        <v>62</v>
      </c>
      <c r="J487">
        <v>280</v>
      </c>
      <c r="K487">
        <v>0</v>
      </c>
      <c r="L487" t="s">
        <v>36</v>
      </c>
      <c r="M487" t="s">
        <v>37</v>
      </c>
      <c r="N487">
        <v>0</v>
      </c>
      <c r="O487">
        <v>0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</v>
      </c>
      <c r="X487" t="s">
        <v>36</v>
      </c>
      <c r="AB487" t="s">
        <v>43</v>
      </c>
      <c r="AC487" t="str">
        <f t="shared" si="14"/>
        <v>CP</v>
      </c>
      <c r="AD487" t="str">
        <f>_xlfn.XLOOKUP(C487,Mapping!A:A,Mapping!D:D,0,0)</f>
        <v>Bin</v>
      </c>
      <c r="AE487" t="str">
        <f t="shared" si="15"/>
        <v>OLD</v>
      </c>
    </row>
    <row r="488" spans="1:31" x14ac:dyDescent="0.2">
      <c r="A488" t="s">
        <v>29</v>
      </c>
      <c r="B488">
        <v>1012750712</v>
      </c>
      <c r="C488" t="s">
        <v>542</v>
      </c>
      <c r="D488" t="s">
        <v>31</v>
      </c>
      <c r="E488" s="1">
        <v>0.67291666666666672</v>
      </c>
      <c r="F488" t="s">
        <v>32</v>
      </c>
      <c r="G488" t="s">
        <v>33</v>
      </c>
      <c r="H488" t="s">
        <v>41</v>
      </c>
      <c r="I488" t="s">
        <v>62</v>
      </c>
      <c r="J488">
        <v>280</v>
      </c>
      <c r="K488">
        <v>0</v>
      </c>
      <c r="L488" t="s">
        <v>63</v>
      </c>
      <c r="M488">
        <v>250</v>
      </c>
      <c r="N488">
        <v>10521</v>
      </c>
      <c r="O488">
        <v>651</v>
      </c>
      <c r="P488">
        <v>6.1876199999999999</v>
      </c>
      <c r="Q488">
        <v>0</v>
      </c>
      <c r="R488">
        <v>15.84</v>
      </c>
      <c r="S488">
        <v>1.5049999999999999</v>
      </c>
      <c r="T488">
        <v>2.4E-2</v>
      </c>
      <c r="U488">
        <v>0</v>
      </c>
      <c r="V488">
        <v>1</v>
      </c>
      <c r="W488">
        <v>0</v>
      </c>
      <c r="X488" t="s">
        <v>36</v>
      </c>
      <c r="Y488">
        <v>10521</v>
      </c>
      <c r="Z488">
        <v>9376</v>
      </c>
      <c r="AA488">
        <v>853</v>
      </c>
      <c r="AB488" t="s">
        <v>172</v>
      </c>
      <c r="AC488" t="str">
        <f t="shared" si="14"/>
        <v>CP</v>
      </c>
      <c r="AD488" t="str">
        <f>_xlfn.XLOOKUP(C488,Mapping!A:A,Mapping!D:D,0,0)</f>
        <v>Ocean</v>
      </c>
      <c r="AE488" t="str">
        <f t="shared" si="15"/>
        <v>OLD</v>
      </c>
    </row>
    <row r="489" spans="1:31" x14ac:dyDescent="0.2">
      <c r="A489" t="s">
        <v>39</v>
      </c>
      <c r="B489">
        <v>1012750722</v>
      </c>
      <c r="C489" t="s">
        <v>543</v>
      </c>
      <c r="D489" t="s">
        <v>31</v>
      </c>
      <c r="E489" s="1">
        <v>0.67291666666666672</v>
      </c>
      <c r="F489" t="s">
        <v>32</v>
      </c>
      <c r="G489" t="s">
        <v>33</v>
      </c>
      <c r="H489" t="s">
        <v>41</v>
      </c>
      <c r="I489" t="s">
        <v>62</v>
      </c>
      <c r="J489">
        <v>280</v>
      </c>
      <c r="K489">
        <v>0</v>
      </c>
      <c r="L489" t="s">
        <v>63</v>
      </c>
      <c r="M489">
        <v>250</v>
      </c>
      <c r="N489">
        <v>0</v>
      </c>
      <c r="O489">
        <v>0</v>
      </c>
      <c r="P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 t="s">
        <v>36</v>
      </c>
      <c r="AB489" t="s">
        <v>43</v>
      </c>
      <c r="AC489" t="str">
        <f t="shared" si="14"/>
        <v>CP</v>
      </c>
      <c r="AD489" t="str">
        <f>_xlfn.XLOOKUP(C489,Mapping!A:A,Mapping!D:D,0,0)</f>
        <v>Bin</v>
      </c>
      <c r="AE489" t="str">
        <f t="shared" si="15"/>
        <v>OLD</v>
      </c>
    </row>
    <row r="490" spans="1:31" x14ac:dyDescent="0.2">
      <c r="A490" t="s">
        <v>39</v>
      </c>
      <c r="B490">
        <v>1012750732</v>
      </c>
      <c r="C490" t="s">
        <v>544</v>
      </c>
      <c r="D490" t="s">
        <v>31</v>
      </c>
      <c r="E490" s="1">
        <v>0.67291666666666672</v>
      </c>
      <c r="F490" t="s">
        <v>32</v>
      </c>
      <c r="G490" t="s">
        <v>33</v>
      </c>
      <c r="H490" t="s">
        <v>34</v>
      </c>
      <c r="I490" t="s">
        <v>84</v>
      </c>
      <c r="J490">
        <v>112</v>
      </c>
      <c r="K490">
        <v>0</v>
      </c>
      <c r="L490" t="s">
        <v>36</v>
      </c>
      <c r="M490" t="s">
        <v>37</v>
      </c>
      <c r="N490">
        <v>0</v>
      </c>
      <c r="O490">
        <v>0</v>
      </c>
      <c r="P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 t="s">
        <v>36</v>
      </c>
      <c r="AB490" t="s">
        <v>172</v>
      </c>
      <c r="AC490" t="str">
        <f t="shared" si="14"/>
        <v>CP</v>
      </c>
      <c r="AD490" t="str">
        <f>_xlfn.XLOOKUP(C490,Mapping!A:A,Mapping!D:D,0,0)</f>
        <v>Ocean</v>
      </c>
      <c r="AE490" t="str">
        <f t="shared" si="15"/>
        <v>OLD</v>
      </c>
    </row>
    <row r="491" spans="1:31" x14ac:dyDescent="0.2">
      <c r="A491" t="s">
        <v>39</v>
      </c>
      <c r="B491">
        <v>1012750742</v>
      </c>
      <c r="C491" t="s">
        <v>545</v>
      </c>
      <c r="D491" t="s">
        <v>31</v>
      </c>
      <c r="E491" s="1">
        <v>0.67291666666666672</v>
      </c>
      <c r="F491" t="s">
        <v>32</v>
      </c>
      <c r="G491" t="s">
        <v>33</v>
      </c>
      <c r="H491" t="s">
        <v>34</v>
      </c>
      <c r="I491" t="s">
        <v>84</v>
      </c>
      <c r="J491">
        <v>112</v>
      </c>
      <c r="K491">
        <v>0</v>
      </c>
      <c r="L491" t="s">
        <v>63</v>
      </c>
      <c r="M491">
        <v>250</v>
      </c>
      <c r="N491">
        <v>0</v>
      </c>
      <c r="O491">
        <v>0</v>
      </c>
      <c r="P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 t="s">
        <v>36</v>
      </c>
      <c r="AB491" t="s">
        <v>43</v>
      </c>
      <c r="AC491" t="str">
        <f t="shared" si="14"/>
        <v>CP</v>
      </c>
      <c r="AD491" t="str">
        <f>_xlfn.XLOOKUP(C491,Mapping!A:A,Mapping!D:D,0,0)</f>
        <v>Bin</v>
      </c>
      <c r="AE491" t="str">
        <f t="shared" si="15"/>
        <v>OLD</v>
      </c>
    </row>
    <row r="492" spans="1:31" x14ac:dyDescent="0.2">
      <c r="A492" t="s">
        <v>39</v>
      </c>
      <c r="B492">
        <v>1012750752</v>
      </c>
      <c r="C492" t="s">
        <v>546</v>
      </c>
      <c r="D492" t="s">
        <v>31</v>
      </c>
      <c r="E492" s="1">
        <v>0.67291666666666672</v>
      </c>
      <c r="F492" t="s">
        <v>32</v>
      </c>
      <c r="G492" t="s">
        <v>33</v>
      </c>
      <c r="H492" t="s">
        <v>41</v>
      </c>
      <c r="I492" t="s">
        <v>62</v>
      </c>
      <c r="J492">
        <v>280</v>
      </c>
      <c r="K492">
        <v>0</v>
      </c>
      <c r="L492" t="s">
        <v>63</v>
      </c>
      <c r="M492">
        <v>250</v>
      </c>
      <c r="N492">
        <v>0</v>
      </c>
      <c r="O492">
        <v>0</v>
      </c>
      <c r="P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 t="s">
        <v>36</v>
      </c>
      <c r="AB492" t="s">
        <v>43</v>
      </c>
      <c r="AC492" t="str">
        <f t="shared" si="14"/>
        <v>CP</v>
      </c>
      <c r="AD492" t="str">
        <f>_xlfn.XLOOKUP(C492,Mapping!A:A,Mapping!D:D,0,0)</f>
        <v>Bin</v>
      </c>
      <c r="AE492" t="str">
        <f t="shared" si="15"/>
        <v>OLD</v>
      </c>
    </row>
    <row r="493" spans="1:31" x14ac:dyDescent="0.2">
      <c r="A493" t="s">
        <v>39</v>
      </c>
      <c r="B493">
        <v>1012750762</v>
      </c>
      <c r="C493" t="s">
        <v>547</v>
      </c>
      <c r="D493" t="s">
        <v>31</v>
      </c>
      <c r="E493" s="1">
        <v>0.67291666666666672</v>
      </c>
      <c r="F493" t="s">
        <v>32</v>
      </c>
      <c r="G493" t="s">
        <v>33</v>
      </c>
      <c r="H493" t="s">
        <v>41</v>
      </c>
      <c r="I493" t="s">
        <v>62</v>
      </c>
      <c r="J493">
        <v>280</v>
      </c>
      <c r="K493">
        <v>0</v>
      </c>
      <c r="L493" t="s">
        <v>63</v>
      </c>
      <c r="M493">
        <v>250</v>
      </c>
      <c r="N493">
        <v>0</v>
      </c>
      <c r="O493">
        <v>0</v>
      </c>
      <c r="P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 t="s">
        <v>36</v>
      </c>
      <c r="AB493" t="s">
        <v>43</v>
      </c>
      <c r="AC493" t="str">
        <f t="shared" si="14"/>
        <v>CP</v>
      </c>
      <c r="AD493" t="str">
        <f>_xlfn.XLOOKUP(C493,Mapping!A:A,Mapping!D:D,0,0)</f>
        <v>Bin</v>
      </c>
      <c r="AE493" t="str">
        <f t="shared" si="15"/>
        <v>OLD</v>
      </c>
    </row>
    <row r="494" spans="1:31" x14ac:dyDescent="0.2">
      <c r="A494" t="s">
        <v>39</v>
      </c>
      <c r="B494">
        <v>1012750782</v>
      </c>
      <c r="C494" t="s">
        <v>548</v>
      </c>
      <c r="D494" t="s">
        <v>31</v>
      </c>
      <c r="E494" s="1">
        <v>0.67291666666666672</v>
      </c>
      <c r="F494" t="s">
        <v>32</v>
      </c>
      <c r="G494" t="s">
        <v>33</v>
      </c>
      <c r="H494" t="s">
        <v>41</v>
      </c>
      <c r="I494" t="s">
        <v>62</v>
      </c>
      <c r="J494">
        <v>280</v>
      </c>
      <c r="K494">
        <v>0</v>
      </c>
      <c r="L494" t="s">
        <v>63</v>
      </c>
      <c r="M494">
        <v>250</v>
      </c>
      <c r="N494">
        <v>0</v>
      </c>
      <c r="O494">
        <v>0</v>
      </c>
      <c r="P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 t="s">
        <v>36</v>
      </c>
      <c r="AB494" t="s">
        <v>43</v>
      </c>
      <c r="AC494" t="str">
        <f t="shared" si="14"/>
        <v>CP</v>
      </c>
      <c r="AD494" t="str">
        <f>_xlfn.XLOOKUP(C494,Mapping!A:A,Mapping!D:D,0,0)</f>
        <v>Bin</v>
      </c>
      <c r="AE494" t="str">
        <f t="shared" si="15"/>
        <v>OLD</v>
      </c>
    </row>
    <row r="495" spans="1:31" x14ac:dyDescent="0.2">
      <c r="A495" t="s">
        <v>39</v>
      </c>
      <c r="B495">
        <v>1012750792</v>
      </c>
      <c r="C495" t="s">
        <v>549</v>
      </c>
      <c r="D495" t="s">
        <v>31</v>
      </c>
      <c r="E495" s="1">
        <v>0.67291666666666672</v>
      </c>
      <c r="F495" t="s">
        <v>32</v>
      </c>
      <c r="G495" t="s">
        <v>33</v>
      </c>
      <c r="H495" t="s">
        <v>41</v>
      </c>
      <c r="I495" t="s">
        <v>62</v>
      </c>
      <c r="J495">
        <v>280</v>
      </c>
      <c r="K495">
        <v>0</v>
      </c>
      <c r="L495" t="s">
        <v>63</v>
      </c>
      <c r="M495">
        <v>250</v>
      </c>
      <c r="N495">
        <v>0</v>
      </c>
      <c r="O495">
        <v>0</v>
      </c>
      <c r="P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 t="s">
        <v>36</v>
      </c>
      <c r="AB495" t="s">
        <v>43</v>
      </c>
      <c r="AC495" t="str">
        <f t="shared" si="14"/>
        <v>CP</v>
      </c>
      <c r="AD495" t="str">
        <f>_xlfn.XLOOKUP(C495,Mapping!A:A,Mapping!D:D,0,0)</f>
        <v>Bin</v>
      </c>
      <c r="AE495" t="str">
        <f t="shared" si="15"/>
        <v>OLD</v>
      </c>
    </row>
    <row r="496" spans="1:31" x14ac:dyDescent="0.2">
      <c r="A496" t="s">
        <v>29</v>
      </c>
      <c r="B496">
        <v>1012750802</v>
      </c>
      <c r="C496" t="s">
        <v>550</v>
      </c>
      <c r="D496" t="s">
        <v>31</v>
      </c>
      <c r="E496" s="1">
        <v>0.67291666666666672</v>
      </c>
      <c r="F496" t="s">
        <v>32</v>
      </c>
      <c r="G496" t="s">
        <v>33</v>
      </c>
      <c r="H496" t="s">
        <v>34</v>
      </c>
      <c r="I496" t="s">
        <v>84</v>
      </c>
      <c r="J496">
        <v>112</v>
      </c>
      <c r="K496">
        <v>0</v>
      </c>
      <c r="L496" t="s">
        <v>63</v>
      </c>
      <c r="M496">
        <v>250</v>
      </c>
      <c r="N496">
        <v>3919</v>
      </c>
      <c r="O496">
        <v>140</v>
      </c>
      <c r="P496">
        <v>3.5723400000000001</v>
      </c>
      <c r="Q496">
        <v>0</v>
      </c>
      <c r="R496">
        <v>11.19</v>
      </c>
      <c r="S496">
        <v>2.8559999999999999</v>
      </c>
      <c r="T496">
        <v>0.08</v>
      </c>
      <c r="U496">
        <v>0</v>
      </c>
      <c r="V496">
        <v>1</v>
      </c>
      <c r="W496">
        <v>0</v>
      </c>
      <c r="X496" t="s">
        <v>36</v>
      </c>
      <c r="Y496">
        <v>3919</v>
      </c>
      <c r="Z496">
        <v>3078</v>
      </c>
      <c r="AA496">
        <v>486</v>
      </c>
      <c r="AB496" t="s">
        <v>172</v>
      </c>
      <c r="AC496" t="str">
        <f t="shared" si="14"/>
        <v>CP</v>
      </c>
      <c r="AD496" t="str">
        <f>_xlfn.XLOOKUP(C496,Mapping!A:A,Mapping!D:D,0,0)</f>
        <v>Keyword - Preroll</v>
      </c>
      <c r="AE496" t="str">
        <f t="shared" si="15"/>
        <v>OLD</v>
      </c>
    </row>
    <row r="497" spans="1:31" x14ac:dyDescent="0.2">
      <c r="A497" t="s">
        <v>39</v>
      </c>
      <c r="B497">
        <v>1012750812</v>
      </c>
      <c r="C497" t="s">
        <v>551</v>
      </c>
      <c r="D497" t="s">
        <v>31</v>
      </c>
      <c r="E497" s="1">
        <v>0.67291666666666672</v>
      </c>
      <c r="F497" t="s">
        <v>32</v>
      </c>
      <c r="G497" t="s">
        <v>33</v>
      </c>
      <c r="H497" t="s">
        <v>34</v>
      </c>
      <c r="I497" t="s">
        <v>84</v>
      </c>
      <c r="J497">
        <v>112</v>
      </c>
      <c r="K497">
        <v>0</v>
      </c>
      <c r="L497" t="s">
        <v>63</v>
      </c>
      <c r="M497">
        <v>250</v>
      </c>
      <c r="N497">
        <v>0</v>
      </c>
      <c r="O497">
        <v>0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 t="s">
        <v>36</v>
      </c>
      <c r="AB497" t="s">
        <v>43</v>
      </c>
      <c r="AC497" t="str">
        <f t="shared" si="14"/>
        <v>CP</v>
      </c>
      <c r="AD497" t="str">
        <f>_xlfn.XLOOKUP(C497,Mapping!A:A,Mapping!D:D,0,0)</f>
        <v>Bin</v>
      </c>
      <c r="AE497" t="str">
        <f t="shared" si="15"/>
        <v>OLD</v>
      </c>
    </row>
    <row r="498" spans="1:31" x14ac:dyDescent="0.2">
      <c r="A498" t="s">
        <v>39</v>
      </c>
      <c r="B498">
        <v>1012750822</v>
      </c>
      <c r="C498" t="s">
        <v>552</v>
      </c>
      <c r="D498" t="s">
        <v>31</v>
      </c>
      <c r="E498" s="1">
        <v>0.67291666666666672</v>
      </c>
      <c r="F498" t="s">
        <v>32</v>
      </c>
      <c r="G498" t="s">
        <v>33</v>
      </c>
      <c r="H498" t="s">
        <v>41</v>
      </c>
      <c r="I498" t="s">
        <v>62</v>
      </c>
      <c r="J498">
        <v>280</v>
      </c>
      <c r="K498">
        <v>0</v>
      </c>
      <c r="L498" t="s">
        <v>63</v>
      </c>
      <c r="M498">
        <v>250</v>
      </c>
      <c r="N498">
        <v>0</v>
      </c>
      <c r="O498">
        <v>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 t="s">
        <v>36</v>
      </c>
      <c r="AB498" t="s">
        <v>43</v>
      </c>
      <c r="AC498" t="str">
        <f t="shared" si="14"/>
        <v>CP</v>
      </c>
      <c r="AD498" t="str">
        <f>_xlfn.XLOOKUP(C498,Mapping!A:A,Mapping!D:D,0,0)</f>
        <v>Bin</v>
      </c>
      <c r="AE498" t="str">
        <f t="shared" si="15"/>
        <v>OLD</v>
      </c>
    </row>
    <row r="499" spans="1:31" x14ac:dyDescent="0.2">
      <c r="A499" t="s">
        <v>39</v>
      </c>
      <c r="B499">
        <v>1012750832</v>
      </c>
      <c r="C499" t="s">
        <v>553</v>
      </c>
      <c r="D499" t="s">
        <v>31</v>
      </c>
      <c r="E499" s="1">
        <v>0.67291666666666672</v>
      </c>
      <c r="F499" t="s">
        <v>32</v>
      </c>
      <c r="G499" t="s">
        <v>33</v>
      </c>
      <c r="H499" t="s">
        <v>41</v>
      </c>
      <c r="I499" t="s">
        <v>62</v>
      </c>
      <c r="J499">
        <v>280</v>
      </c>
      <c r="K499">
        <v>0</v>
      </c>
      <c r="L499" t="s">
        <v>63</v>
      </c>
      <c r="M499">
        <v>250</v>
      </c>
      <c r="N499">
        <v>0</v>
      </c>
      <c r="O499">
        <v>0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 t="s">
        <v>36</v>
      </c>
      <c r="AB499" t="s">
        <v>43</v>
      </c>
      <c r="AC499" t="str">
        <f t="shared" si="14"/>
        <v>CP</v>
      </c>
      <c r="AD499" t="str">
        <f>_xlfn.XLOOKUP(C499,Mapping!A:A,Mapping!D:D,0,0)</f>
        <v>Bin</v>
      </c>
      <c r="AE499" t="str">
        <f t="shared" si="15"/>
        <v>OLD</v>
      </c>
    </row>
    <row r="500" spans="1:31" x14ac:dyDescent="0.2">
      <c r="A500" t="s">
        <v>39</v>
      </c>
      <c r="B500">
        <v>1012750842</v>
      </c>
      <c r="C500" t="s">
        <v>554</v>
      </c>
      <c r="D500" t="s">
        <v>31</v>
      </c>
      <c r="E500" s="1">
        <v>0.67291666666666672</v>
      </c>
      <c r="F500" t="s">
        <v>32</v>
      </c>
      <c r="G500" t="s">
        <v>33</v>
      </c>
      <c r="H500" t="s">
        <v>41</v>
      </c>
      <c r="I500" t="s">
        <v>62</v>
      </c>
      <c r="J500">
        <v>280</v>
      </c>
      <c r="K500">
        <v>0</v>
      </c>
      <c r="L500" t="s">
        <v>36</v>
      </c>
      <c r="M500" t="s">
        <v>37</v>
      </c>
      <c r="N500">
        <v>0</v>
      </c>
      <c r="O500">
        <v>0</v>
      </c>
      <c r="P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 t="s">
        <v>36</v>
      </c>
      <c r="AB500" t="s">
        <v>43</v>
      </c>
      <c r="AC500" t="str">
        <f t="shared" si="14"/>
        <v>CP</v>
      </c>
      <c r="AD500" t="str">
        <f>_xlfn.XLOOKUP(C500,Mapping!A:A,Mapping!D:D,0,0)</f>
        <v>Bin</v>
      </c>
      <c r="AE500" t="str">
        <f t="shared" si="15"/>
        <v>OLD</v>
      </c>
    </row>
    <row r="501" spans="1:31" x14ac:dyDescent="0.2">
      <c r="A501" t="s">
        <v>39</v>
      </c>
      <c r="B501">
        <v>1012750852</v>
      </c>
      <c r="C501" t="s">
        <v>555</v>
      </c>
      <c r="D501" t="s">
        <v>31</v>
      </c>
      <c r="E501" s="1">
        <v>0.67291666666666672</v>
      </c>
      <c r="F501" t="s">
        <v>32</v>
      </c>
      <c r="G501" t="s">
        <v>33</v>
      </c>
      <c r="H501" t="s">
        <v>41</v>
      </c>
      <c r="I501" t="s">
        <v>62</v>
      </c>
      <c r="J501">
        <v>280</v>
      </c>
      <c r="K501">
        <v>0</v>
      </c>
      <c r="L501" t="s">
        <v>36</v>
      </c>
      <c r="M501" t="s">
        <v>37</v>
      </c>
      <c r="N501">
        <v>0</v>
      </c>
      <c r="O501">
        <v>0</v>
      </c>
      <c r="P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 t="s">
        <v>36</v>
      </c>
      <c r="AB501" t="s">
        <v>43</v>
      </c>
      <c r="AC501" t="str">
        <f t="shared" si="14"/>
        <v>CP</v>
      </c>
      <c r="AD501" t="str">
        <f>_xlfn.XLOOKUP(C501,Mapping!A:A,Mapping!D:D,0,0)</f>
        <v>Bin</v>
      </c>
      <c r="AE501" t="str">
        <f t="shared" si="15"/>
        <v>OLD</v>
      </c>
    </row>
    <row r="502" spans="1:31" x14ac:dyDescent="0.2">
      <c r="A502" t="s">
        <v>39</v>
      </c>
      <c r="B502">
        <v>1012750862</v>
      </c>
      <c r="C502" t="s">
        <v>556</v>
      </c>
      <c r="D502" t="s">
        <v>31</v>
      </c>
      <c r="E502" s="1">
        <v>0.67291666666666672</v>
      </c>
      <c r="F502" t="s">
        <v>32</v>
      </c>
      <c r="G502" t="s">
        <v>33</v>
      </c>
      <c r="H502" t="s">
        <v>34</v>
      </c>
      <c r="I502" t="s">
        <v>84</v>
      </c>
      <c r="J502">
        <v>112</v>
      </c>
      <c r="K502">
        <v>0</v>
      </c>
      <c r="L502" t="s">
        <v>36</v>
      </c>
      <c r="M502" t="s">
        <v>37</v>
      </c>
      <c r="N502">
        <v>0</v>
      </c>
      <c r="O502">
        <v>0</v>
      </c>
      <c r="P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 t="s">
        <v>36</v>
      </c>
      <c r="AB502" t="s">
        <v>43</v>
      </c>
      <c r="AC502" t="str">
        <f t="shared" si="14"/>
        <v>CP</v>
      </c>
      <c r="AD502" t="str">
        <f>_xlfn.XLOOKUP(C502,Mapping!A:A,Mapping!D:D,0,0)</f>
        <v>Bin</v>
      </c>
      <c r="AE502" t="str">
        <f t="shared" si="15"/>
        <v>OLD</v>
      </c>
    </row>
    <row r="503" spans="1:31" x14ac:dyDescent="0.2">
      <c r="A503" t="s">
        <v>39</v>
      </c>
      <c r="B503">
        <v>1012750882</v>
      </c>
      <c r="C503" t="s">
        <v>557</v>
      </c>
      <c r="D503" t="s">
        <v>31</v>
      </c>
      <c r="E503" s="1">
        <v>0.67291666666666672</v>
      </c>
      <c r="F503" t="s">
        <v>32</v>
      </c>
      <c r="G503" t="s">
        <v>33</v>
      </c>
      <c r="H503" t="s">
        <v>34</v>
      </c>
      <c r="I503" t="s">
        <v>84</v>
      </c>
      <c r="J503">
        <v>112</v>
      </c>
      <c r="K503">
        <v>0</v>
      </c>
      <c r="L503" t="s">
        <v>36</v>
      </c>
      <c r="M503" t="s">
        <v>37</v>
      </c>
      <c r="N503">
        <v>0</v>
      </c>
      <c r="O503">
        <v>0</v>
      </c>
      <c r="P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 t="s">
        <v>36</v>
      </c>
      <c r="AB503" t="s">
        <v>43</v>
      </c>
      <c r="AC503" t="str">
        <f t="shared" si="14"/>
        <v>CP</v>
      </c>
      <c r="AD503" t="str">
        <f>_xlfn.XLOOKUP(C503,Mapping!A:A,Mapping!D:D,0,0)</f>
        <v>Bin</v>
      </c>
      <c r="AE503" t="str">
        <f t="shared" si="15"/>
        <v>OLD</v>
      </c>
    </row>
    <row r="504" spans="1:31" x14ac:dyDescent="0.2">
      <c r="A504" t="s">
        <v>39</v>
      </c>
      <c r="B504">
        <v>1012750892</v>
      </c>
      <c r="C504" t="s">
        <v>558</v>
      </c>
      <c r="D504" t="s">
        <v>31</v>
      </c>
      <c r="E504" s="1">
        <v>0.67291666666666672</v>
      </c>
      <c r="F504" t="s">
        <v>32</v>
      </c>
      <c r="G504" t="s">
        <v>33</v>
      </c>
      <c r="H504" t="s">
        <v>41</v>
      </c>
      <c r="I504" t="s">
        <v>62</v>
      </c>
      <c r="J504">
        <v>280</v>
      </c>
      <c r="K504">
        <v>0</v>
      </c>
      <c r="L504" t="s">
        <v>63</v>
      </c>
      <c r="M504">
        <v>250</v>
      </c>
      <c r="N504">
        <v>0</v>
      </c>
      <c r="O504">
        <v>0</v>
      </c>
      <c r="P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 t="s">
        <v>36</v>
      </c>
      <c r="AB504" t="s">
        <v>43</v>
      </c>
      <c r="AC504" t="str">
        <f t="shared" si="14"/>
        <v>CP</v>
      </c>
      <c r="AD504" t="str">
        <f>_xlfn.XLOOKUP(C504,Mapping!A:A,Mapping!D:D,0,0)</f>
        <v>Bin</v>
      </c>
      <c r="AE504" t="str">
        <f t="shared" si="15"/>
        <v>OLD</v>
      </c>
    </row>
    <row r="505" spans="1:31" x14ac:dyDescent="0.2">
      <c r="A505" t="s">
        <v>39</v>
      </c>
      <c r="B505">
        <v>1012750902</v>
      </c>
      <c r="C505" t="s">
        <v>559</v>
      </c>
      <c r="D505" t="s">
        <v>31</v>
      </c>
      <c r="E505" s="1">
        <v>0.67291666666666672</v>
      </c>
      <c r="F505" t="s">
        <v>32</v>
      </c>
      <c r="G505" t="s">
        <v>33</v>
      </c>
      <c r="H505" t="s">
        <v>41</v>
      </c>
      <c r="I505" t="s">
        <v>62</v>
      </c>
      <c r="J505">
        <v>280</v>
      </c>
      <c r="K505">
        <v>0</v>
      </c>
      <c r="L505" t="s">
        <v>63</v>
      </c>
      <c r="M505">
        <v>250</v>
      </c>
      <c r="N505">
        <v>0</v>
      </c>
      <c r="O505">
        <v>0</v>
      </c>
      <c r="P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 t="s">
        <v>36</v>
      </c>
      <c r="AB505" t="s">
        <v>43</v>
      </c>
      <c r="AC505" t="str">
        <f t="shared" si="14"/>
        <v>CP</v>
      </c>
      <c r="AD505" t="str">
        <f>_xlfn.XLOOKUP(C505,Mapping!A:A,Mapping!D:D,0,0)</f>
        <v>Bin</v>
      </c>
      <c r="AE505" t="str">
        <f t="shared" si="15"/>
        <v>OLD</v>
      </c>
    </row>
    <row r="506" spans="1:31" x14ac:dyDescent="0.2">
      <c r="A506" t="s">
        <v>39</v>
      </c>
      <c r="B506">
        <v>1012750912</v>
      </c>
      <c r="C506" t="s">
        <v>560</v>
      </c>
      <c r="D506" t="s">
        <v>31</v>
      </c>
      <c r="E506" s="1">
        <v>0.67291666666666672</v>
      </c>
      <c r="F506" t="s">
        <v>32</v>
      </c>
      <c r="G506" t="s">
        <v>33</v>
      </c>
      <c r="H506" t="s">
        <v>41</v>
      </c>
      <c r="I506" t="s">
        <v>62</v>
      </c>
      <c r="J506">
        <v>280</v>
      </c>
      <c r="K506">
        <v>0</v>
      </c>
      <c r="L506" t="s">
        <v>63</v>
      </c>
      <c r="M506">
        <v>250</v>
      </c>
      <c r="N506">
        <v>0</v>
      </c>
      <c r="O506">
        <v>0</v>
      </c>
      <c r="P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 t="s">
        <v>36</v>
      </c>
      <c r="AB506" t="s">
        <v>43</v>
      </c>
      <c r="AC506" t="str">
        <f t="shared" si="14"/>
        <v>CP</v>
      </c>
      <c r="AD506" t="str">
        <f>_xlfn.XLOOKUP(C506,Mapping!A:A,Mapping!D:D,0,0)</f>
        <v>Bin</v>
      </c>
      <c r="AE506" t="str">
        <f t="shared" si="15"/>
        <v>OLD</v>
      </c>
    </row>
    <row r="507" spans="1:31" x14ac:dyDescent="0.2">
      <c r="A507" t="s">
        <v>39</v>
      </c>
      <c r="B507">
        <v>1012750922</v>
      </c>
      <c r="C507" t="s">
        <v>561</v>
      </c>
      <c r="D507" t="s">
        <v>31</v>
      </c>
      <c r="E507" s="1">
        <v>0.67291666666666672</v>
      </c>
      <c r="F507" t="s">
        <v>32</v>
      </c>
      <c r="G507" t="s">
        <v>33</v>
      </c>
      <c r="H507" t="s">
        <v>41</v>
      </c>
      <c r="I507" t="s">
        <v>62</v>
      </c>
      <c r="J507">
        <v>280</v>
      </c>
      <c r="K507">
        <v>0</v>
      </c>
      <c r="L507" t="s">
        <v>63</v>
      </c>
      <c r="M507">
        <v>250</v>
      </c>
      <c r="N507">
        <v>0</v>
      </c>
      <c r="O507">
        <v>0</v>
      </c>
      <c r="P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X507" t="s">
        <v>36</v>
      </c>
      <c r="AB507" t="s">
        <v>43</v>
      </c>
      <c r="AC507" t="str">
        <f t="shared" si="14"/>
        <v>CP</v>
      </c>
      <c r="AD507" t="str">
        <f>_xlfn.XLOOKUP(C507,Mapping!A:A,Mapping!D:D,0,0)</f>
        <v>Bin</v>
      </c>
      <c r="AE507" t="str">
        <f t="shared" si="15"/>
        <v>OLD</v>
      </c>
    </row>
    <row r="508" spans="1:31" x14ac:dyDescent="0.2">
      <c r="A508" t="s">
        <v>39</v>
      </c>
      <c r="B508">
        <v>1012750932</v>
      </c>
      <c r="C508" t="s">
        <v>562</v>
      </c>
      <c r="D508" t="s">
        <v>31</v>
      </c>
      <c r="E508" s="1">
        <v>0.67291666666666672</v>
      </c>
      <c r="F508" t="s">
        <v>32</v>
      </c>
      <c r="G508" t="s">
        <v>33</v>
      </c>
      <c r="H508" t="s">
        <v>34</v>
      </c>
      <c r="I508" t="s">
        <v>84</v>
      </c>
      <c r="J508">
        <v>112</v>
      </c>
      <c r="K508">
        <v>0</v>
      </c>
      <c r="L508" t="s">
        <v>63</v>
      </c>
      <c r="M508">
        <v>250</v>
      </c>
      <c r="N508">
        <v>0</v>
      </c>
      <c r="O508">
        <v>0</v>
      </c>
      <c r="P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 t="s">
        <v>36</v>
      </c>
      <c r="AB508" t="s">
        <v>43</v>
      </c>
      <c r="AC508" t="str">
        <f t="shared" si="14"/>
        <v>CP</v>
      </c>
      <c r="AD508" t="str">
        <f>_xlfn.XLOOKUP(C508,Mapping!A:A,Mapping!D:D,0,0)</f>
        <v>Bin</v>
      </c>
      <c r="AE508" t="str">
        <f t="shared" si="15"/>
        <v>OLD</v>
      </c>
    </row>
    <row r="509" spans="1:31" x14ac:dyDescent="0.2">
      <c r="A509" t="s">
        <v>39</v>
      </c>
      <c r="B509">
        <v>1012750942</v>
      </c>
      <c r="C509" t="s">
        <v>563</v>
      </c>
      <c r="D509" t="s">
        <v>31</v>
      </c>
      <c r="E509" s="1">
        <v>0.67291666666666672</v>
      </c>
      <c r="F509" t="s">
        <v>32</v>
      </c>
      <c r="G509" t="s">
        <v>33</v>
      </c>
      <c r="H509" t="s">
        <v>34</v>
      </c>
      <c r="I509" t="s">
        <v>84</v>
      </c>
      <c r="J509">
        <v>112</v>
      </c>
      <c r="K509">
        <v>0</v>
      </c>
      <c r="L509" t="s">
        <v>63</v>
      </c>
      <c r="M509">
        <v>250</v>
      </c>
      <c r="N509">
        <v>0</v>
      </c>
      <c r="O509">
        <v>0</v>
      </c>
      <c r="P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 t="s">
        <v>36</v>
      </c>
      <c r="AB509" t="s">
        <v>43</v>
      </c>
      <c r="AC509" t="str">
        <f t="shared" si="14"/>
        <v>CP</v>
      </c>
      <c r="AD509" t="str">
        <f>_xlfn.XLOOKUP(C509,Mapping!A:A,Mapping!D:D,0,0)</f>
        <v>Bin</v>
      </c>
      <c r="AE509" t="str">
        <f t="shared" si="15"/>
        <v>OLD</v>
      </c>
    </row>
    <row r="510" spans="1:31" x14ac:dyDescent="0.2">
      <c r="A510" t="s">
        <v>39</v>
      </c>
      <c r="B510">
        <v>1012750952</v>
      </c>
      <c r="C510" t="s">
        <v>564</v>
      </c>
      <c r="D510" t="s">
        <v>31</v>
      </c>
      <c r="E510" s="1">
        <v>0.67291666666666672</v>
      </c>
      <c r="F510" t="s">
        <v>32</v>
      </c>
      <c r="G510" t="s">
        <v>33</v>
      </c>
      <c r="H510" t="s">
        <v>41</v>
      </c>
      <c r="I510" t="s">
        <v>62</v>
      </c>
      <c r="J510">
        <v>280</v>
      </c>
      <c r="K510">
        <v>0</v>
      </c>
      <c r="L510" t="s">
        <v>36</v>
      </c>
      <c r="M510" t="s">
        <v>37</v>
      </c>
      <c r="N510">
        <v>0</v>
      </c>
      <c r="O510">
        <v>0</v>
      </c>
      <c r="P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 t="s">
        <v>36</v>
      </c>
      <c r="AB510" t="s">
        <v>43</v>
      </c>
      <c r="AC510" t="str">
        <f t="shared" si="14"/>
        <v>CP</v>
      </c>
      <c r="AD510" t="str">
        <f>_xlfn.XLOOKUP(C510,Mapping!A:A,Mapping!D:D,0,0)</f>
        <v>Bin</v>
      </c>
      <c r="AE510" t="str">
        <f t="shared" si="15"/>
        <v>OLD</v>
      </c>
    </row>
    <row r="511" spans="1:31" x14ac:dyDescent="0.2">
      <c r="A511" t="s">
        <v>39</v>
      </c>
      <c r="B511">
        <v>1012750962</v>
      </c>
      <c r="C511" t="s">
        <v>565</v>
      </c>
      <c r="D511" t="s">
        <v>31</v>
      </c>
      <c r="E511" s="1">
        <v>0.67291666666666672</v>
      </c>
      <c r="F511" t="s">
        <v>32</v>
      </c>
      <c r="G511" t="s">
        <v>33</v>
      </c>
      <c r="H511" t="s">
        <v>41</v>
      </c>
      <c r="I511" t="s">
        <v>62</v>
      </c>
      <c r="J511">
        <v>280</v>
      </c>
      <c r="K511">
        <v>0</v>
      </c>
      <c r="L511" t="s">
        <v>63</v>
      </c>
      <c r="M511">
        <v>250</v>
      </c>
      <c r="N511">
        <v>0</v>
      </c>
      <c r="O511">
        <v>0</v>
      </c>
      <c r="P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 t="s">
        <v>36</v>
      </c>
      <c r="AB511" t="s">
        <v>43</v>
      </c>
      <c r="AC511" t="str">
        <f t="shared" si="14"/>
        <v>CP</v>
      </c>
      <c r="AD511" t="str">
        <f>_xlfn.XLOOKUP(C511,Mapping!A:A,Mapping!D:D,0,0)</f>
        <v>Bin</v>
      </c>
      <c r="AE511" t="str">
        <f t="shared" si="15"/>
        <v>OLD</v>
      </c>
    </row>
    <row r="512" spans="1:31" x14ac:dyDescent="0.2">
      <c r="A512" t="s">
        <v>29</v>
      </c>
      <c r="B512">
        <v>1012750972</v>
      </c>
      <c r="C512" t="s">
        <v>566</v>
      </c>
      <c r="D512" t="s">
        <v>31</v>
      </c>
      <c r="E512" s="1">
        <v>0.67291666666666672</v>
      </c>
      <c r="F512" t="s">
        <v>32</v>
      </c>
      <c r="G512" t="s">
        <v>33</v>
      </c>
      <c r="H512" t="s">
        <v>34</v>
      </c>
      <c r="I512" t="s">
        <v>84</v>
      </c>
      <c r="J512">
        <v>112</v>
      </c>
      <c r="K512">
        <v>0</v>
      </c>
      <c r="L512" t="s">
        <v>36</v>
      </c>
      <c r="M512" t="s">
        <v>37</v>
      </c>
      <c r="N512">
        <v>17333</v>
      </c>
      <c r="O512">
        <v>675</v>
      </c>
      <c r="P512">
        <v>3.8943099999999999</v>
      </c>
      <c r="Q512">
        <v>0</v>
      </c>
      <c r="R512">
        <v>49.38</v>
      </c>
      <c r="S512">
        <v>2.8490000000000002</v>
      </c>
      <c r="T512">
        <v>7.2999999999999995E-2</v>
      </c>
      <c r="U512">
        <v>0</v>
      </c>
      <c r="V512">
        <v>1</v>
      </c>
      <c r="W512">
        <v>0</v>
      </c>
      <c r="X512" t="s">
        <v>36</v>
      </c>
      <c r="Y512">
        <v>17334</v>
      </c>
      <c r="Z512">
        <v>13974</v>
      </c>
      <c r="AA512">
        <v>2038</v>
      </c>
      <c r="AB512" t="s">
        <v>172</v>
      </c>
      <c r="AC512" t="str">
        <f t="shared" si="14"/>
        <v>CP</v>
      </c>
      <c r="AD512" t="str">
        <f>_xlfn.XLOOKUP(C512,Mapping!A:A,Mapping!D:D,0,0)</f>
        <v>Keyword - Preroll</v>
      </c>
      <c r="AE512" t="str">
        <f t="shared" si="15"/>
        <v>OLD</v>
      </c>
    </row>
    <row r="513" spans="1:31" x14ac:dyDescent="0.2">
      <c r="A513" t="s">
        <v>29</v>
      </c>
      <c r="B513">
        <v>1012750982</v>
      </c>
      <c r="C513" t="s">
        <v>567</v>
      </c>
      <c r="D513" t="s">
        <v>31</v>
      </c>
      <c r="E513" s="1">
        <v>0.67291666666666672</v>
      </c>
      <c r="F513" t="s">
        <v>32</v>
      </c>
      <c r="G513" t="s">
        <v>33</v>
      </c>
      <c r="H513" t="s">
        <v>41</v>
      </c>
      <c r="I513" t="s">
        <v>62</v>
      </c>
      <c r="J513">
        <v>280</v>
      </c>
      <c r="K513">
        <v>0</v>
      </c>
      <c r="L513" t="s">
        <v>63</v>
      </c>
      <c r="M513">
        <v>250</v>
      </c>
      <c r="N513">
        <v>6999</v>
      </c>
      <c r="O513">
        <v>434</v>
      </c>
      <c r="P513">
        <v>6.2008900000000002</v>
      </c>
      <c r="Q513">
        <v>0</v>
      </c>
      <c r="R513">
        <v>10.199999999999999</v>
      </c>
      <c r="S513">
        <v>1.458</v>
      </c>
      <c r="T513">
        <v>2.4E-2</v>
      </c>
      <c r="U513">
        <v>0</v>
      </c>
      <c r="V513">
        <v>1</v>
      </c>
      <c r="W513">
        <v>0</v>
      </c>
      <c r="X513" t="s">
        <v>36</v>
      </c>
      <c r="Y513">
        <v>6999</v>
      </c>
      <c r="Z513">
        <v>6240</v>
      </c>
      <c r="AA513">
        <v>566</v>
      </c>
      <c r="AB513" t="s">
        <v>172</v>
      </c>
      <c r="AC513" t="str">
        <f t="shared" si="14"/>
        <v>CP</v>
      </c>
      <c r="AD513" t="str">
        <f>_xlfn.XLOOKUP(C513,Mapping!A:A,Mapping!D:D,0,0)</f>
        <v>Keyword - Preroll</v>
      </c>
      <c r="AE513" t="str">
        <f t="shared" si="15"/>
        <v>OLD</v>
      </c>
    </row>
    <row r="514" spans="1:31" x14ac:dyDescent="0.2">
      <c r="A514" t="s">
        <v>39</v>
      </c>
      <c r="B514">
        <v>1012750992</v>
      </c>
      <c r="C514" t="s">
        <v>568</v>
      </c>
      <c r="D514" t="s">
        <v>31</v>
      </c>
      <c r="E514" s="1">
        <v>0.67291666666666672</v>
      </c>
      <c r="F514" t="s">
        <v>32</v>
      </c>
      <c r="G514" t="s">
        <v>33</v>
      </c>
      <c r="H514" t="s">
        <v>41</v>
      </c>
      <c r="I514" t="s">
        <v>62</v>
      </c>
      <c r="J514">
        <v>280</v>
      </c>
      <c r="K514">
        <v>0</v>
      </c>
      <c r="L514" t="s">
        <v>36</v>
      </c>
      <c r="M514" t="s">
        <v>37</v>
      </c>
      <c r="N514">
        <v>0</v>
      </c>
      <c r="O514">
        <v>0</v>
      </c>
      <c r="P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 t="s">
        <v>36</v>
      </c>
      <c r="AB514" t="s">
        <v>43</v>
      </c>
      <c r="AC514" t="str">
        <f t="shared" si="14"/>
        <v>CP</v>
      </c>
      <c r="AD514" t="str">
        <f>_xlfn.XLOOKUP(C514,Mapping!A:A,Mapping!D:D,0,0)</f>
        <v>Bin</v>
      </c>
      <c r="AE514" t="str">
        <f t="shared" si="15"/>
        <v>OLD</v>
      </c>
    </row>
    <row r="515" spans="1:31" x14ac:dyDescent="0.2">
      <c r="A515" t="s">
        <v>39</v>
      </c>
      <c r="B515">
        <v>1012751002</v>
      </c>
      <c r="C515" t="s">
        <v>569</v>
      </c>
      <c r="D515" t="s">
        <v>31</v>
      </c>
      <c r="E515" s="1">
        <v>0.67291666666666672</v>
      </c>
      <c r="F515" t="s">
        <v>32</v>
      </c>
      <c r="G515" t="s">
        <v>33</v>
      </c>
      <c r="H515" t="s">
        <v>41</v>
      </c>
      <c r="I515" t="s">
        <v>62</v>
      </c>
      <c r="J515">
        <v>280</v>
      </c>
      <c r="K515">
        <v>0</v>
      </c>
      <c r="L515" t="s">
        <v>63</v>
      </c>
      <c r="M515">
        <v>250</v>
      </c>
      <c r="N515">
        <v>0</v>
      </c>
      <c r="O515">
        <v>0</v>
      </c>
      <c r="P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 t="s">
        <v>36</v>
      </c>
      <c r="AB515" t="s">
        <v>43</v>
      </c>
      <c r="AC515" t="str">
        <f t="shared" ref="AC515:AC578" si="16">LEFT(C515,2)</f>
        <v>CP</v>
      </c>
      <c r="AD515" t="str">
        <f>_xlfn.XLOOKUP(C515,Mapping!A:A,Mapping!D:D,0,0)</f>
        <v>Bin</v>
      </c>
      <c r="AE515" t="str">
        <f t="shared" ref="AE515:AE578" si="17">IFERROR(IF(SEARCH("_TJ",C515)&gt;0,"TJ",NA()),IFERROR(IF(SEARCH("_JB",C515)&gt;0,"JB",NA()),"OLD"))</f>
        <v>OLD</v>
      </c>
    </row>
    <row r="516" spans="1:31" x14ac:dyDescent="0.2">
      <c r="A516" t="s">
        <v>39</v>
      </c>
      <c r="B516">
        <v>1012751012</v>
      </c>
      <c r="C516" t="s">
        <v>570</v>
      </c>
      <c r="D516" t="s">
        <v>31</v>
      </c>
      <c r="E516" s="1">
        <v>0.67291666666666672</v>
      </c>
      <c r="F516" t="s">
        <v>32</v>
      </c>
      <c r="G516" t="s">
        <v>33</v>
      </c>
      <c r="H516" t="s">
        <v>41</v>
      </c>
      <c r="I516" t="s">
        <v>62</v>
      </c>
      <c r="J516">
        <v>280</v>
      </c>
      <c r="K516">
        <v>0</v>
      </c>
      <c r="L516" t="s">
        <v>63</v>
      </c>
      <c r="M516">
        <v>250</v>
      </c>
      <c r="N516">
        <v>0</v>
      </c>
      <c r="O516">
        <v>0</v>
      </c>
      <c r="P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0</v>
      </c>
      <c r="X516" t="s">
        <v>36</v>
      </c>
      <c r="AB516" t="s">
        <v>43</v>
      </c>
      <c r="AC516" t="str">
        <f t="shared" si="16"/>
        <v>CP</v>
      </c>
      <c r="AD516" t="str">
        <f>_xlfn.XLOOKUP(C516,Mapping!A:A,Mapping!D:D,0,0)</f>
        <v>Bin</v>
      </c>
      <c r="AE516" t="str">
        <f t="shared" si="17"/>
        <v>OLD</v>
      </c>
    </row>
    <row r="517" spans="1:31" x14ac:dyDescent="0.2">
      <c r="A517" t="s">
        <v>29</v>
      </c>
      <c r="B517">
        <v>1012751022</v>
      </c>
      <c r="C517" t="s">
        <v>571</v>
      </c>
      <c r="D517" t="s">
        <v>31</v>
      </c>
      <c r="E517" s="1">
        <v>0.67291666666666672</v>
      </c>
      <c r="F517" t="s">
        <v>32</v>
      </c>
      <c r="G517" t="s">
        <v>33</v>
      </c>
      <c r="H517" t="s">
        <v>34</v>
      </c>
      <c r="I517" t="s">
        <v>84</v>
      </c>
      <c r="J517">
        <v>112</v>
      </c>
      <c r="K517">
        <v>0</v>
      </c>
      <c r="L517" t="s">
        <v>36</v>
      </c>
      <c r="M517" t="s">
        <v>37</v>
      </c>
      <c r="N517">
        <v>77949</v>
      </c>
      <c r="O517">
        <v>3236</v>
      </c>
      <c r="P517">
        <v>4.1514300000000004</v>
      </c>
      <c r="Q517">
        <v>4</v>
      </c>
      <c r="R517">
        <v>229.11</v>
      </c>
      <c r="S517">
        <v>2.9390000000000001</v>
      </c>
      <c r="T517">
        <v>7.0999999999999994E-2</v>
      </c>
      <c r="U517">
        <v>57.277999999999999</v>
      </c>
      <c r="V517">
        <v>1</v>
      </c>
      <c r="W517">
        <v>0</v>
      </c>
      <c r="X517" t="s">
        <v>36</v>
      </c>
      <c r="Y517">
        <v>77948</v>
      </c>
      <c r="Z517">
        <v>63921</v>
      </c>
      <c r="AA517">
        <v>7242</v>
      </c>
      <c r="AB517" t="s">
        <v>172</v>
      </c>
      <c r="AC517" t="str">
        <f t="shared" si="16"/>
        <v>CP</v>
      </c>
      <c r="AD517" t="str">
        <f>_xlfn.XLOOKUP(C517,Mapping!A:A,Mapping!D:D,0,0)</f>
        <v>Keyword - Preroll</v>
      </c>
      <c r="AE517" t="str">
        <f t="shared" si="17"/>
        <v>OLD</v>
      </c>
    </row>
    <row r="518" spans="1:31" x14ac:dyDescent="0.2">
      <c r="A518" t="s">
        <v>39</v>
      </c>
      <c r="B518">
        <v>1012751032</v>
      </c>
      <c r="C518" t="s">
        <v>572</v>
      </c>
      <c r="D518" t="s">
        <v>31</v>
      </c>
      <c r="E518" s="1">
        <v>0.67291666666666672</v>
      </c>
      <c r="F518" t="s">
        <v>32</v>
      </c>
      <c r="G518" t="s">
        <v>33</v>
      </c>
      <c r="H518" t="s">
        <v>34</v>
      </c>
      <c r="I518" t="s">
        <v>84</v>
      </c>
      <c r="J518">
        <v>112</v>
      </c>
      <c r="K518">
        <v>0</v>
      </c>
      <c r="L518" t="s">
        <v>63</v>
      </c>
      <c r="M518">
        <v>250</v>
      </c>
      <c r="N518">
        <v>0</v>
      </c>
      <c r="O518">
        <v>0</v>
      </c>
      <c r="P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 t="s">
        <v>36</v>
      </c>
      <c r="AB518" t="s">
        <v>43</v>
      </c>
      <c r="AC518" t="str">
        <f t="shared" si="16"/>
        <v>CP</v>
      </c>
      <c r="AD518" t="str">
        <f>_xlfn.XLOOKUP(C518,Mapping!A:A,Mapping!D:D,0,0)</f>
        <v>Bin</v>
      </c>
      <c r="AE518" t="str">
        <f t="shared" si="17"/>
        <v>OLD</v>
      </c>
    </row>
    <row r="519" spans="1:31" x14ac:dyDescent="0.2">
      <c r="A519" t="s">
        <v>29</v>
      </c>
      <c r="B519">
        <v>1012751042</v>
      </c>
      <c r="C519" t="s">
        <v>573</v>
      </c>
      <c r="D519" t="s">
        <v>31</v>
      </c>
      <c r="E519" s="1">
        <v>0.67291666666666672</v>
      </c>
      <c r="F519" t="s">
        <v>32</v>
      </c>
      <c r="G519" t="s">
        <v>33</v>
      </c>
      <c r="H519" t="s">
        <v>41</v>
      </c>
      <c r="I519" t="s">
        <v>62</v>
      </c>
      <c r="J519">
        <v>280</v>
      </c>
      <c r="K519">
        <v>0</v>
      </c>
      <c r="L519" t="s">
        <v>36</v>
      </c>
      <c r="M519" t="s">
        <v>37</v>
      </c>
      <c r="N519">
        <v>64335</v>
      </c>
      <c r="O519">
        <v>2887</v>
      </c>
      <c r="P519">
        <v>4.4874499999999999</v>
      </c>
      <c r="Q519">
        <v>2</v>
      </c>
      <c r="R519">
        <v>111.68</v>
      </c>
      <c r="S519">
        <v>1.736</v>
      </c>
      <c r="T519">
        <v>3.9E-2</v>
      </c>
      <c r="U519">
        <v>55.841999999999999</v>
      </c>
      <c r="V519">
        <v>1</v>
      </c>
      <c r="W519">
        <v>0</v>
      </c>
      <c r="X519" t="s">
        <v>36</v>
      </c>
      <c r="Y519">
        <v>64334</v>
      </c>
      <c r="Z519">
        <v>57699</v>
      </c>
      <c r="AA519">
        <v>4843</v>
      </c>
      <c r="AB519" t="s">
        <v>172</v>
      </c>
      <c r="AC519" t="str">
        <f t="shared" si="16"/>
        <v>CP</v>
      </c>
      <c r="AD519" t="str">
        <f>_xlfn.XLOOKUP(C519,Mapping!A:A,Mapping!D:D,0,0)</f>
        <v>Keyword - Preroll</v>
      </c>
      <c r="AE519" t="str">
        <f t="shared" si="17"/>
        <v>OLD</v>
      </c>
    </row>
    <row r="520" spans="1:31" x14ac:dyDescent="0.2">
      <c r="A520" t="s">
        <v>39</v>
      </c>
      <c r="B520">
        <v>1012751052</v>
      </c>
      <c r="C520" t="s">
        <v>574</v>
      </c>
      <c r="D520" t="s">
        <v>31</v>
      </c>
      <c r="E520" s="1">
        <v>0.67291666666666672</v>
      </c>
      <c r="F520" t="s">
        <v>32</v>
      </c>
      <c r="G520" t="s">
        <v>33</v>
      </c>
      <c r="H520" t="s">
        <v>41</v>
      </c>
      <c r="I520" t="s">
        <v>62</v>
      </c>
      <c r="J520">
        <v>280</v>
      </c>
      <c r="K520">
        <v>0</v>
      </c>
      <c r="L520" t="s">
        <v>63</v>
      </c>
      <c r="M520">
        <v>250</v>
      </c>
      <c r="N520">
        <v>0</v>
      </c>
      <c r="O520">
        <v>0</v>
      </c>
      <c r="P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 t="s">
        <v>36</v>
      </c>
      <c r="AB520" t="s">
        <v>43</v>
      </c>
      <c r="AC520" t="str">
        <f t="shared" si="16"/>
        <v>CP</v>
      </c>
      <c r="AD520" t="str">
        <f>_xlfn.XLOOKUP(C520,Mapping!A:A,Mapping!D:D,0,0)</f>
        <v>Bin</v>
      </c>
      <c r="AE520" t="str">
        <f t="shared" si="17"/>
        <v>OLD</v>
      </c>
    </row>
    <row r="521" spans="1:31" x14ac:dyDescent="0.2">
      <c r="A521" t="s">
        <v>39</v>
      </c>
      <c r="B521">
        <v>1012751062</v>
      </c>
      <c r="C521" t="s">
        <v>575</v>
      </c>
      <c r="D521" t="s">
        <v>31</v>
      </c>
      <c r="E521" s="1">
        <v>0.67291666666666672</v>
      </c>
      <c r="F521" t="s">
        <v>32</v>
      </c>
      <c r="G521" t="s">
        <v>33</v>
      </c>
      <c r="H521" t="s">
        <v>41</v>
      </c>
      <c r="I521" t="s">
        <v>62</v>
      </c>
      <c r="J521">
        <v>280</v>
      </c>
      <c r="K521">
        <v>0</v>
      </c>
      <c r="L521" t="s">
        <v>63</v>
      </c>
      <c r="M521">
        <v>250</v>
      </c>
      <c r="N521">
        <v>0</v>
      </c>
      <c r="O521">
        <v>0</v>
      </c>
      <c r="P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 t="s">
        <v>36</v>
      </c>
      <c r="AB521" t="s">
        <v>43</v>
      </c>
      <c r="AC521" t="str">
        <f t="shared" si="16"/>
        <v>CP</v>
      </c>
      <c r="AD521" t="str">
        <f>_xlfn.XLOOKUP(C521,Mapping!A:A,Mapping!D:D,0,0)</f>
        <v>Bin</v>
      </c>
      <c r="AE521" t="str">
        <f t="shared" si="17"/>
        <v>OLD</v>
      </c>
    </row>
    <row r="522" spans="1:31" x14ac:dyDescent="0.2">
      <c r="A522" t="s">
        <v>39</v>
      </c>
      <c r="B522">
        <v>1012751072</v>
      </c>
      <c r="C522" t="s">
        <v>576</v>
      </c>
      <c r="D522" t="s">
        <v>31</v>
      </c>
      <c r="E522" s="1">
        <v>0.67291666666666672</v>
      </c>
      <c r="F522" t="s">
        <v>32</v>
      </c>
      <c r="G522" t="s">
        <v>33</v>
      </c>
      <c r="H522" t="s">
        <v>41</v>
      </c>
      <c r="I522" t="s">
        <v>62</v>
      </c>
      <c r="J522">
        <v>280</v>
      </c>
      <c r="K522">
        <v>0</v>
      </c>
      <c r="L522" t="s">
        <v>63</v>
      </c>
      <c r="M522">
        <v>250</v>
      </c>
      <c r="N522">
        <v>0</v>
      </c>
      <c r="O522">
        <v>0</v>
      </c>
      <c r="P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 t="s">
        <v>36</v>
      </c>
      <c r="AB522" t="s">
        <v>43</v>
      </c>
      <c r="AC522" t="str">
        <f t="shared" si="16"/>
        <v>CP</v>
      </c>
      <c r="AD522" t="str">
        <f>_xlfn.XLOOKUP(C522,Mapping!A:A,Mapping!D:D,0,0)</f>
        <v>Bin</v>
      </c>
      <c r="AE522" t="str">
        <f t="shared" si="17"/>
        <v>OLD</v>
      </c>
    </row>
    <row r="523" spans="1:31" x14ac:dyDescent="0.2">
      <c r="A523" t="s">
        <v>39</v>
      </c>
      <c r="B523">
        <v>1012751082</v>
      </c>
      <c r="C523" t="s">
        <v>577</v>
      </c>
      <c r="D523" t="s">
        <v>31</v>
      </c>
      <c r="E523" s="1">
        <v>0.67291666666666672</v>
      </c>
      <c r="F523" t="s">
        <v>32</v>
      </c>
      <c r="G523" t="s">
        <v>33</v>
      </c>
      <c r="H523" t="s">
        <v>34</v>
      </c>
      <c r="I523" t="s">
        <v>84</v>
      </c>
      <c r="J523">
        <v>112</v>
      </c>
      <c r="K523">
        <v>0</v>
      </c>
      <c r="L523" t="s">
        <v>63</v>
      </c>
      <c r="M523">
        <v>250</v>
      </c>
      <c r="N523">
        <v>0</v>
      </c>
      <c r="O523">
        <v>0</v>
      </c>
      <c r="P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 t="s">
        <v>36</v>
      </c>
      <c r="AB523" t="s">
        <v>43</v>
      </c>
      <c r="AC523" t="str">
        <f t="shared" si="16"/>
        <v>CP</v>
      </c>
      <c r="AD523" t="str">
        <f>_xlfn.XLOOKUP(C523,Mapping!A:A,Mapping!D:D,0,0)</f>
        <v>Bin</v>
      </c>
      <c r="AE523" t="str">
        <f t="shared" si="17"/>
        <v>OLD</v>
      </c>
    </row>
    <row r="524" spans="1:31" x14ac:dyDescent="0.2">
      <c r="A524" t="s">
        <v>39</v>
      </c>
      <c r="B524">
        <v>1012751092</v>
      </c>
      <c r="C524" t="s">
        <v>578</v>
      </c>
      <c r="D524" t="s">
        <v>31</v>
      </c>
      <c r="E524" s="1">
        <v>0.67291666666666672</v>
      </c>
      <c r="F524" t="s">
        <v>32</v>
      </c>
      <c r="G524" t="s">
        <v>33</v>
      </c>
      <c r="H524" t="s">
        <v>34</v>
      </c>
      <c r="I524" t="s">
        <v>84</v>
      </c>
      <c r="J524">
        <v>112</v>
      </c>
      <c r="K524">
        <v>0</v>
      </c>
      <c r="L524" t="s">
        <v>63</v>
      </c>
      <c r="M524">
        <v>250</v>
      </c>
      <c r="N524">
        <v>0</v>
      </c>
      <c r="O524">
        <v>0</v>
      </c>
      <c r="P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 t="s">
        <v>36</v>
      </c>
      <c r="AB524" t="s">
        <v>43</v>
      </c>
      <c r="AC524" t="str">
        <f t="shared" si="16"/>
        <v>CP</v>
      </c>
      <c r="AD524" t="str">
        <f>_xlfn.XLOOKUP(C524,Mapping!A:A,Mapping!D:D,0,0)</f>
        <v>Bin</v>
      </c>
      <c r="AE524" t="str">
        <f t="shared" si="17"/>
        <v>OLD</v>
      </c>
    </row>
    <row r="525" spans="1:31" x14ac:dyDescent="0.2">
      <c r="A525" t="s">
        <v>39</v>
      </c>
      <c r="B525">
        <v>1012751102</v>
      </c>
      <c r="C525" t="s">
        <v>579</v>
      </c>
      <c r="D525" t="s">
        <v>31</v>
      </c>
      <c r="E525" s="1">
        <v>0.67291666666666672</v>
      </c>
      <c r="F525" t="s">
        <v>32</v>
      </c>
      <c r="G525" t="s">
        <v>33</v>
      </c>
      <c r="H525" t="s">
        <v>41</v>
      </c>
      <c r="I525" t="s">
        <v>62</v>
      </c>
      <c r="J525">
        <v>280</v>
      </c>
      <c r="K525">
        <v>0</v>
      </c>
      <c r="L525" t="s">
        <v>63</v>
      </c>
      <c r="M525">
        <v>250</v>
      </c>
      <c r="N525">
        <v>0</v>
      </c>
      <c r="O525">
        <v>0</v>
      </c>
      <c r="P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 t="s">
        <v>36</v>
      </c>
      <c r="AB525" t="s">
        <v>43</v>
      </c>
      <c r="AC525" t="str">
        <f t="shared" si="16"/>
        <v>CP</v>
      </c>
      <c r="AD525" t="str">
        <f>_xlfn.XLOOKUP(C525,Mapping!A:A,Mapping!D:D,0,0)</f>
        <v>Bin</v>
      </c>
      <c r="AE525" t="str">
        <f t="shared" si="17"/>
        <v>OLD</v>
      </c>
    </row>
    <row r="526" spans="1:31" x14ac:dyDescent="0.2">
      <c r="A526" t="s">
        <v>39</v>
      </c>
      <c r="B526">
        <v>1012751112</v>
      </c>
      <c r="C526" t="s">
        <v>580</v>
      </c>
      <c r="D526" t="s">
        <v>31</v>
      </c>
      <c r="E526" s="1">
        <v>0.67291666666666672</v>
      </c>
      <c r="F526" t="s">
        <v>32</v>
      </c>
      <c r="G526" t="s">
        <v>33</v>
      </c>
      <c r="H526" t="s">
        <v>41</v>
      </c>
      <c r="I526" t="s">
        <v>62</v>
      </c>
      <c r="J526">
        <v>280</v>
      </c>
      <c r="K526">
        <v>0</v>
      </c>
      <c r="L526" t="s">
        <v>36</v>
      </c>
      <c r="M526" t="s">
        <v>37</v>
      </c>
      <c r="N526">
        <v>0</v>
      </c>
      <c r="O526">
        <v>0</v>
      </c>
      <c r="P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 t="s">
        <v>36</v>
      </c>
      <c r="AB526" t="s">
        <v>43</v>
      </c>
      <c r="AC526" t="str">
        <f t="shared" si="16"/>
        <v>CP</v>
      </c>
      <c r="AD526" t="str">
        <f>_xlfn.XLOOKUP(C526,Mapping!A:A,Mapping!D:D,0,0)</f>
        <v>Bin</v>
      </c>
      <c r="AE526" t="str">
        <f t="shared" si="17"/>
        <v>OLD</v>
      </c>
    </row>
    <row r="527" spans="1:31" x14ac:dyDescent="0.2">
      <c r="A527" t="s">
        <v>39</v>
      </c>
      <c r="B527">
        <v>1012751332</v>
      </c>
      <c r="C527" t="s">
        <v>581</v>
      </c>
      <c r="D527" t="s">
        <v>31</v>
      </c>
      <c r="E527" s="1">
        <v>0.38611111111111113</v>
      </c>
      <c r="F527" t="s">
        <v>32</v>
      </c>
      <c r="G527" t="s">
        <v>33</v>
      </c>
      <c r="H527" t="s">
        <v>41</v>
      </c>
      <c r="I527" t="s">
        <v>58</v>
      </c>
      <c r="J527">
        <v>8</v>
      </c>
      <c r="K527">
        <v>0</v>
      </c>
      <c r="L527" t="s">
        <v>36</v>
      </c>
      <c r="M527" t="s">
        <v>37</v>
      </c>
      <c r="N527">
        <v>0</v>
      </c>
      <c r="O527">
        <v>0</v>
      </c>
      <c r="P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 t="s">
        <v>36</v>
      </c>
      <c r="AB527" t="s">
        <v>43</v>
      </c>
      <c r="AC527" t="str">
        <f t="shared" si="16"/>
        <v>CP</v>
      </c>
      <c r="AD527" t="str">
        <f>_xlfn.XLOOKUP(C527,Mapping!A:A,Mapping!D:D,0,0)</f>
        <v>Bin</v>
      </c>
      <c r="AE527" t="str">
        <f t="shared" si="17"/>
        <v>OLD</v>
      </c>
    </row>
    <row r="528" spans="1:31" x14ac:dyDescent="0.2">
      <c r="A528" t="s">
        <v>39</v>
      </c>
      <c r="B528">
        <v>1012751342</v>
      </c>
      <c r="C528" t="s">
        <v>582</v>
      </c>
      <c r="D528" t="s">
        <v>31</v>
      </c>
      <c r="E528" s="1">
        <v>0.67291666666666672</v>
      </c>
      <c r="F528" t="s">
        <v>32</v>
      </c>
      <c r="G528" t="s">
        <v>33</v>
      </c>
      <c r="H528" t="s">
        <v>34</v>
      </c>
      <c r="I528" t="s">
        <v>84</v>
      </c>
      <c r="J528">
        <v>112</v>
      </c>
      <c r="K528">
        <v>0</v>
      </c>
      <c r="L528" t="s">
        <v>36</v>
      </c>
      <c r="M528" t="s">
        <v>37</v>
      </c>
      <c r="N528">
        <v>0</v>
      </c>
      <c r="O528">
        <v>0</v>
      </c>
      <c r="P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 t="s">
        <v>36</v>
      </c>
      <c r="AB528" t="s">
        <v>119</v>
      </c>
      <c r="AC528" t="str">
        <f t="shared" si="16"/>
        <v>CP</v>
      </c>
      <c r="AD528" t="str">
        <f>_xlfn.XLOOKUP(C528,Mapping!A:A,Mapping!D:D,0,0)</f>
        <v>Archive</v>
      </c>
      <c r="AE528" t="str">
        <f t="shared" si="17"/>
        <v>OLD</v>
      </c>
    </row>
    <row r="529" spans="1:31" x14ac:dyDescent="0.2">
      <c r="A529" t="s">
        <v>39</v>
      </c>
      <c r="B529">
        <v>1012751352</v>
      </c>
      <c r="C529" t="s">
        <v>583</v>
      </c>
      <c r="D529" t="s">
        <v>31</v>
      </c>
      <c r="E529" s="1">
        <v>0.38611111111111113</v>
      </c>
      <c r="F529" t="s">
        <v>32</v>
      </c>
      <c r="G529" t="s">
        <v>33</v>
      </c>
      <c r="H529" t="s">
        <v>41</v>
      </c>
      <c r="I529" t="s">
        <v>58</v>
      </c>
      <c r="J529">
        <v>8</v>
      </c>
      <c r="K529">
        <v>0</v>
      </c>
      <c r="L529" t="s">
        <v>36</v>
      </c>
      <c r="M529" t="s">
        <v>37</v>
      </c>
      <c r="N529">
        <v>0</v>
      </c>
      <c r="O529">
        <v>0</v>
      </c>
      <c r="P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 t="s">
        <v>36</v>
      </c>
      <c r="AB529" t="s">
        <v>43</v>
      </c>
      <c r="AC529" t="str">
        <f t="shared" si="16"/>
        <v>CP</v>
      </c>
      <c r="AD529" t="str">
        <f>_xlfn.XLOOKUP(C529,Mapping!A:A,Mapping!D:D,0,0)</f>
        <v>Bin</v>
      </c>
      <c r="AE529" t="str">
        <f t="shared" si="17"/>
        <v>OLD</v>
      </c>
    </row>
    <row r="530" spans="1:31" x14ac:dyDescent="0.2">
      <c r="A530" t="s">
        <v>39</v>
      </c>
      <c r="B530">
        <v>1012769582</v>
      </c>
      <c r="C530" t="s">
        <v>584</v>
      </c>
      <c r="D530" t="s">
        <v>31</v>
      </c>
      <c r="E530" t="s">
        <v>246</v>
      </c>
      <c r="F530" t="s">
        <v>247</v>
      </c>
      <c r="G530" t="s">
        <v>33</v>
      </c>
      <c r="H530" t="s">
        <v>41</v>
      </c>
      <c r="I530" t="s">
        <v>84</v>
      </c>
      <c r="J530">
        <v>416</v>
      </c>
      <c r="K530">
        <v>0</v>
      </c>
      <c r="L530" t="s">
        <v>63</v>
      </c>
      <c r="M530">
        <v>150</v>
      </c>
      <c r="N530">
        <v>0</v>
      </c>
      <c r="O530">
        <v>0</v>
      </c>
      <c r="P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0</v>
      </c>
      <c r="X530" t="s">
        <v>36</v>
      </c>
      <c r="AB530" t="s">
        <v>43</v>
      </c>
      <c r="AC530" t="str">
        <f t="shared" si="16"/>
        <v>CP</v>
      </c>
      <c r="AD530" t="str">
        <f>_xlfn.XLOOKUP(C530,Mapping!A:A,Mapping!D:D,0,0)</f>
        <v>Bin</v>
      </c>
      <c r="AE530" t="str">
        <f t="shared" si="17"/>
        <v>OLD</v>
      </c>
    </row>
    <row r="531" spans="1:31" x14ac:dyDescent="0.2">
      <c r="A531" t="s">
        <v>39</v>
      </c>
      <c r="B531">
        <v>1012769592</v>
      </c>
      <c r="C531" t="s">
        <v>245</v>
      </c>
      <c r="D531" t="s">
        <v>31</v>
      </c>
      <c r="E531" t="s">
        <v>246</v>
      </c>
      <c r="F531" t="s">
        <v>247</v>
      </c>
      <c r="G531" t="s">
        <v>33</v>
      </c>
      <c r="H531" t="s">
        <v>41</v>
      </c>
      <c r="I531" t="s">
        <v>84</v>
      </c>
      <c r="J531">
        <v>416</v>
      </c>
      <c r="K531">
        <v>0</v>
      </c>
      <c r="L531" t="s">
        <v>36</v>
      </c>
      <c r="M531" t="s">
        <v>37</v>
      </c>
      <c r="N531">
        <v>0</v>
      </c>
      <c r="O531">
        <v>0</v>
      </c>
      <c r="P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0</v>
      </c>
      <c r="X531" t="s">
        <v>36</v>
      </c>
      <c r="AB531" t="s">
        <v>43</v>
      </c>
      <c r="AC531" t="str">
        <f t="shared" si="16"/>
        <v>CP</v>
      </c>
      <c r="AD531" t="str">
        <f>_xlfn.XLOOKUP(C531,Mapping!A:A,Mapping!D:D,0,0)</f>
        <v>Bin</v>
      </c>
      <c r="AE531" t="str">
        <f t="shared" si="17"/>
        <v>OLD</v>
      </c>
    </row>
    <row r="532" spans="1:31" x14ac:dyDescent="0.2">
      <c r="A532" t="s">
        <v>39</v>
      </c>
      <c r="B532">
        <v>1012769602</v>
      </c>
      <c r="C532" t="s">
        <v>585</v>
      </c>
      <c r="D532" t="s">
        <v>31</v>
      </c>
      <c r="E532" t="s">
        <v>246</v>
      </c>
      <c r="F532" t="s">
        <v>247</v>
      </c>
      <c r="G532" t="s">
        <v>33</v>
      </c>
      <c r="H532" t="s">
        <v>41</v>
      </c>
      <c r="I532" t="s">
        <v>84</v>
      </c>
      <c r="J532">
        <v>416</v>
      </c>
      <c r="K532">
        <v>0</v>
      </c>
      <c r="L532" t="s">
        <v>63</v>
      </c>
      <c r="M532">
        <v>150</v>
      </c>
      <c r="N532">
        <v>0</v>
      </c>
      <c r="O532">
        <v>0</v>
      </c>
      <c r="P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 t="s">
        <v>36</v>
      </c>
      <c r="AB532" t="s">
        <v>43</v>
      </c>
      <c r="AC532" t="str">
        <f t="shared" si="16"/>
        <v>CP</v>
      </c>
      <c r="AD532" t="str">
        <f>_xlfn.XLOOKUP(C532,Mapping!A:A,Mapping!D:D,0,0)</f>
        <v>Bin</v>
      </c>
      <c r="AE532" t="str">
        <f t="shared" si="17"/>
        <v>OLD</v>
      </c>
    </row>
    <row r="533" spans="1:31" x14ac:dyDescent="0.2">
      <c r="A533" t="s">
        <v>39</v>
      </c>
      <c r="B533">
        <v>1012769612</v>
      </c>
      <c r="C533" t="s">
        <v>586</v>
      </c>
      <c r="D533" t="s">
        <v>31</v>
      </c>
      <c r="E533" t="s">
        <v>246</v>
      </c>
      <c r="F533" t="s">
        <v>247</v>
      </c>
      <c r="G533" t="s">
        <v>33</v>
      </c>
      <c r="H533" t="s">
        <v>41</v>
      </c>
      <c r="I533" t="s">
        <v>84</v>
      </c>
      <c r="J533">
        <v>416</v>
      </c>
      <c r="K533">
        <v>0</v>
      </c>
      <c r="L533" t="s">
        <v>36</v>
      </c>
      <c r="M533" t="s">
        <v>37</v>
      </c>
      <c r="N533">
        <v>0</v>
      </c>
      <c r="O533">
        <v>0</v>
      </c>
      <c r="P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0</v>
      </c>
      <c r="X533" t="s">
        <v>36</v>
      </c>
      <c r="AB533" t="s">
        <v>43</v>
      </c>
      <c r="AC533" t="str">
        <f t="shared" si="16"/>
        <v>CP</v>
      </c>
      <c r="AD533" t="str">
        <f>_xlfn.XLOOKUP(C533,Mapping!A:A,Mapping!D:D,0,0)</f>
        <v>Bin</v>
      </c>
      <c r="AE533" t="str">
        <f t="shared" si="17"/>
        <v>OLD</v>
      </c>
    </row>
    <row r="534" spans="1:31" x14ac:dyDescent="0.2">
      <c r="A534" t="s">
        <v>39</v>
      </c>
      <c r="B534">
        <v>1012769622</v>
      </c>
      <c r="C534" t="s">
        <v>587</v>
      </c>
      <c r="D534" t="s">
        <v>31</v>
      </c>
      <c r="E534" t="s">
        <v>246</v>
      </c>
      <c r="F534" t="s">
        <v>247</v>
      </c>
      <c r="G534" t="s">
        <v>33</v>
      </c>
      <c r="H534" t="s">
        <v>41</v>
      </c>
      <c r="I534" t="s">
        <v>84</v>
      </c>
      <c r="J534">
        <v>416</v>
      </c>
      <c r="K534">
        <v>0</v>
      </c>
      <c r="L534" t="s">
        <v>63</v>
      </c>
      <c r="M534">
        <v>150</v>
      </c>
      <c r="N534">
        <v>0</v>
      </c>
      <c r="O534">
        <v>0</v>
      </c>
      <c r="P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 t="s">
        <v>36</v>
      </c>
      <c r="AB534" t="s">
        <v>43</v>
      </c>
      <c r="AC534" t="str">
        <f t="shared" si="16"/>
        <v>CP</v>
      </c>
      <c r="AD534" t="str">
        <f>_xlfn.XLOOKUP(C534,Mapping!A:A,Mapping!D:D,0,0)</f>
        <v>Bin</v>
      </c>
      <c r="AE534" t="str">
        <f t="shared" si="17"/>
        <v>OLD</v>
      </c>
    </row>
    <row r="535" spans="1:31" x14ac:dyDescent="0.2">
      <c r="A535" t="s">
        <v>39</v>
      </c>
      <c r="B535">
        <v>1012769632</v>
      </c>
      <c r="C535" t="s">
        <v>588</v>
      </c>
      <c r="D535" t="s">
        <v>31</v>
      </c>
      <c r="E535" t="s">
        <v>246</v>
      </c>
      <c r="F535" t="s">
        <v>247</v>
      </c>
      <c r="G535" t="s">
        <v>33</v>
      </c>
      <c r="H535" t="s">
        <v>41</v>
      </c>
      <c r="I535" t="s">
        <v>84</v>
      </c>
      <c r="J535">
        <v>416</v>
      </c>
      <c r="K535">
        <v>0</v>
      </c>
      <c r="L535" t="s">
        <v>36</v>
      </c>
      <c r="M535" t="s">
        <v>37</v>
      </c>
      <c r="N535">
        <v>0</v>
      </c>
      <c r="O535">
        <v>0</v>
      </c>
      <c r="P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 t="s">
        <v>36</v>
      </c>
      <c r="AB535" t="s">
        <v>43</v>
      </c>
      <c r="AC535" t="str">
        <f t="shared" si="16"/>
        <v>CP</v>
      </c>
      <c r="AD535" t="str">
        <f>_xlfn.XLOOKUP(C535,Mapping!A:A,Mapping!D:D,0,0)</f>
        <v>Bin</v>
      </c>
      <c r="AE535" t="str">
        <f t="shared" si="17"/>
        <v>OLD</v>
      </c>
    </row>
    <row r="536" spans="1:31" x14ac:dyDescent="0.2">
      <c r="A536" t="s">
        <v>39</v>
      </c>
      <c r="B536">
        <v>1012772722</v>
      </c>
      <c r="C536" t="s">
        <v>589</v>
      </c>
      <c r="D536" t="s">
        <v>31</v>
      </c>
      <c r="E536" s="1">
        <v>0.67291666666666672</v>
      </c>
      <c r="F536" t="s">
        <v>32</v>
      </c>
      <c r="G536" t="s">
        <v>33</v>
      </c>
      <c r="H536" t="s">
        <v>41</v>
      </c>
      <c r="I536" t="s">
        <v>84</v>
      </c>
      <c r="J536">
        <v>280</v>
      </c>
      <c r="K536">
        <v>0</v>
      </c>
      <c r="L536" t="s">
        <v>36</v>
      </c>
      <c r="M536" t="s">
        <v>37</v>
      </c>
      <c r="N536">
        <v>0</v>
      </c>
      <c r="O536">
        <v>0</v>
      </c>
      <c r="P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 t="s">
        <v>36</v>
      </c>
      <c r="AB536" t="s">
        <v>43</v>
      </c>
      <c r="AC536" t="str">
        <f t="shared" si="16"/>
        <v>CP</v>
      </c>
      <c r="AD536" t="str">
        <f>_xlfn.XLOOKUP(C536,Mapping!A:A,Mapping!D:D,0,0)</f>
        <v>Bin</v>
      </c>
      <c r="AE536" t="str">
        <f t="shared" si="17"/>
        <v>OLD</v>
      </c>
    </row>
    <row r="537" spans="1:31" x14ac:dyDescent="0.2">
      <c r="A537" t="s">
        <v>39</v>
      </c>
      <c r="B537">
        <v>1012772732</v>
      </c>
      <c r="C537" t="s">
        <v>590</v>
      </c>
      <c r="D537" t="s">
        <v>31</v>
      </c>
      <c r="E537" s="1">
        <v>0.67291666666666672</v>
      </c>
      <c r="F537" t="s">
        <v>32</v>
      </c>
      <c r="G537" t="s">
        <v>33</v>
      </c>
      <c r="H537" t="s">
        <v>34</v>
      </c>
      <c r="I537" t="s">
        <v>84</v>
      </c>
      <c r="J537">
        <v>208</v>
      </c>
      <c r="K537">
        <v>0</v>
      </c>
      <c r="L537" t="s">
        <v>36</v>
      </c>
      <c r="M537" t="s">
        <v>37</v>
      </c>
      <c r="N537">
        <v>0</v>
      </c>
      <c r="O537">
        <v>0</v>
      </c>
      <c r="P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 t="s">
        <v>36</v>
      </c>
      <c r="AB537" t="s">
        <v>423</v>
      </c>
      <c r="AC537" t="str">
        <f t="shared" si="16"/>
        <v>CP</v>
      </c>
      <c r="AD537" t="str">
        <f>_xlfn.XLOOKUP(C537,Mapping!A:A,Mapping!D:D,0,0)</f>
        <v>Trans</v>
      </c>
      <c r="AE537" t="str">
        <f t="shared" si="17"/>
        <v>OLD</v>
      </c>
    </row>
    <row r="538" spans="1:31" x14ac:dyDescent="0.2">
      <c r="A538" t="s">
        <v>39</v>
      </c>
      <c r="B538">
        <v>1012772742</v>
      </c>
      <c r="C538" t="s">
        <v>591</v>
      </c>
      <c r="D538" t="s">
        <v>31</v>
      </c>
      <c r="E538" s="1">
        <v>0.67291666666666672</v>
      </c>
      <c r="F538" t="s">
        <v>32</v>
      </c>
      <c r="G538" t="s">
        <v>33</v>
      </c>
      <c r="H538" t="s">
        <v>41</v>
      </c>
      <c r="I538" t="s">
        <v>62</v>
      </c>
      <c r="J538">
        <v>280</v>
      </c>
      <c r="K538">
        <v>0</v>
      </c>
      <c r="L538" t="s">
        <v>63</v>
      </c>
      <c r="M538">
        <v>250</v>
      </c>
      <c r="N538">
        <v>0</v>
      </c>
      <c r="O538">
        <v>0</v>
      </c>
      <c r="P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0</v>
      </c>
      <c r="X538" t="s">
        <v>36</v>
      </c>
      <c r="AB538" t="s">
        <v>43</v>
      </c>
      <c r="AC538" t="str">
        <f t="shared" si="16"/>
        <v>CP</v>
      </c>
      <c r="AD538" t="str">
        <f>_xlfn.XLOOKUP(C538,Mapping!A:A,Mapping!D:D,0,0)</f>
        <v>Bin</v>
      </c>
      <c r="AE538" t="str">
        <f t="shared" si="17"/>
        <v>OLD</v>
      </c>
    </row>
    <row r="539" spans="1:31" x14ac:dyDescent="0.2">
      <c r="A539" t="s">
        <v>39</v>
      </c>
      <c r="B539">
        <v>1012772752</v>
      </c>
      <c r="C539" t="s">
        <v>592</v>
      </c>
      <c r="D539" t="s">
        <v>31</v>
      </c>
      <c r="E539" s="1">
        <v>0.67291666666666672</v>
      </c>
      <c r="F539" t="s">
        <v>32</v>
      </c>
      <c r="G539" t="s">
        <v>33</v>
      </c>
      <c r="H539" t="s">
        <v>34</v>
      </c>
      <c r="I539" t="s">
        <v>84</v>
      </c>
      <c r="J539">
        <v>112</v>
      </c>
      <c r="K539">
        <v>0</v>
      </c>
      <c r="L539" t="s">
        <v>63</v>
      </c>
      <c r="M539">
        <v>250</v>
      </c>
      <c r="N539">
        <v>0</v>
      </c>
      <c r="O539">
        <v>0</v>
      </c>
      <c r="P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 t="s">
        <v>36</v>
      </c>
      <c r="AB539" t="s">
        <v>43</v>
      </c>
      <c r="AC539" t="str">
        <f t="shared" si="16"/>
        <v>CP</v>
      </c>
      <c r="AD539" t="str">
        <f>_xlfn.XLOOKUP(C539,Mapping!A:A,Mapping!D:D,0,0)</f>
        <v>Bin</v>
      </c>
      <c r="AE539" t="str">
        <f t="shared" si="17"/>
        <v>OLD</v>
      </c>
    </row>
    <row r="540" spans="1:31" x14ac:dyDescent="0.2">
      <c r="A540" t="s">
        <v>39</v>
      </c>
      <c r="B540">
        <v>1012772762</v>
      </c>
      <c r="C540" t="s">
        <v>593</v>
      </c>
      <c r="D540" t="s">
        <v>31</v>
      </c>
      <c r="E540" s="1">
        <v>0.67291666666666672</v>
      </c>
      <c r="F540" t="s">
        <v>32</v>
      </c>
      <c r="G540" t="s">
        <v>33</v>
      </c>
      <c r="H540" t="s">
        <v>41</v>
      </c>
      <c r="I540" t="s">
        <v>84</v>
      </c>
      <c r="J540">
        <v>280</v>
      </c>
      <c r="K540">
        <v>0</v>
      </c>
      <c r="L540" t="s">
        <v>63</v>
      </c>
      <c r="M540">
        <v>250</v>
      </c>
      <c r="N540">
        <v>0</v>
      </c>
      <c r="O540">
        <v>0</v>
      </c>
      <c r="P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 t="s">
        <v>36</v>
      </c>
      <c r="AB540" t="s">
        <v>43</v>
      </c>
      <c r="AC540" t="str">
        <f t="shared" si="16"/>
        <v>CP</v>
      </c>
      <c r="AD540" t="str">
        <f>_xlfn.XLOOKUP(C540,Mapping!A:A,Mapping!D:D,0,0)</f>
        <v>Bin</v>
      </c>
      <c r="AE540" t="str">
        <f t="shared" si="17"/>
        <v>OLD</v>
      </c>
    </row>
    <row r="541" spans="1:31" x14ac:dyDescent="0.2">
      <c r="A541" t="s">
        <v>39</v>
      </c>
      <c r="B541">
        <v>1012772772</v>
      </c>
      <c r="C541" t="s">
        <v>594</v>
      </c>
      <c r="D541" t="s">
        <v>31</v>
      </c>
      <c r="E541" s="1">
        <v>0.67291666666666672</v>
      </c>
      <c r="F541" t="s">
        <v>32</v>
      </c>
      <c r="G541" t="s">
        <v>33</v>
      </c>
      <c r="H541" t="s">
        <v>41</v>
      </c>
      <c r="I541" t="s">
        <v>84</v>
      </c>
      <c r="J541">
        <v>280</v>
      </c>
      <c r="K541">
        <v>0</v>
      </c>
      <c r="L541" t="s">
        <v>36</v>
      </c>
      <c r="M541" t="s">
        <v>37</v>
      </c>
      <c r="N541">
        <v>0</v>
      </c>
      <c r="O541">
        <v>0</v>
      </c>
      <c r="P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0</v>
      </c>
      <c r="X541" t="s">
        <v>36</v>
      </c>
      <c r="AB541" t="s">
        <v>43</v>
      </c>
      <c r="AC541" t="str">
        <f t="shared" si="16"/>
        <v>CP</v>
      </c>
      <c r="AD541" t="str">
        <f>_xlfn.XLOOKUP(C541,Mapping!A:A,Mapping!D:D,0,0)</f>
        <v>Bin</v>
      </c>
      <c r="AE541" t="str">
        <f t="shared" si="17"/>
        <v>OLD</v>
      </c>
    </row>
    <row r="542" spans="1:31" x14ac:dyDescent="0.2">
      <c r="A542" t="s">
        <v>39</v>
      </c>
      <c r="B542">
        <v>1012772782</v>
      </c>
      <c r="C542" t="s">
        <v>595</v>
      </c>
      <c r="D542" t="s">
        <v>31</v>
      </c>
      <c r="E542" s="1">
        <v>0.67291666666666672</v>
      </c>
      <c r="F542" t="s">
        <v>32</v>
      </c>
      <c r="G542" t="s">
        <v>33</v>
      </c>
      <c r="H542" t="s">
        <v>34</v>
      </c>
      <c r="I542" t="s">
        <v>84</v>
      </c>
      <c r="J542">
        <v>112</v>
      </c>
      <c r="K542">
        <v>0</v>
      </c>
      <c r="L542" t="s">
        <v>63</v>
      </c>
      <c r="M542">
        <v>250</v>
      </c>
      <c r="N542">
        <v>0</v>
      </c>
      <c r="O542">
        <v>0</v>
      </c>
      <c r="P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 t="s">
        <v>36</v>
      </c>
      <c r="AB542" t="s">
        <v>43</v>
      </c>
      <c r="AC542" t="str">
        <f t="shared" si="16"/>
        <v>CP</v>
      </c>
      <c r="AD542" t="str">
        <f>_xlfn.XLOOKUP(C542,Mapping!A:A,Mapping!D:D,0,0)</f>
        <v>Keyword - Preroll</v>
      </c>
      <c r="AE542" t="str">
        <f t="shared" si="17"/>
        <v>OLD</v>
      </c>
    </row>
    <row r="543" spans="1:31" x14ac:dyDescent="0.2">
      <c r="A543" t="s">
        <v>39</v>
      </c>
      <c r="B543">
        <v>1012772792</v>
      </c>
      <c r="C543" t="s">
        <v>596</v>
      </c>
      <c r="D543" t="s">
        <v>31</v>
      </c>
      <c r="E543" s="1">
        <v>0.67291666666666672</v>
      </c>
      <c r="F543" t="s">
        <v>32</v>
      </c>
      <c r="G543" t="s">
        <v>33</v>
      </c>
      <c r="H543" t="s">
        <v>41</v>
      </c>
      <c r="I543" t="s">
        <v>62</v>
      </c>
      <c r="J543">
        <v>280</v>
      </c>
      <c r="K543">
        <v>0</v>
      </c>
      <c r="L543" t="s">
        <v>63</v>
      </c>
      <c r="M543">
        <v>250</v>
      </c>
      <c r="N543">
        <v>0</v>
      </c>
      <c r="O543">
        <v>0</v>
      </c>
      <c r="P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 t="s">
        <v>36</v>
      </c>
      <c r="AB543" t="s">
        <v>43</v>
      </c>
      <c r="AC543" t="str">
        <f t="shared" si="16"/>
        <v>CP</v>
      </c>
      <c r="AD543" t="str">
        <f>_xlfn.XLOOKUP(C543,Mapping!A:A,Mapping!D:D,0,0)</f>
        <v>Bin</v>
      </c>
      <c r="AE543" t="str">
        <f t="shared" si="17"/>
        <v>OLD</v>
      </c>
    </row>
    <row r="544" spans="1:31" x14ac:dyDescent="0.2">
      <c r="A544" t="s">
        <v>39</v>
      </c>
      <c r="B544">
        <v>1012772802</v>
      </c>
      <c r="C544" t="s">
        <v>597</v>
      </c>
      <c r="D544" t="s">
        <v>31</v>
      </c>
      <c r="E544" s="1">
        <v>0.67291666666666672</v>
      </c>
      <c r="F544" t="s">
        <v>32</v>
      </c>
      <c r="G544" t="s">
        <v>33</v>
      </c>
      <c r="H544" t="s">
        <v>41</v>
      </c>
      <c r="I544" t="s">
        <v>62</v>
      </c>
      <c r="J544">
        <v>280</v>
      </c>
      <c r="K544">
        <v>0</v>
      </c>
      <c r="L544" t="s">
        <v>63</v>
      </c>
      <c r="M544">
        <v>250</v>
      </c>
      <c r="N544">
        <v>0</v>
      </c>
      <c r="O544">
        <v>0</v>
      </c>
      <c r="P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 t="s">
        <v>36</v>
      </c>
      <c r="AB544" t="s">
        <v>43</v>
      </c>
      <c r="AC544" t="str">
        <f t="shared" si="16"/>
        <v>CP</v>
      </c>
      <c r="AD544" t="str">
        <f>_xlfn.XLOOKUP(C544,Mapping!A:A,Mapping!D:D,0,0)</f>
        <v>Bin</v>
      </c>
      <c r="AE544" t="str">
        <f t="shared" si="17"/>
        <v>OLD</v>
      </c>
    </row>
    <row r="545" spans="1:31" x14ac:dyDescent="0.2">
      <c r="A545" t="s">
        <v>39</v>
      </c>
      <c r="B545">
        <v>1012772812</v>
      </c>
      <c r="C545" t="s">
        <v>598</v>
      </c>
      <c r="D545" t="s">
        <v>31</v>
      </c>
      <c r="E545" s="1">
        <v>0.67291666666666672</v>
      </c>
      <c r="F545" t="s">
        <v>32</v>
      </c>
      <c r="G545" t="s">
        <v>33</v>
      </c>
      <c r="H545" t="s">
        <v>34</v>
      </c>
      <c r="I545" t="s">
        <v>84</v>
      </c>
      <c r="J545">
        <v>112</v>
      </c>
      <c r="K545">
        <v>0</v>
      </c>
      <c r="L545" t="s">
        <v>36</v>
      </c>
      <c r="M545" t="s">
        <v>37</v>
      </c>
      <c r="N545">
        <v>0</v>
      </c>
      <c r="O545">
        <v>0</v>
      </c>
      <c r="P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 t="s">
        <v>36</v>
      </c>
      <c r="AB545" t="s">
        <v>43</v>
      </c>
      <c r="AC545" t="str">
        <f t="shared" si="16"/>
        <v>CP</v>
      </c>
      <c r="AD545" t="str">
        <f>_xlfn.XLOOKUP(C545,Mapping!A:A,Mapping!D:D,0,0)</f>
        <v>Keyword - Preroll</v>
      </c>
      <c r="AE545" t="str">
        <f t="shared" si="17"/>
        <v>OLD</v>
      </c>
    </row>
    <row r="546" spans="1:31" x14ac:dyDescent="0.2">
      <c r="A546" t="s">
        <v>39</v>
      </c>
      <c r="B546">
        <v>1012772872</v>
      </c>
      <c r="C546" t="s">
        <v>599</v>
      </c>
      <c r="D546" t="s">
        <v>31</v>
      </c>
      <c r="E546" s="1">
        <v>0.67291666666666672</v>
      </c>
      <c r="F546" t="s">
        <v>32</v>
      </c>
      <c r="G546" t="s">
        <v>33</v>
      </c>
      <c r="H546" t="s">
        <v>34</v>
      </c>
      <c r="I546" t="s">
        <v>84</v>
      </c>
      <c r="J546">
        <v>112</v>
      </c>
      <c r="K546">
        <v>0</v>
      </c>
      <c r="L546" t="s">
        <v>36</v>
      </c>
      <c r="M546" t="s">
        <v>37</v>
      </c>
      <c r="N546">
        <v>0</v>
      </c>
      <c r="O546">
        <v>0</v>
      </c>
      <c r="P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0</v>
      </c>
      <c r="X546" t="s">
        <v>36</v>
      </c>
      <c r="AB546" t="s">
        <v>43</v>
      </c>
      <c r="AC546" t="str">
        <f t="shared" si="16"/>
        <v>CP</v>
      </c>
      <c r="AD546" t="str">
        <f>_xlfn.XLOOKUP(C546,Mapping!A:A,Mapping!D:D,0,0)</f>
        <v>Bin</v>
      </c>
      <c r="AE546" t="str">
        <f t="shared" si="17"/>
        <v>OLD</v>
      </c>
    </row>
    <row r="547" spans="1:31" x14ac:dyDescent="0.2">
      <c r="A547" t="s">
        <v>39</v>
      </c>
      <c r="B547">
        <v>1012772882</v>
      </c>
      <c r="C547" t="s">
        <v>600</v>
      </c>
      <c r="D547" t="s">
        <v>31</v>
      </c>
      <c r="E547" s="1">
        <v>0.67291666666666672</v>
      </c>
      <c r="F547" t="s">
        <v>32</v>
      </c>
      <c r="G547" t="s">
        <v>33</v>
      </c>
      <c r="H547" t="s">
        <v>41</v>
      </c>
      <c r="I547" t="s">
        <v>62</v>
      </c>
      <c r="J547">
        <v>280</v>
      </c>
      <c r="K547">
        <v>0</v>
      </c>
      <c r="L547" t="s">
        <v>63</v>
      </c>
      <c r="M547">
        <v>250</v>
      </c>
      <c r="N547">
        <v>0</v>
      </c>
      <c r="O547">
        <v>0</v>
      </c>
      <c r="P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 t="s">
        <v>36</v>
      </c>
      <c r="AB547" t="s">
        <v>43</v>
      </c>
      <c r="AC547" t="str">
        <f t="shared" si="16"/>
        <v>CP</v>
      </c>
      <c r="AD547" t="str">
        <f>_xlfn.XLOOKUP(C547,Mapping!A:A,Mapping!D:D,0,0)</f>
        <v>Bin</v>
      </c>
      <c r="AE547" t="str">
        <f t="shared" si="17"/>
        <v>OLD</v>
      </c>
    </row>
    <row r="548" spans="1:31" x14ac:dyDescent="0.2">
      <c r="A548" t="s">
        <v>39</v>
      </c>
      <c r="B548">
        <v>1012772892</v>
      </c>
      <c r="C548" t="s">
        <v>601</v>
      </c>
      <c r="D548" t="s">
        <v>31</v>
      </c>
      <c r="E548" s="1">
        <v>0.67291666666666672</v>
      </c>
      <c r="F548" t="s">
        <v>32</v>
      </c>
      <c r="G548" t="s">
        <v>33</v>
      </c>
      <c r="H548" t="s">
        <v>41</v>
      </c>
      <c r="I548" t="s">
        <v>84</v>
      </c>
      <c r="J548">
        <v>280</v>
      </c>
      <c r="K548">
        <v>0</v>
      </c>
      <c r="L548" t="s">
        <v>63</v>
      </c>
      <c r="M548">
        <v>250</v>
      </c>
      <c r="N548">
        <v>0</v>
      </c>
      <c r="O548">
        <v>0</v>
      </c>
      <c r="P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 t="s">
        <v>36</v>
      </c>
      <c r="AB548" t="s">
        <v>43</v>
      </c>
      <c r="AC548" t="str">
        <f t="shared" si="16"/>
        <v>CP</v>
      </c>
      <c r="AD548" t="str">
        <f>_xlfn.XLOOKUP(C548,Mapping!A:A,Mapping!D:D,0,0)</f>
        <v>Bin</v>
      </c>
      <c r="AE548" t="str">
        <f t="shared" si="17"/>
        <v>OLD</v>
      </c>
    </row>
    <row r="549" spans="1:31" x14ac:dyDescent="0.2">
      <c r="A549" t="s">
        <v>39</v>
      </c>
      <c r="B549">
        <v>1012772902</v>
      </c>
      <c r="C549" t="s">
        <v>602</v>
      </c>
      <c r="D549" t="s">
        <v>31</v>
      </c>
      <c r="E549" s="1">
        <v>0.67291666666666672</v>
      </c>
      <c r="F549" t="s">
        <v>32</v>
      </c>
      <c r="G549" t="s">
        <v>33</v>
      </c>
      <c r="H549" t="s">
        <v>41</v>
      </c>
      <c r="I549" t="s">
        <v>84</v>
      </c>
      <c r="J549">
        <v>280</v>
      </c>
      <c r="K549">
        <v>0</v>
      </c>
      <c r="L549" t="s">
        <v>63</v>
      </c>
      <c r="M549">
        <v>250</v>
      </c>
      <c r="N549">
        <v>0</v>
      </c>
      <c r="O549">
        <v>0</v>
      </c>
      <c r="P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 t="s">
        <v>36</v>
      </c>
      <c r="AB549" t="s">
        <v>43</v>
      </c>
      <c r="AC549" t="str">
        <f t="shared" si="16"/>
        <v>CP</v>
      </c>
      <c r="AD549" t="str">
        <f>_xlfn.XLOOKUP(C549,Mapping!A:A,Mapping!D:D,0,0)</f>
        <v>Bin</v>
      </c>
      <c r="AE549" t="str">
        <f t="shared" si="17"/>
        <v>OLD</v>
      </c>
    </row>
    <row r="550" spans="1:31" x14ac:dyDescent="0.2">
      <c r="A550" t="s">
        <v>39</v>
      </c>
      <c r="B550">
        <v>1012772912</v>
      </c>
      <c r="C550" t="s">
        <v>603</v>
      </c>
      <c r="D550" t="s">
        <v>31</v>
      </c>
      <c r="E550" s="1">
        <v>0.67291666666666672</v>
      </c>
      <c r="F550" t="s">
        <v>32</v>
      </c>
      <c r="G550" t="s">
        <v>33</v>
      </c>
      <c r="H550" t="s">
        <v>34</v>
      </c>
      <c r="I550" t="s">
        <v>84</v>
      </c>
      <c r="J550">
        <v>112</v>
      </c>
      <c r="K550">
        <v>0</v>
      </c>
      <c r="L550" t="s">
        <v>36</v>
      </c>
      <c r="M550" t="s">
        <v>37</v>
      </c>
      <c r="N550">
        <v>0</v>
      </c>
      <c r="O550">
        <v>0</v>
      </c>
      <c r="P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 t="s">
        <v>36</v>
      </c>
      <c r="AB550" t="s">
        <v>43</v>
      </c>
      <c r="AC550" t="str">
        <f t="shared" si="16"/>
        <v>CP</v>
      </c>
      <c r="AD550" t="str">
        <f>_xlfn.XLOOKUP(C550,Mapping!A:A,Mapping!D:D,0,0)</f>
        <v>Bin</v>
      </c>
      <c r="AE550" t="str">
        <f t="shared" si="17"/>
        <v>OLD</v>
      </c>
    </row>
    <row r="551" spans="1:31" x14ac:dyDescent="0.2">
      <c r="A551" t="s">
        <v>39</v>
      </c>
      <c r="B551">
        <v>1012772922</v>
      </c>
      <c r="C551" t="s">
        <v>604</v>
      </c>
      <c r="D551" t="s">
        <v>31</v>
      </c>
      <c r="E551" s="1">
        <v>0.67291666666666672</v>
      </c>
      <c r="F551" t="s">
        <v>32</v>
      </c>
      <c r="G551" t="s">
        <v>33</v>
      </c>
      <c r="H551" t="s">
        <v>41</v>
      </c>
      <c r="I551" t="s">
        <v>62</v>
      </c>
      <c r="J551">
        <v>280</v>
      </c>
      <c r="K551">
        <v>0</v>
      </c>
      <c r="L551" t="s">
        <v>63</v>
      </c>
      <c r="M551">
        <v>250</v>
      </c>
      <c r="N551">
        <v>0</v>
      </c>
      <c r="O551">
        <v>0</v>
      </c>
      <c r="P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 t="s">
        <v>36</v>
      </c>
      <c r="AB551" t="s">
        <v>43</v>
      </c>
      <c r="AC551" t="str">
        <f t="shared" si="16"/>
        <v>CP</v>
      </c>
      <c r="AD551" t="str">
        <f>_xlfn.XLOOKUP(C551,Mapping!A:A,Mapping!D:D,0,0)</f>
        <v>Bin</v>
      </c>
      <c r="AE551" t="str">
        <f t="shared" si="17"/>
        <v>OLD</v>
      </c>
    </row>
    <row r="552" spans="1:31" x14ac:dyDescent="0.2">
      <c r="A552" t="s">
        <v>39</v>
      </c>
      <c r="B552">
        <v>1012772932</v>
      </c>
      <c r="C552" t="s">
        <v>605</v>
      </c>
      <c r="D552" t="s">
        <v>31</v>
      </c>
      <c r="E552" s="1">
        <v>0.67291666666666672</v>
      </c>
      <c r="F552" t="s">
        <v>32</v>
      </c>
      <c r="G552" t="s">
        <v>33</v>
      </c>
      <c r="H552" t="s">
        <v>34</v>
      </c>
      <c r="I552" t="s">
        <v>84</v>
      </c>
      <c r="J552">
        <v>112</v>
      </c>
      <c r="K552">
        <v>0</v>
      </c>
      <c r="L552" t="s">
        <v>36</v>
      </c>
      <c r="M552" t="s">
        <v>37</v>
      </c>
      <c r="N552">
        <v>6</v>
      </c>
      <c r="O552">
        <v>0</v>
      </c>
      <c r="P552">
        <v>0</v>
      </c>
      <c r="Q552">
        <v>0</v>
      </c>
      <c r="R552">
        <v>0.01</v>
      </c>
      <c r="S552">
        <v>1.675</v>
      </c>
      <c r="T552">
        <v>0</v>
      </c>
      <c r="U552">
        <v>0</v>
      </c>
      <c r="V552">
        <v>1</v>
      </c>
      <c r="W552">
        <v>0</v>
      </c>
      <c r="X552" t="s">
        <v>36</v>
      </c>
      <c r="Y552">
        <v>6</v>
      </c>
      <c r="Z552">
        <v>2</v>
      </c>
      <c r="AA552">
        <v>1</v>
      </c>
      <c r="AB552" t="s">
        <v>606</v>
      </c>
      <c r="AC552" t="str">
        <f t="shared" si="16"/>
        <v>CP</v>
      </c>
      <c r="AD552" t="str">
        <f>_xlfn.XLOOKUP(C552,Mapping!A:A,Mapping!D:D,0,0)</f>
        <v>Keyword - Preroll</v>
      </c>
      <c r="AE552" t="str">
        <f t="shared" si="17"/>
        <v>OLD</v>
      </c>
    </row>
    <row r="553" spans="1:31" x14ac:dyDescent="0.2">
      <c r="A553" t="s">
        <v>39</v>
      </c>
      <c r="B553">
        <v>1012772942</v>
      </c>
      <c r="C553" t="s">
        <v>607</v>
      </c>
      <c r="D553" t="s">
        <v>31</v>
      </c>
      <c r="E553" s="1">
        <v>0.67291666666666672</v>
      </c>
      <c r="F553" t="s">
        <v>32</v>
      </c>
      <c r="G553" t="s">
        <v>33</v>
      </c>
      <c r="H553" t="s">
        <v>34</v>
      </c>
      <c r="I553" t="s">
        <v>84</v>
      </c>
      <c r="J553">
        <v>112</v>
      </c>
      <c r="K553">
        <v>0</v>
      </c>
      <c r="L553" t="s">
        <v>36</v>
      </c>
      <c r="M553" t="s">
        <v>37</v>
      </c>
      <c r="N553">
        <v>2</v>
      </c>
      <c r="O553">
        <v>0</v>
      </c>
      <c r="P553">
        <v>0</v>
      </c>
      <c r="Q553">
        <v>0</v>
      </c>
      <c r="R553">
        <v>0</v>
      </c>
      <c r="S553">
        <v>1.4610000000000001</v>
      </c>
      <c r="T553">
        <v>0</v>
      </c>
      <c r="U553">
        <v>0</v>
      </c>
      <c r="V553">
        <v>1</v>
      </c>
      <c r="W553">
        <v>0</v>
      </c>
      <c r="X553" t="s">
        <v>36</v>
      </c>
      <c r="Y553">
        <v>2</v>
      </c>
      <c r="Z553">
        <v>1</v>
      </c>
      <c r="AA553">
        <v>0</v>
      </c>
      <c r="AB553" t="s">
        <v>119</v>
      </c>
      <c r="AC553" t="str">
        <f t="shared" si="16"/>
        <v>CP</v>
      </c>
      <c r="AD553" t="str">
        <f>_xlfn.XLOOKUP(C553,Mapping!A:A,Mapping!D:D,0,0)</f>
        <v>Archive</v>
      </c>
      <c r="AE553" t="str">
        <f t="shared" si="17"/>
        <v>OLD</v>
      </c>
    </row>
    <row r="554" spans="1:31" x14ac:dyDescent="0.2">
      <c r="A554" t="s">
        <v>39</v>
      </c>
      <c r="B554">
        <v>1012772952</v>
      </c>
      <c r="C554" t="s">
        <v>608</v>
      </c>
      <c r="D554" t="s">
        <v>31</v>
      </c>
      <c r="E554" s="1">
        <v>0.67291666666666672</v>
      </c>
      <c r="F554" t="s">
        <v>32</v>
      </c>
      <c r="G554" t="s">
        <v>33</v>
      </c>
      <c r="H554" t="s">
        <v>41</v>
      </c>
      <c r="I554" t="s">
        <v>62</v>
      </c>
      <c r="J554">
        <v>280</v>
      </c>
      <c r="K554">
        <v>0</v>
      </c>
      <c r="L554" t="s">
        <v>63</v>
      </c>
      <c r="M554">
        <v>250</v>
      </c>
      <c r="N554">
        <v>0</v>
      </c>
      <c r="O554">
        <v>0</v>
      </c>
      <c r="P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 t="s">
        <v>36</v>
      </c>
      <c r="AB554" t="s">
        <v>43</v>
      </c>
      <c r="AC554" t="str">
        <f t="shared" si="16"/>
        <v>CP</v>
      </c>
      <c r="AD554" t="str">
        <f>_xlfn.XLOOKUP(C554,Mapping!A:A,Mapping!D:D,0,0)</f>
        <v>Bin</v>
      </c>
      <c r="AE554" t="str">
        <f t="shared" si="17"/>
        <v>OLD</v>
      </c>
    </row>
    <row r="555" spans="1:31" x14ac:dyDescent="0.2">
      <c r="A555" t="s">
        <v>39</v>
      </c>
      <c r="B555">
        <v>1012772962</v>
      </c>
      <c r="C555" t="s">
        <v>609</v>
      </c>
      <c r="D555" t="s">
        <v>31</v>
      </c>
      <c r="E555" s="1">
        <v>0.67291666666666672</v>
      </c>
      <c r="F555" t="s">
        <v>32</v>
      </c>
      <c r="G555" t="s">
        <v>33</v>
      </c>
      <c r="H555" t="s">
        <v>41</v>
      </c>
      <c r="I555" t="s">
        <v>62</v>
      </c>
      <c r="J555">
        <v>280</v>
      </c>
      <c r="K555">
        <v>0</v>
      </c>
      <c r="L555" t="s">
        <v>63</v>
      </c>
      <c r="M555">
        <v>250</v>
      </c>
      <c r="N555">
        <v>0</v>
      </c>
      <c r="O555">
        <v>0</v>
      </c>
      <c r="P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 t="s">
        <v>36</v>
      </c>
      <c r="AB555" t="s">
        <v>43</v>
      </c>
      <c r="AC555" t="str">
        <f t="shared" si="16"/>
        <v>CP</v>
      </c>
      <c r="AD555" t="str">
        <f>_xlfn.XLOOKUP(C555,Mapping!A:A,Mapping!D:D,0,0)</f>
        <v>Bin</v>
      </c>
      <c r="AE555" t="str">
        <f t="shared" si="17"/>
        <v>OLD</v>
      </c>
    </row>
    <row r="556" spans="1:31" x14ac:dyDescent="0.2">
      <c r="A556" t="s">
        <v>39</v>
      </c>
      <c r="B556">
        <v>1012772972</v>
      </c>
      <c r="C556" t="s">
        <v>610</v>
      </c>
      <c r="D556" t="s">
        <v>31</v>
      </c>
      <c r="E556" s="1">
        <v>0.67291666666666672</v>
      </c>
      <c r="F556" t="s">
        <v>32</v>
      </c>
      <c r="G556" t="s">
        <v>33</v>
      </c>
      <c r="H556" t="s">
        <v>41</v>
      </c>
      <c r="I556" t="s">
        <v>62</v>
      </c>
      <c r="J556">
        <v>280</v>
      </c>
      <c r="K556">
        <v>0</v>
      </c>
      <c r="L556" t="s">
        <v>63</v>
      </c>
      <c r="M556">
        <v>250</v>
      </c>
      <c r="N556">
        <v>0</v>
      </c>
      <c r="O556">
        <v>0</v>
      </c>
      <c r="P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 t="s">
        <v>36</v>
      </c>
      <c r="AB556" t="s">
        <v>43</v>
      </c>
      <c r="AC556" t="str">
        <f t="shared" si="16"/>
        <v>CP</v>
      </c>
      <c r="AD556" t="str">
        <f>_xlfn.XLOOKUP(C556,Mapping!A:A,Mapping!D:D,0,0)</f>
        <v>Bin</v>
      </c>
      <c r="AE556" t="str">
        <f t="shared" si="17"/>
        <v>OLD</v>
      </c>
    </row>
    <row r="557" spans="1:31" x14ac:dyDescent="0.2">
      <c r="A557" t="s">
        <v>39</v>
      </c>
      <c r="B557">
        <v>1012772982</v>
      </c>
      <c r="C557" t="s">
        <v>611</v>
      </c>
      <c r="D557" t="s">
        <v>31</v>
      </c>
      <c r="E557" s="1">
        <v>0.67291666666666672</v>
      </c>
      <c r="F557" t="s">
        <v>32</v>
      </c>
      <c r="G557" t="s">
        <v>33</v>
      </c>
      <c r="H557" t="s">
        <v>41</v>
      </c>
      <c r="I557" t="s">
        <v>62</v>
      </c>
      <c r="J557">
        <v>280</v>
      </c>
      <c r="K557">
        <v>0</v>
      </c>
      <c r="L557" t="s">
        <v>36</v>
      </c>
      <c r="M557" t="s">
        <v>37</v>
      </c>
      <c r="N557">
        <v>0</v>
      </c>
      <c r="O557">
        <v>0</v>
      </c>
      <c r="P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 t="s">
        <v>36</v>
      </c>
      <c r="AB557" t="s">
        <v>43</v>
      </c>
      <c r="AC557" t="str">
        <f t="shared" si="16"/>
        <v>CP</v>
      </c>
      <c r="AD557" t="str">
        <f>_xlfn.XLOOKUP(C557,Mapping!A:A,Mapping!D:D,0,0)</f>
        <v>Bin</v>
      </c>
      <c r="AE557" t="str">
        <f t="shared" si="17"/>
        <v>OLD</v>
      </c>
    </row>
    <row r="558" spans="1:31" x14ac:dyDescent="0.2">
      <c r="A558" t="s">
        <v>39</v>
      </c>
      <c r="B558">
        <v>1012772992</v>
      </c>
      <c r="C558" t="s">
        <v>612</v>
      </c>
      <c r="D558" t="s">
        <v>31</v>
      </c>
      <c r="E558" s="1">
        <v>0.67291666666666672</v>
      </c>
      <c r="F558" t="s">
        <v>32</v>
      </c>
      <c r="G558" t="s">
        <v>33</v>
      </c>
      <c r="H558" t="s">
        <v>41</v>
      </c>
      <c r="I558" t="s">
        <v>62</v>
      </c>
      <c r="J558">
        <v>280</v>
      </c>
      <c r="K558">
        <v>0</v>
      </c>
      <c r="L558" t="s">
        <v>63</v>
      </c>
      <c r="M558">
        <v>250</v>
      </c>
      <c r="N558">
        <v>0</v>
      </c>
      <c r="O558">
        <v>0</v>
      </c>
      <c r="P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 t="s">
        <v>36</v>
      </c>
      <c r="AB558" t="s">
        <v>43</v>
      </c>
      <c r="AC558" t="str">
        <f t="shared" si="16"/>
        <v>CP</v>
      </c>
      <c r="AD558" t="str">
        <f>_xlfn.XLOOKUP(C558,Mapping!A:A,Mapping!D:D,0,0)</f>
        <v>Bin</v>
      </c>
      <c r="AE558" t="str">
        <f t="shared" si="17"/>
        <v>OLD</v>
      </c>
    </row>
    <row r="559" spans="1:31" x14ac:dyDescent="0.2">
      <c r="A559" t="s">
        <v>39</v>
      </c>
      <c r="B559">
        <v>1012773002</v>
      </c>
      <c r="C559" t="s">
        <v>613</v>
      </c>
      <c r="D559" t="s">
        <v>31</v>
      </c>
      <c r="E559" s="1">
        <v>0.67291666666666672</v>
      </c>
      <c r="F559" t="s">
        <v>32</v>
      </c>
      <c r="G559" t="s">
        <v>33</v>
      </c>
      <c r="H559" t="s">
        <v>41</v>
      </c>
      <c r="I559" t="s">
        <v>62</v>
      </c>
      <c r="J559">
        <v>280</v>
      </c>
      <c r="K559">
        <v>0</v>
      </c>
      <c r="L559" t="s">
        <v>36</v>
      </c>
      <c r="M559" t="s">
        <v>37</v>
      </c>
      <c r="N559">
        <v>0</v>
      </c>
      <c r="O559">
        <v>0</v>
      </c>
      <c r="P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 t="s">
        <v>36</v>
      </c>
      <c r="AB559" t="s">
        <v>43</v>
      </c>
      <c r="AC559" t="str">
        <f t="shared" si="16"/>
        <v>CP</v>
      </c>
      <c r="AD559" t="str">
        <f>_xlfn.XLOOKUP(C559,Mapping!A:A,Mapping!D:D,0,0)</f>
        <v>Bin</v>
      </c>
      <c r="AE559" t="str">
        <f t="shared" si="17"/>
        <v>OLD</v>
      </c>
    </row>
    <row r="560" spans="1:31" x14ac:dyDescent="0.2">
      <c r="A560" t="s">
        <v>39</v>
      </c>
      <c r="B560">
        <v>1012773012</v>
      </c>
      <c r="C560" t="s">
        <v>614</v>
      </c>
      <c r="D560" t="s">
        <v>31</v>
      </c>
      <c r="E560" s="1">
        <v>0.67291666666666672</v>
      </c>
      <c r="F560" t="s">
        <v>32</v>
      </c>
      <c r="G560" t="s">
        <v>33</v>
      </c>
      <c r="H560" t="s">
        <v>41</v>
      </c>
      <c r="I560" t="s">
        <v>124</v>
      </c>
      <c r="J560">
        <v>90</v>
      </c>
      <c r="K560">
        <v>0</v>
      </c>
      <c r="L560" t="s">
        <v>63</v>
      </c>
      <c r="M560">
        <v>250</v>
      </c>
      <c r="N560">
        <v>0</v>
      </c>
      <c r="O560">
        <v>0</v>
      </c>
      <c r="P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 t="s">
        <v>36</v>
      </c>
      <c r="AB560" t="s">
        <v>43</v>
      </c>
      <c r="AC560" t="str">
        <f t="shared" si="16"/>
        <v>CP</v>
      </c>
      <c r="AD560" t="str">
        <f>_xlfn.XLOOKUP(C560,Mapping!A:A,Mapping!D:D,0,0)</f>
        <v>Bin</v>
      </c>
      <c r="AE560" t="str">
        <f t="shared" si="17"/>
        <v>OLD</v>
      </c>
    </row>
    <row r="561" spans="1:31" x14ac:dyDescent="0.2">
      <c r="A561" t="s">
        <v>39</v>
      </c>
      <c r="B561">
        <v>1012773022</v>
      </c>
      <c r="C561" t="s">
        <v>615</v>
      </c>
      <c r="D561" t="s">
        <v>31</v>
      </c>
      <c r="E561" s="1">
        <v>0.67291666666666672</v>
      </c>
      <c r="F561" t="s">
        <v>32</v>
      </c>
      <c r="G561" t="s">
        <v>33</v>
      </c>
      <c r="H561" t="s">
        <v>41</v>
      </c>
      <c r="I561" t="s">
        <v>84</v>
      </c>
      <c r="J561">
        <v>280</v>
      </c>
      <c r="K561">
        <v>0</v>
      </c>
      <c r="L561" t="s">
        <v>63</v>
      </c>
      <c r="M561">
        <v>250</v>
      </c>
      <c r="N561">
        <v>0</v>
      </c>
      <c r="O561">
        <v>0</v>
      </c>
      <c r="P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 t="s">
        <v>36</v>
      </c>
      <c r="AB561" t="s">
        <v>43</v>
      </c>
      <c r="AC561" t="str">
        <f t="shared" si="16"/>
        <v>CP</v>
      </c>
      <c r="AD561" t="str">
        <f>_xlfn.XLOOKUP(C561,Mapping!A:A,Mapping!D:D,0,0)</f>
        <v>Bin</v>
      </c>
      <c r="AE561" t="str">
        <f t="shared" si="17"/>
        <v>OLD</v>
      </c>
    </row>
    <row r="562" spans="1:31" x14ac:dyDescent="0.2">
      <c r="A562" t="s">
        <v>39</v>
      </c>
      <c r="B562">
        <v>1012773032</v>
      </c>
      <c r="C562" t="s">
        <v>616</v>
      </c>
      <c r="D562" t="s">
        <v>31</v>
      </c>
      <c r="E562" s="1">
        <v>0.67291666666666672</v>
      </c>
      <c r="F562" t="s">
        <v>32</v>
      </c>
      <c r="G562" t="s">
        <v>33</v>
      </c>
      <c r="H562" t="s">
        <v>34</v>
      </c>
      <c r="I562" t="s">
        <v>84</v>
      </c>
      <c r="J562">
        <v>112</v>
      </c>
      <c r="K562">
        <v>0</v>
      </c>
      <c r="L562" t="s">
        <v>63</v>
      </c>
      <c r="M562">
        <v>250</v>
      </c>
      <c r="N562">
        <v>0</v>
      </c>
      <c r="O562">
        <v>0</v>
      </c>
      <c r="P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 t="s">
        <v>36</v>
      </c>
      <c r="AB562" t="s">
        <v>43</v>
      </c>
      <c r="AC562" t="str">
        <f t="shared" si="16"/>
        <v>CP</v>
      </c>
      <c r="AD562" t="str">
        <f>_xlfn.XLOOKUP(C562,Mapping!A:A,Mapping!D:D,0,0)</f>
        <v>Bin</v>
      </c>
      <c r="AE562" t="str">
        <f t="shared" si="17"/>
        <v>OLD</v>
      </c>
    </row>
    <row r="563" spans="1:31" x14ac:dyDescent="0.2">
      <c r="A563" t="s">
        <v>39</v>
      </c>
      <c r="B563">
        <v>1012773042</v>
      </c>
      <c r="C563" t="s">
        <v>617</v>
      </c>
      <c r="D563" t="s">
        <v>31</v>
      </c>
      <c r="E563" s="1">
        <v>0.67291666666666672</v>
      </c>
      <c r="F563" t="s">
        <v>32</v>
      </c>
      <c r="G563" t="s">
        <v>33</v>
      </c>
      <c r="H563" t="s">
        <v>41</v>
      </c>
      <c r="I563" t="s">
        <v>62</v>
      </c>
      <c r="J563">
        <v>280</v>
      </c>
      <c r="K563">
        <v>0</v>
      </c>
      <c r="L563" t="s">
        <v>36</v>
      </c>
      <c r="M563" t="s">
        <v>37</v>
      </c>
      <c r="N563">
        <v>0</v>
      </c>
      <c r="O563">
        <v>0</v>
      </c>
      <c r="P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 t="s">
        <v>36</v>
      </c>
      <c r="AB563" t="s">
        <v>618</v>
      </c>
      <c r="AC563" t="str">
        <f t="shared" si="16"/>
        <v>CP</v>
      </c>
      <c r="AD563" t="str">
        <f>_xlfn.XLOOKUP(C563,Mapping!A:A,Mapping!D:D,0,0)</f>
        <v>Hentai</v>
      </c>
      <c r="AE563" t="str">
        <f t="shared" si="17"/>
        <v>OLD</v>
      </c>
    </row>
    <row r="564" spans="1:31" x14ac:dyDescent="0.2">
      <c r="A564" t="s">
        <v>39</v>
      </c>
      <c r="B564">
        <v>1012773052</v>
      </c>
      <c r="C564" t="s">
        <v>619</v>
      </c>
      <c r="D564" t="s">
        <v>31</v>
      </c>
      <c r="E564" s="1">
        <v>0.67291666666666672</v>
      </c>
      <c r="F564" t="s">
        <v>32</v>
      </c>
      <c r="G564" t="s">
        <v>33</v>
      </c>
      <c r="H564" t="s">
        <v>41</v>
      </c>
      <c r="I564" t="s">
        <v>62</v>
      </c>
      <c r="J564">
        <v>280</v>
      </c>
      <c r="K564">
        <v>0</v>
      </c>
      <c r="L564" t="s">
        <v>36</v>
      </c>
      <c r="M564" t="s">
        <v>37</v>
      </c>
      <c r="N564">
        <v>0</v>
      </c>
      <c r="O564">
        <v>0</v>
      </c>
      <c r="P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 t="s">
        <v>36</v>
      </c>
      <c r="AB564" t="s">
        <v>43</v>
      </c>
      <c r="AC564" t="str">
        <f t="shared" si="16"/>
        <v>CP</v>
      </c>
      <c r="AD564" t="str">
        <f>_xlfn.XLOOKUP(C564,Mapping!A:A,Mapping!D:D,0,0)</f>
        <v>Bin</v>
      </c>
      <c r="AE564" t="str">
        <f t="shared" si="17"/>
        <v>OLD</v>
      </c>
    </row>
    <row r="565" spans="1:31" x14ac:dyDescent="0.2">
      <c r="A565" t="s">
        <v>29</v>
      </c>
      <c r="B565">
        <v>1012773062</v>
      </c>
      <c r="C565" t="s">
        <v>620</v>
      </c>
      <c r="D565" t="s">
        <v>31</v>
      </c>
      <c r="E565" s="1">
        <v>0.67291666666666672</v>
      </c>
      <c r="F565" t="s">
        <v>32</v>
      </c>
      <c r="G565" t="s">
        <v>33</v>
      </c>
      <c r="H565" t="s">
        <v>41</v>
      </c>
      <c r="I565" t="s">
        <v>62</v>
      </c>
      <c r="J565">
        <v>280</v>
      </c>
      <c r="K565">
        <v>0</v>
      </c>
      <c r="L565" t="s">
        <v>36</v>
      </c>
      <c r="M565" t="s">
        <v>37</v>
      </c>
      <c r="N565">
        <v>18963</v>
      </c>
      <c r="O565">
        <v>862</v>
      </c>
      <c r="P565">
        <v>4.5456799999999999</v>
      </c>
      <c r="Q565">
        <v>2</v>
      </c>
      <c r="R565">
        <v>30.39</v>
      </c>
      <c r="S565">
        <v>1.603</v>
      </c>
      <c r="T565">
        <v>3.5000000000000003E-2</v>
      </c>
      <c r="U565">
        <v>15.194000000000001</v>
      </c>
      <c r="V565">
        <v>1</v>
      </c>
      <c r="W565">
        <v>0</v>
      </c>
      <c r="X565" t="s">
        <v>36</v>
      </c>
      <c r="Y565">
        <v>18963</v>
      </c>
      <c r="Z565">
        <v>16826</v>
      </c>
      <c r="AA565">
        <v>1169</v>
      </c>
      <c r="AB565" t="s">
        <v>618</v>
      </c>
      <c r="AC565" t="str">
        <f t="shared" si="16"/>
        <v>CP</v>
      </c>
      <c r="AD565" t="str">
        <f>_xlfn.XLOOKUP(C565,Mapping!A:A,Mapping!D:D,0,0)</f>
        <v>Hentai</v>
      </c>
      <c r="AE565" t="str">
        <f t="shared" si="17"/>
        <v>OLD</v>
      </c>
    </row>
    <row r="566" spans="1:31" x14ac:dyDescent="0.2">
      <c r="A566" t="s">
        <v>39</v>
      </c>
      <c r="B566">
        <v>1012773072</v>
      </c>
      <c r="C566" t="s">
        <v>621</v>
      </c>
      <c r="D566" t="s">
        <v>31</v>
      </c>
      <c r="E566" s="1">
        <v>0.67291666666666672</v>
      </c>
      <c r="F566" t="s">
        <v>32</v>
      </c>
      <c r="G566" t="s">
        <v>33</v>
      </c>
      <c r="H566" t="s">
        <v>41</v>
      </c>
      <c r="I566" t="s">
        <v>62</v>
      </c>
      <c r="J566">
        <v>280</v>
      </c>
      <c r="K566">
        <v>0</v>
      </c>
      <c r="L566" t="s">
        <v>63</v>
      </c>
      <c r="M566">
        <v>250</v>
      </c>
      <c r="N566">
        <v>0</v>
      </c>
      <c r="O566">
        <v>0</v>
      </c>
      <c r="P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 t="s">
        <v>36</v>
      </c>
      <c r="AB566" t="s">
        <v>43</v>
      </c>
      <c r="AC566" t="str">
        <f t="shared" si="16"/>
        <v>CP</v>
      </c>
      <c r="AD566" t="str">
        <f>_xlfn.XLOOKUP(C566,Mapping!A:A,Mapping!D:D,0,0)</f>
        <v>Bin</v>
      </c>
      <c r="AE566" t="str">
        <f t="shared" si="17"/>
        <v>OLD</v>
      </c>
    </row>
    <row r="567" spans="1:31" x14ac:dyDescent="0.2">
      <c r="A567" t="s">
        <v>39</v>
      </c>
      <c r="B567">
        <v>1012773082</v>
      </c>
      <c r="C567" t="s">
        <v>622</v>
      </c>
      <c r="D567" t="s">
        <v>31</v>
      </c>
      <c r="E567" s="1">
        <v>0.67291666666666672</v>
      </c>
      <c r="F567" t="s">
        <v>32</v>
      </c>
      <c r="G567" t="s">
        <v>33</v>
      </c>
      <c r="H567" t="s">
        <v>41</v>
      </c>
      <c r="I567" t="s">
        <v>62</v>
      </c>
      <c r="J567">
        <v>280</v>
      </c>
      <c r="K567">
        <v>0</v>
      </c>
      <c r="L567" t="s">
        <v>36</v>
      </c>
      <c r="M567" t="s">
        <v>37</v>
      </c>
      <c r="N567">
        <v>0</v>
      </c>
      <c r="O567">
        <v>0</v>
      </c>
      <c r="P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 t="s">
        <v>36</v>
      </c>
      <c r="AB567" t="s">
        <v>43</v>
      </c>
      <c r="AC567" t="str">
        <f t="shared" si="16"/>
        <v>CP</v>
      </c>
      <c r="AD567" t="str">
        <f>_xlfn.XLOOKUP(C567,Mapping!A:A,Mapping!D:D,0,0)</f>
        <v>Bin</v>
      </c>
      <c r="AE567" t="str">
        <f t="shared" si="17"/>
        <v>OLD</v>
      </c>
    </row>
    <row r="568" spans="1:31" x14ac:dyDescent="0.2">
      <c r="A568" t="s">
        <v>39</v>
      </c>
      <c r="B568">
        <v>1012773092</v>
      </c>
      <c r="C568" t="s">
        <v>623</v>
      </c>
      <c r="D568" t="s">
        <v>31</v>
      </c>
      <c r="E568" s="1">
        <v>0.67291666666666672</v>
      </c>
      <c r="F568" t="s">
        <v>32</v>
      </c>
      <c r="G568" t="s">
        <v>33</v>
      </c>
      <c r="H568" t="s">
        <v>34</v>
      </c>
      <c r="I568" t="s">
        <v>84</v>
      </c>
      <c r="J568">
        <v>112</v>
      </c>
      <c r="K568">
        <v>0</v>
      </c>
      <c r="L568" t="s">
        <v>36</v>
      </c>
      <c r="M568" t="s">
        <v>37</v>
      </c>
      <c r="N568">
        <v>0</v>
      </c>
      <c r="O568">
        <v>0</v>
      </c>
      <c r="P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 t="s">
        <v>36</v>
      </c>
      <c r="AB568" t="s">
        <v>43</v>
      </c>
      <c r="AC568" t="str">
        <f t="shared" si="16"/>
        <v>CP</v>
      </c>
      <c r="AD568" t="str">
        <f>_xlfn.XLOOKUP(C568,Mapping!A:A,Mapping!D:D,0,0)</f>
        <v>Bin</v>
      </c>
      <c r="AE568" t="str">
        <f t="shared" si="17"/>
        <v>OLD</v>
      </c>
    </row>
    <row r="569" spans="1:31" x14ac:dyDescent="0.2">
      <c r="A569" t="s">
        <v>29</v>
      </c>
      <c r="B569">
        <v>1012773102</v>
      </c>
      <c r="C569" t="s">
        <v>624</v>
      </c>
      <c r="D569" t="s">
        <v>31</v>
      </c>
      <c r="E569" s="1">
        <v>0.67291666666666672</v>
      </c>
      <c r="F569" t="s">
        <v>32</v>
      </c>
      <c r="G569" t="s">
        <v>33</v>
      </c>
      <c r="H569" t="s">
        <v>41</v>
      </c>
      <c r="I569" t="s">
        <v>62</v>
      </c>
      <c r="J569">
        <v>130</v>
      </c>
      <c r="K569">
        <v>0</v>
      </c>
      <c r="L569" t="s">
        <v>36</v>
      </c>
      <c r="M569" t="s">
        <v>37</v>
      </c>
      <c r="N569">
        <v>203640</v>
      </c>
      <c r="O569">
        <v>17604</v>
      </c>
      <c r="P569">
        <v>8.6446699999999996</v>
      </c>
      <c r="Q569">
        <v>5</v>
      </c>
      <c r="R569">
        <v>443.17</v>
      </c>
      <c r="S569">
        <v>2.1760000000000002</v>
      </c>
      <c r="T569">
        <v>2.5000000000000001E-2</v>
      </c>
      <c r="U569">
        <v>88.634</v>
      </c>
      <c r="V569">
        <v>1</v>
      </c>
      <c r="W569">
        <v>0</v>
      </c>
      <c r="X569" t="s">
        <v>63</v>
      </c>
      <c r="Y569">
        <v>203637</v>
      </c>
      <c r="Z569">
        <v>183291</v>
      </c>
      <c r="AA569">
        <v>13347</v>
      </c>
      <c r="AB569" t="s">
        <v>96</v>
      </c>
      <c r="AC569" t="str">
        <f t="shared" si="16"/>
        <v>CP</v>
      </c>
      <c r="AD569" t="str">
        <f>_xlfn.XLOOKUP(C569,Mapping!A:A,Mapping!D:D,0,0)</f>
        <v>Keyword - Preroll</v>
      </c>
      <c r="AE569" t="str">
        <f t="shared" si="17"/>
        <v>OLD</v>
      </c>
    </row>
    <row r="570" spans="1:31" x14ac:dyDescent="0.2">
      <c r="A570" t="s">
        <v>29</v>
      </c>
      <c r="B570">
        <v>1012773112</v>
      </c>
      <c r="C570" t="s">
        <v>625</v>
      </c>
      <c r="D570" t="s">
        <v>31</v>
      </c>
      <c r="E570" s="1">
        <v>0.67291666666666672</v>
      </c>
      <c r="F570" t="s">
        <v>32</v>
      </c>
      <c r="G570" t="s">
        <v>33</v>
      </c>
      <c r="H570" t="s">
        <v>41</v>
      </c>
      <c r="I570" t="s">
        <v>42</v>
      </c>
      <c r="J570">
        <v>370</v>
      </c>
      <c r="K570">
        <v>0</v>
      </c>
      <c r="L570" t="s">
        <v>36</v>
      </c>
      <c r="M570" t="s">
        <v>37</v>
      </c>
      <c r="N570">
        <v>109149</v>
      </c>
      <c r="O570">
        <v>5164</v>
      </c>
      <c r="P570">
        <v>4.7311500000000004</v>
      </c>
      <c r="Q570">
        <v>5</v>
      </c>
      <c r="R570">
        <v>277.82</v>
      </c>
      <c r="S570">
        <v>2.5449999999999999</v>
      </c>
      <c r="T570">
        <v>5.3999999999999999E-2</v>
      </c>
      <c r="U570">
        <v>55.564</v>
      </c>
      <c r="V570">
        <v>1</v>
      </c>
      <c r="W570">
        <v>0</v>
      </c>
      <c r="X570" t="s">
        <v>36</v>
      </c>
      <c r="Y570">
        <v>109145</v>
      </c>
      <c r="Z570">
        <v>97338</v>
      </c>
      <c r="AA570">
        <v>8701</v>
      </c>
      <c r="AB570" t="s">
        <v>38</v>
      </c>
      <c r="AC570" t="str">
        <f t="shared" si="16"/>
        <v>CP</v>
      </c>
      <c r="AD570" t="str">
        <f>_xlfn.XLOOKUP(C570,Mapping!A:A,Mapping!D:D,0,0)</f>
        <v>AI</v>
      </c>
      <c r="AE570" t="str">
        <f t="shared" si="17"/>
        <v>OLD</v>
      </c>
    </row>
    <row r="571" spans="1:31" x14ac:dyDescent="0.2">
      <c r="A571" t="s">
        <v>29</v>
      </c>
      <c r="B571">
        <v>1012773122</v>
      </c>
      <c r="C571" t="s">
        <v>626</v>
      </c>
      <c r="D571" t="s">
        <v>31</v>
      </c>
      <c r="E571" s="1">
        <v>0.67291666666666672</v>
      </c>
      <c r="F571" t="s">
        <v>32</v>
      </c>
      <c r="G571" t="s">
        <v>33</v>
      </c>
      <c r="H571" t="s">
        <v>41</v>
      </c>
      <c r="I571" t="s">
        <v>42</v>
      </c>
      <c r="J571">
        <v>370</v>
      </c>
      <c r="K571">
        <v>0</v>
      </c>
      <c r="L571" t="s">
        <v>36</v>
      </c>
      <c r="M571" t="s">
        <v>37</v>
      </c>
      <c r="N571">
        <v>119807</v>
      </c>
      <c r="O571">
        <v>7382</v>
      </c>
      <c r="P571">
        <v>6.1615799999999998</v>
      </c>
      <c r="Q571">
        <v>3</v>
      </c>
      <c r="R571">
        <v>293.60000000000002</v>
      </c>
      <c r="S571">
        <v>2.4510000000000001</v>
      </c>
      <c r="T571">
        <v>0.04</v>
      </c>
      <c r="U571">
        <v>97.867999999999995</v>
      </c>
      <c r="V571">
        <v>1</v>
      </c>
      <c r="W571">
        <v>0</v>
      </c>
      <c r="X571" t="s">
        <v>36</v>
      </c>
      <c r="Y571">
        <v>119807</v>
      </c>
      <c r="Z571">
        <v>106339</v>
      </c>
      <c r="AA571">
        <v>9839</v>
      </c>
      <c r="AB571" t="s">
        <v>38</v>
      </c>
      <c r="AC571" t="str">
        <f t="shared" si="16"/>
        <v>CP</v>
      </c>
      <c r="AD571" t="str">
        <f>_xlfn.XLOOKUP(C571,Mapping!A:A,Mapping!D:D,0,0)</f>
        <v>AI</v>
      </c>
      <c r="AE571" t="str">
        <f t="shared" si="17"/>
        <v>OLD</v>
      </c>
    </row>
    <row r="572" spans="1:31" x14ac:dyDescent="0.2">
      <c r="A572" t="s">
        <v>39</v>
      </c>
      <c r="B572">
        <v>1012797382</v>
      </c>
      <c r="C572" t="s">
        <v>627</v>
      </c>
      <c r="D572" t="s">
        <v>31</v>
      </c>
      <c r="E572" s="1">
        <v>0.67291666666666672</v>
      </c>
      <c r="F572" t="s">
        <v>32</v>
      </c>
      <c r="G572" t="s">
        <v>33</v>
      </c>
      <c r="H572" t="s">
        <v>41</v>
      </c>
      <c r="I572" t="s">
        <v>62</v>
      </c>
      <c r="J572">
        <v>70</v>
      </c>
      <c r="K572">
        <v>0</v>
      </c>
      <c r="L572" t="s">
        <v>63</v>
      </c>
      <c r="M572">
        <v>500</v>
      </c>
      <c r="N572">
        <v>0</v>
      </c>
      <c r="O572">
        <v>0</v>
      </c>
      <c r="P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 t="s">
        <v>36</v>
      </c>
      <c r="AB572" t="s">
        <v>43</v>
      </c>
      <c r="AC572" t="str">
        <f t="shared" si="16"/>
        <v>CP</v>
      </c>
      <c r="AD572" t="str">
        <f>_xlfn.XLOOKUP(C572,Mapping!A:A,Mapping!D:D,0,0)</f>
        <v>Bin</v>
      </c>
      <c r="AE572" t="str">
        <f t="shared" si="17"/>
        <v>OLD</v>
      </c>
    </row>
    <row r="573" spans="1:31" x14ac:dyDescent="0.2">
      <c r="A573" t="s">
        <v>39</v>
      </c>
      <c r="B573">
        <v>1012797402</v>
      </c>
      <c r="C573" t="s">
        <v>597</v>
      </c>
      <c r="D573" t="s">
        <v>31</v>
      </c>
      <c r="E573" s="1">
        <v>0.67291666666666672</v>
      </c>
      <c r="F573" t="s">
        <v>32</v>
      </c>
      <c r="G573" t="s">
        <v>33</v>
      </c>
      <c r="H573" t="s">
        <v>41</v>
      </c>
      <c r="I573" t="s">
        <v>62</v>
      </c>
      <c r="J573">
        <v>70</v>
      </c>
      <c r="K573">
        <v>0</v>
      </c>
      <c r="L573" t="s">
        <v>63</v>
      </c>
      <c r="M573">
        <v>500</v>
      </c>
      <c r="N573">
        <v>0</v>
      </c>
      <c r="O573">
        <v>0</v>
      </c>
      <c r="P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 t="s">
        <v>36</v>
      </c>
      <c r="AB573" t="s">
        <v>43</v>
      </c>
      <c r="AC573" t="str">
        <f t="shared" si="16"/>
        <v>CP</v>
      </c>
      <c r="AD573" t="str">
        <f>_xlfn.XLOOKUP(C573,Mapping!A:A,Mapping!D:D,0,0)</f>
        <v>Bin</v>
      </c>
      <c r="AE573" t="str">
        <f t="shared" si="17"/>
        <v>OLD</v>
      </c>
    </row>
    <row r="574" spans="1:31" x14ac:dyDescent="0.2">
      <c r="A574" t="s">
        <v>39</v>
      </c>
      <c r="B574">
        <v>1012797422</v>
      </c>
      <c r="C574" t="s">
        <v>305</v>
      </c>
      <c r="D574" t="s">
        <v>31</v>
      </c>
      <c r="E574" s="1">
        <v>0.67291666666666672</v>
      </c>
      <c r="F574" t="s">
        <v>32</v>
      </c>
      <c r="G574" t="s">
        <v>33</v>
      </c>
      <c r="H574" t="s">
        <v>41</v>
      </c>
      <c r="I574" t="s">
        <v>255</v>
      </c>
      <c r="J574">
        <v>30</v>
      </c>
      <c r="K574">
        <v>0</v>
      </c>
      <c r="L574" t="s">
        <v>63</v>
      </c>
      <c r="M574">
        <v>1000</v>
      </c>
      <c r="N574">
        <v>0</v>
      </c>
      <c r="O574">
        <v>0</v>
      </c>
      <c r="P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 t="s">
        <v>36</v>
      </c>
      <c r="AB574" t="s">
        <v>43</v>
      </c>
      <c r="AC574" t="str">
        <f t="shared" si="16"/>
        <v>CP</v>
      </c>
      <c r="AD574" t="str">
        <f>_xlfn.XLOOKUP(C574,Mapping!A:A,Mapping!D:D,0,0)</f>
        <v>Bin</v>
      </c>
      <c r="AE574" t="str">
        <f t="shared" si="17"/>
        <v>OLD</v>
      </c>
    </row>
    <row r="575" spans="1:31" x14ac:dyDescent="0.2">
      <c r="A575" t="s">
        <v>39</v>
      </c>
      <c r="B575">
        <v>1012797432</v>
      </c>
      <c r="C575" t="s">
        <v>628</v>
      </c>
      <c r="D575" t="s">
        <v>31</v>
      </c>
      <c r="E575" s="1">
        <v>0.67291666666666672</v>
      </c>
      <c r="F575" t="s">
        <v>32</v>
      </c>
      <c r="G575" t="s">
        <v>33</v>
      </c>
      <c r="H575" t="s">
        <v>41</v>
      </c>
      <c r="I575" t="s">
        <v>62</v>
      </c>
      <c r="J575">
        <v>70</v>
      </c>
      <c r="K575">
        <v>0</v>
      </c>
      <c r="L575" t="s">
        <v>63</v>
      </c>
      <c r="M575">
        <v>500</v>
      </c>
      <c r="N575">
        <v>0</v>
      </c>
      <c r="O575">
        <v>0</v>
      </c>
      <c r="P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 t="s">
        <v>36</v>
      </c>
      <c r="AB575" t="s">
        <v>43</v>
      </c>
      <c r="AC575" t="str">
        <f t="shared" si="16"/>
        <v>CP</v>
      </c>
      <c r="AD575" t="str">
        <f>_xlfn.XLOOKUP(C575,Mapping!A:A,Mapping!D:D,0,0)</f>
        <v>Bin</v>
      </c>
      <c r="AE575" t="str">
        <f t="shared" si="17"/>
        <v>OLD</v>
      </c>
    </row>
    <row r="576" spans="1:31" x14ac:dyDescent="0.2">
      <c r="A576" t="s">
        <v>39</v>
      </c>
      <c r="B576">
        <v>1012797442</v>
      </c>
      <c r="C576" t="s">
        <v>326</v>
      </c>
      <c r="D576" t="s">
        <v>31</v>
      </c>
      <c r="E576" s="1">
        <v>0.67291666666666672</v>
      </c>
      <c r="F576" t="s">
        <v>32</v>
      </c>
      <c r="G576" t="s">
        <v>33</v>
      </c>
      <c r="H576" t="s">
        <v>41</v>
      </c>
      <c r="I576" t="s">
        <v>62</v>
      </c>
      <c r="J576">
        <v>70</v>
      </c>
      <c r="K576">
        <v>0</v>
      </c>
      <c r="L576" t="s">
        <v>63</v>
      </c>
      <c r="M576">
        <v>1000</v>
      </c>
      <c r="N576">
        <v>0</v>
      </c>
      <c r="O576">
        <v>0</v>
      </c>
      <c r="P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 t="s">
        <v>36</v>
      </c>
      <c r="AB576" t="s">
        <v>43</v>
      </c>
      <c r="AC576" t="str">
        <f t="shared" si="16"/>
        <v>CP</v>
      </c>
      <c r="AD576" t="str">
        <f>_xlfn.XLOOKUP(C576,Mapping!A:A,Mapping!D:D,0,0)</f>
        <v>Bin</v>
      </c>
      <c r="AE576" t="str">
        <f t="shared" si="17"/>
        <v>OLD</v>
      </c>
    </row>
    <row r="577" spans="1:31" x14ac:dyDescent="0.2">
      <c r="A577" t="s">
        <v>39</v>
      </c>
      <c r="B577">
        <v>1012797452</v>
      </c>
      <c r="C577" t="s">
        <v>411</v>
      </c>
      <c r="D577" t="s">
        <v>31</v>
      </c>
      <c r="E577" s="1">
        <v>0.67291666666666672</v>
      </c>
      <c r="F577" t="s">
        <v>32</v>
      </c>
      <c r="G577" t="s">
        <v>33</v>
      </c>
      <c r="H577" t="s">
        <v>41</v>
      </c>
      <c r="I577" t="s">
        <v>62</v>
      </c>
      <c r="J577">
        <v>70</v>
      </c>
      <c r="K577">
        <v>0</v>
      </c>
      <c r="L577" t="s">
        <v>63</v>
      </c>
      <c r="M577">
        <v>500</v>
      </c>
      <c r="N577">
        <v>0</v>
      </c>
      <c r="O577">
        <v>0</v>
      </c>
      <c r="P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 t="s">
        <v>36</v>
      </c>
      <c r="AB577" t="s">
        <v>43</v>
      </c>
      <c r="AC577" t="str">
        <f t="shared" si="16"/>
        <v>CP</v>
      </c>
      <c r="AD577" t="str">
        <f>_xlfn.XLOOKUP(C577,Mapping!A:A,Mapping!D:D,0,0)</f>
        <v>Bin</v>
      </c>
      <c r="AE577" t="str">
        <f t="shared" si="17"/>
        <v>OLD</v>
      </c>
    </row>
    <row r="578" spans="1:31" x14ac:dyDescent="0.2">
      <c r="A578" t="s">
        <v>39</v>
      </c>
      <c r="B578">
        <v>1012797462</v>
      </c>
      <c r="C578" t="s">
        <v>629</v>
      </c>
      <c r="D578" t="s">
        <v>31</v>
      </c>
      <c r="E578" s="1">
        <v>0.67291666666666672</v>
      </c>
      <c r="F578" t="s">
        <v>32</v>
      </c>
      <c r="G578" t="s">
        <v>33</v>
      </c>
      <c r="H578" t="s">
        <v>41</v>
      </c>
      <c r="I578" t="s">
        <v>62</v>
      </c>
      <c r="J578">
        <v>70</v>
      </c>
      <c r="K578">
        <v>0</v>
      </c>
      <c r="L578" t="s">
        <v>36</v>
      </c>
      <c r="M578" t="s">
        <v>37</v>
      </c>
      <c r="N578">
        <v>0</v>
      </c>
      <c r="O578">
        <v>0</v>
      </c>
      <c r="P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 t="s">
        <v>36</v>
      </c>
      <c r="AB578" t="s">
        <v>119</v>
      </c>
      <c r="AC578" t="str">
        <f t="shared" si="16"/>
        <v>CP</v>
      </c>
      <c r="AD578" t="str">
        <f>_xlfn.XLOOKUP(C578,Mapping!A:A,Mapping!D:D,0,0)</f>
        <v>Archive</v>
      </c>
      <c r="AE578" t="str">
        <f t="shared" si="17"/>
        <v>OLD</v>
      </c>
    </row>
    <row r="579" spans="1:31" x14ac:dyDescent="0.2">
      <c r="A579" t="s">
        <v>39</v>
      </c>
      <c r="B579">
        <v>1012797472</v>
      </c>
      <c r="C579" t="s">
        <v>402</v>
      </c>
      <c r="D579" t="s">
        <v>31</v>
      </c>
      <c r="E579" s="1">
        <v>0.67291666666666672</v>
      </c>
      <c r="F579" t="s">
        <v>32</v>
      </c>
      <c r="G579" t="s">
        <v>33</v>
      </c>
      <c r="H579" t="s">
        <v>41</v>
      </c>
      <c r="I579" t="s">
        <v>62</v>
      </c>
      <c r="J579">
        <v>70</v>
      </c>
      <c r="K579">
        <v>0</v>
      </c>
      <c r="L579" t="s">
        <v>63</v>
      </c>
      <c r="M579">
        <v>1000</v>
      </c>
      <c r="N579">
        <v>0</v>
      </c>
      <c r="O579">
        <v>0</v>
      </c>
      <c r="P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0</v>
      </c>
      <c r="X579" t="s">
        <v>36</v>
      </c>
      <c r="AB579" t="s">
        <v>43</v>
      </c>
      <c r="AC579" t="str">
        <f t="shared" ref="AC579:AC642" si="18">LEFT(C579,2)</f>
        <v>CP</v>
      </c>
      <c r="AD579" t="str">
        <f>_xlfn.XLOOKUP(C579,Mapping!A:A,Mapping!D:D,0,0)</f>
        <v>Bin</v>
      </c>
      <c r="AE579" t="str">
        <f t="shared" ref="AE579:AE642" si="19">IFERROR(IF(SEARCH("_TJ",C579)&gt;0,"TJ",NA()),IFERROR(IF(SEARCH("_JB",C579)&gt;0,"JB",NA()),"OLD"))</f>
        <v>OLD</v>
      </c>
    </row>
    <row r="580" spans="1:31" x14ac:dyDescent="0.2">
      <c r="A580" t="s">
        <v>39</v>
      </c>
      <c r="B580">
        <v>1012800202</v>
      </c>
      <c r="C580" t="s">
        <v>630</v>
      </c>
      <c r="D580" t="s">
        <v>31</v>
      </c>
      <c r="E580" s="1">
        <v>0.67291666666666672</v>
      </c>
      <c r="F580" t="s">
        <v>32</v>
      </c>
      <c r="G580" t="s">
        <v>33</v>
      </c>
      <c r="H580" t="s">
        <v>41</v>
      </c>
      <c r="I580" t="s">
        <v>62</v>
      </c>
      <c r="J580">
        <v>70</v>
      </c>
      <c r="K580">
        <v>0</v>
      </c>
      <c r="L580" t="s">
        <v>63</v>
      </c>
      <c r="M580">
        <v>1000</v>
      </c>
      <c r="N580">
        <v>0</v>
      </c>
      <c r="O580">
        <v>0</v>
      </c>
      <c r="P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 t="s">
        <v>36</v>
      </c>
      <c r="AB580" t="s">
        <v>43</v>
      </c>
      <c r="AC580" t="str">
        <f t="shared" si="18"/>
        <v>CP</v>
      </c>
      <c r="AD580" t="str">
        <f>_xlfn.XLOOKUP(C580,Mapping!A:A,Mapping!D:D,0,0)</f>
        <v>Bin</v>
      </c>
      <c r="AE580" t="str">
        <f t="shared" si="19"/>
        <v>OLD</v>
      </c>
    </row>
    <row r="581" spans="1:31" x14ac:dyDescent="0.2">
      <c r="A581" t="s">
        <v>39</v>
      </c>
      <c r="B581">
        <v>1012800212</v>
      </c>
      <c r="C581" t="s">
        <v>631</v>
      </c>
      <c r="D581" t="s">
        <v>31</v>
      </c>
      <c r="E581" s="1">
        <v>0.67291666666666672</v>
      </c>
      <c r="F581" t="s">
        <v>32</v>
      </c>
      <c r="G581" t="s">
        <v>33</v>
      </c>
      <c r="H581" t="s">
        <v>41</v>
      </c>
      <c r="I581" t="s">
        <v>62</v>
      </c>
      <c r="J581">
        <v>70</v>
      </c>
      <c r="K581">
        <v>0</v>
      </c>
      <c r="L581" t="s">
        <v>36</v>
      </c>
      <c r="M581" t="s">
        <v>37</v>
      </c>
      <c r="N581">
        <v>0</v>
      </c>
      <c r="O581">
        <v>0</v>
      </c>
      <c r="P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 t="s">
        <v>36</v>
      </c>
      <c r="AB581" t="s">
        <v>172</v>
      </c>
      <c r="AC581" t="str">
        <f t="shared" si="18"/>
        <v>CP</v>
      </c>
      <c r="AD581" t="str">
        <f>_xlfn.XLOOKUP(C581,Mapping!A:A,Mapping!D:D,0,0)</f>
        <v>Ocean</v>
      </c>
      <c r="AE581" t="str">
        <f t="shared" si="19"/>
        <v>OLD</v>
      </c>
    </row>
    <row r="582" spans="1:31" x14ac:dyDescent="0.2">
      <c r="A582" t="s">
        <v>39</v>
      </c>
      <c r="B582">
        <v>1012800222</v>
      </c>
      <c r="C582" t="s">
        <v>632</v>
      </c>
      <c r="D582" t="s">
        <v>31</v>
      </c>
      <c r="E582" s="1">
        <v>0.67291666666666672</v>
      </c>
      <c r="F582" t="s">
        <v>32</v>
      </c>
      <c r="G582" t="s">
        <v>33</v>
      </c>
      <c r="H582" t="s">
        <v>41</v>
      </c>
      <c r="I582" t="s">
        <v>62</v>
      </c>
      <c r="J582">
        <v>70</v>
      </c>
      <c r="K582">
        <v>0</v>
      </c>
      <c r="L582" t="s">
        <v>63</v>
      </c>
      <c r="M582">
        <v>500</v>
      </c>
      <c r="N582">
        <v>0</v>
      </c>
      <c r="O582">
        <v>0</v>
      </c>
      <c r="P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 t="s">
        <v>36</v>
      </c>
      <c r="AB582" t="s">
        <v>43</v>
      </c>
      <c r="AC582" t="str">
        <f t="shared" si="18"/>
        <v>CP</v>
      </c>
      <c r="AD582" t="str">
        <f>_xlfn.XLOOKUP(C582,Mapping!A:A,Mapping!D:D,0,0)</f>
        <v>Bin</v>
      </c>
      <c r="AE582" t="str">
        <f t="shared" si="19"/>
        <v>OLD</v>
      </c>
    </row>
    <row r="583" spans="1:31" x14ac:dyDescent="0.2">
      <c r="A583" t="s">
        <v>39</v>
      </c>
      <c r="B583">
        <v>1012800232</v>
      </c>
      <c r="C583" t="s">
        <v>633</v>
      </c>
      <c r="D583" t="s">
        <v>31</v>
      </c>
      <c r="E583" s="1">
        <v>0.67291666666666672</v>
      </c>
      <c r="F583" t="s">
        <v>32</v>
      </c>
      <c r="G583" t="s">
        <v>33</v>
      </c>
      <c r="H583" t="s">
        <v>41</v>
      </c>
      <c r="I583" t="s">
        <v>62</v>
      </c>
      <c r="J583">
        <v>70</v>
      </c>
      <c r="K583">
        <v>0</v>
      </c>
      <c r="L583" t="s">
        <v>63</v>
      </c>
      <c r="M583">
        <v>1000</v>
      </c>
      <c r="N583">
        <v>0</v>
      </c>
      <c r="O583">
        <v>0</v>
      </c>
      <c r="P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 t="s">
        <v>36</v>
      </c>
      <c r="AB583" t="s">
        <v>43</v>
      </c>
      <c r="AC583" t="str">
        <f t="shared" si="18"/>
        <v>CP</v>
      </c>
      <c r="AD583" t="str">
        <f>_xlfn.XLOOKUP(C583,Mapping!A:A,Mapping!D:D,0,0)</f>
        <v>Bin</v>
      </c>
      <c r="AE583" t="str">
        <f t="shared" si="19"/>
        <v>OLD</v>
      </c>
    </row>
    <row r="584" spans="1:31" x14ac:dyDescent="0.2">
      <c r="A584" t="s">
        <v>39</v>
      </c>
      <c r="B584">
        <v>1012800242</v>
      </c>
      <c r="C584" t="s">
        <v>634</v>
      </c>
      <c r="D584" t="s">
        <v>31</v>
      </c>
      <c r="E584" s="1">
        <v>0.67291666666666672</v>
      </c>
      <c r="F584" t="s">
        <v>32</v>
      </c>
      <c r="G584" t="s">
        <v>33</v>
      </c>
      <c r="H584" t="s">
        <v>41</v>
      </c>
      <c r="I584" t="s">
        <v>62</v>
      </c>
      <c r="J584">
        <v>70</v>
      </c>
      <c r="K584">
        <v>0</v>
      </c>
      <c r="L584" t="s">
        <v>63</v>
      </c>
      <c r="M584">
        <v>500</v>
      </c>
      <c r="N584">
        <v>0</v>
      </c>
      <c r="O584">
        <v>0</v>
      </c>
      <c r="P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 t="s">
        <v>36</v>
      </c>
      <c r="AB584" t="s">
        <v>43</v>
      </c>
      <c r="AC584" t="str">
        <f t="shared" si="18"/>
        <v>CP</v>
      </c>
      <c r="AD584" t="str">
        <f>_xlfn.XLOOKUP(C584,Mapping!A:A,Mapping!D:D,0,0)</f>
        <v>Bin</v>
      </c>
      <c r="AE584" t="str">
        <f t="shared" si="19"/>
        <v>OLD</v>
      </c>
    </row>
    <row r="585" spans="1:31" x14ac:dyDescent="0.2">
      <c r="A585" t="s">
        <v>39</v>
      </c>
      <c r="B585">
        <v>1012800252</v>
      </c>
      <c r="C585" t="s">
        <v>635</v>
      </c>
      <c r="D585" t="s">
        <v>31</v>
      </c>
      <c r="E585" s="1">
        <v>0.67291666666666672</v>
      </c>
      <c r="F585" t="s">
        <v>32</v>
      </c>
      <c r="G585" t="s">
        <v>33</v>
      </c>
      <c r="H585" t="s">
        <v>41</v>
      </c>
      <c r="I585" t="s">
        <v>255</v>
      </c>
      <c r="J585">
        <v>30</v>
      </c>
      <c r="K585">
        <v>0</v>
      </c>
      <c r="L585" t="s">
        <v>63</v>
      </c>
      <c r="M585">
        <v>500</v>
      </c>
      <c r="N585">
        <v>0</v>
      </c>
      <c r="O585">
        <v>0</v>
      </c>
      <c r="P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 t="s">
        <v>36</v>
      </c>
      <c r="AB585" t="s">
        <v>43</v>
      </c>
      <c r="AC585" t="str">
        <f t="shared" si="18"/>
        <v>CP</v>
      </c>
      <c r="AD585" t="str">
        <f>_xlfn.XLOOKUP(C585,Mapping!A:A,Mapping!D:D,0,0)</f>
        <v>Bin</v>
      </c>
      <c r="AE585" t="str">
        <f t="shared" si="19"/>
        <v>OLD</v>
      </c>
    </row>
    <row r="586" spans="1:31" x14ac:dyDescent="0.2">
      <c r="A586" t="s">
        <v>39</v>
      </c>
      <c r="B586">
        <v>1012800262</v>
      </c>
      <c r="C586" t="s">
        <v>636</v>
      </c>
      <c r="D586" t="s">
        <v>31</v>
      </c>
      <c r="E586" s="1">
        <v>0.67291666666666672</v>
      </c>
      <c r="F586" t="s">
        <v>32</v>
      </c>
      <c r="G586" t="s">
        <v>33</v>
      </c>
      <c r="H586" t="s">
        <v>41</v>
      </c>
      <c r="I586" t="s">
        <v>62</v>
      </c>
      <c r="J586">
        <v>70</v>
      </c>
      <c r="K586">
        <v>0</v>
      </c>
      <c r="L586" t="s">
        <v>63</v>
      </c>
      <c r="M586">
        <v>500</v>
      </c>
      <c r="N586">
        <v>0</v>
      </c>
      <c r="O586">
        <v>0</v>
      </c>
      <c r="P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 t="s">
        <v>36</v>
      </c>
      <c r="AB586" t="s">
        <v>43</v>
      </c>
      <c r="AC586" t="str">
        <f t="shared" si="18"/>
        <v>CP</v>
      </c>
      <c r="AD586" t="str">
        <f>_xlfn.XLOOKUP(C586,Mapping!A:A,Mapping!D:D,0,0)</f>
        <v>Bin</v>
      </c>
      <c r="AE586" t="str">
        <f t="shared" si="19"/>
        <v>OLD</v>
      </c>
    </row>
    <row r="587" spans="1:31" x14ac:dyDescent="0.2">
      <c r="A587" t="s">
        <v>39</v>
      </c>
      <c r="B587">
        <v>1012800272</v>
      </c>
      <c r="C587" t="s">
        <v>637</v>
      </c>
      <c r="D587" t="s">
        <v>31</v>
      </c>
      <c r="E587" s="1">
        <v>0.67291666666666672</v>
      </c>
      <c r="F587" t="s">
        <v>32</v>
      </c>
      <c r="G587" t="s">
        <v>33</v>
      </c>
      <c r="H587" t="s">
        <v>41</v>
      </c>
      <c r="I587" t="s">
        <v>255</v>
      </c>
      <c r="J587">
        <v>70</v>
      </c>
      <c r="K587">
        <v>0</v>
      </c>
      <c r="L587" t="s">
        <v>63</v>
      </c>
      <c r="M587">
        <v>1000</v>
      </c>
      <c r="N587">
        <v>0</v>
      </c>
      <c r="O587">
        <v>0</v>
      </c>
      <c r="P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 t="s">
        <v>36</v>
      </c>
      <c r="AB587" t="s">
        <v>43</v>
      </c>
      <c r="AC587" t="str">
        <f t="shared" si="18"/>
        <v>CP</v>
      </c>
      <c r="AD587" t="str">
        <f>_xlfn.XLOOKUP(C587,Mapping!A:A,Mapping!D:D,0,0)</f>
        <v>Bin</v>
      </c>
      <c r="AE587" t="str">
        <f t="shared" si="19"/>
        <v>OLD</v>
      </c>
    </row>
    <row r="588" spans="1:31" x14ac:dyDescent="0.2">
      <c r="A588" t="s">
        <v>39</v>
      </c>
      <c r="B588">
        <v>1012806532</v>
      </c>
      <c r="C588" t="s">
        <v>82</v>
      </c>
      <c r="D588" t="s">
        <v>31</v>
      </c>
      <c r="E588" s="1">
        <v>0.67291666666666672</v>
      </c>
      <c r="F588" t="s">
        <v>32</v>
      </c>
      <c r="G588" t="s">
        <v>33</v>
      </c>
      <c r="H588" t="s">
        <v>41</v>
      </c>
      <c r="I588" t="s">
        <v>62</v>
      </c>
      <c r="J588">
        <v>70</v>
      </c>
      <c r="K588">
        <v>0</v>
      </c>
      <c r="L588" t="s">
        <v>63</v>
      </c>
      <c r="M588">
        <v>250</v>
      </c>
      <c r="N588">
        <v>0</v>
      </c>
      <c r="O588">
        <v>0</v>
      </c>
      <c r="P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 t="s">
        <v>36</v>
      </c>
      <c r="AB588" t="s">
        <v>172</v>
      </c>
      <c r="AC588" t="str">
        <f t="shared" si="18"/>
        <v>CP</v>
      </c>
      <c r="AD588" t="str">
        <f>_xlfn.XLOOKUP(C588,Mapping!A:A,Mapping!D:D,0,0)</f>
        <v>Bin</v>
      </c>
      <c r="AE588" t="str">
        <f t="shared" si="19"/>
        <v>OLD</v>
      </c>
    </row>
    <row r="589" spans="1:31" x14ac:dyDescent="0.2">
      <c r="A589" t="s">
        <v>39</v>
      </c>
      <c r="B589">
        <v>1012806542</v>
      </c>
      <c r="C589" t="s">
        <v>638</v>
      </c>
      <c r="D589" t="s">
        <v>31</v>
      </c>
      <c r="E589" s="1">
        <v>0.67291666666666672</v>
      </c>
      <c r="F589" t="s">
        <v>32</v>
      </c>
      <c r="G589" t="s">
        <v>33</v>
      </c>
      <c r="H589" t="s">
        <v>41</v>
      </c>
      <c r="I589" t="s">
        <v>62</v>
      </c>
      <c r="J589">
        <v>70</v>
      </c>
      <c r="K589">
        <v>0</v>
      </c>
      <c r="L589" t="s">
        <v>36</v>
      </c>
      <c r="M589" t="s">
        <v>37</v>
      </c>
      <c r="N589">
        <v>0</v>
      </c>
      <c r="O589">
        <v>0</v>
      </c>
      <c r="P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 t="s">
        <v>36</v>
      </c>
      <c r="AB589" t="s">
        <v>43</v>
      </c>
      <c r="AC589" t="str">
        <f t="shared" si="18"/>
        <v>CP</v>
      </c>
      <c r="AD589" t="str">
        <f>_xlfn.XLOOKUP(C589,Mapping!A:A,Mapping!D:D,0,0)</f>
        <v>Bin</v>
      </c>
      <c r="AE589" t="str">
        <f t="shared" si="19"/>
        <v>OLD</v>
      </c>
    </row>
    <row r="590" spans="1:31" x14ac:dyDescent="0.2">
      <c r="A590" t="s">
        <v>39</v>
      </c>
      <c r="B590">
        <v>1012811242</v>
      </c>
      <c r="C590" t="s">
        <v>639</v>
      </c>
      <c r="D590" t="s">
        <v>31</v>
      </c>
      <c r="E590" s="1">
        <v>0.67291666666666672</v>
      </c>
      <c r="F590" t="s">
        <v>32</v>
      </c>
      <c r="G590" t="s">
        <v>33</v>
      </c>
      <c r="H590" t="s">
        <v>41</v>
      </c>
      <c r="I590" t="s">
        <v>58</v>
      </c>
      <c r="J590">
        <v>120</v>
      </c>
      <c r="K590">
        <v>0</v>
      </c>
      <c r="L590" t="s">
        <v>63</v>
      </c>
      <c r="M590">
        <v>500</v>
      </c>
      <c r="N590">
        <v>0</v>
      </c>
      <c r="O590">
        <v>0</v>
      </c>
      <c r="P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 t="s">
        <v>36</v>
      </c>
      <c r="AB590" t="s">
        <v>43</v>
      </c>
      <c r="AC590" t="str">
        <f t="shared" si="18"/>
        <v>CP</v>
      </c>
      <c r="AD590" t="str">
        <f>_xlfn.XLOOKUP(C590,Mapping!A:A,Mapping!D:D,0,0)</f>
        <v>Bin</v>
      </c>
      <c r="AE590" t="str">
        <f t="shared" si="19"/>
        <v>OLD</v>
      </c>
    </row>
    <row r="591" spans="1:31" x14ac:dyDescent="0.2">
      <c r="A591" t="s">
        <v>39</v>
      </c>
      <c r="B591">
        <v>1012811252</v>
      </c>
      <c r="C591" t="s">
        <v>640</v>
      </c>
      <c r="D591" t="s">
        <v>31</v>
      </c>
      <c r="E591" s="1">
        <v>0.67291666666666672</v>
      </c>
      <c r="F591" t="s">
        <v>32</v>
      </c>
      <c r="G591" t="s">
        <v>33</v>
      </c>
      <c r="H591" t="s">
        <v>41</v>
      </c>
      <c r="I591" t="s">
        <v>62</v>
      </c>
      <c r="J591">
        <v>120</v>
      </c>
      <c r="K591">
        <v>0</v>
      </c>
      <c r="L591" t="s">
        <v>63</v>
      </c>
      <c r="M591">
        <v>500</v>
      </c>
      <c r="N591">
        <v>0</v>
      </c>
      <c r="O591">
        <v>0</v>
      </c>
      <c r="P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 t="s">
        <v>36</v>
      </c>
      <c r="AB591" t="s">
        <v>43</v>
      </c>
      <c r="AC591" t="str">
        <f t="shared" si="18"/>
        <v>CP</v>
      </c>
      <c r="AD591" t="str">
        <f>_xlfn.XLOOKUP(C591,Mapping!A:A,Mapping!D:D,0,0)</f>
        <v>Trans</v>
      </c>
      <c r="AE591" t="str">
        <f t="shared" si="19"/>
        <v>OLD</v>
      </c>
    </row>
    <row r="592" spans="1:31" x14ac:dyDescent="0.2">
      <c r="A592" t="s">
        <v>39</v>
      </c>
      <c r="B592">
        <v>1012811262</v>
      </c>
      <c r="C592" t="s">
        <v>122</v>
      </c>
      <c r="D592" t="s">
        <v>31</v>
      </c>
      <c r="E592" s="1">
        <v>0.67291666666666672</v>
      </c>
      <c r="F592" t="s">
        <v>32</v>
      </c>
      <c r="G592" t="s">
        <v>33</v>
      </c>
      <c r="H592" t="s">
        <v>41</v>
      </c>
      <c r="I592" t="s">
        <v>58</v>
      </c>
      <c r="J592">
        <v>120</v>
      </c>
      <c r="K592">
        <v>0</v>
      </c>
      <c r="L592" t="s">
        <v>63</v>
      </c>
      <c r="M592">
        <v>500</v>
      </c>
      <c r="N592">
        <v>0</v>
      </c>
      <c r="O592">
        <v>0</v>
      </c>
      <c r="P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 t="s">
        <v>36</v>
      </c>
      <c r="AB592" t="s">
        <v>43</v>
      </c>
      <c r="AC592" t="str">
        <f t="shared" si="18"/>
        <v>CP</v>
      </c>
      <c r="AD592" t="str">
        <f>_xlfn.XLOOKUP(C592,Mapping!A:A,Mapping!D:D,0,0)</f>
        <v>Bin</v>
      </c>
      <c r="AE592" t="str">
        <f t="shared" si="19"/>
        <v>OLD</v>
      </c>
    </row>
    <row r="593" spans="1:31" x14ac:dyDescent="0.2">
      <c r="A593" t="s">
        <v>39</v>
      </c>
      <c r="B593">
        <v>1012811272</v>
      </c>
      <c r="C593" t="s">
        <v>641</v>
      </c>
      <c r="D593" t="s">
        <v>31</v>
      </c>
      <c r="E593" s="1">
        <v>0.67291666666666672</v>
      </c>
      <c r="F593" t="s">
        <v>32</v>
      </c>
      <c r="G593" t="s">
        <v>33</v>
      </c>
      <c r="H593" t="s">
        <v>41</v>
      </c>
      <c r="I593" t="s">
        <v>62</v>
      </c>
      <c r="J593">
        <v>110</v>
      </c>
      <c r="K593">
        <v>0</v>
      </c>
      <c r="L593" t="s">
        <v>63</v>
      </c>
      <c r="M593">
        <v>500</v>
      </c>
      <c r="N593">
        <v>0</v>
      </c>
      <c r="O593">
        <v>0</v>
      </c>
      <c r="P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 t="s">
        <v>36</v>
      </c>
      <c r="AB593" t="s">
        <v>43</v>
      </c>
      <c r="AC593" t="str">
        <f t="shared" si="18"/>
        <v>CP</v>
      </c>
      <c r="AD593" t="str">
        <f>_xlfn.XLOOKUP(C593,Mapping!A:A,Mapping!D:D,0,0)</f>
        <v>Bin</v>
      </c>
      <c r="AE593" t="str">
        <f t="shared" si="19"/>
        <v>OLD</v>
      </c>
    </row>
    <row r="594" spans="1:31" x14ac:dyDescent="0.2">
      <c r="A594" t="s">
        <v>29</v>
      </c>
      <c r="B594">
        <v>1012811552</v>
      </c>
      <c r="C594" t="s">
        <v>642</v>
      </c>
      <c r="D594" t="s">
        <v>31</v>
      </c>
      <c r="E594" s="1">
        <v>0.67291666666666672</v>
      </c>
      <c r="F594" t="s">
        <v>32</v>
      </c>
      <c r="G594" t="s">
        <v>33</v>
      </c>
      <c r="H594" t="s">
        <v>41</v>
      </c>
      <c r="I594" t="s">
        <v>62</v>
      </c>
      <c r="J594">
        <v>110</v>
      </c>
      <c r="K594">
        <v>0</v>
      </c>
      <c r="L594" t="s">
        <v>36</v>
      </c>
      <c r="M594" t="s">
        <v>37</v>
      </c>
      <c r="N594">
        <v>37767</v>
      </c>
      <c r="O594">
        <v>2460</v>
      </c>
      <c r="P594">
        <v>6.5136200000000004</v>
      </c>
      <c r="Q594">
        <v>4</v>
      </c>
      <c r="R594">
        <v>77.319999999999993</v>
      </c>
      <c r="S594">
        <v>2.0470000000000002</v>
      </c>
      <c r="T594">
        <v>3.1E-2</v>
      </c>
      <c r="U594">
        <v>19.329999999999998</v>
      </c>
      <c r="V594">
        <v>1</v>
      </c>
      <c r="W594">
        <v>0</v>
      </c>
      <c r="X594" t="s">
        <v>36</v>
      </c>
      <c r="Y594">
        <v>37767</v>
      </c>
      <c r="Z594">
        <v>33023</v>
      </c>
      <c r="AA594">
        <v>2571</v>
      </c>
      <c r="AB594" t="s">
        <v>618</v>
      </c>
      <c r="AC594" t="str">
        <f t="shared" si="18"/>
        <v>CP</v>
      </c>
      <c r="AD594" t="str">
        <f>_xlfn.XLOOKUP(C594,Mapping!A:A,Mapping!D:D,0,0)</f>
        <v>Hentai</v>
      </c>
      <c r="AE594" t="str">
        <f t="shared" si="19"/>
        <v>OLD</v>
      </c>
    </row>
    <row r="595" spans="1:31" x14ac:dyDescent="0.2">
      <c r="A595" t="s">
        <v>39</v>
      </c>
      <c r="B595">
        <v>1012811562</v>
      </c>
      <c r="C595" t="s">
        <v>620</v>
      </c>
      <c r="D595" t="s">
        <v>31</v>
      </c>
      <c r="E595" s="1">
        <v>0.67291666666666672</v>
      </c>
      <c r="F595" t="s">
        <v>32</v>
      </c>
      <c r="G595" t="s">
        <v>33</v>
      </c>
      <c r="H595" t="s">
        <v>41</v>
      </c>
      <c r="I595" t="s">
        <v>62</v>
      </c>
      <c r="J595">
        <v>70</v>
      </c>
      <c r="K595">
        <v>0</v>
      </c>
      <c r="L595" t="s">
        <v>36</v>
      </c>
      <c r="M595" t="s">
        <v>37</v>
      </c>
      <c r="N595">
        <v>0</v>
      </c>
      <c r="O595">
        <v>0</v>
      </c>
      <c r="P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 t="s">
        <v>36</v>
      </c>
      <c r="AB595" t="s">
        <v>43</v>
      </c>
      <c r="AC595" t="str">
        <f t="shared" si="18"/>
        <v>CP</v>
      </c>
      <c r="AD595" t="str">
        <f>_xlfn.XLOOKUP(C595,Mapping!A:A,Mapping!D:D,0,0)</f>
        <v>Hentai</v>
      </c>
      <c r="AE595" t="str">
        <f t="shared" si="19"/>
        <v>OLD</v>
      </c>
    </row>
    <row r="596" spans="1:31" x14ac:dyDescent="0.2">
      <c r="A596" t="s">
        <v>29</v>
      </c>
      <c r="B596">
        <v>1012811572</v>
      </c>
      <c r="C596" t="s">
        <v>643</v>
      </c>
      <c r="D596" t="s">
        <v>31</v>
      </c>
      <c r="E596" s="1">
        <v>0.67291666666666672</v>
      </c>
      <c r="F596" t="s">
        <v>32</v>
      </c>
      <c r="G596" t="s">
        <v>33</v>
      </c>
      <c r="H596" t="s">
        <v>34</v>
      </c>
      <c r="I596" t="s">
        <v>84</v>
      </c>
      <c r="J596">
        <v>56</v>
      </c>
      <c r="K596">
        <v>0</v>
      </c>
      <c r="L596" t="s">
        <v>36</v>
      </c>
      <c r="M596" t="s">
        <v>37</v>
      </c>
      <c r="N596">
        <v>98882</v>
      </c>
      <c r="O596">
        <v>6291</v>
      </c>
      <c r="P596">
        <v>6.3621299999999996</v>
      </c>
      <c r="Q596">
        <v>6</v>
      </c>
      <c r="R596">
        <v>288.16000000000003</v>
      </c>
      <c r="S596">
        <v>2.9140000000000001</v>
      </c>
      <c r="T596">
        <v>4.5999999999999999E-2</v>
      </c>
      <c r="U596">
        <v>48.027000000000001</v>
      </c>
      <c r="V596">
        <v>1</v>
      </c>
      <c r="W596">
        <v>0</v>
      </c>
      <c r="X596" t="s">
        <v>36</v>
      </c>
      <c r="Y596">
        <v>98881</v>
      </c>
      <c r="Z596">
        <v>75660</v>
      </c>
      <c r="AA596">
        <v>10585</v>
      </c>
      <c r="AB596" t="s">
        <v>618</v>
      </c>
      <c r="AC596" t="str">
        <f t="shared" si="18"/>
        <v>CP</v>
      </c>
      <c r="AD596" t="str">
        <f>_xlfn.XLOOKUP(C596,Mapping!A:A,Mapping!D:D,0,0)</f>
        <v>Hentai</v>
      </c>
      <c r="AE596" t="str">
        <f t="shared" si="19"/>
        <v>OLD</v>
      </c>
    </row>
    <row r="597" spans="1:31" x14ac:dyDescent="0.2">
      <c r="A597" t="s">
        <v>29</v>
      </c>
      <c r="B597">
        <v>1012811582</v>
      </c>
      <c r="C597" t="s">
        <v>644</v>
      </c>
      <c r="D597" t="s">
        <v>31</v>
      </c>
      <c r="E597" s="1">
        <v>0.67291666666666672</v>
      </c>
      <c r="F597" t="s">
        <v>32</v>
      </c>
      <c r="G597" t="s">
        <v>33</v>
      </c>
      <c r="H597" t="s">
        <v>41</v>
      </c>
      <c r="I597" t="s">
        <v>62</v>
      </c>
      <c r="J597">
        <v>130</v>
      </c>
      <c r="K597">
        <v>0</v>
      </c>
      <c r="L597" t="s">
        <v>36</v>
      </c>
      <c r="M597" t="s">
        <v>37</v>
      </c>
      <c r="N597">
        <v>310415</v>
      </c>
      <c r="O597">
        <v>17548</v>
      </c>
      <c r="P597">
        <v>5.6530800000000001</v>
      </c>
      <c r="Q597">
        <v>7</v>
      </c>
      <c r="R597">
        <v>625.13</v>
      </c>
      <c r="S597">
        <v>2.0139999999999998</v>
      </c>
      <c r="T597">
        <v>3.5999999999999997E-2</v>
      </c>
      <c r="U597">
        <v>89.304000000000002</v>
      </c>
      <c r="V597">
        <v>1</v>
      </c>
      <c r="W597">
        <v>0</v>
      </c>
      <c r="X597" t="s">
        <v>36</v>
      </c>
      <c r="Y597">
        <v>310419</v>
      </c>
      <c r="Z597">
        <v>275388</v>
      </c>
      <c r="AA597">
        <v>24987</v>
      </c>
      <c r="AB597" t="s">
        <v>618</v>
      </c>
      <c r="AC597" t="str">
        <f t="shared" si="18"/>
        <v>CP</v>
      </c>
      <c r="AD597" t="str">
        <f>_xlfn.XLOOKUP(C597,Mapping!A:A,Mapping!D:D,0,0)</f>
        <v>Hentai</v>
      </c>
      <c r="AE597" t="str">
        <f t="shared" si="19"/>
        <v>OLD</v>
      </c>
    </row>
    <row r="598" spans="1:31" x14ac:dyDescent="0.2">
      <c r="A598" t="s">
        <v>39</v>
      </c>
      <c r="B598">
        <v>1012811592</v>
      </c>
      <c r="C598" t="s">
        <v>645</v>
      </c>
      <c r="D598" t="s">
        <v>31</v>
      </c>
      <c r="E598" s="1">
        <v>0.67291666666666672</v>
      </c>
      <c r="F598" t="s">
        <v>32</v>
      </c>
      <c r="G598" t="s">
        <v>33</v>
      </c>
      <c r="H598" t="s">
        <v>34</v>
      </c>
      <c r="I598" t="s">
        <v>84</v>
      </c>
      <c r="J598">
        <v>36</v>
      </c>
      <c r="K598">
        <v>0</v>
      </c>
      <c r="L598" t="s">
        <v>36</v>
      </c>
      <c r="M598" t="s">
        <v>37</v>
      </c>
      <c r="N598">
        <v>0</v>
      </c>
      <c r="O598">
        <v>0</v>
      </c>
      <c r="P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 t="s">
        <v>36</v>
      </c>
      <c r="AB598" t="s">
        <v>618</v>
      </c>
      <c r="AC598" t="str">
        <f t="shared" si="18"/>
        <v>CP</v>
      </c>
      <c r="AD598" t="str">
        <f>_xlfn.XLOOKUP(C598,Mapping!A:A,Mapping!D:D,0,0)</f>
        <v>Hentai</v>
      </c>
      <c r="AE598" t="str">
        <f t="shared" si="19"/>
        <v>OLD</v>
      </c>
    </row>
    <row r="599" spans="1:31" x14ac:dyDescent="0.2">
      <c r="A599" t="s">
        <v>39</v>
      </c>
      <c r="B599">
        <v>1012811602</v>
      </c>
      <c r="C599" t="s">
        <v>646</v>
      </c>
      <c r="D599" t="s">
        <v>31</v>
      </c>
      <c r="E599" s="1">
        <v>0.67291666666666672</v>
      </c>
      <c r="F599" t="s">
        <v>32</v>
      </c>
      <c r="G599" t="s">
        <v>33</v>
      </c>
      <c r="H599" t="s">
        <v>41</v>
      </c>
      <c r="I599" t="s">
        <v>62</v>
      </c>
      <c r="J599">
        <v>70</v>
      </c>
      <c r="K599">
        <v>0</v>
      </c>
      <c r="L599" t="s">
        <v>36</v>
      </c>
      <c r="M599" t="s">
        <v>37</v>
      </c>
      <c r="N599">
        <v>0</v>
      </c>
      <c r="O599">
        <v>0</v>
      </c>
      <c r="P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 t="s">
        <v>36</v>
      </c>
      <c r="AB599" t="s">
        <v>618</v>
      </c>
      <c r="AC599" t="str">
        <f t="shared" si="18"/>
        <v>CP</v>
      </c>
      <c r="AD599" t="str">
        <f>_xlfn.XLOOKUP(C599,Mapping!A:A,Mapping!D:D,0,0)</f>
        <v>Hentai</v>
      </c>
      <c r="AE599" t="str">
        <f t="shared" si="19"/>
        <v>OLD</v>
      </c>
    </row>
    <row r="600" spans="1:31" x14ac:dyDescent="0.2">
      <c r="A600" t="s">
        <v>39</v>
      </c>
      <c r="B600">
        <v>1012811612</v>
      </c>
      <c r="C600" t="s">
        <v>617</v>
      </c>
      <c r="D600" t="s">
        <v>31</v>
      </c>
      <c r="E600" s="1">
        <v>0.67291666666666672</v>
      </c>
      <c r="F600" t="s">
        <v>32</v>
      </c>
      <c r="G600" t="s">
        <v>33</v>
      </c>
      <c r="H600" t="s">
        <v>41</v>
      </c>
      <c r="I600" t="s">
        <v>62</v>
      </c>
      <c r="J600">
        <v>70</v>
      </c>
      <c r="K600">
        <v>0</v>
      </c>
      <c r="L600" t="s">
        <v>36</v>
      </c>
      <c r="M600" t="s">
        <v>37</v>
      </c>
      <c r="N600">
        <v>0</v>
      </c>
      <c r="O600">
        <v>0</v>
      </c>
      <c r="P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 t="s">
        <v>36</v>
      </c>
      <c r="AB600" t="s">
        <v>43</v>
      </c>
      <c r="AC600" t="str">
        <f t="shared" si="18"/>
        <v>CP</v>
      </c>
      <c r="AD600" t="str">
        <f>_xlfn.XLOOKUP(C600,Mapping!A:A,Mapping!D:D,0,0)</f>
        <v>Hentai</v>
      </c>
      <c r="AE600" t="str">
        <f t="shared" si="19"/>
        <v>OLD</v>
      </c>
    </row>
    <row r="601" spans="1:31" x14ac:dyDescent="0.2">
      <c r="A601" t="s">
        <v>29</v>
      </c>
      <c r="B601">
        <v>1012811622</v>
      </c>
      <c r="C601" t="s">
        <v>647</v>
      </c>
      <c r="D601" t="s">
        <v>31</v>
      </c>
      <c r="E601" s="1">
        <v>0.67291666666666672</v>
      </c>
      <c r="F601" t="s">
        <v>32</v>
      </c>
      <c r="G601" t="s">
        <v>33</v>
      </c>
      <c r="H601" t="s">
        <v>34</v>
      </c>
      <c r="I601" t="s">
        <v>84</v>
      </c>
      <c r="J601">
        <v>64</v>
      </c>
      <c r="K601">
        <v>0</v>
      </c>
      <c r="L601" t="s">
        <v>36</v>
      </c>
      <c r="M601" t="s">
        <v>37</v>
      </c>
      <c r="N601">
        <v>220307</v>
      </c>
      <c r="O601">
        <v>13575</v>
      </c>
      <c r="P601">
        <v>6.1618599999999999</v>
      </c>
      <c r="Q601">
        <v>10</v>
      </c>
      <c r="R601">
        <v>835.61</v>
      </c>
      <c r="S601">
        <v>3.7930000000000001</v>
      </c>
      <c r="T601">
        <v>6.2E-2</v>
      </c>
      <c r="U601">
        <v>83.561000000000007</v>
      </c>
      <c r="V601">
        <v>1</v>
      </c>
      <c r="W601">
        <v>0</v>
      </c>
      <c r="X601" t="s">
        <v>36</v>
      </c>
      <c r="Y601">
        <v>220299</v>
      </c>
      <c r="Z601">
        <v>176432</v>
      </c>
      <c r="AA601">
        <v>23505</v>
      </c>
      <c r="AB601" t="s">
        <v>618</v>
      </c>
      <c r="AC601" t="str">
        <f t="shared" si="18"/>
        <v>CP</v>
      </c>
      <c r="AD601" t="str">
        <f>_xlfn.XLOOKUP(C601,Mapping!A:A,Mapping!D:D,0,0)</f>
        <v>Hentai</v>
      </c>
      <c r="AE601" t="str">
        <f t="shared" si="19"/>
        <v>OLD</v>
      </c>
    </row>
    <row r="602" spans="1:31" x14ac:dyDescent="0.2">
      <c r="A602" t="s">
        <v>29</v>
      </c>
      <c r="B602">
        <v>1012811632</v>
      </c>
      <c r="C602" t="s">
        <v>648</v>
      </c>
      <c r="D602" t="s">
        <v>31</v>
      </c>
      <c r="E602" s="1">
        <v>0.67291666666666672</v>
      </c>
      <c r="F602" t="s">
        <v>32</v>
      </c>
      <c r="G602" t="s">
        <v>33</v>
      </c>
      <c r="H602" t="s">
        <v>41</v>
      </c>
      <c r="I602" t="s">
        <v>62</v>
      </c>
      <c r="J602">
        <v>120</v>
      </c>
      <c r="K602">
        <v>0</v>
      </c>
      <c r="L602" t="s">
        <v>36</v>
      </c>
      <c r="M602" t="s">
        <v>37</v>
      </c>
      <c r="N602">
        <v>390035</v>
      </c>
      <c r="O602">
        <v>23210</v>
      </c>
      <c r="P602">
        <v>5.9507500000000002</v>
      </c>
      <c r="Q602">
        <v>8</v>
      </c>
      <c r="R602">
        <v>778.91</v>
      </c>
      <c r="S602">
        <v>1.9970000000000001</v>
      </c>
      <c r="T602">
        <v>3.4000000000000002E-2</v>
      </c>
      <c r="U602">
        <v>97.363</v>
      </c>
      <c r="V602">
        <v>1</v>
      </c>
      <c r="W602">
        <v>0</v>
      </c>
      <c r="X602" t="s">
        <v>36</v>
      </c>
      <c r="Y602">
        <v>390022</v>
      </c>
      <c r="Z602">
        <v>347395</v>
      </c>
      <c r="AA602">
        <v>27986</v>
      </c>
      <c r="AB602" t="s">
        <v>618</v>
      </c>
      <c r="AC602" t="str">
        <f t="shared" si="18"/>
        <v>CP</v>
      </c>
      <c r="AD602" t="str">
        <f>_xlfn.XLOOKUP(C602,Mapping!A:A,Mapping!D:D,0,0)</f>
        <v>Hentai</v>
      </c>
      <c r="AE602" t="str">
        <f t="shared" si="19"/>
        <v>OLD</v>
      </c>
    </row>
    <row r="603" spans="1:31" x14ac:dyDescent="0.2">
      <c r="A603" t="s">
        <v>39</v>
      </c>
      <c r="B603">
        <v>1012811642</v>
      </c>
      <c r="C603" t="s">
        <v>649</v>
      </c>
      <c r="D603" t="s">
        <v>31</v>
      </c>
      <c r="E603" s="1">
        <v>0.67291666666666672</v>
      </c>
      <c r="F603" t="s">
        <v>32</v>
      </c>
      <c r="G603" t="s">
        <v>33</v>
      </c>
      <c r="H603" t="s">
        <v>41</v>
      </c>
      <c r="I603" t="s">
        <v>62</v>
      </c>
      <c r="J603">
        <v>70</v>
      </c>
      <c r="K603">
        <v>0</v>
      </c>
      <c r="L603" t="s">
        <v>36</v>
      </c>
      <c r="M603" t="s">
        <v>37</v>
      </c>
      <c r="N603">
        <v>0</v>
      </c>
      <c r="O603">
        <v>0</v>
      </c>
      <c r="P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 t="s">
        <v>36</v>
      </c>
      <c r="AB603" t="s">
        <v>618</v>
      </c>
      <c r="AC603" t="str">
        <f t="shared" si="18"/>
        <v>CP</v>
      </c>
      <c r="AD603" t="str">
        <f>_xlfn.XLOOKUP(C603,Mapping!A:A,Mapping!D:D,0,0)</f>
        <v>Hentai</v>
      </c>
      <c r="AE603" t="str">
        <f t="shared" si="19"/>
        <v>OLD</v>
      </c>
    </row>
    <row r="604" spans="1:31" x14ac:dyDescent="0.2">
      <c r="A604" t="s">
        <v>39</v>
      </c>
      <c r="B604">
        <v>1012811652</v>
      </c>
      <c r="C604" t="s">
        <v>650</v>
      </c>
      <c r="D604" t="s">
        <v>31</v>
      </c>
      <c r="E604" s="1">
        <v>0.67291666666666672</v>
      </c>
      <c r="F604" t="s">
        <v>32</v>
      </c>
      <c r="G604" t="s">
        <v>33</v>
      </c>
      <c r="H604" t="s">
        <v>41</v>
      </c>
      <c r="I604" t="s">
        <v>62</v>
      </c>
      <c r="J604">
        <v>70</v>
      </c>
      <c r="K604">
        <v>0</v>
      </c>
      <c r="L604" t="s">
        <v>36</v>
      </c>
      <c r="M604" t="s">
        <v>37</v>
      </c>
      <c r="N604">
        <v>0</v>
      </c>
      <c r="O604">
        <v>0</v>
      </c>
      <c r="P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 t="s">
        <v>36</v>
      </c>
      <c r="AB604" t="s">
        <v>618</v>
      </c>
      <c r="AC604" t="str">
        <f t="shared" si="18"/>
        <v>CP</v>
      </c>
      <c r="AD604" t="str">
        <f>_xlfn.XLOOKUP(C604,Mapping!A:A,Mapping!D:D,0,0)</f>
        <v>Hentai</v>
      </c>
      <c r="AE604" t="str">
        <f t="shared" si="19"/>
        <v>OLD</v>
      </c>
    </row>
    <row r="605" spans="1:31" x14ac:dyDescent="0.2">
      <c r="A605" t="s">
        <v>39</v>
      </c>
      <c r="B605">
        <v>1012811662</v>
      </c>
      <c r="C605" t="s">
        <v>651</v>
      </c>
      <c r="D605" t="s">
        <v>31</v>
      </c>
      <c r="E605" s="1">
        <v>0.67291666666666672</v>
      </c>
      <c r="F605" t="s">
        <v>32</v>
      </c>
      <c r="G605" t="s">
        <v>33</v>
      </c>
      <c r="H605" t="s">
        <v>34</v>
      </c>
      <c r="I605" t="s">
        <v>84</v>
      </c>
      <c r="J605">
        <v>36</v>
      </c>
      <c r="K605">
        <v>0</v>
      </c>
      <c r="L605" t="s">
        <v>36</v>
      </c>
      <c r="M605" t="s">
        <v>37</v>
      </c>
      <c r="N605">
        <v>0</v>
      </c>
      <c r="O605">
        <v>0</v>
      </c>
      <c r="P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 t="s">
        <v>36</v>
      </c>
      <c r="AB605" t="s">
        <v>618</v>
      </c>
      <c r="AC605" t="str">
        <f t="shared" si="18"/>
        <v>CP</v>
      </c>
      <c r="AD605" t="str">
        <f>_xlfn.XLOOKUP(C605,Mapping!A:A,Mapping!D:D,0,0)</f>
        <v>Hentai</v>
      </c>
      <c r="AE605" t="str">
        <f t="shared" si="19"/>
        <v>OLD</v>
      </c>
    </row>
    <row r="606" spans="1:31" x14ac:dyDescent="0.2">
      <c r="A606" t="s">
        <v>29</v>
      </c>
      <c r="B606">
        <v>1012811672</v>
      </c>
      <c r="C606" t="s">
        <v>652</v>
      </c>
      <c r="D606" t="s">
        <v>31</v>
      </c>
      <c r="E606" s="1">
        <v>0.67291666666666672</v>
      </c>
      <c r="F606" t="s">
        <v>32</v>
      </c>
      <c r="G606" t="s">
        <v>33</v>
      </c>
      <c r="H606" t="s">
        <v>34</v>
      </c>
      <c r="I606" t="s">
        <v>84</v>
      </c>
      <c r="J606">
        <v>52</v>
      </c>
      <c r="K606">
        <v>0</v>
      </c>
      <c r="L606" t="s">
        <v>36</v>
      </c>
      <c r="M606" t="s">
        <v>37</v>
      </c>
      <c r="N606">
        <v>43553</v>
      </c>
      <c r="O606">
        <v>2173</v>
      </c>
      <c r="P606">
        <v>4.9893200000000002</v>
      </c>
      <c r="Q606">
        <v>2</v>
      </c>
      <c r="R606">
        <v>165.41</v>
      </c>
      <c r="S606">
        <v>3.798</v>
      </c>
      <c r="T606">
        <v>7.5999999999999998E-2</v>
      </c>
      <c r="U606">
        <v>82.703000000000003</v>
      </c>
      <c r="V606">
        <v>1</v>
      </c>
      <c r="W606">
        <v>0</v>
      </c>
      <c r="X606" t="s">
        <v>36</v>
      </c>
      <c r="Y606">
        <v>43553</v>
      </c>
      <c r="Z606">
        <v>34347</v>
      </c>
      <c r="AA606">
        <v>5098</v>
      </c>
      <c r="AB606" t="s">
        <v>618</v>
      </c>
      <c r="AC606" t="str">
        <f t="shared" si="18"/>
        <v>CP</v>
      </c>
      <c r="AD606" t="str">
        <f>_xlfn.XLOOKUP(C606,Mapping!A:A,Mapping!D:D,0,0)</f>
        <v>Hentai</v>
      </c>
      <c r="AE606" t="str">
        <f t="shared" si="19"/>
        <v>OLD</v>
      </c>
    </row>
    <row r="607" spans="1:31" x14ac:dyDescent="0.2">
      <c r="A607" t="s">
        <v>29</v>
      </c>
      <c r="B607">
        <v>1012811682</v>
      </c>
      <c r="C607" t="s">
        <v>653</v>
      </c>
      <c r="D607" t="s">
        <v>31</v>
      </c>
      <c r="E607" s="1">
        <v>0.67291666666666672</v>
      </c>
      <c r="F607" t="s">
        <v>32</v>
      </c>
      <c r="G607" t="s">
        <v>33</v>
      </c>
      <c r="H607" t="s">
        <v>41</v>
      </c>
      <c r="I607" t="s">
        <v>62</v>
      </c>
      <c r="J607">
        <v>70</v>
      </c>
      <c r="K607">
        <v>0</v>
      </c>
      <c r="L607" t="s">
        <v>36</v>
      </c>
      <c r="M607" t="s">
        <v>37</v>
      </c>
      <c r="N607">
        <v>9010</v>
      </c>
      <c r="O607">
        <v>555</v>
      </c>
      <c r="P607">
        <v>6.1598199999999999</v>
      </c>
      <c r="Q607">
        <v>0</v>
      </c>
      <c r="R607">
        <v>12.5</v>
      </c>
      <c r="S607">
        <v>1.387</v>
      </c>
      <c r="T607">
        <v>2.3E-2</v>
      </c>
      <c r="U607">
        <v>0</v>
      </c>
      <c r="V607">
        <v>1</v>
      </c>
      <c r="W607">
        <v>0</v>
      </c>
      <c r="X607" t="s">
        <v>36</v>
      </c>
      <c r="Y607">
        <v>9010</v>
      </c>
      <c r="Z607">
        <v>8105</v>
      </c>
      <c r="AA607">
        <v>691</v>
      </c>
      <c r="AB607" t="s">
        <v>618</v>
      </c>
      <c r="AC607" t="str">
        <f t="shared" si="18"/>
        <v>CP</v>
      </c>
      <c r="AD607" t="str">
        <f>_xlfn.XLOOKUP(C607,Mapping!A:A,Mapping!D:D,0,0)</f>
        <v>Hentai</v>
      </c>
      <c r="AE607" t="str">
        <f t="shared" si="19"/>
        <v>OLD</v>
      </c>
    </row>
    <row r="608" spans="1:31" x14ac:dyDescent="0.2">
      <c r="A608" t="s">
        <v>29</v>
      </c>
      <c r="B608">
        <v>1012811692</v>
      </c>
      <c r="C608" t="s">
        <v>654</v>
      </c>
      <c r="D608" t="s">
        <v>31</v>
      </c>
      <c r="E608" s="1">
        <v>0.67291666666666672</v>
      </c>
      <c r="F608" t="s">
        <v>32</v>
      </c>
      <c r="G608" t="s">
        <v>33</v>
      </c>
      <c r="H608" t="s">
        <v>41</v>
      </c>
      <c r="I608" t="s">
        <v>62</v>
      </c>
      <c r="J608">
        <v>70</v>
      </c>
      <c r="K608">
        <v>0</v>
      </c>
      <c r="L608" t="s">
        <v>36</v>
      </c>
      <c r="M608" t="s">
        <v>37</v>
      </c>
      <c r="N608">
        <v>3157</v>
      </c>
      <c r="O608">
        <v>174</v>
      </c>
      <c r="P608">
        <v>5.5115600000000002</v>
      </c>
      <c r="Q608">
        <v>0</v>
      </c>
      <c r="R608">
        <v>6.71</v>
      </c>
      <c r="S608">
        <v>2.1259999999999999</v>
      </c>
      <c r="T608">
        <v>3.9E-2</v>
      </c>
      <c r="U608">
        <v>0</v>
      </c>
      <c r="V608">
        <v>1</v>
      </c>
      <c r="W608">
        <v>0</v>
      </c>
      <c r="X608" t="s">
        <v>36</v>
      </c>
      <c r="Y608">
        <v>3157</v>
      </c>
      <c r="Z608">
        <v>2985</v>
      </c>
      <c r="AA608">
        <v>99</v>
      </c>
      <c r="AB608" t="s">
        <v>618</v>
      </c>
      <c r="AC608" t="str">
        <f t="shared" si="18"/>
        <v>CP</v>
      </c>
      <c r="AD608" t="str">
        <f>_xlfn.XLOOKUP(C608,Mapping!A:A,Mapping!D:D,0,0)</f>
        <v>Hentai</v>
      </c>
      <c r="AE608" t="str">
        <f t="shared" si="19"/>
        <v>OLD</v>
      </c>
    </row>
    <row r="609" spans="1:31" x14ac:dyDescent="0.2">
      <c r="A609" t="s">
        <v>29</v>
      </c>
      <c r="B609">
        <v>1012811702</v>
      </c>
      <c r="C609" t="s">
        <v>655</v>
      </c>
      <c r="D609" t="s">
        <v>31</v>
      </c>
      <c r="E609" t="s">
        <v>246</v>
      </c>
      <c r="F609" t="s">
        <v>247</v>
      </c>
      <c r="G609" t="s">
        <v>33</v>
      </c>
      <c r="H609" t="s">
        <v>41</v>
      </c>
      <c r="I609" t="s">
        <v>62</v>
      </c>
      <c r="J609">
        <v>416</v>
      </c>
      <c r="K609">
        <v>0</v>
      </c>
      <c r="L609" t="s">
        <v>36</v>
      </c>
      <c r="M609" t="s">
        <v>37</v>
      </c>
      <c r="N609">
        <v>5434613</v>
      </c>
      <c r="O609">
        <v>7010</v>
      </c>
      <c r="P609">
        <v>0.12898999999999999</v>
      </c>
      <c r="Q609">
        <v>15</v>
      </c>
      <c r="R609">
        <v>909.68</v>
      </c>
      <c r="S609">
        <v>0.16700000000000001</v>
      </c>
      <c r="T609">
        <v>0.13</v>
      </c>
      <c r="U609">
        <v>60.645000000000003</v>
      </c>
      <c r="V609">
        <v>2</v>
      </c>
      <c r="W609">
        <v>0</v>
      </c>
      <c r="X609" t="s">
        <v>36</v>
      </c>
      <c r="Y609">
        <v>0</v>
      </c>
      <c r="Z609">
        <v>0</v>
      </c>
      <c r="AA609">
        <v>0</v>
      </c>
      <c r="AB609" t="s">
        <v>618</v>
      </c>
      <c r="AC609" t="str">
        <f t="shared" si="18"/>
        <v>OL</v>
      </c>
      <c r="AD609" t="str">
        <f>_xlfn.XLOOKUP(C609,Mapping!A:A,Mapping!D:D,0,0)</f>
        <v>Hentai</v>
      </c>
      <c r="AE609" t="str">
        <f t="shared" si="19"/>
        <v>OLD</v>
      </c>
    </row>
    <row r="610" spans="1:31" x14ac:dyDescent="0.2">
      <c r="A610" t="s">
        <v>29</v>
      </c>
      <c r="B610">
        <v>1012811712</v>
      </c>
      <c r="C610" t="s">
        <v>656</v>
      </c>
      <c r="D610" t="s">
        <v>31</v>
      </c>
      <c r="E610" t="s">
        <v>246</v>
      </c>
      <c r="F610" t="s">
        <v>247</v>
      </c>
      <c r="G610" t="s">
        <v>33</v>
      </c>
      <c r="H610" t="s">
        <v>41</v>
      </c>
      <c r="I610" t="s">
        <v>62</v>
      </c>
      <c r="J610">
        <v>416</v>
      </c>
      <c r="K610">
        <v>0</v>
      </c>
      <c r="L610" t="s">
        <v>36</v>
      </c>
      <c r="M610" t="s">
        <v>37</v>
      </c>
      <c r="N610">
        <v>2823682</v>
      </c>
      <c r="O610">
        <v>6368</v>
      </c>
      <c r="P610">
        <v>0.22552</v>
      </c>
      <c r="Q610">
        <v>8</v>
      </c>
      <c r="R610">
        <v>483.06</v>
      </c>
      <c r="S610">
        <v>0.17100000000000001</v>
      </c>
      <c r="T610">
        <v>7.5999999999999998E-2</v>
      </c>
      <c r="U610">
        <v>60.383000000000003</v>
      </c>
      <c r="V610">
        <v>2</v>
      </c>
      <c r="W610">
        <v>0</v>
      </c>
      <c r="X610" t="s">
        <v>36</v>
      </c>
      <c r="Y610">
        <v>0</v>
      </c>
      <c r="Z610">
        <v>0</v>
      </c>
      <c r="AA610">
        <v>0</v>
      </c>
      <c r="AB610" t="s">
        <v>618</v>
      </c>
      <c r="AC610" t="str">
        <f t="shared" si="18"/>
        <v>OL</v>
      </c>
      <c r="AD610" t="str">
        <f>_xlfn.XLOOKUP(C610,Mapping!A:A,Mapping!D:D,0,0)</f>
        <v>Hentai</v>
      </c>
      <c r="AE610" t="str">
        <f t="shared" si="19"/>
        <v>OLD</v>
      </c>
    </row>
    <row r="611" spans="1:31" x14ac:dyDescent="0.2">
      <c r="A611" t="s">
        <v>39</v>
      </c>
      <c r="B611">
        <v>1012811722</v>
      </c>
      <c r="C611" t="s">
        <v>657</v>
      </c>
      <c r="D611" t="s">
        <v>31</v>
      </c>
      <c r="E611" t="s">
        <v>246</v>
      </c>
      <c r="F611" t="s">
        <v>247</v>
      </c>
      <c r="G611" t="s">
        <v>33</v>
      </c>
      <c r="H611" t="s">
        <v>34</v>
      </c>
      <c r="I611" t="s">
        <v>84</v>
      </c>
      <c r="J611">
        <v>396</v>
      </c>
      <c r="K611">
        <v>0</v>
      </c>
      <c r="L611" t="s">
        <v>36</v>
      </c>
      <c r="M611" t="s">
        <v>37</v>
      </c>
      <c r="N611">
        <v>0</v>
      </c>
      <c r="O611">
        <v>0</v>
      </c>
      <c r="P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</v>
      </c>
      <c r="X611" t="s">
        <v>36</v>
      </c>
      <c r="AB611" t="s">
        <v>618</v>
      </c>
      <c r="AC611" t="str">
        <f t="shared" si="18"/>
        <v>CP</v>
      </c>
      <c r="AD611" t="str">
        <f>_xlfn.XLOOKUP(C611,Mapping!A:A,Mapping!D:D,0,0)</f>
        <v>Hentai</v>
      </c>
      <c r="AE611" t="str">
        <f t="shared" si="19"/>
        <v>OLD</v>
      </c>
    </row>
    <row r="612" spans="1:31" x14ac:dyDescent="0.2">
      <c r="A612" t="s">
        <v>29</v>
      </c>
      <c r="B612">
        <v>1012811772</v>
      </c>
      <c r="C612" t="s">
        <v>658</v>
      </c>
      <c r="D612" t="s">
        <v>31</v>
      </c>
      <c r="E612" t="s">
        <v>246</v>
      </c>
      <c r="F612" t="s">
        <v>247</v>
      </c>
      <c r="G612" t="s">
        <v>33</v>
      </c>
      <c r="H612" t="s">
        <v>34</v>
      </c>
      <c r="I612" t="s">
        <v>84</v>
      </c>
      <c r="J612">
        <v>396</v>
      </c>
      <c r="K612">
        <v>0</v>
      </c>
      <c r="L612" t="s">
        <v>36</v>
      </c>
      <c r="M612" t="s">
        <v>37</v>
      </c>
      <c r="N612">
        <v>347542</v>
      </c>
      <c r="O612">
        <v>507</v>
      </c>
      <c r="P612">
        <v>0.14588000000000001</v>
      </c>
      <c r="Q612">
        <v>0</v>
      </c>
      <c r="R612">
        <v>49.67</v>
      </c>
      <c r="S612">
        <v>0.14299999999999999</v>
      </c>
      <c r="T612">
        <v>9.8000000000000004E-2</v>
      </c>
      <c r="U612">
        <v>0</v>
      </c>
      <c r="V612">
        <v>2</v>
      </c>
      <c r="W612">
        <v>0</v>
      </c>
      <c r="X612" t="s">
        <v>36</v>
      </c>
      <c r="Y612">
        <v>0</v>
      </c>
      <c r="Z612">
        <v>0</v>
      </c>
      <c r="AA612">
        <v>0</v>
      </c>
      <c r="AB612" t="s">
        <v>618</v>
      </c>
      <c r="AC612" t="str">
        <f t="shared" si="18"/>
        <v>OL</v>
      </c>
      <c r="AD612" t="str">
        <f>_xlfn.XLOOKUP(C612,Mapping!A:A,Mapping!D:D,0,0)</f>
        <v>Hentai</v>
      </c>
      <c r="AE612" t="str">
        <f t="shared" si="19"/>
        <v>OLD</v>
      </c>
    </row>
    <row r="613" spans="1:31" x14ac:dyDescent="0.2">
      <c r="A613" t="s">
        <v>29</v>
      </c>
      <c r="B613">
        <v>1012811782</v>
      </c>
      <c r="C613" t="s">
        <v>659</v>
      </c>
      <c r="D613" t="s">
        <v>31</v>
      </c>
      <c r="E613" t="s">
        <v>246</v>
      </c>
      <c r="F613" t="s">
        <v>247</v>
      </c>
      <c r="G613" t="s">
        <v>33</v>
      </c>
      <c r="H613" t="s">
        <v>41</v>
      </c>
      <c r="I613" t="s">
        <v>62</v>
      </c>
      <c r="J613">
        <v>416</v>
      </c>
      <c r="K613">
        <v>0</v>
      </c>
      <c r="L613" t="s">
        <v>36</v>
      </c>
      <c r="M613" t="s">
        <v>37</v>
      </c>
      <c r="N613">
        <v>763739</v>
      </c>
      <c r="O613">
        <v>1655</v>
      </c>
      <c r="P613">
        <v>0.2167</v>
      </c>
      <c r="Q613">
        <v>3</v>
      </c>
      <c r="R613">
        <v>106.32</v>
      </c>
      <c r="S613">
        <v>0.13900000000000001</v>
      </c>
      <c r="T613">
        <v>6.4000000000000001E-2</v>
      </c>
      <c r="U613">
        <v>35.44</v>
      </c>
      <c r="V613">
        <v>2</v>
      </c>
      <c r="W613">
        <v>0</v>
      </c>
      <c r="X613" t="s">
        <v>36</v>
      </c>
      <c r="Y613">
        <v>0</v>
      </c>
      <c r="Z613">
        <v>0</v>
      </c>
      <c r="AA613">
        <v>0</v>
      </c>
      <c r="AB613" t="s">
        <v>618</v>
      </c>
      <c r="AC613" t="str">
        <f t="shared" si="18"/>
        <v>OL</v>
      </c>
      <c r="AD613" t="str">
        <f>_xlfn.XLOOKUP(C613,Mapping!A:A,Mapping!D:D,0,0)</f>
        <v>Hentai</v>
      </c>
      <c r="AE613" t="str">
        <f t="shared" si="19"/>
        <v>OLD</v>
      </c>
    </row>
    <row r="614" spans="1:31" x14ac:dyDescent="0.2">
      <c r="A614" t="s">
        <v>29</v>
      </c>
      <c r="B614">
        <v>1012811792</v>
      </c>
      <c r="C614" t="s">
        <v>660</v>
      </c>
      <c r="D614" t="s">
        <v>31</v>
      </c>
      <c r="E614" t="s">
        <v>246</v>
      </c>
      <c r="F614" t="s">
        <v>247</v>
      </c>
      <c r="G614" t="s">
        <v>33</v>
      </c>
      <c r="H614" t="s">
        <v>41</v>
      </c>
      <c r="I614" t="s">
        <v>62</v>
      </c>
      <c r="J614">
        <v>416</v>
      </c>
      <c r="K614">
        <v>0</v>
      </c>
      <c r="L614" t="s">
        <v>36</v>
      </c>
      <c r="M614" t="s">
        <v>37</v>
      </c>
      <c r="N614">
        <v>827166</v>
      </c>
      <c r="O614">
        <v>1132</v>
      </c>
      <c r="P614">
        <v>0.13685</v>
      </c>
      <c r="Q614">
        <v>2</v>
      </c>
      <c r="R614">
        <v>113.27</v>
      </c>
      <c r="S614">
        <v>0.13700000000000001</v>
      </c>
      <c r="T614">
        <v>0.1</v>
      </c>
      <c r="U614">
        <v>56.636000000000003</v>
      </c>
      <c r="V614">
        <v>2</v>
      </c>
      <c r="W614">
        <v>0</v>
      </c>
      <c r="X614" t="s">
        <v>36</v>
      </c>
      <c r="Y614">
        <v>0</v>
      </c>
      <c r="Z614">
        <v>0</v>
      </c>
      <c r="AA614">
        <v>0</v>
      </c>
      <c r="AB614" t="s">
        <v>618</v>
      </c>
      <c r="AC614" t="str">
        <f t="shared" si="18"/>
        <v>OL</v>
      </c>
      <c r="AD614" t="str">
        <f>_xlfn.XLOOKUP(C614,Mapping!A:A,Mapping!D:D,0,0)</f>
        <v>Hentai</v>
      </c>
      <c r="AE614" t="str">
        <f t="shared" si="19"/>
        <v>OLD</v>
      </c>
    </row>
    <row r="615" spans="1:31" x14ac:dyDescent="0.2">
      <c r="A615" t="s">
        <v>29</v>
      </c>
      <c r="B615">
        <v>1012811802</v>
      </c>
      <c r="C615" t="s">
        <v>661</v>
      </c>
      <c r="D615" t="s">
        <v>31</v>
      </c>
      <c r="E615" t="s">
        <v>246</v>
      </c>
      <c r="F615" t="s">
        <v>247</v>
      </c>
      <c r="G615" t="s">
        <v>33</v>
      </c>
      <c r="H615" t="s">
        <v>41</v>
      </c>
      <c r="I615" t="s">
        <v>62</v>
      </c>
      <c r="J615">
        <v>416</v>
      </c>
      <c r="K615">
        <v>0</v>
      </c>
      <c r="L615" t="s">
        <v>36</v>
      </c>
      <c r="M615" t="s">
        <v>37</v>
      </c>
      <c r="N615">
        <v>1750923</v>
      </c>
      <c r="O615">
        <v>2581</v>
      </c>
      <c r="P615">
        <v>0.14741000000000001</v>
      </c>
      <c r="Q615">
        <v>1</v>
      </c>
      <c r="R615">
        <v>339.59</v>
      </c>
      <c r="S615">
        <v>0.19400000000000001</v>
      </c>
      <c r="T615">
        <v>0.13200000000000001</v>
      </c>
      <c r="U615">
        <v>339.58699999999999</v>
      </c>
      <c r="V615">
        <v>1</v>
      </c>
      <c r="W615">
        <v>0</v>
      </c>
      <c r="X615" t="s">
        <v>36</v>
      </c>
      <c r="Y615">
        <v>0</v>
      </c>
      <c r="Z615">
        <v>0</v>
      </c>
      <c r="AA615">
        <v>0</v>
      </c>
      <c r="AB615" t="s">
        <v>618</v>
      </c>
      <c r="AC615" t="str">
        <f t="shared" si="18"/>
        <v>CP</v>
      </c>
      <c r="AD615" t="str">
        <f>_xlfn.XLOOKUP(C615,Mapping!A:A,Mapping!D:D,0,0)</f>
        <v>Hentai</v>
      </c>
      <c r="AE615" t="str">
        <f t="shared" si="19"/>
        <v>OLD</v>
      </c>
    </row>
    <row r="616" spans="1:31" x14ac:dyDescent="0.2">
      <c r="A616" t="s">
        <v>29</v>
      </c>
      <c r="B616">
        <v>1012811812</v>
      </c>
      <c r="C616" t="s">
        <v>662</v>
      </c>
      <c r="D616" t="s">
        <v>31</v>
      </c>
      <c r="E616" t="s">
        <v>246</v>
      </c>
      <c r="F616" t="s">
        <v>247</v>
      </c>
      <c r="G616" t="s">
        <v>33</v>
      </c>
      <c r="H616" t="s">
        <v>41</v>
      </c>
      <c r="I616" t="s">
        <v>62</v>
      </c>
      <c r="J616">
        <v>416</v>
      </c>
      <c r="K616">
        <v>0</v>
      </c>
      <c r="L616" t="s">
        <v>36</v>
      </c>
      <c r="M616" t="s">
        <v>37</v>
      </c>
      <c r="N616">
        <v>1250970</v>
      </c>
      <c r="O616">
        <v>2983</v>
      </c>
      <c r="P616">
        <v>0.23845</v>
      </c>
      <c r="Q616">
        <v>5</v>
      </c>
      <c r="R616">
        <v>456.61</v>
      </c>
      <c r="S616">
        <v>0.36499999999999999</v>
      </c>
      <c r="T616">
        <v>0.153</v>
      </c>
      <c r="U616">
        <v>91.320999999999998</v>
      </c>
      <c r="V616">
        <v>2</v>
      </c>
      <c r="W616">
        <v>0</v>
      </c>
      <c r="X616" t="s">
        <v>36</v>
      </c>
      <c r="Y616">
        <v>0</v>
      </c>
      <c r="Z616">
        <v>0</v>
      </c>
      <c r="AA616">
        <v>0</v>
      </c>
      <c r="AB616" t="s">
        <v>618</v>
      </c>
      <c r="AC616" t="str">
        <f t="shared" si="18"/>
        <v>OL</v>
      </c>
      <c r="AD616" t="str">
        <f>_xlfn.XLOOKUP(C616,Mapping!A:A,Mapping!D:D,0,0)</f>
        <v>Hentai</v>
      </c>
      <c r="AE616" t="str">
        <f t="shared" si="19"/>
        <v>OLD</v>
      </c>
    </row>
    <row r="617" spans="1:31" x14ac:dyDescent="0.2">
      <c r="A617" t="s">
        <v>29</v>
      </c>
      <c r="B617">
        <v>1012811822</v>
      </c>
      <c r="C617" t="s">
        <v>663</v>
      </c>
      <c r="D617" t="s">
        <v>31</v>
      </c>
      <c r="E617" t="s">
        <v>246</v>
      </c>
      <c r="F617" t="s">
        <v>247</v>
      </c>
      <c r="G617" t="s">
        <v>33</v>
      </c>
      <c r="H617" t="s">
        <v>34</v>
      </c>
      <c r="I617" t="s">
        <v>84</v>
      </c>
      <c r="J617">
        <v>396</v>
      </c>
      <c r="K617">
        <v>0</v>
      </c>
      <c r="L617" t="s">
        <v>36</v>
      </c>
      <c r="M617" t="s">
        <v>37</v>
      </c>
      <c r="N617">
        <v>580203</v>
      </c>
      <c r="O617">
        <v>939</v>
      </c>
      <c r="P617">
        <v>0.16184000000000001</v>
      </c>
      <c r="Q617">
        <v>0</v>
      </c>
      <c r="R617">
        <v>83.24</v>
      </c>
      <c r="S617">
        <v>0.14399999999999999</v>
      </c>
      <c r="T617">
        <v>8.8999999999999996E-2</v>
      </c>
      <c r="U617">
        <v>0</v>
      </c>
      <c r="V617">
        <v>2</v>
      </c>
      <c r="W617">
        <v>0</v>
      </c>
      <c r="X617" t="s">
        <v>36</v>
      </c>
      <c r="Y617">
        <v>0</v>
      </c>
      <c r="Z617">
        <v>0</v>
      </c>
      <c r="AA617">
        <v>0</v>
      </c>
      <c r="AB617" t="s">
        <v>618</v>
      </c>
      <c r="AC617" t="str">
        <f t="shared" si="18"/>
        <v>OL</v>
      </c>
      <c r="AD617" t="str">
        <f>_xlfn.XLOOKUP(C617,Mapping!A:A,Mapping!D:D,0,0)</f>
        <v>Hentai</v>
      </c>
      <c r="AE617" t="str">
        <f t="shared" si="19"/>
        <v>OLD</v>
      </c>
    </row>
    <row r="618" spans="1:31" x14ac:dyDescent="0.2">
      <c r="A618" t="s">
        <v>29</v>
      </c>
      <c r="B618">
        <v>1012811832</v>
      </c>
      <c r="C618" t="s">
        <v>664</v>
      </c>
      <c r="D618" t="s">
        <v>31</v>
      </c>
      <c r="E618" t="s">
        <v>246</v>
      </c>
      <c r="F618" t="s">
        <v>247</v>
      </c>
      <c r="G618" t="s">
        <v>33</v>
      </c>
      <c r="H618" t="s">
        <v>34</v>
      </c>
      <c r="I618" t="s">
        <v>84</v>
      </c>
      <c r="J618">
        <v>396</v>
      </c>
      <c r="K618">
        <v>0</v>
      </c>
      <c r="L618" t="s">
        <v>36</v>
      </c>
      <c r="M618" t="s">
        <v>37</v>
      </c>
      <c r="N618">
        <v>98736</v>
      </c>
      <c r="O618">
        <v>133</v>
      </c>
      <c r="P618">
        <v>0.13469</v>
      </c>
      <c r="Q618">
        <v>0</v>
      </c>
      <c r="R618">
        <v>14.06</v>
      </c>
      <c r="S618">
        <v>0.14199999999999999</v>
      </c>
      <c r="T618">
        <v>0.106</v>
      </c>
      <c r="U618">
        <v>0</v>
      </c>
      <c r="V618">
        <v>2</v>
      </c>
      <c r="W618">
        <v>0</v>
      </c>
      <c r="X618" t="s">
        <v>36</v>
      </c>
      <c r="Y618">
        <v>0</v>
      </c>
      <c r="Z618">
        <v>0</v>
      </c>
      <c r="AA618">
        <v>0</v>
      </c>
      <c r="AB618" t="s">
        <v>618</v>
      </c>
      <c r="AC618" t="str">
        <f t="shared" si="18"/>
        <v>OL</v>
      </c>
      <c r="AD618" t="str">
        <f>_xlfn.XLOOKUP(C618,Mapping!A:A,Mapping!D:D,0,0)</f>
        <v>Hentai</v>
      </c>
      <c r="AE618" t="str">
        <f t="shared" si="19"/>
        <v>OLD</v>
      </c>
    </row>
    <row r="619" spans="1:31" x14ac:dyDescent="0.2">
      <c r="A619" t="s">
        <v>29</v>
      </c>
      <c r="B619">
        <v>1012811842</v>
      </c>
      <c r="C619" t="s">
        <v>665</v>
      </c>
      <c r="D619" t="s">
        <v>31</v>
      </c>
      <c r="E619" t="s">
        <v>246</v>
      </c>
      <c r="F619" t="s">
        <v>247</v>
      </c>
      <c r="G619" t="s">
        <v>33</v>
      </c>
      <c r="H619" t="s">
        <v>41</v>
      </c>
      <c r="I619" t="s">
        <v>62</v>
      </c>
      <c r="J619">
        <v>416</v>
      </c>
      <c r="K619">
        <v>0</v>
      </c>
      <c r="L619" t="s">
        <v>36</v>
      </c>
      <c r="M619" t="s">
        <v>37</v>
      </c>
      <c r="N619">
        <v>226058</v>
      </c>
      <c r="O619">
        <v>699</v>
      </c>
      <c r="P619">
        <v>0.30920999999999998</v>
      </c>
      <c r="Q619">
        <v>0</v>
      </c>
      <c r="R619">
        <v>31.77</v>
      </c>
      <c r="S619">
        <v>0.14099999999999999</v>
      </c>
      <c r="T619">
        <v>4.4999999999999998E-2</v>
      </c>
      <c r="U619">
        <v>0</v>
      </c>
      <c r="V619">
        <v>2</v>
      </c>
      <c r="W619">
        <v>0</v>
      </c>
      <c r="X619" t="s">
        <v>36</v>
      </c>
      <c r="Y619">
        <v>0</v>
      </c>
      <c r="Z619">
        <v>0</v>
      </c>
      <c r="AA619">
        <v>0</v>
      </c>
      <c r="AB619" t="s">
        <v>618</v>
      </c>
      <c r="AC619" t="str">
        <f t="shared" si="18"/>
        <v>OL</v>
      </c>
      <c r="AD619" t="str">
        <f>_xlfn.XLOOKUP(C619,Mapping!A:A,Mapping!D:D,0,0)</f>
        <v>Hentai</v>
      </c>
      <c r="AE619" t="str">
        <f t="shared" si="19"/>
        <v>OLD</v>
      </c>
    </row>
    <row r="620" spans="1:31" x14ac:dyDescent="0.2">
      <c r="A620" t="s">
        <v>29</v>
      </c>
      <c r="B620">
        <v>1012811852</v>
      </c>
      <c r="C620" t="s">
        <v>666</v>
      </c>
      <c r="D620" t="s">
        <v>31</v>
      </c>
      <c r="E620" t="s">
        <v>246</v>
      </c>
      <c r="F620" t="s">
        <v>247</v>
      </c>
      <c r="G620" t="s">
        <v>33</v>
      </c>
      <c r="H620" t="s">
        <v>41</v>
      </c>
      <c r="I620" t="s">
        <v>62</v>
      </c>
      <c r="J620">
        <v>416</v>
      </c>
      <c r="K620">
        <v>0</v>
      </c>
      <c r="L620" t="s">
        <v>36</v>
      </c>
      <c r="M620" t="s">
        <v>37</v>
      </c>
      <c r="N620">
        <v>158362</v>
      </c>
      <c r="O620">
        <v>193</v>
      </c>
      <c r="P620">
        <v>0.12187000000000001</v>
      </c>
      <c r="Q620">
        <v>1</v>
      </c>
      <c r="R620">
        <v>21.97</v>
      </c>
      <c r="S620">
        <v>0.13900000000000001</v>
      </c>
      <c r="T620">
        <v>0.114</v>
      </c>
      <c r="U620">
        <v>21.966999999999999</v>
      </c>
      <c r="V620">
        <v>2</v>
      </c>
      <c r="W620">
        <v>0</v>
      </c>
      <c r="X620" t="s">
        <v>36</v>
      </c>
      <c r="Y620">
        <v>0</v>
      </c>
      <c r="Z620">
        <v>0</v>
      </c>
      <c r="AA620">
        <v>0</v>
      </c>
      <c r="AB620" t="s">
        <v>618</v>
      </c>
      <c r="AC620" t="str">
        <f t="shared" si="18"/>
        <v>OL</v>
      </c>
      <c r="AD620" t="str">
        <f>_xlfn.XLOOKUP(C620,Mapping!A:A,Mapping!D:D,0,0)</f>
        <v>Hentai</v>
      </c>
      <c r="AE620" t="str">
        <f t="shared" si="19"/>
        <v>OLD</v>
      </c>
    </row>
    <row r="621" spans="1:31" x14ac:dyDescent="0.2">
      <c r="A621" t="s">
        <v>29</v>
      </c>
      <c r="B621">
        <v>1012811862</v>
      </c>
      <c r="C621" t="s">
        <v>667</v>
      </c>
      <c r="D621" t="s">
        <v>31</v>
      </c>
      <c r="E621" t="s">
        <v>246</v>
      </c>
      <c r="F621" t="s">
        <v>247</v>
      </c>
      <c r="G621" t="s">
        <v>33</v>
      </c>
      <c r="H621" t="s">
        <v>41</v>
      </c>
      <c r="I621" t="s">
        <v>62</v>
      </c>
      <c r="J621">
        <v>416</v>
      </c>
      <c r="K621">
        <v>0</v>
      </c>
      <c r="L621" t="s">
        <v>36</v>
      </c>
      <c r="M621" t="s">
        <v>37</v>
      </c>
      <c r="N621">
        <v>336907</v>
      </c>
      <c r="O621">
        <v>597</v>
      </c>
      <c r="P621">
        <v>0.1772</v>
      </c>
      <c r="Q621">
        <v>1</v>
      </c>
      <c r="R621">
        <v>42.06</v>
      </c>
      <c r="S621">
        <v>0.125</v>
      </c>
      <c r="T621">
        <v>7.0000000000000007E-2</v>
      </c>
      <c r="U621">
        <v>42.058</v>
      </c>
      <c r="V621">
        <v>2</v>
      </c>
      <c r="W621">
        <v>0</v>
      </c>
      <c r="X621" t="s">
        <v>36</v>
      </c>
      <c r="Y621">
        <v>0</v>
      </c>
      <c r="Z621">
        <v>0</v>
      </c>
      <c r="AA621">
        <v>0</v>
      </c>
      <c r="AB621" t="s">
        <v>618</v>
      </c>
      <c r="AC621" t="str">
        <f t="shared" si="18"/>
        <v>OL</v>
      </c>
      <c r="AD621" t="str">
        <f>_xlfn.XLOOKUP(C621,Mapping!A:A,Mapping!D:D,0,0)</f>
        <v>Hentai</v>
      </c>
      <c r="AE621" t="str">
        <f t="shared" si="19"/>
        <v>OLD</v>
      </c>
    </row>
    <row r="622" spans="1:31" x14ac:dyDescent="0.2">
      <c r="A622" t="s">
        <v>29</v>
      </c>
      <c r="B622">
        <v>1012811872</v>
      </c>
      <c r="C622" t="s">
        <v>668</v>
      </c>
      <c r="D622" t="s">
        <v>31</v>
      </c>
      <c r="E622" t="s">
        <v>246</v>
      </c>
      <c r="F622" t="s">
        <v>247</v>
      </c>
      <c r="G622" t="s">
        <v>33</v>
      </c>
      <c r="H622" t="s">
        <v>41</v>
      </c>
      <c r="I622" t="s">
        <v>62</v>
      </c>
      <c r="J622">
        <v>416</v>
      </c>
      <c r="K622">
        <v>0</v>
      </c>
      <c r="L622" t="s">
        <v>36</v>
      </c>
      <c r="M622" t="s">
        <v>37</v>
      </c>
      <c r="N622">
        <v>293149</v>
      </c>
      <c r="O622">
        <v>938</v>
      </c>
      <c r="P622">
        <v>0.31996000000000002</v>
      </c>
      <c r="Q622">
        <v>2</v>
      </c>
      <c r="R622">
        <v>37.96</v>
      </c>
      <c r="S622">
        <v>0.13</v>
      </c>
      <c r="T622">
        <v>0.04</v>
      </c>
      <c r="U622">
        <v>18.978999999999999</v>
      </c>
      <c r="V622">
        <v>1</v>
      </c>
      <c r="W622">
        <v>0</v>
      </c>
      <c r="X622" t="s">
        <v>36</v>
      </c>
      <c r="Y622">
        <v>0</v>
      </c>
      <c r="Z622">
        <v>0</v>
      </c>
      <c r="AA622">
        <v>0</v>
      </c>
      <c r="AB622" t="s">
        <v>618</v>
      </c>
      <c r="AC622" t="str">
        <f t="shared" si="18"/>
        <v>CP</v>
      </c>
      <c r="AD622" t="str">
        <f>_xlfn.XLOOKUP(C622,Mapping!A:A,Mapping!D:D,0,0)</f>
        <v>Hentai</v>
      </c>
      <c r="AE622" t="str">
        <f t="shared" si="19"/>
        <v>OLD</v>
      </c>
    </row>
    <row r="623" spans="1:31" x14ac:dyDescent="0.2">
      <c r="A623" t="s">
        <v>29</v>
      </c>
      <c r="B623">
        <v>1012811882</v>
      </c>
      <c r="C623" t="s">
        <v>669</v>
      </c>
      <c r="D623" t="s">
        <v>31</v>
      </c>
      <c r="E623" t="s">
        <v>246</v>
      </c>
      <c r="F623" t="s">
        <v>247</v>
      </c>
      <c r="G623" t="s">
        <v>33</v>
      </c>
      <c r="H623" t="s">
        <v>34</v>
      </c>
      <c r="I623" t="s">
        <v>84</v>
      </c>
      <c r="J623">
        <v>396</v>
      </c>
      <c r="K623">
        <v>0</v>
      </c>
      <c r="L623" t="s">
        <v>36</v>
      </c>
      <c r="M623" t="s">
        <v>37</v>
      </c>
      <c r="N623">
        <v>111492</v>
      </c>
      <c r="O623">
        <v>225</v>
      </c>
      <c r="P623">
        <v>0.20180999999999999</v>
      </c>
      <c r="Q623">
        <v>0</v>
      </c>
      <c r="R623">
        <v>16.36</v>
      </c>
      <c r="S623">
        <v>0.14699999999999999</v>
      </c>
      <c r="T623">
        <v>7.2999999999999995E-2</v>
      </c>
      <c r="U623">
        <v>0</v>
      </c>
      <c r="V623">
        <v>2</v>
      </c>
      <c r="W623">
        <v>0</v>
      </c>
      <c r="X623" t="s">
        <v>36</v>
      </c>
      <c r="Y623">
        <v>0</v>
      </c>
      <c r="Z623">
        <v>0</v>
      </c>
      <c r="AA623">
        <v>0</v>
      </c>
      <c r="AB623" t="s">
        <v>618</v>
      </c>
      <c r="AC623" t="str">
        <f t="shared" si="18"/>
        <v>OL</v>
      </c>
      <c r="AD623" t="str">
        <f>_xlfn.XLOOKUP(C623,Mapping!A:A,Mapping!D:D,0,0)</f>
        <v>Hentai</v>
      </c>
      <c r="AE623" t="str">
        <f t="shared" si="19"/>
        <v>OLD</v>
      </c>
    </row>
    <row r="624" spans="1:31" x14ac:dyDescent="0.2">
      <c r="A624" t="s">
        <v>39</v>
      </c>
      <c r="B624">
        <v>1012811912</v>
      </c>
      <c r="C624" t="s">
        <v>670</v>
      </c>
      <c r="D624" t="s">
        <v>31</v>
      </c>
      <c r="E624" t="s">
        <v>671</v>
      </c>
      <c r="F624" t="s">
        <v>247</v>
      </c>
      <c r="G624" t="s">
        <v>33</v>
      </c>
      <c r="H624" t="s">
        <v>41</v>
      </c>
      <c r="I624" t="s">
        <v>62</v>
      </c>
      <c r="J624">
        <v>81</v>
      </c>
      <c r="K624">
        <v>0</v>
      </c>
      <c r="L624" t="s">
        <v>36</v>
      </c>
      <c r="M624" t="s">
        <v>37</v>
      </c>
      <c r="N624">
        <v>0</v>
      </c>
      <c r="O624">
        <v>0</v>
      </c>
      <c r="P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 t="s">
        <v>36</v>
      </c>
      <c r="AB624" t="s">
        <v>618</v>
      </c>
      <c r="AC624" t="str">
        <f t="shared" si="18"/>
        <v>CP</v>
      </c>
      <c r="AD624" t="str">
        <f>_xlfn.XLOOKUP(C624,Mapping!A:A,Mapping!D:D,0,0)</f>
        <v>Hentai</v>
      </c>
      <c r="AE624" t="str">
        <f t="shared" si="19"/>
        <v>OLD</v>
      </c>
    </row>
    <row r="625" spans="1:31" x14ac:dyDescent="0.2">
      <c r="A625" t="s">
        <v>39</v>
      </c>
      <c r="B625">
        <v>1012811942</v>
      </c>
      <c r="C625" t="s">
        <v>672</v>
      </c>
      <c r="D625" t="s">
        <v>31</v>
      </c>
      <c r="E625" t="s">
        <v>671</v>
      </c>
      <c r="F625" t="s">
        <v>247</v>
      </c>
      <c r="G625" t="s">
        <v>33</v>
      </c>
      <c r="H625" t="s">
        <v>34</v>
      </c>
      <c r="I625" t="s">
        <v>84</v>
      </c>
      <c r="J625">
        <v>48</v>
      </c>
      <c r="K625">
        <v>0</v>
      </c>
      <c r="L625" t="s">
        <v>36</v>
      </c>
      <c r="M625" t="s">
        <v>37</v>
      </c>
      <c r="N625">
        <v>0</v>
      </c>
      <c r="O625">
        <v>0</v>
      </c>
      <c r="P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 t="s">
        <v>36</v>
      </c>
      <c r="AB625" t="s">
        <v>618</v>
      </c>
      <c r="AC625" t="str">
        <f t="shared" si="18"/>
        <v>CP</v>
      </c>
      <c r="AD625" t="str">
        <f>_xlfn.XLOOKUP(C625,Mapping!A:A,Mapping!D:D,0,0)</f>
        <v>Hentai</v>
      </c>
      <c r="AE625" t="str">
        <f t="shared" si="19"/>
        <v>OLD</v>
      </c>
    </row>
    <row r="626" spans="1:31" x14ac:dyDescent="0.2">
      <c r="A626" t="s">
        <v>29</v>
      </c>
      <c r="B626">
        <v>1012811972</v>
      </c>
      <c r="C626" t="s">
        <v>673</v>
      </c>
      <c r="D626" t="s">
        <v>31</v>
      </c>
      <c r="E626" t="s">
        <v>671</v>
      </c>
      <c r="F626" t="s">
        <v>247</v>
      </c>
      <c r="G626" t="s">
        <v>33</v>
      </c>
      <c r="H626" t="s">
        <v>41</v>
      </c>
      <c r="I626" t="s">
        <v>62</v>
      </c>
      <c r="J626">
        <v>81</v>
      </c>
      <c r="K626">
        <v>0</v>
      </c>
      <c r="L626" t="s">
        <v>36</v>
      </c>
      <c r="M626" t="s">
        <v>37</v>
      </c>
      <c r="N626">
        <v>6702609</v>
      </c>
      <c r="O626">
        <v>2775</v>
      </c>
      <c r="P626">
        <v>4.1399999999999999E-2</v>
      </c>
      <c r="Q626">
        <v>6</v>
      </c>
      <c r="R626">
        <v>440.88</v>
      </c>
      <c r="S626">
        <v>6.6000000000000003E-2</v>
      </c>
      <c r="T626">
        <v>0.159</v>
      </c>
      <c r="U626">
        <v>73.478999999999999</v>
      </c>
      <c r="V626">
        <v>2</v>
      </c>
      <c r="W626">
        <v>0</v>
      </c>
      <c r="X626" t="s">
        <v>36</v>
      </c>
      <c r="Y626">
        <v>0</v>
      </c>
      <c r="Z626">
        <v>0</v>
      </c>
      <c r="AA626">
        <v>0</v>
      </c>
      <c r="AB626" t="s">
        <v>618</v>
      </c>
      <c r="AC626" t="str">
        <f t="shared" si="18"/>
        <v>OL</v>
      </c>
      <c r="AD626" t="str">
        <f>_xlfn.XLOOKUP(C626,Mapping!A:A,Mapping!D:D,0,0)</f>
        <v>Hentai</v>
      </c>
      <c r="AE626" t="str">
        <f t="shared" si="19"/>
        <v>OLD</v>
      </c>
    </row>
    <row r="627" spans="1:31" x14ac:dyDescent="0.2">
      <c r="A627" t="s">
        <v>29</v>
      </c>
      <c r="B627">
        <v>1012811992</v>
      </c>
      <c r="C627" t="s">
        <v>674</v>
      </c>
      <c r="D627" t="s">
        <v>31</v>
      </c>
      <c r="E627" t="s">
        <v>671</v>
      </c>
      <c r="F627" t="s">
        <v>247</v>
      </c>
      <c r="G627" t="s">
        <v>33</v>
      </c>
      <c r="H627" t="s">
        <v>41</v>
      </c>
      <c r="I627" t="s">
        <v>62</v>
      </c>
      <c r="J627">
        <v>81</v>
      </c>
      <c r="K627">
        <v>0</v>
      </c>
      <c r="L627" t="s">
        <v>36</v>
      </c>
      <c r="M627" t="s">
        <v>37</v>
      </c>
      <c r="N627">
        <v>937715</v>
      </c>
      <c r="O627">
        <v>377</v>
      </c>
      <c r="P627">
        <v>4.02E-2</v>
      </c>
      <c r="Q627">
        <v>3</v>
      </c>
      <c r="R627">
        <v>60.42</v>
      </c>
      <c r="S627">
        <v>6.4000000000000001E-2</v>
      </c>
      <c r="T627">
        <v>0.16</v>
      </c>
      <c r="U627">
        <v>20.138999999999999</v>
      </c>
      <c r="V627">
        <v>2</v>
      </c>
      <c r="W627">
        <v>0</v>
      </c>
      <c r="X627" t="s">
        <v>36</v>
      </c>
      <c r="Y627">
        <v>0</v>
      </c>
      <c r="Z627">
        <v>0</v>
      </c>
      <c r="AA627">
        <v>0</v>
      </c>
      <c r="AB627" t="s">
        <v>618</v>
      </c>
      <c r="AC627" t="str">
        <f t="shared" si="18"/>
        <v>OL</v>
      </c>
      <c r="AD627" t="str">
        <f>_xlfn.XLOOKUP(C627,Mapping!A:A,Mapping!D:D,0,0)</f>
        <v>Hentai</v>
      </c>
      <c r="AE627" t="str">
        <f t="shared" si="19"/>
        <v>OLD</v>
      </c>
    </row>
    <row r="628" spans="1:31" x14ac:dyDescent="0.2">
      <c r="A628" t="s">
        <v>39</v>
      </c>
      <c r="B628">
        <v>1012812002</v>
      </c>
      <c r="C628" t="s">
        <v>675</v>
      </c>
      <c r="D628" t="s">
        <v>31</v>
      </c>
      <c r="E628" t="s">
        <v>671</v>
      </c>
      <c r="F628" t="s">
        <v>247</v>
      </c>
      <c r="G628" t="s">
        <v>33</v>
      </c>
      <c r="H628" t="s">
        <v>34</v>
      </c>
      <c r="I628" t="s">
        <v>84</v>
      </c>
      <c r="J628">
        <v>48</v>
      </c>
      <c r="K628">
        <v>0</v>
      </c>
      <c r="L628" t="s">
        <v>36</v>
      </c>
      <c r="M628" t="s">
        <v>37</v>
      </c>
      <c r="N628">
        <v>0</v>
      </c>
      <c r="O628">
        <v>0</v>
      </c>
      <c r="P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 t="s">
        <v>36</v>
      </c>
      <c r="AB628" t="s">
        <v>618</v>
      </c>
      <c r="AC628" t="str">
        <f t="shared" si="18"/>
        <v>CP</v>
      </c>
      <c r="AD628" t="str">
        <f>_xlfn.XLOOKUP(C628,Mapping!A:A,Mapping!D:D,0,0)</f>
        <v>Hentai</v>
      </c>
      <c r="AE628" t="str">
        <f t="shared" si="19"/>
        <v>OLD</v>
      </c>
    </row>
    <row r="629" spans="1:31" x14ac:dyDescent="0.2">
      <c r="A629" t="s">
        <v>29</v>
      </c>
      <c r="B629">
        <v>1012812012</v>
      </c>
      <c r="C629" t="s">
        <v>676</v>
      </c>
      <c r="D629" t="s">
        <v>31</v>
      </c>
      <c r="E629" t="s">
        <v>671</v>
      </c>
      <c r="F629" t="s">
        <v>247</v>
      </c>
      <c r="G629" t="s">
        <v>33</v>
      </c>
      <c r="H629" t="s">
        <v>41</v>
      </c>
      <c r="I629" t="s">
        <v>62</v>
      </c>
      <c r="J629">
        <v>81</v>
      </c>
      <c r="K629">
        <v>0</v>
      </c>
      <c r="L629" t="s">
        <v>36</v>
      </c>
      <c r="M629" t="s">
        <v>37</v>
      </c>
      <c r="N629">
        <v>931735</v>
      </c>
      <c r="O629">
        <v>253</v>
      </c>
      <c r="P629">
        <v>2.7150000000000001E-2</v>
      </c>
      <c r="Q629">
        <v>0</v>
      </c>
      <c r="R629">
        <v>62.39</v>
      </c>
      <c r="S629">
        <v>6.7000000000000004E-2</v>
      </c>
      <c r="T629">
        <v>0.247</v>
      </c>
      <c r="U629">
        <v>0</v>
      </c>
      <c r="V629">
        <v>2</v>
      </c>
      <c r="W629">
        <v>0</v>
      </c>
      <c r="X629" t="s">
        <v>36</v>
      </c>
      <c r="Y629">
        <v>0</v>
      </c>
      <c r="Z629">
        <v>0</v>
      </c>
      <c r="AA629">
        <v>0</v>
      </c>
      <c r="AB629" t="s">
        <v>618</v>
      </c>
      <c r="AC629" t="str">
        <f t="shared" si="18"/>
        <v>OL</v>
      </c>
      <c r="AD629" t="str">
        <f>_xlfn.XLOOKUP(C629,Mapping!A:A,Mapping!D:D,0,0)</f>
        <v>Hentai</v>
      </c>
      <c r="AE629" t="str">
        <f t="shared" si="19"/>
        <v>OLD</v>
      </c>
    </row>
    <row r="630" spans="1:31" x14ac:dyDescent="0.2">
      <c r="A630" t="s">
        <v>29</v>
      </c>
      <c r="B630">
        <v>1012812022</v>
      </c>
      <c r="C630" t="s">
        <v>677</v>
      </c>
      <c r="D630" t="s">
        <v>31</v>
      </c>
      <c r="E630" t="s">
        <v>671</v>
      </c>
      <c r="F630" t="s">
        <v>247</v>
      </c>
      <c r="G630" t="s">
        <v>33</v>
      </c>
      <c r="H630" t="s">
        <v>41</v>
      </c>
      <c r="I630" t="s">
        <v>62</v>
      </c>
      <c r="J630">
        <v>81</v>
      </c>
      <c r="K630">
        <v>0</v>
      </c>
      <c r="L630" t="s">
        <v>36</v>
      </c>
      <c r="M630" t="s">
        <v>37</v>
      </c>
      <c r="N630">
        <v>387178</v>
      </c>
      <c r="O630">
        <v>112</v>
      </c>
      <c r="P630">
        <v>2.8930000000000001E-2</v>
      </c>
      <c r="Q630">
        <v>0</v>
      </c>
      <c r="R630">
        <v>25.96</v>
      </c>
      <c r="S630">
        <v>6.7000000000000004E-2</v>
      </c>
      <c r="T630">
        <v>0.23200000000000001</v>
      </c>
      <c r="U630">
        <v>0</v>
      </c>
      <c r="V630">
        <v>2</v>
      </c>
      <c r="W630">
        <v>0</v>
      </c>
      <c r="X630" t="s">
        <v>36</v>
      </c>
      <c r="Y630">
        <v>0</v>
      </c>
      <c r="Z630">
        <v>0</v>
      </c>
      <c r="AA630">
        <v>0</v>
      </c>
      <c r="AB630" t="s">
        <v>618</v>
      </c>
      <c r="AC630" t="str">
        <f t="shared" si="18"/>
        <v>OL</v>
      </c>
      <c r="AD630" t="str">
        <f>_xlfn.XLOOKUP(C630,Mapping!A:A,Mapping!D:D,0,0)</f>
        <v>Hentai</v>
      </c>
      <c r="AE630" t="str">
        <f t="shared" si="19"/>
        <v>OLD</v>
      </c>
    </row>
    <row r="631" spans="1:31" x14ac:dyDescent="0.2">
      <c r="A631" t="s">
        <v>29</v>
      </c>
      <c r="B631">
        <v>1012812032</v>
      </c>
      <c r="C631" t="s">
        <v>678</v>
      </c>
      <c r="D631" t="s">
        <v>31</v>
      </c>
      <c r="E631" t="s">
        <v>671</v>
      </c>
      <c r="F631" t="s">
        <v>247</v>
      </c>
      <c r="G631" t="s">
        <v>33</v>
      </c>
      <c r="H631" t="s">
        <v>34</v>
      </c>
      <c r="I631" t="s">
        <v>84</v>
      </c>
      <c r="J631">
        <v>48</v>
      </c>
      <c r="K631">
        <v>0</v>
      </c>
      <c r="L631" t="s">
        <v>36</v>
      </c>
      <c r="M631" t="s">
        <v>37</v>
      </c>
      <c r="N631">
        <v>151333</v>
      </c>
      <c r="O631">
        <v>222</v>
      </c>
      <c r="P631">
        <v>0.1467</v>
      </c>
      <c r="Q631">
        <v>0</v>
      </c>
      <c r="R631">
        <v>31.6</v>
      </c>
      <c r="S631">
        <v>0.20899999999999999</v>
      </c>
      <c r="T631">
        <v>0.14199999999999999</v>
      </c>
      <c r="U631">
        <v>0</v>
      </c>
      <c r="V631">
        <v>1</v>
      </c>
      <c r="W631">
        <v>0</v>
      </c>
      <c r="X631" t="s">
        <v>36</v>
      </c>
      <c r="Y631">
        <v>0</v>
      </c>
      <c r="Z631">
        <v>0</v>
      </c>
      <c r="AA631">
        <v>0</v>
      </c>
      <c r="AB631" t="s">
        <v>618</v>
      </c>
      <c r="AC631" t="str">
        <f t="shared" si="18"/>
        <v>CP</v>
      </c>
      <c r="AD631" t="str">
        <f>_xlfn.XLOOKUP(C631,Mapping!A:A,Mapping!D:D,0,0)</f>
        <v>Hentai</v>
      </c>
      <c r="AE631" t="str">
        <f t="shared" si="19"/>
        <v>OLD</v>
      </c>
    </row>
    <row r="632" spans="1:31" x14ac:dyDescent="0.2">
      <c r="A632" t="s">
        <v>29</v>
      </c>
      <c r="B632">
        <v>1012812042</v>
      </c>
      <c r="C632" t="s">
        <v>679</v>
      </c>
      <c r="D632" t="s">
        <v>31</v>
      </c>
      <c r="E632" t="s">
        <v>671</v>
      </c>
      <c r="F632" t="s">
        <v>247</v>
      </c>
      <c r="G632" t="s">
        <v>33</v>
      </c>
      <c r="H632" t="s">
        <v>41</v>
      </c>
      <c r="I632" t="s">
        <v>62</v>
      </c>
      <c r="J632">
        <v>81</v>
      </c>
      <c r="K632">
        <v>0</v>
      </c>
      <c r="L632" t="s">
        <v>36</v>
      </c>
      <c r="M632" t="s">
        <v>37</v>
      </c>
      <c r="N632">
        <v>404967</v>
      </c>
      <c r="O632">
        <v>149</v>
      </c>
      <c r="P632">
        <v>3.6790000000000003E-2</v>
      </c>
      <c r="Q632">
        <v>0</v>
      </c>
      <c r="R632">
        <v>26.59</v>
      </c>
      <c r="S632">
        <v>6.6000000000000003E-2</v>
      </c>
      <c r="T632">
        <v>0.17799999999999999</v>
      </c>
      <c r="U632">
        <v>0</v>
      </c>
      <c r="V632">
        <v>2</v>
      </c>
      <c r="W632">
        <v>0</v>
      </c>
      <c r="X632" t="s">
        <v>36</v>
      </c>
      <c r="Y632">
        <v>0</v>
      </c>
      <c r="Z632">
        <v>0</v>
      </c>
      <c r="AA632">
        <v>0</v>
      </c>
      <c r="AB632" t="s">
        <v>618</v>
      </c>
      <c r="AC632" t="str">
        <f t="shared" si="18"/>
        <v>OL</v>
      </c>
      <c r="AD632" t="str">
        <f>_xlfn.XLOOKUP(C632,Mapping!A:A,Mapping!D:D,0,0)</f>
        <v>Hentai</v>
      </c>
      <c r="AE632" t="str">
        <f t="shared" si="19"/>
        <v>OLD</v>
      </c>
    </row>
    <row r="633" spans="1:31" x14ac:dyDescent="0.2">
      <c r="A633" t="s">
        <v>39</v>
      </c>
      <c r="B633">
        <v>1012812062</v>
      </c>
      <c r="C633" t="s">
        <v>680</v>
      </c>
      <c r="D633" t="s">
        <v>31</v>
      </c>
      <c r="E633" t="s">
        <v>671</v>
      </c>
      <c r="F633" t="s">
        <v>247</v>
      </c>
      <c r="G633" t="s">
        <v>33</v>
      </c>
      <c r="H633" t="s">
        <v>34</v>
      </c>
      <c r="I633" t="s">
        <v>84</v>
      </c>
      <c r="J633">
        <v>48</v>
      </c>
      <c r="K633">
        <v>0</v>
      </c>
      <c r="L633" t="s">
        <v>36</v>
      </c>
      <c r="M633" t="s">
        <v>37</v>
      </c>
      <c r="N633">
        <v>0</v>
      </c>
      <c r="O633">
        <v>0</v>
      </c>
      <c r="P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 t="s">
        <v>36</v>
      </c>
      <c r="AB633" t="s">
        <v>618</v>
      </c>
      <c r="AC633" t="str">
        <f t="shared" si="18"/>
        <v>CP</v>
      </c>
      <c r="AD633" t="str">
        <f>_xlfn.XLOOKUP(C633,Mapping!A:A,Mapping!D:D,0,0)</f>
        <v>Hentai</v>
      </c>
      <c r="AE633" t="str">
        <f t="shared" si="19"/>
        <v>OLD</v>
      </c>
    </row>
    <row r="634" spans="1:31" x14ac:dyDescent="0.2">
      <c r="A634" t="s">
        <v>39</v>
      </c>
      <c r="B634">
        <v>1012812072</v>
      </c>
      <c r="C634" t="s">
        <v>681</v>
      </c>
      <c r="D634" t="s">
        <v>31</v>
      </c>
      <c r="E634" t="s">
        <v>671</v>
      </c>
      <c r="F634" t="s">
        <v>247</v>
      </c>
      <c r="G634" t="s">
        <v>33</v>
      </c>
      <c r="H634" t="s">
        <v>41</v>
      </c>
      <c r="I634" t="s">
        <v>62</v>
      </c>
      <c r="J634">
        <v>81</v>
      </c>
      <c r="K634">
        <v>0</v>
      </c>
      <c r="L634" t="s">
        <v>36</v>
      </c>
      <c r="M634" t="s">
        <v>37</v>
      </c>
      <c r="N634">
        <v>0</v>
      </c>
      <c r="O634">
        <v>0</v>
      </c>
      <c r="P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 t="s">
        <v>36</v>
      </c>
      <c r="AB634" t="s">
        <v>618</v>
      </c>
      <c r="AC634" t="str">
        <f t="shared" si="18"/>
        <v>CP</v>
      </c>
      <c r="AD634" t="str">
        <f>_xlfn.XLOOKUP(C634,Mapping!A:A,Mapping!D:D,0,0)</f>
        <v>Hentai</v>
      </c>
      <c r="AE634" t="str">
        <f t="shared" si="19"/>
        <v>OLD</v>
      </c>
    </row>
    <row r="635" spans="1:31" x14ac:dyDescent="0.2">
      <c r="A635" t="s">
        <v>39</v>
      </c>
      <c r="B635">
        <v>1012812082</v>
      </c>
      <c r="C635" t="s">
        <v>682</v>
      </c>
      <c r="D635" t="s">
        <v>31</v>
      </c>
      <c r="E635" t="s">
        <v>671</v>
      </c>
      <c r="F635" t="s">
        <v>247</v>
      </c>
      <c r="G635" t="s">
        <v>33</v>
      </c>
      <c r="H635" t="s">
        <v>41</v>
      </c>
      <c r="I635" t="s">
        <v>62</v>
      </c>
      <c r="J635">
        <v>81</v>
      </c>
      <c r="K635">
        <v>0</v>
      </c>
      <c r="L635" t="s">
        <v>36</v>
      </c>
      <c r="M635" t="s">
        <v>37</v>
      </c>
      <c r="N635">
        <v>0</v>
      </c>
      <c r="O635">
        <v>0</v>
      </c>
      <c r="P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 t="s">
        <v>36</v>
      </c>
      <c r="AB635" t="s">
        <v>618</v>
      </c>
      <c r="AC635" t="str">
        <f t="shared" si="18"/>
        <v>CP</v>
      </c>
      <c r="AD635" t="str">
        <f>_xlfn.XLOOKUP(C635,Mapping!A:A,Mapping!D:D,0,0)</f>
        <v>Hentai</v>
      </c>
      <c r="AE635" t="str">
        <f t="shared" si="19"/>
        <v>OLD</v>
      </c>
    </row>
    <row r="636" spans="1:31" x14ac:dyDescent="0.2">
      <c r="A636" t="s">
        <v>29</v>
      </c>
      <c r="B636">
        <v>1012812092</v>
      </c>
      <c r="C636" t="s">
        <v>683</v>
      </c>
      <c r="D636" t="s">
        <v>31</v>
      </c>
      <c r="E636" t="s">
        <v>671</v>
      </c>
      <c r="F636" t="s">
        <v>247</v>
      </c>
      <c r="G636" t="s">
        <v>33</v>
      </c>
      <c r="H636" t="s">
        <v>41</v>
      </c>
      <c r="I636" t="s">
        <v>62</v>
      </c>
      <c r="J636">
        <v>81</v>
      </c>
      <c r="K636">
        <v>0</v>
      </c>
      <c r="L636" t="s">
        <v>36</v>
      </c>
      <c r="M636" t="s">
        <v>37</v>
      </c>
      <c r="N636">
        <v>257768</v>
      </c>
      <c r="O636">
        <v>131</v>
      </c>
      <c r="P636">
        <v>5.0819999999999997E-2</v>
      </c>
      <c r="Q636">
        <v>0</v>
      </c>
      <c r="R636">
        <v>18.32</v>
      </c>
      <c r="S636">
        <v>7.0999999999999994E-2</v>
      </c>
      <c r="T636">
        <v>0.14000000000000001</v>
      </c>
      <c r="U636">
        <v>0</v>
      </c>
      <c r="V636">
        <v>2</v>
      </c>
      <c r="W636">
        <v>0</v>
      </c>
      <c r="X636" t="s">
        <v>36</v>
      </c>
      <c r="Y636">
        <v>0</v>
      </c>
      <c r="Z636">
        <v>0</v>
      </c>
      <c r="AA636">
        <v>0</v>
      </c>
      <c r="AB636" t="s">
        <v>618</v>
      </c>
      <c r="AC636" t="str">
        <f t="shared" si="18"/>
        <v>OL</v>
      </c>
      <c r="AD636" t="str">
        <f>_xlfn.XLOOKUP(C636,Mapping!A:A,Mapping!D:D,0,0)</f>
        <v>Hentai</v>
      </c>
      <c r="AE636" t="str">
        <f t="shared" si="19"/>
        <v>OLD</v>
      </c>
    </row>
    <row r="637" spans="1:31" x14ac:dyDescent="0.2">
      <c r="A637" t="s">
        <v>29</v>
      </c>
      <c r="B637">
        <v>1012812102</v>
      </c>
      <c r="C637" t="s">
        <v>684</v>
      </c>
      <c r="D637" t="s">
        <v>31</v>
      </c>
      <c r="E637" t="s">
        <v>671</v>
      </c>
      <c r="F637" t="s">
        <v>247</v>
      </c>
      <c r="G637" t="s">
        <v>33</v>
      </c>
      <c r="H637" t="s">
        <v>41</v>
      </c>
      <c r="I637" t="s">
        <v>62</v>
      </c>
      <c r="J637">
        <v>81</v>
      </c>
      <c r="K637">
        <v>0</v>
      </c>
      <c r="L637" t="s">
        <v>36</v>
      </c>
      <c r="M637" t="s">
        <v>37</v>
      </c>
      <c r="N637">
        <v>176344</v>
      </c>
      <c r="O637">
        <v>79</v>
      </c>
      <c r="P637">
        <v>4.48E-2</v>
      </c>
      <c r="Q637">
        <v>0</v>
      </c>
      <c r="R637">
        <v>12.96</v>
      </c>
      <c r="S637">
        <v>7.3999999999999996E-2</v>
      </c>
      <c r="T637">
        <v>0.16400000000000001</v>
      </c>
      <c r="U637">
        <v>0</v>
      </c>
      <c r="V637">
        <v>2</v>
      </c>
      <c r="W637">
        <v>0</v>
      </c>
      <c r="X637" t="s">
        <v>36</v>
      </c>
      <c r="Y637">
        <v>0</v>
      </c>
      <c r="Z637">
        <v>0</v>
      </c>
      <c r="AA637">
        <v>0</v>
      </c>
      <c r="AB637" t="s">
        <v>618</v>
      </c>
      <c r="AC637" t="str">
        <f t="shared" si="18"/>
        <v>OL</v>
      </c>
      <c r="AD637" t="str">
        <f>_xlfn.XLOOKUP(C637,Mapping!A:A,Mapping!D:D,0,0)</f>
        <v>Hentai</v>
      </c>
      <c r="AE637" t="str">
        <f t="shared" si="19"/>
        <v>OLD</v>
      </c>
    </row>
    <row r="638" spans="1:31" x14ac:dyDescent="0.2">
      <c r="A638" t="s">
        <v>29</v>
      </c>
      <c r="B638">
        <v>1012812112</v>
      </c>
      <c r="C638" t="s">
        <v>685</v>
      </c>
      <c r="D638" t="s">
        <v>31</v>
      </c>
      <c r="E638" t="s">
        <v>671</v>
      </c>
      <c r="F638" t="s">
        <v>247</v>
      </c>
      <c r="G638" t="s">
        <v>33</v>
      </c>
      <c r="H638" t="s">
        <v>34</v>
      </c>
      <c r="I638" t="s">
        <v>84</v>
      </c>
      <c r="J638">
        <v>48</v>
      </c>
      <c r="K638">
        <v>0</v>
      </c>
      <c r="L638" t="s">
        <v>36</v>
      </c>
      <c r="M638" t="s">
        <v>37</v>
      </c>
      <c r="N638">
        <v>124610</v>
      </c>
      <c r="O638">
        <v>305</v>
      </c>
      <c r="P638">
        <v>0.24476000000000001</v>
      </c>
      <c r="Q638">
        <v>0</v>
      </c>
      <c r="R638">
        <v>23.27</v>
      </c>
      <c r="S638">
        <v>0.187</v>
      </c>
      <c r="T638">
        <v>7.5999999999999998E-2</v>
      </c>
      <c r="U638">
        <v>0</v>
      </c>
      <c r="V638">
        <v>2</v>
      </c>
      <c r="W638">
        <v>0</v>
      </c>
      <c r="X638" t="s">
        <v>36</v>
      </c>
      <c r="Y638">
        <v>0</v>
      </c>
      <c r="Z638">
        <v>0</v>
      </c>
      <c r="AA638">
        <v>0</v>
      </c>
      <c r="AB638" t="s">
        <v>618</v>
      </c>
      <c r="AC638" t="str">
        <f t="shared" si="18"/>
        <v>OL</v>
      </c>
      <c r="AD638" t="str">
        <f>_xlfn.XLOOKUP(C638,Mapping!A:A,Mapping!D:D,0,0)</f>
        <v>Hentai</v>
      </c>
      <c r="AE638" t="str">
        <f t="shared" si="19"/>
        <v>OLD</v>
      </c>
    </row>
    <row r="639" spans="1:31" x14ac:dyDescent="0.2">
      <c r="A639" t="s">
        <v>39</v>
      </c>
      <c r="B639">
        <v>1012820322</v>
      </c>
      <c r="C639" t="s">
        <v>686</v>
      </c>
      <c r="D639" t="s">
        <v>31</v>
      </c>
      <c r="E639" s="1">
        <v>0.67291666666666672</v>
      </c>
      <c r="F639" t="s">
        <v>32</v>
      </c>
      <c r="G639" t="s">
        <v>33</v>
      </c>
      <c r="H639" t="s">
        <v>41</v>
      </c>
      <c r="I639" t="s">
        <v>58</v>
      </c>
      <c r="J639">
        <v>50</v>
      </c>
      <c r="K639">
        <v>0</v>
      </c>
      <c r="L639" t="s">
        <v>63</v>
      </c>
      <c r="M639">
        <v>500</v>
      </c>
      <c r="N639">
        <v>0</v>
      </c>
      <c r="O639">
        <v>0</v>
      </c>
      <c r="P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  <c r="X639" t="s">
        <v>36</v>
      </c>
      <c r="AB639" t="s">
        <v>687</v>
      </c>
      <c r="AC639" t="str">
        <f t="shared" si="18"/>
        <v>CP</v>
      </c>
      <c r="AD639" t="str">
        <f>_xlfn.XLOOKUP(C639,Mapping!A:A,Mapping!D:D,0,0)</f>
        <v>General</v>
      </c>
      <c r="AE639" t="str">
        <f t="shared" si="19"/>
        <v>OLD</v>
      </c>
    </row>
    <row r="640" spans="1:31" x14ac:dyDescent="0.2">
      <c r="A640" t="s">
        <v>39</v>
      </c>
      <c r="B640">
        <v>1012820332</v>
      </c>
      <c r="C640" t="s">
        <v>688</v>
      </c>
      <c r="D640" t="s">
        <v>31</v>
      </c>
      <c r="E640" s="1">
        <v>0.67291666666666672</v>
      </c>
      <c r="F640" t="s">
        <v>32</v>
      </c>
      <c r="G640" t="s">
        <v>33</v>
      </c>
      <c r="H640" t="s">
        <v>41</v>
      </c>
      <c r="I640" t="s">
        <v>58</v>
      </c>
      <c r="J640">
        <v>50</v>
      </c>
      <c r="K640">
        <v>0</v>
      </c>
      <c r="L640" t="s">
        <v>63</v>
      </c>
      <c r="M640">
        <v>500</v>
      </c>
      <c r="N640">
        <v>0</v>
      </c>
      <c r="O640">
        <v>0</v>
      </c>
      <c r="P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 t="s">
        <v>36</v>
      </c>
      <c r="AB640" t="s">
        <v>687</v>
      </c>
      <c r="AC640" t="str">
        <f t="shared" si="18"/>
        <v>CP</v>
      </c>
      <c r="AD640" t="str">
        <f>_xlfn.XLOOKUP(C640,Mapping!A:A,Mapping!D:D,0,0)</f>
        <v>General</v>
      </c>
      <c r="AE640" t="str">
        <f t="shared" si="19"/>
        <v>OLD</v>
      </c>
    </row>
    <row r="641" spans="1:31" x14ac:dyDescent="0.2">
      <c r="A641" t="s">
        <v>39</v>
      </c>
      <c r="B641">
        <v>1012850562</v>
      </c>
      <c r="C641" t="s">
        <v>689</v>
      </c>
      <c r="D641" t="s">
        <v>31</v>
      </c>
      <c r="E641" s="1">
        <v>0.67291666666666672</v>
      </c>
      <c r="F641" t="s">
        <v>32</v>
      </c>
      <c r="G641" t="s">
        <v>33</v>
      </c>
      <c r="H641" t="s">
        <v>34</v>
      </c>
      <c r="I641" t="s">
        <v>35</v>
      </c>
      <c r="J641">
        <v>45</v>
      </c>
      <c r="K641">
        <v>0</v>
      </c>
      <c r="L641" t="s">
        <v>36</v>
      </c>
      <c r="M641" t="s">
        <v>37</v>
      </c>
      <c r="N641">
        <v>0</v>
      </c>
      <c r="O641">
        <v>0</v>
      </c>
      <c r="P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 t="s">
        <v>36</v>
      </c>
      <c r="AB641" t="s">
        <v>43</v>
      </c>
      <c r="AC641" t="str">
        <f t="shared" si="18"/>
        <v>CP</v>
      </c>
      <c r="AD641" t="str">
        <f>_xlfn.XLOOKUP(C641,Mapping!A:A,Mapping!D:D,0,0)</f>
        <v>Bin</v>
      </c>
      <c r="AE641" t="str">
        <f t="shared" si="19"/>
        <v>OLD</v>
      </c>
    </row>
    <row r="642" spans="1:31" x14ac:dyDescent="0.2">
      <c r="A642" t="s">
        <v>690</v>
      </c>
      <c r="B642">
        <v>1012853592</v>
      </c>
      <c r="C642" t="s">
        <v>52</v>
      </c>
      <c r="D642" t="s">
        <v>31</v>
      </c>
      <c r="E642" s="1">
        <v>0.67291666666666672</v>
      </c>
      <c r="F642" t="s">
        <v>32</v>
      </c>
      <c r="G642" t="s">
        <v>33</v>
      </c>
      <c r="H642" t="s">
        <v>41</v>
      </c>
      <c r="I642" t="s">
        <v>691</v>
      </c>
      <c r="J642">
        <v>460</v>
      </c>
      <c r="K642">
        <v>0</v>
      </c>
      <c r="L642" t="s">
        <v>36</v>
      </c>
      <c r="M642" t="s">
        <v>37</v>
      </c>
      <c r="N642">
        <v>0</v>
      </c>
      <c r="O642">
        <v>0</v>
      </c>
      <c r="P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 t="s">
        <v>36</v>
      </c>
      <c r="AB642" t="s">
        <v>38</v>
      </c>
      <c r="AC642" t="str">
        <f t="shared" si="18"/>
        <v>CP</v>
      </c>
      <c r="AD642" t="str">
        <f>_xlfn.XLOOKUP(C642,Mapping!A:A,Mapping!D:D,0,0)</f>
        <v>Bin</v>
      </c>
      <c r="AE642" t="str">
        <f t="shared" si="19"/>
        <v>OLD</v>
      </c>
    </row>
    <row r="643" spans="1:31" x14ac:dyDescent="0.2">
      <c r="A643" t="s">
        <v>39</v>
      </c>
      <c r="B643">
        <v>1012853732</v>
      </c>
      <c r="C643" t="s">
        <v>692</v>
      </c>
      <c r="D643" t="s">
        <v>31</v>
      </c>
      <c r="E643" s="1">
        <v>0.38611111111111113</v>
      </c>
      <c r="F643" t="s">
        <v>32</v>
      </c>
      <c r="G643" t="s">
        <v>33</v>
      </c>
      <c r="H643" t="s">
        <v>41</v>
      </c>
      <c r="I643" t="s">
        <v>691</v>
      </c>
      <c r="J643">
        <v>6</v>
      </c>
      <c r="K643">
        <v>0</v>
      </c>
      <c r="L643" t="s">
        <v>36</v>
      </c>
      <c r="M643" t="s">
        <v>37</v>
      </c>
      <c r="N643">
        <v>0</v>
      </c>
      <c r="O643">
        <v>0</v>
      </c>
      <c r="P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 t="s">
        <v>36</v>
      </c>
      <c r="AB643" t="s">
        <v>43</v>
      </c>
      <c r="AC643" t="str">
        <f t="shared" ref="AC643:AC706" si="20">LEFT(C643,2)</f>
        <v>CP</v>
      </c>
      <c r="AD643" t="str">
        <f>_xlfn.XLOOKUP(C643,Mapping!A:A,Mapping!D:D,0,0)</f>
        <v>Bin</v>
      </c>
      <c r="AE643" t="str">
        <f t="shared" ref="AE643:AE706" si="21">IFERROR(IF(SEARCH("_TJ",C643)&gt;0,"TJ",NA()),IFERROR(IF(SEARCH("_JB",C643)&gt;0,"JB",NA()),"OLD"))</f>
        <v>OLD</v>
      </c>
    </row>
    <row r="644" spans="1:31" x14ac:dyDescent="0.2">
      <c r="A644" t="s">
        <v>39</v>
      </c>
      <c r="B644">
        <v>1012853752</v>
      </c>
      <c r="C644" t="s">
        <v>693</v>
      </c>
      <c r="D644" t="s">
        <v>31</v>
      </c>
      <c r="E644" s="1">
        <v>0.38611111111111113</v>
      </c>
      <c r="F644" t="s">
        <v>32</v>
      </c>
      <c r="G644" t="s">
        <v>33</v>
      </c>
      <c r="H644" t="s">
        <v>41</v>
      </c>
      <c r="I644" t="s">
        <v>691</v>
      </c>
      <c r="J644">
        <v>6</v>
      </c>
      <c r="K644">
        <v>0</v>
      </c>
      <c r="L644" t="s">
        <v>36</v>
      </c>
      <c r="M644" t="s">
        <v>37</v>
      </c>
      <c r="N644">
        <v>0</v>
      </c>
      <c r="O644">
        <v>0</v>
      </c>
      <c r="P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0</v>
      </c>
      <c r="X644" t="s">
        <v>36</v>
      </c>
      <c r="AB644" t="s">
        <v>43</v>
      </c>
      <c r="AC644" t="str">
        <f t="shared" si="20"/>
        <v>CP</v>
      </c>
      <c r="AD644" t="str">
        <f>_xlfn.XLOOKUP(C644,Mapping!A:A,Mapping!D:D,0,0)</f>
        <v>Bin</v>
      </c>
      <c r="AE644" t="str">
        <f t="shared" si="21"/>
        <v>OLD</v>
      </c>
    </row>
    <row r="645" spans="1:31" x14ac:dyDescent="0.2">
      <c r="A645" t="s">
        <v>39</v>
      </c>
      <c r="B645">
        <v>1012854242</v>
      </c>
      <c r="C645" t="s">
        <v>694</v>
      </c>
      <c r="D645" t="s">
        <v>31</v>
      </c>
      <c r="E645" s="1">
        <v>0.38611111111111113</v>
      </c>
      <c r="F645" t="s">
        <v>32</v>
      </c>
      <c r="G645" t="s">
        <v>33</v>
      </c>
      <c r="H645" t="s">
        <v>41</v>
      </c>
      <c r="I645" t="s">
        <v>691</v>
      </c>
      <c r="J645">
        <v>12</v>
      </c>
      <c r="K645">
        <v>0</v>
      </c>
      <c r="L645" t="s">
        <v>36</v>
      </c>
      <c r="M645" t="s">
        <v>37</v>
      </c>
      <c r="N645">
        <v>0</v>
      </c>
      <c r="O645">
        <v>0</v>
      </c>
      <c r="P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 t="s">
        <v>36</v>
      </c>
      <c r="AB645" t="s">
        <v>43</v>
      </c>
      <c r="AC645" t="str">
        <f t="shared" si="20"/>
        <v>CP</v>
      </c>
      <c r="AD645" t="str">
        <f>_xlfn.XLOOKUP(C645,Mapping!A:A,Mapping!D:D,0,0)</f>
        <v>Bin</v>
      </c>
      <c r="AE645" t="str">
        <f t="shared" si="21"/>
        <v>OLD</v>
      </c>
    </row>
    <row r="646" spans="1:31" x14ac:dyDescent="0.2">
      <c r="A646" t="s">
        <v>39</v>
      </c>
      <c r="B646">
        <v>1012854252</v>
      </c>
      <c r="C646" t="s">
        <v>695</v>
      </c>
      <c r="D646" t="s">
        <v>31</v>
      </c>
      <c r="E646" s="1">
        <v>0.38611111111111113</v>
      </c>
      <c r="F646" t="s">
        <v>32</v>
      </c>
      <c r="G646" t="s">
        <v>33</v>
      </c>
      <c r="H646" t="s">
        <v>41</v>
      </c>
      <c r="I646" t="s">
        <v>691</v>
      </c>
      <c r="J646">
        <v>6</v>
      </c>
      <c r="K646">
        <v>0</v>
      </c>
      <c r="L646" t="s">
        <v>36</v>
      </c>
      <c r="M646" t="s">
        <v>37</v>
      </c>
      <c r="N646">
        <v>0</v>
      </c>
      <c r="O646">
        <v>0</v>
      </c>
      <c r="P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 t="s">
        <v>36</v>
      </c>
      <c r="AB646" t="s">
        <v>43</v>
      </c>
      <c r="AC646" t="str">
        <f t="shared" si="20"/>
        <v>CP</v>
      </c>
      <c r="AD646" t="str">
        <f>_xlfn.XLOOKUP(C646,Mapping!A:A,Mapping!D:D,0,0)</f>
        <v>Bin</v>
      </c>
      <c r="AE646" t="str">
        <f t="shared" si="21"/>
        <v>OLD</v>
      </c>
    </row>
    <row r="647" spans="1:31" x14ac:dyDescent="0.2">
      <c r="A647" t="s">
        <v>39</v>
      </c>
      <c r="B647">
        <v>1012854262</v>
      </c>
      <c r="C647" t="s">
        <v>696</v>
      </c>
      <c r="D647" t="s">
        <v>31</v>
      </c>
      <c r="E647" s="1">
        <v>0.38611111111111113</v>
      </c>
      <c r="F647" t="s">
        <v>32</v>
      </c>
      <c r="G647" t="s">
        <v>33</v>
      </c>
      <c r="H647" t="s">
        <v>41</v>
      </c>
      <c r="I647" t="s">
        <v>691</v>
      </c>
      <c r="J647">
        <v>12</v>
      </c>
      <c r="K647">
        <v>0</v>
      </c>
      <c r="L647" t="s">
        <v>36</v>
      </c>
      <c r="M647" t="s">
        <v>37</v>
      </c>
      <c r="N647">
        <v>0</v>
      </c>
      <c r="O647">
        <v>0</v>
      </c>
      <c r="P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X647" t="s">
        <v>36</v>
      </c>
      <c r="AB647" t="s">
        <v>43</v>
      </c>
      <c r="AC647" t="str">
        <f t="shared" si="20"/>
        <v>CP</v>
      </c>
      <c r="AD647" t="str">
        <f>_xlfn.XLOOKUP(C647,Mapping!A:A,Mapping!D:D,0,0)</f>
        <v>Bin</v>
      </c>
      <c r="AE647" t="str">
        <f t="shared" si="21"/>
        <v>OLD</v>
      </c>
    </row>
    <row r="648" spans="1:31" x14ac:dyDescent="0.2">
      <c r="A648" t="s">
        <v>39</v>
      </c>
      <c r="B648">
        <v>1012854272</v>
      </c>
      <c r="C648" t="s">
        <v>697</v>
      </c>
      <c r="D648" t="s">
        <v>31</v>
      </c>
      <c r="E648" s="1">
        <v>0.38611111111111113</v>
      </c>
      <c r="F648" t="s">
        <v>32</v>
      </c>
      <c r="G648" t="s">
        <v>33</v>
      </c>
      <c r="H648" t="s">
        <v>41</v>
      </c>
      <c r="I648" t="s">
        <v>691</v>
      </c>
      <c r="J648">
        <v>12</v>
      </c>
      <c r="K648">
        <v>0</v>
      </c>
      <c r="L648" t="s">
        <v>36</v>
      </c>
      <c r="M648" t="s">
        <v>37</v>
      </c>
      <c r="N648">
        <v>0</v>
      </c>
      <c r="O648">
        <v>0</v>
      </c>
      <c r="P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 t="s">
        <v>36</v>
      </c>
      <c r="AB648" t="s">
        <v>43</v>
      </c>
      <c r="AC648" t="str">
        <f t="shared" si="20"/>
        <v>CP</v>
      </c>
      <c r="AD648" t="str">
        <f>_xlfn.XLOOKUP(C648,Mapping!A:A,Mapping!D:D,0,0)</f>
        <v>Bin</v>
      </c>
      <c r="AE648" t="str">
        <f t="shared" si="21"/>
        <v>OLD</v>
      </c>
    </row>
    <row r="649" spans="1:31" x14ac:dyDescent="0.2">
      <c r="A649" t="s">
        <v>39</v>
      </c>
      <c r="B649">
        <v>1012854282</v>
      </c>
      <c r="C649" t="s">
        <v>698</v>
      </c>
      <c r="D649" t="s">
        <v>31</v>
      </c>
      <c r="E649" s="1">
        <v>0.38611111111111113</v>
      </c>
      <c r="F649" t="s">
        <v>32</v>
      </c>
      <c r="G649" t="s">
        <v>33</v>
      </c>
      <c r="H649" t="s">
        <v>41</v>
      </c>
      <c r="I649" t="s">
        <v>691</v>
      </c>
      <c r="J649">
        <v>12</v>
      </c>
      <c r="K649">
        <v>0</v>
      </c>
      <c r="L649" t="s">
        <v>36</v>
      </c>
      <c r="M649" t="s">
        <v>37</v>
      </c>
      <c r="N649">
        <v>0</v>
      </c>
      <c r="O649">
        <v>0</v>
      </c>
      <c r="P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 t="s">
        <v>36</v>
      </c>
      <c r="AB649" t="s">
        <v>43</v>
      </c>
      <c r="AC649" t="str">
        <f t="shared" si="20"/>
        <v>CP</v>
      </c>
      <c r="AD649" t="str">
        <f>_xlfn.XLOOKUP(C649,Mapping!A:A,Mapping!D:D,0,0)</f>
        <v>Bin</v>
      </c>
      <c r="AE649" t="str">
        <f t="shared" si="21"/>
        <v>OLD</v>
      </c>
    </row>
    <row r="650" spans="1:31" x14ac:dyDescent="0.2">
      <c r="A650" t="s">
        <v>39</v>
      </c>
      <c r="B650">
        <v>1012854302</v>
      </c>
      <c r="C650" t="s">
        <v>699</v>
      </c>
      <c r="D650" t="s">
        <v>31</v>
      </c>
      <c r="E650" s="1">
        <v>0.38611111111111113</v>
      </c>
      <c r="F650" t="s">
        <v>32</v>
      </c>
      <c r="G650" t="s">
        <v>33</v>
      </c>
      <c r="H650" t="s">
        <v>41</v>
      </c>
      <c r="I650" t="s">
        <v>691</v>
      </c>
      <c r="J650">
        <v>12</v>
      </c>
      <c r="K650">
        <v>0</v>
      </c>
      <c r="L650" t="s">
        <v>36</v>
      </c>
      <c r="M650" t="s">
        <v>37</v>
      </c>
      <c r="N650">
        <v>0</v>
      </c>
      <c r="O650">
        <v>0</v>
      </c>
      <c r="P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 t="s">
        <v>36</v>
      </c>
      <c r="AB650" t="s">
        <v>43</v>
      </c>
      <c r="AC650" t="str">
        <f t="shared" si="20"/>
        <v>CP</v>
      </c>
      <c r="AD650" t="str">
        <f>_xlfn.XLOOKUP(C650,Mapping!A:A,Mapping!D:D,0,0)</f>
        <v>Bin</v>
      </c>
      <c r="AE650" t="str">
        <f t="shared" si="21"/>
        <v>OLD</v>
      </c>
    </row>
    <row r="651" spans="1:31" x14ac:dyDescent="0.2">
      <c r="A651" t="s">
        <v>690</v>
      </c>
      <c r="B651">
        <v>1012854322</v>
      </c>
      <c r="C651" t="s">
        <v>700</v>
      </c>
      <c r="D651" t="s">
        <v>31</v>
      </c>
      <c r="E651" s="1">
        <v>0.67291666666666672</v>
      </c>
      <c r="F651" t="s">
        <v>32</v>
      </c>
      <c r="G651" t="s">
        <v>33</v>
      </c>
      <c r="H651" t="s">
        <v>41</v>
      </c>
      <c r="I651" t="s">
        <v>691</v>
      </c>
      <c r="J651">
        <v>920</v>
      </c>
      <c r="K651">
        <v>0</v>
      </c>
      <c r="L651" t="s">
        <v>36</v>
      </c>
      <c r="M651" t="s">
        <v>37</v>
      </c>
      <c r="N651">
        <v>263</v>
      </c>
      <c r="O651">
        <v>11</v>
      </c>
      <c r="P651">
        <v>4.1825099999999997</v>
      </c>
      <c r="Q651">
        <v>0</v>
      </c>
      <c r="R651">
        <v>0.15</v>
      </c>
      <c r="S651">
        <v>0.58499999999999996</v>
      </c>
      <c r="T651">
        <v>1.4E-2</v>
      </c>
      <c r="U651">
        <v>0</v>
      </c>
      <c r="V651">
        <v>1</v>
      </c>
      <c r="W651">
        <v>0</v>
      </c>
      <c r="X651" t="s">
        <v>36</v>
      </c>
      <c r="Y651">
        <v>263</v>
      </c>
      <c r="Z651">
        <v>235</v>
      </c>
      <c r="AA651">
        <v>22</v>
      </c>
      <c r="AB651" t="s">
        <v>38</v>
      </c>
      <c r="AC651" t="str">
        <f t="shared" si="20"/>
        <v>CP</v>
      </c>
      <c r="AD651" t="str">
        <f>_xlfn.XLOOKUP(C651,Mapping!A:A,Mapping!D:D,0,0)</f>
        <v>AI</v>
      </c>
      <c r="AE651" t="str">
        <f t="shared" si="21"/>
        <v>OLD</v>
      </c>
    </row>
    <row r="652" spans="1:31" x14ac:dyDescent="0.2">
      <c r="A652" t="s">
        <v>39</v>
      </c>
      <c r="B652">
        <v>1012854332</v>
      </c>
      <c r="C652" t="s">
        <v>701</v>
      </c>
      <c r="D652" t="s">
        <v>31</v>
      </c>
      <c r="E652" s="1">
        <v>0.67291666666666672</v>
      </c>
      <c r="F652" t="s">
        <v>32</v>
      </c>
      <c r="G652" t="s">
        <v>33</v>
      </c>
      <c r="H652" t="s">
        <v>41</v>
      </c>
      <c r="I652" t="s">
        <v>691</v>
      </c>
      <c r="J652">
        <v>920</v>
      </c>
      <c r="K652">
        <v>0</v>
      </c>
      <c r="L652" t="s">
        <v>36</v>
      </c>
      <c r="M652" t="s">
        <v>37</v>
      </c>
      <c r="N652">
        <v>0</v>
      </c>
      <c r="O652">
        <v>0</v>
      </c>
      <c r="P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 t="s">
        <v>36</v>
      </c>
      <c r="AB652" t="s">
        <v>43</v>
      </c>
      <c r="AC652" t="str">
        <f t="shared" si="20"/>
        <v>CP</v>
      </c>
      <c r="AD652" t="str">
        <f>_xlfn.XLOOKUP(C652,Mapping!A:A,Mapping!D:D,0,0)</f>
        <v>Bin</v>
      </c>
      <c r="AE652" t="str">
        <f t="shared" si="21"/>
        <v>OLD</v>
      </c>
    </row>
    <row r="653" spans="1:31" x14ac:dyDescent="0.2">
      <c r="A653" t="s">
        <v>690</v>
      </c>
      <c r="B653">
        <v>1012854342</v>
      </c>
      <c r="C653" t="s">
        <v>702</v>
      </c>
      <c r="D653" t="s">
        <v>31</v>
      </c>
      <c r="E653" s="1">
        <v>0.67291666666666672</v>
      </c>
      <c r="F653" t="s">
        <v>32</v>
      </c>
      <c r="G653" t="s">
        <v>33</v>
      </c>
      <c r="H653" t="s">
        <v>41</v>
      </c>
      <c r="I653" t="s">
        <v>691</v>
      </c>
      <c r="J653">
        <v>460</v>
      </c>
      <c r="K653">
        <v>0</v>
      </c>
      <c r="L653" t="s">
        <v>36</v>
      </c>
      <c r="M653" t="s">
        <v>37</v>
      </c>
      <c r="N653">
        <v>151</v>
      </c>
      <c r="O653">
        <v>8</v>
      </c>
      <c r="P653">
        <v>5.2980099999999997</v>
      </c>
      <c r="Q653">
        <v>0</v>
      </c>
      <c r="R653">
        <v>0.09</v>
      </c>
      <c r="S653">
        <v>0.58099999999999996</v>
      </c>
      <c r="T653">
        <v>1.0999999999999999E-2</v>
      </c>
      <c r="U653">
        <v>0</v>
      </c>
      <c r="V653">
        <v>1</v>
      </c>
      <c r="W653">
        <v>0</v>
      </c>
      <c r="X653" t="s">
        <v>36</v>
      </c>
      <c r="Y653">
        <v>151</v>
      </c>
      <c r="Z653">
        <v>133</v>
      </c>
      <c r="AA653">
        <v>13</v>
      </c>
      <c r="AB653" t="s">
        <v>38</v>
      </c>
      <c r="AC653" t="str">
        <f t="shared" si="20"/>
        <v>CP</v>
      </c>
      <c r="AD653" t="str">
        <f>_xlfn.XLOOKUP(C653,Mapping!A:A,Mapping!D:D,0,0)</f>
        <v>AI</v>
      </c>
      <c r="AE653" t="str">
        <f t="shared" si="21"/>
        <v>OLD</v>
      </c>
    </row>
    <row r="654" spans="1:31" x14ac:dyDescent="0.2">
      <c r="A654" t="s">
        <v>39</v>
      </c>
      <c r="B654">
        <v>1012854352</v>
      </c>
      <c r="C654" t="s">
        <v>703</v>
      </c>
      <c r="D654" t="s">
        <v>31</v>
      </c>
      <c r="E654" s="1">
        <v>0.67291666666666672</v>
      </c>
      <c r="F654" t="s">
        <v>32</v>
      </c>
      <c r="G654" t="s">
        <v>33</v>
      </c>
      <c r="H654" t="s">
        <v>41</v>
      </c>
      <c r="I654" t="s">
        <v>691</v>
      </c>
      <c r="J654">
        <v>920</v>
      </c>
      <c r="K654">
        <v>0</v>
      </c>
      <c r="L654" t="s">
        <v>36</v>
      </c>
      <c r="M654" t="s">
        <v>37</v>
      </c>
      <c r="N654">
        <v>0</v>
      </c>
      <c r="O654">
        <v>0</v>
      </c>
      <c r="P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X654" t="s">
        <v>36</v>
      </c>
      <c r="AB654" t="s">
        <v>43</v>
      </c>
      <c r="AC654" t="str">
        <f t="shared" si="20"/>
        <v>CP</v>
      </c>
      <c r="AD654" t="str">
        <f>_xlfn.XLOOKUP(C654,Mapping!A:A,Mapping!D:D,0,0)</f>
        <v>Bin</v>
      </c>
      <c r="AE654" t="str">
        <f t="shared" si="21"/>
        <v>OLD</v>
      </c>
    </row>
    <row r="655" spans="1:31" x14ac:dyDescent="0.2">
      <c r="A655" t="s">
        <v>690</v>
      </c>
      <c r="B655">
        <v>1012854472</v>
      </c>
      <c r="C655" t="s">
        <v>704</v>
      </c>
      <c r="D655" t="s">
        <v>31</v>
      </c>
      <c r="E655" s="1">
        <v>0.67291666666666672</v>
      </c>
      <c r="F655" t="s">
        <v>32</v>
      </c>
      <c r="G655" t="s">
        <v>33</v>
      </c>
      <c r="H655" t="s">
        <v>34</v>
      </c>
      <c r="I655" t="s">
        <v>35</v>
      </c>
      <c r="J655">
        <v>252</v>
      </c>
      <c r="K655">
        <v>0</v>
      </c>
      <c r="L655" t="s">
        <v>36</v>
      </c>
      <c r="M655" t="s">
        <v>37</v>
      </c>
      <c r="N655">
        <v>179</v>
      </c>
      <c r="O655">
        <v>2</v>
      </c>
      <c r="P655">
        <v>1.1173200000000001</v>
      </c>
      <c r="Q655">
        <v>0</v>
      </c>
      <c r="R655">
        <v>0.11</v>
      </c>
      <c r="S655">
        <v>0.58799999999999997</v>
      </c>
      <c r="T655">
        <v>5.2999999999999999E-2</v>
      </c>
      <c r="U655">
        <v>0</v>
      </c>
      <c r="V655">
        <v>1</v>
      </c>
      <c r="W655">
        <v>0</v>
      </c>
      <c r="X655" t="s">
        <v>36</v>
      </c>
      <c r="Y655">
        <v>179</v>
      </c>
      <c r="Z655">
        <v>129</v>
      </c>
      <c r="AA655">
        <v>25</v>
      </c>
      <c r="AB655" t="s">
        <v>38</v>
      </c>
      <c r="AC655" t="str">
        <f t="shared" si="20"/>
        <v>CP</v>
      </c>
      <c r="AD655" t="str">
        <f>_xlfn.XLOOKUP(C655,Mapping!A:A,Mapping!D:D,0,0)</f>
        <v>AI</v>
      </c>
      <c r="AE655" t="str">
        <f t="shared" si="21"/>
        <v>OLD</v>
      </c>
    </row>
    <row r="656" spans="1:31" x14ac:dyDescent="0.2">
      <c r="A656" t="s">
        <v>39</v>
      </c>
      <c r="B656">
        <v>1012854502</v>
      </c>
      <c r="C656" t="s">
        <v>705</v>
      </c>
      <c r="D656" t="s">
        <v>31</v>
      </c>
      <c r="E656" s="1">
        <v>0.67291666666666672</v>
      </c>
      <c r="F656" t="s">
        <v>32</v>
      </c>
      <c r="G656" t="s">
        <v>33</v>
      </c>
      <c r="H656" t="s">
        <v>34</v>
      </c>
      <c r="I656" t="s">
        <v>35</v>
      </c>
      <c r="J656">
        <v>560</v>
      </c>
      <c r="K656">
        <v>0</v>
      </c>
      <c r="L656" t="s">
        <v>36</v>
      </c>
      <c r="M656" t="s">
        <v>37</v>
      </c>
      <c r="N656">
        <v>0</v>
      </c>
      <c r="O656">
        <v>0</v>
      </c>
      <c r="P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 t="s">
        <v>36</v>
      </c>
      <c r="AB656" t="s">
        <v>43</v>
      </c>
      <c r="AC656" t="str">
        <f t="shared" si="20"/>
        <v>CP</v>
      </c>
      <c r="AD656" t="str">
        <f>_xlfn.XLOOKUP(C656,Mapping!A:A,Mapping!D:D,0,0)</f>
        <v>Bin</v>
      </c>
      <c r="AE656" t="str">
        <f t="shared" si="21"/>
        <v>OLD</v>
      </c>
    </row>
    <row r="657" spans="1:31" x14ac:dyDescent="0.2">
      <c r="A657" t="s">
        <v>39</v>
      </c>
      <c r="B657">
        <v>1012854662</v>
      </c>
      <c r="C657" t="s">
        <v>706</v>
      </c>
      <c r="D657" t="s">
        <v>31</v>
      </c>
      <c r="E657" t="s">
        <v>707</v>
      </c>
      <c r="F657" t="s">
        <v>247</v>
      </c>
      <c r="G657" t="s">
        <v>33</v>
      </c>
      <c r="H657" t="s">
        <v>34</v>
      </c>
      <c r="I657" t="s">
        <v>35</v>
      </c>
      <c r="J657">
        <v>6</v>
      </c>
      <c r="K657">
        <v>0</v>
      </c>
      <c r="L657" t="s">
        <v>36</v>
      </c>
      <c r="M657" t="s">
        <v>37</v>
      </c>
      <c r="N657">
        <v>0</v>
      </c>
      <c r="O657">
        <v>0</v>
      </c>
      <c r="P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 t="s">
        <v>63</v>
      </c>
      <c r="AB657" t="s">
        <v>43</v>
      </c>
      <c r="AC657" t="str">
        <f t="shared" si="20"/>
        <v>CP</v>
      </c>
      <c r="AD657" t="str">
        <f>_xlfn.XLOOKUP(C657,Mapping!A:A,Mapping!D:D,0,0)</f>
        <v>Bin</v>
      </c>
      <c r="AE657" t="str">
        <f t="shared" si="21"/>
        <v>OLD</v>
      </c>
    </row>
    <row r="658" spans="1:31" x14ac:dyDescent="0.2">
      <c r="A658" t="s">
        <v>39</v>
      </c>
      <c r="B658">
        <v>1012854692</v>
      </c>
      <c r="C658" t="s">
        <v>708</v>
      </c>
      <c r="D658" t="s">
        <v>31</v>
      </c>
      <c r="E658" t="s">
        <v>707</v>
      </c>
      <c r="F658" t="s">
        <v>247</v>
      </c>
      <c r="G658" t="s">
        <v>33</v>
      </c>
      <c r="H658" t="s">
        <v>34</v>
      </c>
      <c r="I658" t="s">
        <v>35</v>
      </c>
      <c r="J658">
        <v>10</v>
      </c>
      <c r="K658">
        <v>0</v>
      </c>
      <c r="L658" t="s">
        <v>36</v>
      </c>
      <c r="M658" t="s">
        <v>37</v>
      </c>
      <c r="N658">
        <v>0</v>
      </c>
      <c r="O658">
        <v>0</v>
      </c>
      <c r="P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X658" t="s">
        <v>63</v>
      </c>
      <c r="AB658" t="s">
        <v>43</v>
      </c>
      <c r="AC658" t="str">
        <f t="shared" si="20"/>
        <v>CP</v>
      </c>
      <c r="AD658" t="str">
        <f>_xlfn.XLOOKUP(C658,Mapping!A:A,Mapping!D:D,0,0)</f>
        <v>Bin</v>
      </c>
      <c r="AE658" t="str">
        <f t="shared" si="21"/>
        <v>OLD</v>
      </c>
    </row>
    <row r="659" spans="1:31" x14ac:dyDescent="0.2">
      <c r="A659" t="s">
        <v>39</v>
      </c>
      <c r="B659">
        <v>1012854712</v>
      </c>
      <c r="C659" t="s">
        <v>709</v>
      </c>
      <c r="D659" t="s">
        <v>31</v>
      </c>
      <c r="E659" t="s">
        <v>707</v>
      </c>
      <c r="F659" t="s">
        <v>247</v>
      </c>
      <c r="G659" t="s">
        <v>33</v>
      </c>
      <c r="H659" t="s">
        <v>34</v>
      </c>
      <c r="I659" t="s">
        <v>35</v>
      </c>
      <c r="J659">
        <v>10</v>
      </c>
      <c r="K659">
        <v>0</v>
      </c>
      <c r="L659" t="s">
        <v>36</v>
      </c>
      <c r="M659" t="s">
        <v>37</v>
      </c>
      <c r="N659">
        <v>0</v>
      </c>
      <c r="O659">
        <v>0</v>
      </c>
      <c r="P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 t="s">
        <v>63</v>
      </c>
      <c r="AB659" t="s">
        <v>43</v>
      </c>
      <c r="AC659" t="str">
        <f t="shared" si="20"/>
        <v>CP</v>
      </c>
      <c r="AD659" t="str">
        <f>_xlfn.XLOOKUP(C659,Mapping!A:A,Mapping!D:D,0,0)</f>
        <v>Bin</v>
      </c>
      <c r="AE659" t="str">
        <f t="shared" si="21"/>
        <v>OLD</v>
      </c>
    </row>
    <row r="660" spans="1:31" x14ac:dyDescent="0.2">
      <c r="A660" t="s">
        <v>39</v>
      </c>
      <c r="B660">
        <v>1012854722</v>
      </c>
      <c r="C660" t="s">
        <v>710</v>
      </c>
      <c r="D660" t="s">
        <v>31</v>
      </c>
      <c r="E660" t="s">
        <v>707</v>
      </c>
      <c r="F660" t="s">
        <v>247</v>
      </c>
      <c r="G660" t="s">
        <v>33</v>
      </c>
      <c r="H660" t="s">
        <v>34</v>
      </c>
      <c r="I660" t="s">
        <v>35</v>
      </c>
      <c r="J660">
        <v>10</v>
      </c>
      <c r="K660">
        <v>0</v>
      </c>
      <c r="L660" t="s">
        <v>36</v>
      </c>
      <c r="M660" t="s">
        <v>37</v>
      </c>
      <c r="N660">
        <v>0</v>
      </c>
      <c r="O660">
        <v>0</v>
      </c>
      <c r="P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 t="s">
        <v>63</v>
      </c>
      <c r="AB660" t="s">
        <v>43</v>
      </c>
      <c r="AC660" t="str">
        <f t="shared" si="20"/>
        <v>CP</v>
      </c>
      <c r="AD660" t="str">
        <f>_xlfn.XLOOKUP(C660,Mapping!A:A,Mapping!D:D,0,0)</f>
        <v>Bin</v>
      </c>
      <c r="AE660" t="str">
        <f t="shared" si="21"/>
        <v>OLD</v>
      </c>
    </row>
    <row r="661" spans="1:31" x14ac:dyDescent="0.2">
      <c r="A661" t="s">
        <v>39</v>
      </c>
      <c r="B661">
        <v>1012854732</v>
      </c>
      <c r="C661" t="s">
        <v>711</v>
      </c>
      <c r="D661" t="s">
        <v>31</v>
      </c>
      <c r="E661" t="s">
        <v>707</v>
      </c>
      <c r="F661" t="s">
        <v>247</v>
      </c>
      <c r="G661" t="s">
        <v>33</v>
      </c>
      <c r="H661" t="s">
        <v>34</v>
      </c>
      <c r="I661" t="s">
        <v>35</v>
      </c>
      <c r="J661">
        <v>10</v>
      </c>
      <c r="K661">
        <v>0</v>
      </c>
      <c r="L661" t="s">
        <v>36</v>
      </c>
      <c r="M661" t="s">
        <v>37</v>
      </c>
      <c r="N661">
        <v>0</v>
      </c>
      <c r="O661">
        <v>0</v>
      </c>
      <c r="P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 t="s">
        <v>63</v>
      </c>
      <c r="AB661" t="s">
        <v>43</v>
      </c>
      <c r="AC661" t="str">
        <f t="shared" si="20"/>
        <v>CP</v>
      </c>
      <c r="AD661" t="str">
        <f>_xlfn.XLOOKUP(C661,Mapping!A:A,Mapping!D:D,0,0)</f>
        <v>Bin</v>
      </c>
      <c r="AE661" t="str">
        <f t="shared" si="21"/>
        <v>OLD</v>
      </c>
    </row>
    <row r="662" spans="1:31" x14ac:dyDescent="0.2">
      <c r="A662" t="s">
        <v>39</v>
      </c>
      <c r="B662">
        <v>1012854742</v>
      </c>
      <c r="C662" t="s">
        <v>712</v>
      </c>
      <c r="D662" t="s">
        <v>31</v>
      </c>
      <c r="E662" t="s">
        <v>707</v>
      </c>
      <c r="F662" t="s">
        <v>247</v>
      </c>
      <c r="G662" t="s">
        <v>33</v>
      </c>
      <c r="H662" t="s">
        <v>34</v>
      </c>
      <c r="I662" t="s">
        <v>35</v>
      </c>
      <c r="J662">
        <v>10</v>
      </c>
      <c r="K662">
        <v>0</v>
      </c>
      <c r="L662" t="s">
        <v>36</v>
      </c>
      <c r="M662" t="s">
        <v>37</v>
      </c>
      <c r="N662">
        <v>0</v>
      </c>
      <c r="O662">
        <v>0</v>
      </c>
      <c r="P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0</v>
      </c>
      <c r="X662" t="s">
        <v>63</v>
      </c>
      <c r="AB662" t="s">
        <v>43</v>
      </c>
      <c r="AC662" t="str">
        <f t="shared" si="20"/>
        <v>CP</v>
      </c>
      <c r="AD662" t="str">
        <f>_xlfn.XLOOKUP(C662,Mapping!A:A,Mapping!D:D,0,0)</f>
        <v>Bin</v>
      </c>
      <c r="AE662" t="str">
        <f t="shared" si="21"/>
        <v>OLD</v>
      </c>
    </row>
    <row r="663" spans="1:31" x14ac:dyDescent="0.2">
      <c r="A663" t="s">
        <v>39</v>
      </c>
      <c r="B663">
        <v>1012854792</v>
      </c>
      <c r="C663" t="s">
        <v>713</v>
      </c>
      <c r="D663" t="s">
        <v>31</v>
      </c>
      <c r="E663" t="s">
        <v>707</v>
      </c>
      <c r="F663" t="s">
        <v>247</v>
      </c>
      <c r="G663" t="s">
        <v>33</v>
      </c>
      <c r="H663" t="s">
        <v>41</v>
      </c>
      <c r="I663" t="s">
        <v>691</v>
      </c>
      <c r="J663">
        <v>4</v>
      </c>
      <c r="K663">
        <v>0</v>
      </c>
      <c r="L663" t="s">
        <v>36</v>
      </c>
      <c r="M663" t="s">
        <v>37</v>
      </c>
      <c r="N663">
        <v>0</v>
      </c>
      <c r="O663">
        <v>0</v>
      </c>
      <c r="P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 t="s">
        <v>36</v>
      </c>
      <c r="AB663" t="s">
        <v>43</v>
      </c>
      <c r="AC663" t="str">
        <f t="shared" si="20"/>
        <v>CP</v>
      </c>
      <c r="AD663" t="str">
        <f>_xlfn.XLOOKUP(C663,Mapping!A:A,Mapping!D:D,0,0)</f>
        <v>Bin</v>
      </c>
      <c r="AE663" t="str">
        <f t="shared" si="21"/>
        <v>OLD</v>
      </c>
    </row>
    <row r="664" spans="1:31" x14ac:dyDescent="0.2">
      <c r="A664" t="s">
        <v>39</v>
      </c>
      <c r="B664">
        <v>1012854842</v>
      </c>
      <c r="C664" t="s">
        <v>714</v>
      </c>
      <c r="D664" t="s">
        <v>31</v>
      </c>
      <c r="E664" t="s">
        <v>707</v>
      </c>
      <c r="F664" t="s">
        <v>247</v>
      </c>
      <c r="G664" t="s">
        <v>33</v>
      </c>
      <c r="H664" t="s">
        <v>41</v>
      </c>
      <c r="I664" t="s">
        <v>691</v>
      </c>
      <c r="J664">
        <v>6</v>
      </c>
      <c r="K664">
        <v>0</v>
      </c>
      <c r="L664" t="s">
        <v>36</v>
      </c>
      <c r="M664" t="s">
        <v>37</v>
      </c>
      <c r="N664">
        <v>0</v>
      </c>
      <c r="O664">
        <v>0</v>
      </c>
      <c r="P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 t="s">
        <v>36</v>
      </c>
      <c r="AB664" t="s">
        <v>43</v>
      </c>
      <c r="AC664" t="str">
        <f t="shared" si="20"/>
        <v>CP</v>
      </c>
      <c r="AD664" t="str">
        <f>_xlfn.XLOOKUP(C664,Mapping!A:A,Mapping!D:D,0,0)</f>
        <v>Bin</v>
      </c>
      <c r="AE664" t="str">
        <f t="shared" si="21"/>
        <v>OLD</v>
      </c>
    </row>
    <row r="665" spans="1:31" x14ac:dyDescent="0.2">
      <c r="A665" t="s">
        <v>39</v>
      </c>
      <c r="B665">
        <v>1012858692</v>
      </c>
      <c r="C665" t="s">
        <v>715</v>
      </c>
      <c r="D665" t="s">
        <v>31</v>
      </c>
      <c r="E665" s="1">
        <v>0.67291666666666672</v>
      </c>
      <c r="F665" t="s">
        <v>32</v>
      </c>
      <c r="G665" t="s">
        <v>33</v>
      </c>
      <c r="H665" t="s">
        <v>34</v>
      </c>
      <c r="I665" t="s">
        <v>716</v>
      </c>
      <c r="J665">
        <v>280</v>
      </c>
      <c r="K665">
        <v>0</v>
      </c>
      <c r="L665" t="s">
        <v>63</v>
      </c>
      <c r="M665">
        <v>250</v>
      </c>
      <c r="N665">
        <v>0</v>
      </c>
      <c r="O665">
        <v>0</v>
      </c>
      <c r="P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 t="s">
        <v>36</v>
      </c>
      <c r="AB665" t="s">
        <v>43</v>
      </c>
      <c r="AC665" t="str">
        <f t="shared" si="20"/>
        <v>CP</v>
      </c>
      <c r="AD665" t="str">
        <f>_xlfn.XLOOKUP(C665,Mapping!A:A,Mapping!D:D,0,0)</f>
        <v>Bin</v>
      </c>
      <c r="AE665" t="str">
        <f t="shared" si="21"/>
        <v>OLD</v>
      </c>
    </row>
    <row r="666" spans="1:31" x14ac:dyDescent="0.2">
      <c r="A666" t="s">
        <v>39</v>
      </c>
      <c r="B666">
        <v>1012860402</v>
      </c>
      <c r="C666" t="s">
        <v>717</v>
      </c>
      <c r="D666" t="s">
        <v>31</v>
      </c>
      <c r="E666" s="1">
        <v>0.67291666666666672</v>
      </c>
      <c r="F666" t="s">
        <v>32</v>
      </c>
      <c r="G666" t="s">
        <v>33</v>
      </c>
      <c r="H666" t="s">
        <v>34</v>
      </c>
      <c r="I666" t="s">
        <v>716</v>
      </c>
      <c r="J666">
        <v>280</v>
      </c>
      <c r="K666">
        <v>0</v>
      </c>
      <c r="L666" t="s">
        <v>63</v>
      </c>
      <c r="M666">
        <v>250</v>
      </c>
      <c r="N666">
        <v>0</v>
      </c>
      <c r="O666">
        <v>0</v>
      </c>
      <c r="P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 t="s">
        <v>36</v>
      </c>
      <c r="AB666" t="s">
        <v>43</v>
      </c>
      <c r="AC666" t="str">
        <f t="shared" si="20"/>
        <v>CP</v>
      </c>
      <c r="AD666" t="str">
        <f>_xlfn.XLOOKUP(C666,Mapping!A:A,Mapping!D:D,0,0)</f>
        <v>Bin</v>
      </c>
      <c r="AE666" t="str">
        <f t="shared" si="21"/>
        <v>OLD</v>
      </c>
    </row>
    <row r="667" spans="1:31" x14ac:dyDescent="0.2">
      <c r="A667" t="s">
        <v>39</v>
      </c>
      <c r="B667">
        <v>1012863632</v>
      </c>
      <c r="C667" t="s">
        <v>718</v>
      </c>
      <c r="D667" t="s">
        <v>31</v>
      </c>
      <c r="E667" s="1">
        <v>0.67291666666666672</v>
      </c>
      <c r="F667" t="s">
        <v>32</v>
      </c>
      <c r="G667" t="s">
        <v>33</v>
      </c>
      <c r="H667" t="s">
        <v>34</v>
      </c>
      <c r="I667" t="s">
        <v>719</v>
      </c>
      <c r="J667">
        <v>252</v>
      </c>
      <c r="K667">
        <v>0</v>
      </c>
      <c r="L667" t="s">
        <v>63</v>
      </c>
      <c r="M667">
        <v>250</v>
      </c>
      <c r="N667">
        <v>0</v>
      </c>
      <c r="O667">
        <v>0</v>
      </c>
      <c r="P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 t="s">
        <v>36</v>
      </c>
      <c r="AB667" t="s">
        <v>43</v>
      </c>
      <c r="AC667" t="str">
        <f t="shared" si="20"/>
        <v>CP</v>
      </c>
      <c r="AD667" t="str">
        <f>_xlfn.XLOOKUP(C667,Mapping!A:A,Mapping!D:D,0,0)</f>
        <v>Bin</v>
      </c>
      <c r="AE667" t="str">
        <f t="shared" si="21"/>
        <v>OLD</v>
      </c>
    </row>
    <row r="668" spans="1:31" x14ac:dyDescent="0.2">
      <c r="A668" t="s">
        <v>29</v>
      </c>
      <c r="B668">
        <v>1012865892</v>
      </c>
      <c r="C668" t="s">
        <v>720</v>
      </c>
      <c r="D668" t="s">
        <v>31</v>
      </c>
      <c r="E668" s="1">
        <v>0.67291666666666672</v>
      </c>
      <c r="F668" t="s">
        <v>32</v>
      </c>
      <c r="G668" t="s">
        <v>33</v>
      </c>
      <c r="H668" t="s">
        <v>41</v>
      </c>
      <c r="I668" t="s">
        <v>62</v>
      </c>
      <c r="J668">
        <v>560</v>
      </c>
      <c r="K668">
        <v>0</v>
      </c>
      <c r="L668" t="s">
        <v>36</v>
      </c>
      <c r="M668" t="s">
        <v>37</v>
      </c>
      <c r="N668">
        <v>1746</v>
      </c>
      <c r="O668">
        <v>91</v>
      </c>
      <c r="P668">
        <v>5.2119</v>
      </c>
      <c r="Q668">
        <v>0</v>
      </c>
      <c r="R668">
        <v>1.34</v>
      </c>
      <c r="S668">
        <v>0.76600000000000001</v>
      </c>
      <c r="T668">
        <v>1.4999999999999999E-2</v>
      </c>
      <c r="U668">
        <v>0</v>
      </c>
      <c r="V668">
        <v>1</v>
      </c>
      <c r="W668">
        <v>0</v>
      </c>
      <c r="X668" t="s">
        <v>36</v>
      </c>
      <c r="Y668">
        <v>1746</v>
      </c>
      <c r="Z668">
        <v>1581</v>
      </c>
      <c r="AA668">
        <v>131</v>
      </c>
      <c r="AB668" t="s">
        <v>484</v>
      </c>
      <c r="AC668" t="str">
        <f t="shared" si="20"/>
        <v>CP</v>
      </c>
      <c r="AD668" t="str">
        <f>_xlfn.XLOOKUP(C668,Mapping!A:A,Mapping!D:D,0,0)</f>
        <v>Keyword - Preroll</v>
      </c>
      <c r="AE668" t="str">
        <f t="shared" si="21"/>
        <v>OLD</v>
      </c>
    </row>
    <row r="669" spans="1:31" x14ac:dyDescent="0.2">
      <c r="A669" t="s">
        <v>29</v>
      </c>
      <c r="B669">
        <v>1012865902</v>
      </c>
      <c r="C669" t="s">
        <v>721</v>
      </c>
      <c r="D669" t="s">
        <v>31</v>
      </c>
      <c r="E669" s="1">
        <v>0.67291666666666672</v>
      </c>
      <c r="F669" t="s">
        <v>32</v>
      </c>
      <c r="G669" t="s">
        <v>33</v>
      </c>
      <c r="H669" t="s">
        <v>41</v>
      </c>
      <c r="I669" t="s">
        <v>62</v>
      </c>
      <c r="J669">
        <v>560</v>
      </c>
      <c r="K669">
        <v>0</v>
      </c>
      <c r="L669" t="s">
        <v>36</v>
      </c>
      <c r="M669" t="s">
        <v>37</v>
      </c>
      <c r="N669">
        <v>57237</v>
      </c>
      <c r="O669">
        <v>3439</v>
      </c>
      <c r="P669">
        <v>6.0083500000000001</v>
      </c>
      <c r="Q669">
        <v>0</v>
      </c>
      <c r="R669">
        <v>76.62</v>
      </c>
      <c r="S669">
        <v>1.339</v>
      </c>
      <c r="T669">
        <v>2.1999999999999999E-2</v>
      </c>
      <c r="U669">
        <v>0</v>
      </c>
      <c r="V669">
        <v>1</v>
      </c>
      <c r="W669">
        <v>0</v>
      </c>
      <c r="X669" t="s">
        <v>36</v>
      </c>
      <c r="Y669">
        <v>57233</v>
      </c>
      <c r="Z669">
        <v>50836</v>
      </c>
      <c r="AA669">
        <v>4224</v>
      </c>
      <c r="AB669" t="s">
        <v>484</v>
      </c>
      <c r="AC669" t="str">
        <f t="shared" si="20"/>
        <v>CP</v>
      </c>
      <c r="AD669" t="str">
        <f>_xlfn.XLOOKUP(C669,Mapping!A:A,Mapping!D:D,0,0)</f>
        <v>Keyword - Preroll</v>
      </c>
      <c r="AE669" t="str">
        <f t="shared" si="21"/>
        <v>OLD</v>
      </c>
    </row>
    <row r="670" spans="1:31" x14ac:dyDescent="0.2">
      <c r="A670" t="s">
        <v>39</v>
      </c>
      <c r="B670">
        <v>1012865912</v>
      </c>
      <c r="C670" t="s">
        <v>511</v>
      </c>
      <c r="D670" t="s">
        <v>31</v>
      </c>
      <c r="E670" s="1">
        <v>0.67291666666666672</v>
      </c>
      <c r="F670" t="s">
        <v>32</v>
      </c>
      <c r="G670" t="s">
        <v>33</v>
      </c>
      <c r="H670" t="s">
        <v>41</v>
      </c>
      <c r="I670" t="s">
        <v>62</v>
      </c>
      <c r="J670">
        <v>560</v>
      </c>
      <c r="K670">
        <v>0</v>
      </c>
      <c r="L670" t="s">
        <v>36</v>
      </c>
      <c r="M670" t="s">
        <v>37</v>
      </c>
      <c r="N670">
        <v>0</v>
      </c>
      <c r="O670">
        <v>0</v>
      </c>
      <c r="P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 t="s">
        <v>36</v>
      </c>
      <c r="AB670" t="s">
        <v>119</v>
      </c>
      <c r="AC670" t="str">
        <f t="shared" si="20"/>
        <v>CP</v>
      </c>
      <c r="AD670" t="str">
        <f>_xlfn.XLOOKUP(C670,Mapping!A:A,Mapping!D:D,0,0)</f>
        <v>Keyword - Preroll</v>
      </c>
      <c r="AE670" t="str">
        <f t="shared" si="21"/>
        <v>OLD</v>
      </c>
    </row>
    <row r="671" spans="1:31" x14ac:dyDescent="0.2">
      <c r="A671" t="s">
        <v>29</v>
      </c>
      <c r="B671">
        <v>1012865922</v>
      </c>
      <c r="C671" t="s">
        <v>722</v>
      </c>
      <c r="D671" t="s">
        <v>31</v>
      </c>
      <c r="E671" s="1">
        <v>0.67291666666666672</v>
      </c>
      <c r="F671" t="s">
        <v>32</v>
      </c>
      <c r="G671" t="s">
        <v>33</v>
      </c>
      <c r="H671" t="s">
        <v>41</v>
      </c>
      <c r="I671" t="s">
        <v>62</v>
      </c>
      <c r="J671">
        <v>560</v>
      </c>
      <c r="K671">
        <v>0</v>
      </c>
      <c r="L671" t="s">
        <v>36</v>
      </c>
      <c r="M671" t="s">
        <v>37</v>
      </c>
      <c r="N671">
        <v>3171</v>
      </c>
      <c r="O671">
        <v>173</v>
      </c>
      <c r="P671">
        <v>5.4556899999999997</v>
      </c>
      <c r="Q671">
        <v>0</v>
      </c>
      <c r="R671">
        <v>2.72</v>
      </c>
      <c r="S671">
        <v>0.85699999999999998</v>
      </c>
      <c r="T671">
        <v>1.6E-2</v>
      </c>
      <c r="U671">
        <v>0</v>
      </c>
      <c r="V671">
        <v>1</v>
      </c>
      <c r="W671">
        <v>0</v>
      </c>
      <c r="X671" t="s">
        <v>36</v>
      </c>
      <c r="Y671">
        <v>3171</v>
      </c>
      <c r="Z671">
        <v>2799</v>
      </c>
      <c r="AA671">
        <v>249</v>
      </c>
      <c r="AB671" t="s">
        <v>484</v>
      </c>
      <c r="AC671" t="str">
        <f t="shared" si="20"/>
        <v>CP</v>
      </c>
      <c r="AD671" t="str">
        <f>_xlfn.XLOOKUP(C671,Mapping!A:A,Mapping!D:D,0,0)</f>
        <v>Keyword - Preroll</v>
      </c>
      <c r="AE671" t="str">
        <f t="shared" si="21"/>
        <v>OLD</v>
      </c>
    </row>
    <row r="672" spans="1:31" x14ac:dyDescent="0.2">
      <c r="A672" t="s">
        <v>29</v>
      </c>
      <c r="B672">
        <v>1012866372</v>
      </c>
      <c r="C672" t="s">
        <v>354</v>
      </c>
      <c r="D672" t="s">
        <v>31</v>
      </c>
      <c r="E672" s="1">
        <v>0.67291666666666672</v>
      </c>
      <c r="F672" t="s">
        <v>32</v>
      </c>
      <c r="G672" t="s">
        <v>33</v>
      </c>
      <c r="H672" t="s">
        <v>34</v>
      </c>
      <c r="I672" t="s">
        <v>84</v>
      </c>
      <c r="J672">
        <v>72</v>
      </c>
      <c r="K672">
        <v>0</v>
      </c>
      <c r="L672" t="s">
        <v>36</v>
      </c>
      <c r="M672" t="s">
        <v>37</v>
      </c>
      <c r="N672">
        <v>244178</v>
      </c>
      <c r="O672">
        <v>10964</v>
      </c>
      <c r="P672">
        <v>4.49017</v>
      </c>
      <c r="Q672">
        <v>9</v>
      </c>
      <c r="R672">
        <v>688.9</v>
      </c>
      <c r="S672">
        <v>2.8210000000000002</v>
      </c>
      <c r="T672">
        <v>6.3E-2</v>
      </c>
      <c r="U672">
        <v>76.543999999999997</v>
      </c>
      <c r="V672">
        <v>1</v>
      </c>
      <c r="W672">
        <v>0</v>
      </c>
      <c r="X672" t="s">
        <v>36</v>
      </c>
      <c r="Y672">
        <v>244182</v>
      </c>
      <c r="Z672">
        <v>190698</v>
      </c>
      <c r="AA672">
        <v>29873</v>
      </c>
      <c r="AB672" t="s">
        <v>348</v>
      </c>
      <c r="AC672" t="str">
        <f t="shared" si="20"/>
        <v>CP</v>
      </c>
      <c r="AD672" t="str">
        <f>_xlfn.XLOOKUP(C672,Mapping!A:A,Mapping!D:D,0,0)</f>
        <v>Keyword - Preroll</v>
      </c>
      <c r="AE672" t="str">
        <f t="shared" si="21"/>
        <v>OLD</v>
      </c>
    </row>
    <row r="673" spans="1:31" x14ac:dyDescent="0.2">
      <c r="A673" t="s">
        <v>29</v>
      </c>
      <c r="B673">
        <v>1012866382</v>
      </c>
      <c r="C673" t="s">
        <v>351</v>
      </c>
      <c r="D673" t="s">
        <v>31</v>
      </c>
      <c r="E673" s="1">
        <v>0.67291666666666672</v>
      </c>
      <c r="F673" t="s">
        <v>32</v>
      </c>
      <c r="G673" t="s">
        <v>33</v>
      </c>
      <c r="H673" t="s">
        <v>34</v>
      </c>
      <c r="I673" t="s">
        <v>723</v>
      </c>
      <c r="J673">
        <v>72</v>
      </c>
      <c r="K673">
        <v>0</v>
      </c>
      <c r="L673" t="s">
        <v>63</v>
      </c>
      <c r="M673">
        <v>250</v>
      </c>
      <c r="N673">
        <v>347609</v>
      </c>
      <c r="O673">
        <v>15355</v>
      </c>
      <c r="P673">
        <v>4.4173200000000001</v>
      </c>
      <c r="Q673">
        <v>4</v>
      </c>
      <c r="R673">
        <v>530.15</v>
      </c>
      <c r="S673">
        <v>1.5249999999999999</v>
      </c>
      <c r="T673">
        <v>3.5000000000000003E-2</v>
      </c>
      <c r="U673">
        <v>132.53700000000001</v>
      </c>
      <c r="V673">
        <v>1</v>
      </c>
      <c r="W673">
        <v>0</v>
      </c>
      <c r="X673" t="s">
        <v>36</v>
      </c>
      <c r="Y673">
        <v>347617</v>
      </c>
      <c r="Z673">
        <v>268009</v>
      </c>
      <c r="AA673">
        <v>46124</v>
      </c>
      <c r="AB673" t="s">
        <v>348</v>
      </c>
      <c r="AC673" t="str">
        <f t="shared" si="20"/>
        <v>CP</v>
      </c>
      <c r="AD673" t="str">
        <f>_xlfn.XLOOKUP(C673,Mapping!A:A,Mapping!D:D,0,0)</f>
        <v>Keyword - Preroll</v>
      </c>
      <c r="AE673" t="str">
        <f t="shared" si="21"/>
        <v>OLD</v>
      </c>
    </row>
    <row r="674" spans="1:31" x14ac:dyDescent="0.2">
      <c r="A674" t="s">
        <v>29</v>
      </c>
      <c r="B674">
        <v>1012866392</v>
      </c>
      <c r="C674" t="s">
        <v>724</v>
      </c>
      <c r="D674" t="s">
        <v>31</v>
      </c>
      <c r="E674" s="1">
        <v>0.67291666666666672</v>
      </c>
      <c r="F674" t="s">
        <v>32</v>
      </c>
      <c r="G674" t="s">
        <v>33</v>
      </c>
      <c r="H674" t="s">
        <v>34</v>
      </c>
      <c r="I674" t="s">
        <v>84</v>
      </c>
      <c r="J674">
        <v>72</v>
      </c>
      <c r="K674">
        <v>0</v>
      </c>
      <c r="L674" t="s">
        <v>63</v>
      </c>
      <c r="M674">
        <v>250</v>
      </c>
      <c r="N674">
        <v>10334</v>
      </c>
      <c r="O674">
        <v>445</v>
      </c>
      <c r="P674">
        <v>4.3061699999999998</v>
      </c>
      <c r="Q674">
        <v>0</v>
      </c>
      <c r="R674">
        <v>10.81</v>
      </c>
      <c r="S674">
        <v>1.046</v>
      </c>
      <c r="T674">
        <v>2.4E-2</v>
      </c>
      <c r="U674">
        <v>0</v>
      </c>
      <c r="V674">
        <v>1</v>
      </c>
      <c r="W674">
        <v>0</v>
      </c>
      <c r="X674" t="s">
        <v>36</v>
      </c>
      <c r="Y674">
        <v>10334</v>
      </c>
      <c r="Z674">
        <v>7555</v>
      </c>
      <c r="AA674">
        <v>1451</v>
      </c>
      <c r="AB674" t="s">
        <v>348</v>
      </c>
      <c r="AC674" t="str">
        <f t="shared" si="20"/>
        <v>CP</v>
      </c>
      <c r="AD674" t="str">
        <f>_xlfn.XLOOKUP(C674,Mapping!A:A,Mapping!D:D,0,0)</f>
        <v>Keyword - Preroll</v>
      </c>
      <c r="AE674" t="str">
        <f t="shared" si="21"/>
        <v>OLD</v>
      </c>
    </row>
    <row r="675" spans="1:31" x14ac:dyDescent="0.2">
      <c r="A675" t="s">
        <v>29</v>
      </c>
      <c r="B675">
        <v>1012866402</v>
      </c>
      <c r="C675" t="s">
        <v>595</v>
      </c>
      <c r="D675" t="s">
        <v>31</v>
      </c>
      <c r="E675" s="1">
        <v>0.67291666666666672</v>
      </c>
      <c r="F675" t="s">
        <v>32</v>
      </c>
      <c r="G675" t="s">
        <v>33</v>
      </c>
      <c r="H675" t="s">
        <v>34</v>
      </c>
      <c r="I675" t="s">
        <v>84</v>
      </c>
      <c r="J675">
        <v>72</v>
      </c>
      <c r="K675">
        <v>0</v>
      </c>
      <c r="L675" t="s">
        <v>36</v>
      </c>
      <c r="M675" t="s">
        <v>37</v>
      </c>
      <c r="N675">
        <v>629871</v>
      </c>
      <c r="O675">
        <v>29196</v>
      </c>
      <c r="P675">
        <v>4.63523</v>
      </c>
      <c r="Q675">
        <v>14</v>
      </c>
      <c r="R675">
        <v>810.1</v>
      </c>
      <c r="S675">
        <v>1.286</v>
      </c>
      <c r="T675">
        <v>2.8000000000000001E-2</v>
      </c>
      <c r="U675">
        <v>57.863999999999997</v>
      </c>
      <c r="V675">
        <v>1</v>
      </c>
      <c r="W675">
        <v>0</v>
      </c>
      <c r="X675" t="s">
        <v>36</v>
      </c>
      <c r="Y675">
        <v>629863</v>
      </c>
      <c r="Z675">
        <v>486665</v>
      </c>
      <c r="AA675">
        <v>79143</v>
      </c>
      <c r="AB675" t="s">
        <v>348</v>
      </c>
      <c r="AC675" t="str">
        <f t="shared" si="20"/>
        <v>CP</v>
      </c>
      <c r="AD675" t="str">
        <f>_xlfn.XLOOKUP(C675,Mapping!A:A,Mapping!D:D,0,0)</f>
        <v>Keyword - Preroll</v>
      </c>
      <c r="AE675" t="str">
        <f t="shared" si="21"/>
        <v>OLD</v>
      </c>
    </row>
    <row r="676" spans="1:31" x14ac:dyDescent="0.2">
      <c r="A676" t="s">
        <v>39</v>
      </c>
      <c r="B676">
        <v>1012866412</v>
      </c>
      <c r="C676" t="s">
        <v>725</v>
      </c>
      <c r="D676" t="s">
        <v>31</v>
      </c>
      <c r="E676" s="1">
        <v>0.67291666666666672</v>
      </c>
      <c r="F676" t="s">
        <v>32</v>
      </c>
      <c r="G676" t="s">
        <v>33</v>
      </c>
      <c r="H676" t="s">
        <v>41</v>
      </c>
      <c r="I676" t="s">
        <v>62</v>
      </c>
      <c r="J676">
        <v>162</v>
      </c>
      <c r="K676">
        <v>0</v>
      </c>
      <c r="L676" t="s">
        <v>63</v>
      </c>
      <c r="M676">
        <v>250</v>
      </c>
      <c r="N676">
        <v>0</v>
      </c>
      <c r="O676">
        <v>0</v>
      </c>
      <c r="P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 t="s">
        <v>36</v>
      </c>
      <c r="AB676" t="s">
        <v>348</v>
      </c>
      <c r="AC676" t="str">
        <f t="shared" si="20"/>
        <v>CP</v>
      </c>
      <c r="AD676" t="str">
        <f>_xlfn.XLOOKUP(C676,Mapping!A:A,Mapping!D:D,0,0)</f>
        <v>Missionary</v>
      </c>
      <c r="AE676" t="str">
        <f t="shared" si="21"/>
        <v>OLD</v>
      </c>
    </row>
    <row r="677" spans="1:31" x14ac:dyDescent="0.2">
      <c r="A677" t="s">
        <v>39</v>
      </c>
      <c r="B677">
        <v>1012866422</v>
      </c>
      <c r="C677" t="s">
        <v>636</v>
      </c>
      <c r="D677" t="s">
        <v>31</v>
      </c>
      <c r="E677" s="1">
        <v>0.67291666666666672</v>
      </c>
      <c r="F677" t="s">
        <v>32</v>
      </c>
      <c r="G677" t="s">
        <v>33</v>
      </c>
      <c r="H677" t="s">
        <v>41</v>
      </c>
      <c r="I677" t="s">
        <v>62</v>
      </c>
      <c r="J677">
        <v>162</v>
      </c>
      <c r="K677">
        <v>0</v>
      </c>
      <c r="L677" t="s">
        <v>63</v>
      </c>
      <c r="M677">
        <v>250</v>
      </c>
      <c r="N677">
        <v>0</v>
      </c>
      <c r="O677">
        <v>0</v>
      </c>
      <c r="P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 t="s">
        <v>36</v>
      </c>
      <c r="AB677" t="s">
        <v>348</v>
      </c>
      <c r="AC677" t="str">
        <f t="shared" si="20"/>
        <v>CP</v>
      </c>
      <c r="AD677" t="str">
        <f>_xlfn.XLOOKUP(C677,Mapping!A:A,Mapping!D:D,0,0)</f>
        <v>Bin</v>
      </c>
      <c r="AE677" t="str">
        <f t="shared" si="21"/>
        <v>OLD</v>
      </c>
    </row>
    <row r="678" spans="1:31" x14ac:dyDescent="0.2">
      <c r="A678" t="s">
        <v>39</v>
      </c>
      <c r="B678">
        <v>1012866432</v>
      </c>
      <c r="C678" t="s">
        <v>726</v>
      </c>
      <c r="D678" t="s">
        <v>31</v>
      </c>
      <c r="E678" s="1">
        <v>0.67291666666666672</v>
      </c>
      <c r="F678" t="s">
        <v>32</v>
      </c>
      <c r="G678" t="s">
        <v>33</v>
      </c>
      <c r="H678" t="s">
        <v>41</v>
      </c>
      <c r="I678" t="s">
        <v>62</v>
      </c>
      <c r="J678">
        <v>162</v>
      </c>
      <c r="K678">
        <v>0</v>
      </c>
      <c r="L678" t="s">
        <v>63</v>
      </c>
      <c r="M678">
        <v>250</v>
      </c>
      <c r="N678">
        <v>0</v>
      </c>
      <c r="O678">
        <v>0</v>
      </c>
      <c r="P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 t="s">
        <v>36</v>
      </c>
      <c r="AB678" t="s">
        <v>348</v>
      </c>
      <c r="AC678" t="str">
        <f t="shared" si="20"/>
        <v>CP</v>
      </c>
      <c r="AD678" t="str">
        <f>_xlfn.XLOOKUP(C678,Mapping!A:A,Mapping!D:D,0,0)</f>
        <v>Missionary</v>
      </c>
      <c r="AE678" t="str">
        <f t="shared" si="21"/>
        <v>OLD</v>
      </c>
    </row>
    <row r="679" spans="1:31" x14ac:dyDescent="0.2">
      <c r="A679" t="s">
        <v>39</v>
      </c>
      <c r="B679">
        <v>1012866442</v>
      </c>
      <c r="C679" t="s">
        <v>727</v>
      </c>
      <c r="D679" t="s">
        <v>31</v>
      </c>
      <c r="E679" s="1">
        <v>0.67291666666666672</v>
      </c>
      <c r="F679" t="s">
        <v>32</v>
      </c>
      <c r="G679" t="s">
        <v>33</v>
      </c>
      <c r="H679" t="s">
        <v>41</v>
      </c>
      <c r="I679" t="s">
        <v>62</v>
      </c>
      <c r="J679">
        <v>162</v>
      </c>
      <c r="K679">
        <v>0</v>
      </c>
      <c r="L679" t="s">
        <v>63</v>
      </c>
      <c r="M679">
        <v>250</v>
      </c>
      <c r="N679">
        <v>0</v>
      </c>
      <c r="O679">
        <v>0</v>
      </c>
      <c r="P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 t="s">
        <v>36</v>
      </c>
      <c r="AB679" t="s">
        <v>348</v>
      </c>
      <c r="AC679" t="str">
        <f t="shared" si="20"/>
        <v>CP</v>
      </c>
      <c r="AD679" t="str">
        <f>_xlfn.XLOOKUP(C679,Mapping!A:A,Mapping!D:D,0,0)</f>
        <v>Missionary</v>
      </c>
      <c r="AE679" t="str">
        <f t="shared" si="21"/>
        <v>OLD</v>
      </c>
    </row>
    <row r="680" spans="1:31" x14ac:dyDescent="0.2">
      <c r="A680" t="s">
        <v>39</v>
      </c>
      <c r="B680">
        <v>1012866452</v>
      </c>
      <c r="C680" t="s">
        <v>728</v>
      </c>
      <c r="D680" t="s">
        <v>31</v>
      </c>
      <c r="E680" s="1">
        <v>0.67291666666666672</v>
      </c>
      <c r="F680" t="s">
        <v>32</v>
      </c>
      <c r="G680" t="s">
        <v>33</v>
      </c>
      <c r="H680" t="s">
        <v>41</v>
      </c>
      <c r="I680" t="s">
        <v>62</v>
      </c>
      <c r="J680">
        <v>81</v>
      </c>
      <c r="K680">
        <v>0</v>
      </c>
      <c r="L680" t="s">
        <v>63</v>
      </c>
      <c r="M680">
        <v>250</v>
      </c>
      <c r="N680">
        <v>0</v>
      </c>
      <c r="O680">
        <v>0</v>
      </c>
      <c r="P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 t="s">
        <v>36</v>
      </c>
      <c r="AB680" t="s">
        <v>348</v>
      </c>
      <c r="AC680" t="str">
        <f t="shared" si="20"/>
        <v>CP</v>
      </c>
      <c r="AD680" t="str">
        <f>_xlfn.XLOOKUP(C680,Mapping!A:A,Mapping!D:D,0,0)</f>
        <v>Missionary</v>
      </c>
      <c r="AE680" t="str">
        <f t="shared" si="21"/>
        <v>OLD</v>
      </c>
    </row>
    <row r="681" spans="1:31" x14ac:dyDescent="0.2">
      <c r="A681" t="s">
        <v>39</v>
      </c>
      <c r="B681">
        <v>1012866462</v>
      </c>
      <c r="C681" t="s">
        <v>349</v>
      </c>
      <c r="D681" t="s">
        <v>31</v>
      </c>
      <c r="E681" s="1">
        <v>0.67291666666666672</v>
      </c>
      <c r="F681" t="s">
        <v>32</v>
      </c>
      <c r="G681" t="s">
        <v>33</v>
      </c>
      <c r="H681" t="s">
        <v>41</v>
      </c>
      <c r="I681" t="s">
        <v>62</v>
      </c>
      <c r="J681">
        <v>81</v>
      </c>
      <c r="K681">
        <v>0</v>
      </c>
      <c r="L681" t="s">
        <v>63</v>
      </c>
      <c r="M681">
        <v>250</v>
      </c>
      <c r="N681">
        <v>0</v>
      </c>
      <c r="O681">
        <v>0</v>
      </c>
      <c r="P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 t="s">
        <v>36</v>
      </c>
      <c r="AB681" t="s">
        <v>348</v>
      </c>
      <c r="AC681" t="str">
        <f t="shared" si="20"/>
        <v>CP</v>
      </c>
      <c r="AD681" t="str">
        <f>_xlfn.XLOOKUP(C681,Mapping!A:A,Mapping!D:D,0,0)</f>
        <v>Bin</v>
      </c>
      <c r="AE681" t="str">
        <f t="shared" si="21"/>
        <v>OLD</v>
      </c>
    </row>
    <row r="682" spans="1:31" x14ac:dyDescent="0.2">
      <c r="A682" t="s">
        <v>39</v>
      </c>
      <c r="B682">
        <v>1012866472</v>
      </c>
      <c r="C682" t="s">
        <v>597</v>
      </c>
      <c r="D682" t="s">
        <v>31</v>
      </c>
      <c r="E682" s="1">
        <v>0.67291666666666672</v>
      </c>
      <c r="F682" t="s">
        <v>32</v>
      </c>
      <c r="G682" t="s">
        <v>33</v>
      </c>
      <c r="H682" t="s">
        <v>41</v>
      </c>
      <c r="I682" t="s">
        <v>62</v>
      </c>
      <c r="J682">
        <v>81</v>
      </c>
      <c r="K682">
        <v>0</v>
      </c>
      <c r="L682" t="s">
        <v>63</v>
      </c>
      <c r="M682">
        <v>250</v>
      </c>
      <c r="N682">
        <v>0</v>
      </c>
      <c r="O682">
        <v>0</v>
      </c>
      <c r="P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 t="s">
        <v>36</v>
      </c>
      <c r="AB682" t="s">
        <v>348</v>
      </c>
      <c r="AC682" t="str">
        <f t="shared" si="20"/>
        <v>CP</v>
      </c>
      <c r="AD682" t="str">
        <f>_xlfn.XLOOKUP(C682,Mapping!A:A,Mapping!D:D,0,0)</f>
        <v>Bin</v>
      </c>
      <c r="AE682" t="str">
        <f t="shared" si="21"/>
        <v>OLD</v>
      </c>
    </row>
    <row r="683" spans="1:31" x14ac:dyDescent="0.2">
      <c r="A683" t="s">
        <v>39</v>
      </c>
      <c r="B683">
        <v>1012866482</v>
      </c>
      <c r="C683" t="s">
        <v>352</v>
      </c>
      <c r="D683" t="s">
        <v>31</v>
      </c>
      <c r="E683" s="1">
        <v>0.67291666666666672</v>
      </c>
      <c r="F683" t="s">
        <v>32</v>
      </c>
      <c r="G683" t="s">
        <v>33</v>
      </c>
      <c r="H683" t="s">
        <v>41</v>
      </c>
      <c r="I683" t="s">
        <v>62</v>
      </c>
      <c r="J683">
        <v>81</v>
      </c>
      <c r="K683">
        <v>0</v>
      </c>
      <c r="L683" t="s">
        <v>63</v>
      </c>
      <c r="M683">
        <v>250</v>
      </c>
      <c r="N683">
        <v>0</v>
      </c>
      <c r="O683">
        <v>0</v>
      </c>
      <c r="P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 t="s">
        <v>36</v>
      </c>
      <c r="AB683" t="s">
        <v>348</v>
      </c>
      <c r="AC683" t="str">
        <f t="shared" si="20"/>
        <v>CP</v>
      </c>
      <c r="AD683" t="str">
        <f>_xlfn.XLOOKUP(C683,Mapping!A:A,Mapping!D:D,0,0)</f>
        <v>Bin</v>
      </c>
      <c r="AE683" t="str">
        <f t="shared" si="21"/>
        <v>OLD</v>
      </c>
    </row>
    <row r="684" spans="1:31" x14ac:dyDescent="0.2">
      <c r="A684" t="s">
        <v>39</v>
      </c>
      <c r="B684">
        <v>1012866492</v>
      </c>
      <c r="C684" t="s">
        <v>355</v>
      </c>
      <c r="D684" t="s">
        <v>31</v>
      </c>
      <c r="E684" s="1">
        <v>0.67291666666666672</v>
      </c>
      <c r="F684" t="s">
        <v>32</v>
      </c>
      <c r="G684" t="s">
        <v>33</v>
      </c>
      <c r="H684" t="s">
        <v>41</v>
      </c>
      <c r="I684" t="s">
        <v>62</v>
      </c>
      <c r="J684">
        <v>162</v>
      </c>
      <c r="K684">
        <v>0</v>
      </c>
      <c r="L684" t="s">
        <v>63</v>
      </c>
      <c r="M684">
        <v>250</v>
      </c>
      <c r="N684">
        <v>0</v>
      </c>
      <c r="O684">
        <v>0</v>
      </c>
      <c r="P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 t="s">
        <v>36</v>
      </c>
      <c r="AB684" t="s">
        <v>348</v>
      </c>
      <c r="AC684" t="str">
        <f t="shared" si="20"/>
        <v>CP</v>
      </c>
      <c r="AD684" t="str">
        <f>_xlfn.XLOOKUP(C684,Mapping!A:A,Mapping!D:D,0,0)</f>
        <v>Bin</v>
      </c>
      <c r="AE684" t="str">
        <f t="shared" si="21"/>
        <v>OLD</v>
      </c>
    </row>
    <row r="685" spans="1:31" x14ac:dyDescent="0.2">
      <c r="A685" t="s">
        <v>39</v>
      </c>
      <c r="B685">
        <v>1012866502</v>
      </c>
      <c r="C685" t="s">
        <v>729</v>
      </c>
      <c r="D685" t="s">
        <v>31</v>
      </c>
      <c r="E685" s="1">
        <v>0.67291666666666672</v>
      </c>
      <c r="F685" t="s">
        <v>32</v>
      </c>
      <c r="G685" t="s">
        <v>33</v>
      </c>
      <c r="H685" t="s">
        <v>41</v>
      </c>
      <c r="I685" t="s">
        <v>62</v>
      </c>
      <c r="J685">
        <v>120</v>
      </c>
      <c r="K685">
        <v>0</v>
      </c>
      <c r="L685" t="s">
        <v>36</v>
      </c>
      <c r="M685" t="s">
        <v>37</v>
      </c>
      <c r="N685">
        <v>0</v>
      </c>
      <c r="O685">
        <v>0</v>
      </c>
      <c r="P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 t="s">
        <v>36</v>
      </c>
      <c r="AB685" t="s">
        <v>423</v>
      </c>
      <c r="AC685" t="str">
        <f t="shared" si="20"/>
        <v>CP</v>
      </c>
      <c r="AD685" t="str">
        <f>_xlfn.XLOOKUP(C685,Mapping!A:A,Mapping!D:D,0,0)</f>
        <v>Bin</v>
      </c>
      <c r="AE685" t="str">
        <f t="shared" si="21"/>
        <v>OLD</v>
      </c>
    </row>
    <row r="686" spans="1:31" x14ac:dyDescent="0.2">
      <c r="A686" t="s">
        <v>39</v>
      </c>
      <c r="B686">
        <v>1012866512</v>
      </c>
      <c r="C686" t="s">
        <v>431</v>
      </c>
      <c r="D686" t="s">
        <v>31</v>
      </c>
      <c r="E686" s="1">
        <v>0.67291666666666672</v>
      </c>
      <c r="F686" t="s">
        <v>32</v>
      </c>
      <c r="G686" t="s">
        <v>33</v>
      </c>
      <c r="H686" t="s">
        <v>41</v>
      </c>
      <c r="I686" t="s">
        <v>62</v>
      </c>
      <c r="J686">
        <v>62</v>
      </c>
      <c r="K686">
        <v>89</v>
      </c>
      <c r="L686" t="s">
        <v>36</v>
      </c>
      <c r="M686" t="s">
        <v>37</v>
      </c>
      <c r="N686">
        <v>231978</v>
      </c>
      <c r="O686">
        <v>12298</v>
      </c>
      <c r="P686">
        <v>5.3013599999999999</v>
      </c>
      <c r="Q686">
        <v>3</v>
      </c>
      <c r="R686">
        <v>498.37</v>
      </c>
      <c r="S686">
        <v>2.1480000000000001</v>
      </c>
      <c r="T686">
        <v>4.1000000000000002E-2</v>
      </c>
      <c r="U686">
        <v>166.125</v>
      </c>
      <c r="V686">
        <v>1</v>
      </c>
      <c r="W686">
        <v>0</v>
      </c>
      <c r="X686" t="s">
        <v>36</v>
      </c>
      <c r="Y686">
        <v>231978</v>
      </c>
      <c r="Z686">
        <v>210038</v>
      </c>
      <c r="AA686">
        <v>13771</v>
      </c>
      <c r="AB686" t="s">
        <v>423</v>
      </c>
      <c r="AC686" t="str">
        <f t="shared" si="20"/>
        <v>CP</v>
      </c>
      <c r="AD686" t="str">
        <f>_xlfn.XLOOKUP(C686,Mapping!A:A,Mapping!D:D,0,0)</f>
        <v>Trans</v>
      </c>
      <c r="AE686" t="str">
        <f t="shared" si="21"/>
        <v>OLD</v>
      </c>
    </row>
    <row r="687" spans="1:31" x14ac:dyDescent="0.2">
      <c r="A687" t="s">
        <v>39</v>
      </c>
      <c r="B687">
        <v>1012866522</v>
      </c>
      <c r="C687" t="s">
        <v>430</v>
      </c>
      <c r="D687" t="s">
        <v>31</v>
      </c>
      <c r="E687" s="1">
        <v>0.67291666666666672</v>
      </c>
      <c r="F687" t="s">
        <v>32</v>
      </c>
      <c r="G687" t="s">
        <v>33</v>
      </c>
      <c r="H687" t="s">
        <v>41</v>
      </c>
      <c r="I687" t="s">
        <v>62</v>
      </c>
      <c r="J687">
        <v>240</v>
      </c>
      <c r="K687">
        <v>0</v>
      </c>
      <c r="L687" t="s">
        <v>36</v>
      </c>
      <c r="M687" t="s">
        <v>37</v>
      </c>
      <c r="N687">
        <v>0</v>
      </c>
      <c r="O687">
        <v>0</v>
      </c>
      <c r="P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 t="s">
        <v>36</v>
      </c>
      <c r="AB687" t="s">
        <v>423</v>
      </c>
      <c r="AC687" t="str">
        <f t="shared" si="20"/>
        <v>CP</v>
      </c>
      <c r="AD687" t="str">
        <f>_xlfn.XLOOKUP(C687,Mapping!A:A,Mapping!D:D,0,0)</f>
        <v>Bin</v>
      </c>
      <c r="AE687" t="str">
        <f t="shared" si="21"/>
        <v>OLD</v>
      </c>
    </row>
    <row r="688" spans="1:31" x14ac:dyDescent="0.2">
      <c r="A688" t="s">
        <v>29</v>
      </c>
      <c r="B688">
        <v>1012866532</v>
      </c>
      <c r="C688" t="s">
        <v>730</v>
      </c>
      <c r="D688" t="s">
        <v>31</v>
      </c>
      <c r="E688" s="1">
        <v>0.67291666666666672</v>
      </c>
      <c r="F688" t="s">
        <v>32</v>
      </c>
      <c r="G688" t="s">
        <v>33</v>
      </c>
      <c r="H688" t="s">
        <v>41</v>
      </c>
      <c r="I688" t="s">
        <v>62</v>
      </c>
      <c r="J688">
        <v>240</v>
      </c>
      <c r="K688">
        <v>0</v>
      </c>
      <c r="L688" t="s">
        <v>36</v>
      </c>
      <c r="M688" t="s">
        <v>37</v>
      </c>
      <c r="N688">
        <v>6599</v>
      </c>
      <c r="O688">
        <v>286</v>
      </c>
      <c r="P688">
        <v>4.33399</v>
      </c>
      <c r="Q688">
        <v>0</v>
      </c>
      <c r="R688">
        <v>4.5</v>
      </c>
      <c r="S688">
        <v>0.68200000000000005</v>
      </c>
      <c r="T688">
        <v>1.6E-2</v>
      </c>
      <c r="U688">
        <v>0</v>
      </c>
      <c r="V688">
        <v>1</v>
      </c>
      <c r="W688">
        <v>0</v>
      </c>
      <c r="X688" t="s">
        <v>36</v>
      </c>
      <c r="Y688">
        <v>6599</v>
      </c>
      <c r="Z688">
        <v>5930</v>
      </c>
      <c r="AA688">
        <v>444</v>
      </c>
      <c r="AB688" t="s">
        <v>423</v>
      </c>
      <c r="AC688" t="str">
        <f t="shared" si="20"/>
        <v>CP</v>
      </c>
      <c r="AD688" t="str">
        <f>_xlfn.XLOOKUP(C688,Mapping!A:A,Mapping!D:D,0,0)</f>
        <v>Trans</v>
      </c>
      <c r="AE688" t="str">
        <f t="shared" si="21"/>
        <v>OLD</v>
      </c>
    </row>
    <row r="689" spans="1:31" x14ac:dyDescent="0.2">
      <c r="A689" t="s">
        <v>690</v>
      </c>
      <c r="B689">
        <v>1012866542</v>
      </c>
      <c r="C689" t="s">
        <v>425</v>
      </c>
      <c r="D689" t="s">
        <v>31</v>
      </c>
      <c r="E689" s="1">
        <v>0.67291666666666672</v>
      </c>
      <c r="F689" t="s">
        <v>32</v>
      </c>
      <c r="G689" t="s">
        <v>33</v>
      </c>
      <c r="H689" t="s">
        <v>41</v>
      </c>
      <c r="I689" t="s">
        <v>62</v>
      </c>
      <c r="J689">
        <v>240</v>
      </c>
      <c r="K689">
        <v>0</v>
      </c>
      <c r="L689" t="s">
        <v>36</v>
      </c>
      <c r="M689" t="s">
        <v>37</v>
      </c>
      <c r="N689">
        <v>0</v>
      </c>
      <c r="O689">
        <v>0</v>
      </c>
      <c r="P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 t="s">
        <v>36</v>
      </c>
      <c r="AB689" t="s">
        <v>423</v>
      </c>
      <c r="AC689" t="str">
        <f t="shared" si="20"/>
        <v>CP</v>
      </c>
      <c r="AD689" t="str">
        <f>_xlfn.XLOOKUP(C689,Mapping!A:A,Mapping!D:D,0,0)</f>
        <v>Bin</v>
      </c>
      <c r="AE689" t="str">
        <f t="shared" si="21"/>
        <v>OLD</v>
      </c>
    </row>
    <row r="690" spans="1:31" x14ac:dyDescent="0.2">
      <c r="A690" t="s">
        <v>29</v>
      </c>
      <c r="B690">
        <v>1012866552</v>
      </c>
      <c r="C690" t="s">
        <v>731</v>
      </c>
      <c r="D690" t="s">
        <v>31</v>
      </c>
      <c r="E690" s="1">
        <v>0.67291666666666672</v>
      </c>
      <c r="F690" t="s">
        <v>32</v>
      </c>
      <c r="G690" t="s">
        <v>33</v>
      </c>
      <c r="H690" t="s">
        <v>41</v>
      </c>
      <c r="I690" t="s">
        <v>62</v>
      </c>
      <c r="J690">
        <v>240</v>
      </c>
      <c r="K690">
        <v>0</v>
      </c>
      <c r="L690" t="s">
        <v>36</v>
      </c>
      <c r="M690" t="s">
        <v>37</v>
      </c>
      <c r="N690">
        <v>2846</v>
      </c>
      <c r="O690">
        <v>126</v>
      </c>
      <c r="P690">
        <v>4.42727</v>
      </c>
      <c r="Q690">
        <v>0</v>
      </c>
      <c r="R690">
        <v>1.76</v>
      </c>
      <c r="S690">
        <v>0.62</v>
      </c>
      <c r="T690">
        <v>1.4E-2</v>
      </c>
      <c r="U690">
        <v>0</v>
      </c>
      <c r="V690">
        <v>1</v>
      </c>
      <c r="W690">
        <v>0</v>
      </c>
      <c r="X690" t="s">
        <v>36</v>
      </c>
      <c r="Y690">
        <v>2846</v>
      </c>
      <c r="Z690">
        <v>2630</v>
      </c>
      <c r="AA690">
        <v>151</v>
      </c>
      <c r="AB690" t="s">
        <v>423</v>
      </c>
      <c r="AC690" t="str">
        <f t="shared" si="20"/>
        <v>CP</v>
      </c>
      <c r="AD690" t="str">
        <f>_xlfn.XLOOKUP(C690,Mapping!A:A,Mapping!D:D,0,0)</f>
        <v>Trans</v>
      </c>
      <c r="AE690" t="str">
        <f t="shared" si="21"/>
        <v>OLD</v>
      </c>
    </row>
    <row r="691" spans="1:31" x14ac:dyDescent="0.2">
      <c r="A691" t="s">
        <v>39</v>
      </c>
      <c r="B691">
        <v>1012866562</v>
      </c>
      <c r="C691" t="s">
        <v>424</v>
      </c>
      <c r="D691" t="s">
        <v>31</v>
      </c>
      <c r="E691" s="1">
        <v>0.67291666666666672</v>
      </c>
      <c r="F691" t="s">
        <v>32</v>
      </c>
      <c r="G691" t="s">
        <v>33</v>
      </c>
      <c r="H691" t="s">
        <v>41</v>
      </c>
      <c r="I691" t="s">
        <v>62</v>
      </c>
      <c r="J691">
        <v>240</v>
      </c>
      <c r="K691">
        <v>0</v>
      </c>
      <c r="L691" t="s">
        <v>36</v>
      </c>
      <c r="M691" t="s">
        <v>37</v>
      </c>
      <c r="N691">
        <v>0</v>
      </c>
      <c r="O691">
        <v>0</v>
      </c>
      <c r="P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 t="s">
        <v>36</v>
      </c>
      <c r="AB691" t="s">
        <v>423</v>
      </c>
      <c r="AC691" t="str">
        <f t="shared" si="20"/>
        <v>CP</v>
      </c>
      <c r="AD691" t="str">
        <f>_xlfn.XLOOKUP(C691,Mapping!A:A,Mapping!D:D,0,0)</f>
        <v>Bin</v>
      </c>
      <c r="AE691" t="str">
        <f t="shared" si="21"/>
        <v>OLD</v>
      </c>
    </row>
    <row r="692" spans="1:31" x14ac:dyDescent="0.2">
      <c r="A692" t="s">
        <v>39</v>
      </c>
      <c r="B692">
        <v>1012866572</v>
      </c>
      <c r="C692" t="s">
        <v>732</v>
      </c>
      <c r="D692" t="s">
        <v>31</v>
      </c>
      <c r="E692" s="1">
        <v>0.67291666666666672</v>
      </c>
      <c r="F692" t="s">
        <v>32</v>
      </c>
      <c r="G692" t="s">
        <v>33</v>
      </c>
      <c r="H692" t="s">
        <v>41</v>
      </c>
      <c r="I692" t="s">
        <v>62</v>
      </c>
      <c r="J692">
        <v>240</v>
      </c>
      <c r="K692">
        <v>0</v>
      </c>
      <c r="L692" t="s">
        <v>36</v>
      </c>
      <c r="M692" t="s">
        <v>37</v>
      </c>
      <c r="N692">
        <v>0</v>
      </c>
      <c r="O692">
        <v>0</v>
      </c>
      <c r="P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 t="s">
        <v>36</v>
      </c>
      <c r="AB692" t="s">
        <v>423</v>
      </c>
      <c r="AC692" t="str">
        <f t="shared" si="20"/>
        <v>CP</v>
      </c>
      <c r="AD692" t="str">
        <f>_xlfn.XLOOKUP(C692,Mapping!A:A,Mapping!D:D,0,0)</f>
        <v>Trans</v>
      </c>
      <c r="AE692" t="str">
        <f t="shared" si="21"/>
        <v>OLD</v>
      </c>
    </row>
    <row r="693" spans="1:31" x14ac:dyDescent="0.2">
      <c r="A693" t="s">
        <v>29</v>
      </c>
      <c r="B693">
        <v>1012866582</v>
      </c>
      <c r="C693" t="s">
        <v>733</v>
      </c>
      <c r="D693" t="s">
        <v>31</v>
      </c>
      <c r="E693" s="1">
        <v>0.67291666666666672</v>
      </c>
      <c r="F693" t="s">
        <v>32</v>
      </c>
      <c r="G693" t="s">
        <v>33</v>
      </c>
      <c r="H693" t="s">
        <v>41</v>
      </c>
      <c r="I693" t="s">
        <v>62</v>
      </c>
      <c r="J693">
        <v>240</v>
      </c>
      <c r="K693">
        <v>0</v>
      </c>
      <c r="L693" t="s">
        <v>36</v>
      </c>
      <c r="M693" t="s">
        <v>37</v>
      </c>
      <c r="N693">
        <v>6850</v>
      </c>
      <c r="O693">
        <v>391</v>
      </c>
      <c r="P693">
        <v>5.7080299999999999</v>
      </c>
      <c r="Q693">
        <v>0</v>
      </c>
      <c r="R693">
        <v>3.61</v>
      </c>
      <c r="S693">
        <v>0.52600000000000002</v>
      </c>
      <c r="T693">
        <v>8.9999999999999993E-3</v>
      </c>
      <c r="U693">
        <v>0</v>
      </c>
      <c r="V693">
        <v>1</v>
      </c>
      <c r="W693">
        <v>0</v>
      </c>
      <c r="X693" t="s">
        <v>36</v>
      </c>
      <c r="Y693">
        <v>6850</v>
      </c>
      <c r="Z693">
        <v>5971</v>
      </c>
      <c r="AA693">
        <v>619</v>
      </c>
      <c r="AB693" t="s">
        <v>423</v>
      </c>
      <c r="AC693" t="str">
        <f t="shared" si="20"/>
        <v>CP</v>
      </c>
      <c r="AD693" t="str">
        <f>_xlfn.XLOOKUP(C693,Mapping!A:A,Mapping!D:D,0,0)</f>
        <v>Trans</v>
      </c>
      <c r="AE693" t="str">
        <f t="shared" si="21"/>
        <v>OLD</v>
      </c>
    </row>
    <row r="694" spans="1:31" x14ac:dyDescent="0.2">
      <c r="A694" t="s">
        <v>29</v>
      </c>
      <c r="B694">
        <v>1012866592</v>
      </c>
      <c r="C694" t="s">
        <v>734</v>
      </c>
      <c r="D694" t="s">
        <v>31</v>
      </c>
      <c r="E694" s="1">
        <v>0.67291666666666672</v>
      </c>
      <c r="F694" t="s">
        <v>32</v>
      </c>
      <c r="G694" t="s">
        <v>33</v>
      </c>
      <c r="H694" t="s">
        <v>41</v>
      </c>
      <c r="I694" t="s">
        <v>62</v>
      </c>
      <c r="J694">
        <v>240</v>
      </c>
      <c r="K694">
        <v>0</v>
      </c>
      <c r="L694" t="s">
        <v>36</v>
      </c>
      <c r="M694" t="s">
        <v>37</v>
      </c>
      <c r="N694">
        <v>10497</v>
      </c>
      <c r="O694">
        <v>507</v>
      </c>
      <c r="P694">
        <v>4.8299500000000002</v>
      </c>
      <c r="Q694">
        <v>0</v>
      </c>
      <c r="R694">
        <v>6.02</v>
      </c>
      <c r="S694">
        <v>0.57399999999999995</v>
      </c>
      <c r="T694">
        <v>1.2E-2</v>
      </c>
      <c r="U694">
        <v>0</v>
      </c>
      <c r="V694">
        <v>1</v>
      </c>
      <c r="W694">
        <v>0</v>
      </c>
      <c r="X694" t="s">
        <v>36</v>
      </c>
      <c r="Y694">
        <v>10497</v>
      </c>
      <c r="Z694">
        <v>9256</v>
      </c>
      <c r="AA694">
        <v>867</v>
      </c>
      <c r="AB694" t="s">
        <v>423</v>
      </c>
      <c r="AC694" t="str">
        <f t="shared" si="20"/>
        <v>CP</v>
      </c>
      <c r="AD694" t="str">
        <f>_xlfn.XLOOKUP(C694,Mapping!A:A,Mapping!D:D,0,0)</f>
        <v>Trans</v>
      </c>
      <c r="AE694" t="str">
        <f t="shared" si="21"/>
        <v>OLD</v>
      </c>
    </row>
    <row r="695" spans="1:31" x14ac:dyDescent="0.2">
      <c r="A695" t="s">
        <v>29</v>
      </c>
      <c r="B695">
        <v>1012866602</v>
      </c>
      <c r="C695" t="s">
        <v>735</v>
      </c>
      <c r="D695" t="s">
        <v>31</v>
      </c>
      <c r="E695" s="1">
        <v>0.67291666666666672</v>
      </c>
      <c r="F695" t="s">
        <v>32</v>
      </c>
      <c r="G695" t="s">
        <v>33</v>
      </c>
      <c r="H695" t="s">
        <v>34</v>
      </c>
      <c r="I695" t="s">
        <v>84</v>
      </c>
      <c r="J695">
        <v>416</v>
      </c>
      <c r="K695">
        <v>0</v>
      </c>
      <c r="L695" t="s">
        <v>36</v>
      </c>
      <c r="M695" t="s">
        <v>37</v>
      </c>
      <c r="N695">
        <v>9542</v>
      </c>
      <c r="O695">
        <v>425</v>
      </c>
      <c r="P695">
        <v>4.4539900000000001</v>
      </c>
      <c r="Q695">
        <v>0</v>
      </c>
      <c r="R695">
        <v>9.17</v>
      </c>
      <c r="S695">
        <v>0.96099999999999997</v>
      </c>
      <c r="T695">
        <v>2.1999999999999999E-2</v>
      </c>
      <c r="U695">
        <v>0</v>
      </c>
      <c r="V695">
        <v>1</v>
      </c>
      <c r="W695">
        <v>0</v>
      </c>
      <c r="X695" t="s">
        <v>36</v>
      </c>
      <c r="Y695">
        <v>9542</v>
      </c>
      <c r="Z695">
        <v>7139</v>
      </c>
      <c r="AA695">
        <v>1153</v>
      </c>
      <c r="AB695" t="s">
        <v>423</v>
      </c>
      <c r="AC695" t="str">
        <f t="shared" si="20"/>
        <v>CP</v>
      </c>
      <c r="AD695" t="str">
        <f>_xlfn.XLOOKUP(C695,Mapping!A:A,Mapping!D:D,0,0)</f>
        <v>Trans</v>
      </c>
      <c r="AE695" t="str">
        <f t="shared" si="21"/>
        <v>OLD</v>
      </c>
    </row>
    <row r="696" spans="1:31" x14ac:dyDescent="0.2">
      <c r="A696" t="s">
        <v>39</v>
      </c>
      <c r="B696">
        <v>1012866612</v>
      </c>
      <c r="C696" t="s">
        <v>736</v>
      </c>
      <c r="D696" t="s">
        <v>31</v>
      </c>
      <c r="E696" s="1">
        <v>0.67291666666666672</v>
      </c>
      <c r="F696" t="s">
        <v>32</v>
      </c>
      <c r="G696" t="s">
        <v>33</v>
      </c>
      <c r="H696" t="s">
        <v>737</v>
      </c>
      <c r="I696" t="s">
        <v>84</v>
      </c>
      <c r="J696">
        <v>168</v>
      </c>
      <c r="K696">
        <v>0</v>
      </c>
      <c r="L696" t="s">
        <v>63</v>
      </c>
      <c r="M696">
        <v>250</v>
      </c>
      <c r="N696">
        <v>0</v>
      </c>
      <c r="O696">
        <v>0</v>
      </c>
      <c r="P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 t="s">
        <v>63</v>
      </c>
      <c r="AB696" t="s">
        <v>303</v>
      </c>
      <c r="AC696" t="str">
        <f t="shared" si="20"/>
        <v>CP</v>
      </c>
      <c r="AD696" t="str">
        <f>_xlfn.XLOOKUP(C696,Mapping!A:A,Mapping!D:D,0,0)</f>
        <v>Tests</v>
      </c>
      <c r="AE696" t="str">
        <f t="shared" si="21"/>
        <v>OLD</v>
      </c>
    </row>
    <row r="697" spans="1:31" x14ac:dyDescent="0.2">
      <c r="A697" t="s">
        <v>29</v>
      </c>
      <c r="B697">
        <v>1012866632</v>
      </c>
      <c r="C697" t="s">
        <v>738</v>
      </c>
      <c r="D697" t="s">
        <v>31</v>
      </c>
      <c r="E697" s="1">
        <v>0.67291666666666672</v>
      </c>
      <c r="F697" t="s">
        <v>32</v>
      </c>
      <c r="G697" t="s">
        <v>33</v>
      </c>
      <c r="H697" t="s">
        <v>737</v>
      </c>
      <c r="I697" t="s">
        <v>84</v>
      </c>
      <c r="J697">
        <v>168</v>
      </c>
      <c r="K697">
        <v>0</v>
      </c>
      <c r="L697" t="s">
        <v>63</v>
      </c>
      <c r="M697">
        <v>250</v>
      </c>
      <c r="N697">
        <v>21851</v>
      </c>
      <c r="O697">
        <v>1152</v>
      </c>
      <c r="P697">
        <v>5.2720700000000003</v>
      </c>
      <c r="Q697">
        <v>0</v>
      </c>
      <c r="R697">
        <v>49.35</v>
      </c>
      <c r="S697">
        <v>2.2589999999999999</v>
      </c>
      <c r="T697">
        <v>4.2999999999999997E-2</v>
      </c>
      <c r="U697">
        <v>0</v>
      </c>
      <c r="V697">
        <v>1</v>
      </c>
      <c r="W697">
        <v>0</v>
      </c>
      <c r="X697" t="s">
        <v>63</v>
      </c>
      <c r="Y697">
        <v>21851</v>
      </c>
      <c r="Z697">
        <v>18962</v>
      </c>
      <c r="AA697">
        <v>1953</v>
      </c>
      <c r="AB697" t="s">
        <v>303</v>
      </c>
      <c r="AC697" t="str">
        <f t="shared" si="20"/>
        <v>CP</v>
      </c>
      <c r="AD697" t="str">
        <f>_xlfn.XLOOKUP(C697,Mapping!A:A,Mapping!D:D,0,0)</f>
        <v>Keyword - Preroll</v>
      </c>
      <c r="AE697" t="str">
        <f t="shared" si="21"/>
        <v>OLD</v>
      </c>
    </row>
    <row r="698" spans="1:31" x14ac:dyDescent="0.2">
      <c r="A698" t="s">
        <v>29</v>
      </c>
      <c r="B698">
        <v>1012866642</v>
      </c>
      <c r="C698" t="s">
        <v>739</v>
      </c>
      <c r="D698" t="s">
        <v>31</v>
      </c>
      <c r="E698" s="1">
        <v>0.67291666666666672</v>
      </c>
      <c r="F698" t="s">
        <v>32</v>
      </c>
      <c r="G698" t="s">
        <v>33</v>
      </c>
      <c r="H698" t="s">
        <v>737</v>
      </c>
      <c r="I698" t="s">
        <v>84</v>
      </c>
      <c r="J698">
        <v>168</v>
      </c>
      <c r="K698">
        <v>0</v>
      </c>
      <c r="L698" t="s">
        <v>36</v>
      </c>
      <c r="M698" t="s">
        <v>37</v>
      </c>
      <c r="N698">
        <v>1880841</v>
      </c>
      <c r="O698">
        <v>102792</v>
      </c>
      <c r="P698">
        <v>5.4652099999999999</v>
      </c>
      <c r="Q698">
        <v>48</v>
      </c>
      <c r="R698">
        <v>4254.79</v>
      </c>
      <c r="S698">
        <v>2.262</v>
      </c>
      <c r="T698">
        <v>4.1000000000000002E-2</v>
      </c>
      <c r="U698">
        <v>88.641000000000005</v>
      </c>
      <c r="V698">
        <v>1</v>
      </c>
      <c r="W698">
        <v>0</v>
      </c>
      <c r="X698" t="s">
        <v>63</v>
      </c>
      <c r="Y698">
        <v>1880804</v>
      </c>
      <c r="Z698">
        <v>1668928</v>
      </c>
      <c r="AA698">
        <v>140933</v>
      </c>
      <c r="AB698" t="s">
        <v>303</v>
      </c>
      <c r="AC698" t="str">
        <f t="shared" si="20"/>
        <v>CP</v>
      </c>
      <c r="AD698" t="str">
        <f>_xlfn.XLOOKUP(C698,Mapping!A:A,Mapping!D:D,0,0)</f>
        <v>Keyword - Preroll</v>
      </c>
      <c r="AE698" t="str">
        <f t="shared" si="21"/>
        <v>OLD</v>
      </c>
    </row>
    <row r="699" spans="1:31" x14ac:dyDescent="0.2">
      <c r="A699" t="s">
        <v>39</v>
      </c>
      <c r="B699">
        <v>1012866652</v>
      </c>
      <c r="C699" t="s">
        <v>740</v>
      </c>
      <c r="D699" t="s">
        <v>31</v>
      </c>
      <c r="E699" s="1">
        <v>0.67291666666666672</v>
      </c>
      <c r="F699" t="s">
        <v>32</v>
      </c>
      <c r="G699" t="s">
        <v>33</v>
      </c>
      <c r="H699" t="s">
        <v>737</v>
      </c>
      <c r="I699" t="s">
        <v>84</v>
      </c>
      <c r="J699">
        <v>168</v>
      </c>
      <c r="K699">
        <v>0</v>
      </c>
      <c r="L699" t="s">
        <v>36</v>
      </c>
      <c r="M699" t="s">
        <v>37</v>
      </c>
      <c r="N699">
        <v>0</v>
      </c>
      <c r="O699">
        <v>0</v>
      </c>
      <c r="P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 t="s">
        <v>63</v>
      </c>
      <c r="AB699" t="s">
        <v>303</v>
      </c>
      <c r="AC699" t="str">
        <f t="shared" si="20"/>
        <v>CP</v>
      </c>
      <c r="AD699" t="str">
        <f>_xlfn.XLOOKUP(C699,Mapping!A:A,Mapping!D:D,0,0)</f>
        <v>Tests</v>
      </c>
      <c r="AE699" t="str">
        <f t="shared" si="21"/>
        <v>OLD</v>
      </c>
    </row>
    <row r="700" spans="1:31" x14ac:dyDescent="0.2">
      <c r="A700" t="s">
        <v>39</v>
      </c>
      <c r="B700">
        <v>1012866662</v>
      </c>
      <c r="C700" t="s">
        <v>741</v>
      </c>
      <c r="D700" t="s">
        <v>31</v>
      </c>
      <c r="E700" s="1">
        <v>0.67291666666666672</v>
      </c>
      <c r="F700" t="s">
        <v>32</v>
      </c>
      <c r="G700" t="s">
        <v>33</v>
      </c>
      <c r="H700" t="s">
        <v>737</v>
      </c>
      <c r="I700" t="s">
        <v>84</v>
      </c>
      <c r="J700">
        <v>168</v>
      </c>
      <c r="K700">
        <v>0</v>
      </c>
      <c r="L700" t="s">
        <v>63</v>
      </c>
      <c r="M700">
        <v>250</v>
      </c>
      <c r="N700">
        <v>0</v>
      </c>
      <c r="O700">
        <v>0</v>
      </c>
      <c r="P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 t="s">
        <v>63</v>
      </c>
      <c r="AB700" t="s">
        <v>303</v>
      </c>
      <c r="AC700" t="str">
        <f t="shared" si="20"/>
        <v>CP</v>
      </c>
      <c r="AD700" t="str">
        <f>_xlfn.XLOOKUP(C700,Mapping!A:A,Mapping!D:D,0,0)</f>
        <v>Tests</v>
      </c>
      <c r="AE700" t="str">
        <f t="shared" si="21"/>
        <v>OLD</v>
      </c>
    </row>
    <row r="701" spans="1:31" x14ac:dyDescent="0.2">
      <c r="A701" t="s">
        <v>29</v>
      </c>
      <c r="B701">
        <v>1012866672</v>
      </c>
      <c r="C701" t="s">
        <v>742</v>
      </c>
      <c r="D701" t="s">
        <v>31</v>
      </c>
      <c r="E701" s="1">
        <v>0.67291666666666672</v>
      </c>
      <c r="F701" t="s">
        <v>32</v>
      </c>
      <c r="G701" t="s">
        <v>33</v>
      </c>
      <c r="H701" t="s">
        <v>737</v>
      </c>
      <c r="I701" t="s">
        <v>84</v>
      </c>
      <c r="J701">
        <v>168</v>
      </c>
      <c r="K701">
        <v>0</v>
      </c>
      <c r="L701" t="s">
        <v>63</v>
      </c>
      <c r="M701">
        <v>250</v>
      </c>
      <c r="N701">
        <v>14017</v>
      </c>
      <c r="O701">
        <v>863</v>
      </c>
      <c r="P701">
        <v>6.1568100000000001</v>
      </c>
      <c r="Q701">
        <v>0</v>
      </c>
      <c r="R701">
        <v>31.58</v>
      </c>
      <c r="S701">
        <v>2.2530000000000001</v>
      </c>
      <c r="T701">
        <v>3.6999999999999998E-2</v>
      </c>
      <c r="U701">
        <v>0</v>
      </c>
      <c r="V701">
        <v>1</v>
      </c>
      <c r="W701">
        <v>0</v>
      </c>
      <c r="X701" t="s">
        <v>63</v>
      </c>
      <c r="Y701">
        <v>14017</v>
      </c>
      <c r="Z701">
        <v>12468</v>
      </c>
      <c r="AA701">
        <v>1015</v>
      </c>
      <c r="AB701" t="s">
        <v>303</v>
      </c>
      <c r="AC701" t="str">
        <f t="shared" si="20"/>
        <v>CP</v>
      </c>
      <c r="AD701" t="str">
        <f>_xlfn.XLOOKUP(C701,Mapping!A:A,Mapping!D:D,0,0)</f>
        <v>Keyword - Preroll</v>
      </c>
      <c r="AE701" t="str">
        <f t="shared" si="21"/>
        <v>OLD</v>
      </c>
    </row>
    <row r="702" spans="1:31" x14ac:dyDescent="0.2">
      <c r="A702" t="s">
        <v>39</v>
      </c>
      <c r="B702">
        <v>1012867202</v>
      </c>
      <c r="C702" t="s">
        <v>743</v>
      </c>
      <c r="D702" t="s">
        <v>31</v>
      </c>
      <c r="E702" s="1">
        <v>0.67291666666666672</v>
      </c>
      <c r="F702" t="s">
        <v>32</v>
      </c>
      <c r="G702" t="s">
        <v>33</v>
      </c>
      <c r="H702" t="s">
        <v>737</v>
      </c>
      <c r="I702" t="s">
        <v>35</v>
      </c>
      <c r="J702">
        <v>168</v>
      </c>
      <c r="K702">
        <v>0</v>
      </c>
      <c r="L702" t="s">
        <v>63</v>
      </c>
      <c r="M702">
        <v>250</v>
      </c>
      <c r="N702">
        <v>0</v>
      </c>
      <c r="O702">
        <v>0</v>
      </c>
      <c r="P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  <c r="X702" t="s">
        <v>63</v>
      </c>
      <c r="AB702" t="s">
        <v>303</v>
      </c>
      <c r="AC702" t="str">
        <f t="shared" si="20"/>
        <v>CP</v>
      </c>
      <c r="AD702" t="str">
        <f>_xlfn.XLOOKUP(C702,Mapping!A:A,Mapping!D:D,0,0)</f>
        <v>Tests</v>
      </c>
      <c r="AE702" t="str">
        <f t="shared" si="21"/>
        <v>OLD</v>
      </c>
    </row>
    <row r="703" spans="1:31" x14ac:dyDescent="0.2">
      <c r="A703" t="s">
        <v>39</v>
      </c>
      <c r="B703">
        <v>1012867212</v>
      </c>
      <c r="C703" t="s">
        <v>744</v>
      </c>
      <c r="D703" t="s">
        <v>31</v>
      </c>
      <c r="E703" s="1">
        <v>0.67291666666666672</v>
      </c>
      <c r="F703" t="s">
        <v>32</v>
      </c>
      <c r="G703" t="s">
        <v>33</v>
      </c>
      <c r="H703" t="s">
        <v>737</v>
      </c>
      <c r="I703" t="s">
        <v>35</v>
      </c>
      <c r="J703">
        <v>168</v>
      </c>
      <c r="K703">
        <v>0</v>
      </c>
      <c r="L703" t="s">
        <v>63</v>
      </c>
      <c r="M703">
        <v>250</v>
      </c>
      <c r="N703">
        <v>0</v>
      </c>
      <c r="O703">
        <v>0</v>
      </c>
      <c r="P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 t="s">
        <v>63</v>
      </c>
      <c r="AB703" t="s">
        <v>43</v>
      </c>
      <c r="AC703" t="str">
        <f t="shared" si="20"/>
        <v>CP</v>
      </c>
      <c r="AD703" t="str">
        <f>_xlfn.XLOOKUP(C703,Mapping!A:A,Mapping!D:D,0,0)</f>
        <v>Bin</v>
      </c>
      <c r="AE703" t="str">
        <f t="shared" si="21"/>
        <v>OLD</v>
      </c>
    </row>
    <row r="704" spans="1:31" x14ac:dyDescent="0.2">
      <c r="A704" t="s">
        <v>39</v>
      </c>
      <c r="B704">
        <v>1012867222</v>
      </c>
      <c r="C704" t="s">
        <v>745</v>
      </c>
      <c r="D704" t="s">
        <v>31</v>
      </c>
      <c r="E704" s="1">
        <v>0.67291666666666672</v>
      </c>
      <c r="F704" t="s">
        <v>32</v>
      </c>
      <c r="G704" t="s">
        <v>33</v>
      </c>
      <c r="H704" t="s">
        <v>737</v>
      </c>
      <c r="I704" t="s">
        <v>35</v>
      </c>
      <c r="J704">
        <v>168</v>
      </c>
      <c r="K704">
        <v>0</v>
      </c>
      <c r="L704" t="s">
        <v>63</v>
      </c>
      <c r="M704">
        <v>250</v>
      </c>
      <c r="N704">
        <v>0</v>
      </c>
      <c r="O704">
        <v>0</v>
      </c>
      <c r="P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 t="s">
        <v>63</v>
      </c>
      <c r="AB704" t="s">
        <v>303</v>
      </c>
      <c r="AC704" t="str">
        <f t="shared" si="20"/>
        <v>CP</v>
      </c>
      <c r="AD704" t="str">
        <f>_xlfn.XLOOKUP(C704,Mapping!A:A,Mapping!D:D,0,0)</f>
        <v>Tests</v>
      </c>
      <c r="AE704" t="str">
        <f t="shared" si="21"/>
        <v>OLD</v>
      </c>
    </row>
    <row r="705" spans="1:31" x14ac:dyDescent="0.2">
      <c r="A705" t="s">
        <v>39</v>
      </c>
      <c r="B705">
        <v>1012867232</v>
      </c>
      <c r="C705" t="s">
        <v>746</v>
      </c>
      <c r="D705" t="s">
        <v>31</v>
      </c>
      <c r="E705" s="1">
        <v>0.67291666666666672</v>
      </c>
      <c r="F705" t="s">
        <v>32</v>
      </c>
      <c r="G705" t="s">
        <v>33</v>
      </c>
      <c r="H705" t="s">
        <v>737</v>
      </c>
      <c r="I705" t="s">
        <v>35</v>
      </c>
      <c r="J705">
        <v>168</v>
      </c>
      <c r="K705">
        <v>0</v>
      </c>
      <c r="L705" t="s">
        <v>63</v>
      </c>
      <c r="M705">
        <v>250</v>
      </c>
      <c r="N705">
        <v>0</v>
      </c>
      <c r="O705">
        <v>0</v>
      </c>
      <c r="P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 t="s">
        <v>63</v>
      </c>
      <c r="AB705" t="s">
        <v>43</v>
      </c>
      <c r="AC705" t="str">
        <f t="shared" si="20"/>
        <v>CP</v>
      </c>
      <c r="AD705" t="str">
        <f>_xlfn.XLOOKUP(C705,Mapping!A:A,Mapping!D:D,0,0)</f>
        <v>Bin</v>
      </c>
      <c r="AE705" t="str">
        <f t="shared" si="21"/>
        <v>OLD</v>
      </c>
    </row>
    <row r="706" spans="1:31" x14ac:dyDescent="0.2">
      <c r="A706" t="s">
        <v>39</v>
      </c>
      <c r="B706">
        <v>1012867242</v>
      </c>
      <c r="C706" t="s">
        <v>747</v>
      </c>
      <c r="D706" t="s">
        <v>31</v>
      </c>
      <c r="E706" s="1">
        <v>0.67291666666666672</v>
      </c>
      <c r="F706" t="s">
        <v>32</v>
      </c>
      <c r="G706" t="s">
        <v>33</v>
      </c>
      <c r="H706" t="s">
        <v>737</v>
      </c>
      <c r="I706" t="s">
        <v>35</v>
      </c>
      <c r="J706">
        <v>168</v>
      </c>
      <c r="K706">
        <v>0</v>
      </c>
      <c r="L706" t="s">
        <v>63</v>
      </c>
      <c r="M706">
        <v>250</v>
      </c>
      <c r="N706">
        <v>0</v>
      </c>
      <c r="O706">
        <v>0</v>
      </c>
      <c r="P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0</v>
      </c>
      <c r="X706" t="s">
        <v>63</v>
      </c>
      <c r="AB706" t="s">
        <v>303</v>
      </c>
      <c r="AC706" t="str">
        <f t="shared" si="20"/>
        <v>CP</v>
      </c>
      <c r="AD706" t="str">
        <f>_xlfn.XLOOKUP(C706,Mapping!A:A,Mapping!D:D,0,0)</f>
        <v>Tests</v>
      </c>
      <c r="AE706" t="str">
        <f t="shared" si="21"/>
        <v>OLD</v>
      </c>
    </row>
    <row r="707" spans="1:31" x14ac:dyDescent="0.2">
      <c r="A707" t="s">
        <v>39</v>
      </c>
      <c r="B707">
        <v>1012867252</v>
      </c>
      <c r="C707" t="s">
        <v>748</v>
      </c>
      <c r="D707" t="s">
        <v>31</v>
      </c>
      <c r="E707" s="1">
        <v>0.67291666666666672</v>
      </c>
      <c r="F707" t="s">
        <v>32</v>
      </c>
      <c r="G707" t="s">
        <v>33</v>
      </c>
      <c r="H707" t="s">
        <v>737</v>
      </c>
      <c r="I707" t="s">
        <v>35</v>
      </c>
      <c r="J707">
        <v>168</v>
      </c>
      <c r="K707">
        <v>0</v>
      </c>
      <c r="L707" t="s">
        <v>63</v>
      </c>
      <c r="M707">
        <v>250</v>
      </c>
      <c r="N707">
        <v>0</v>
      </c>
      <c r="O707">
        <v>0</v>
      </c>
      <c r="P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 t="s">
        <v>63</v>
      </c>
      <c r="AB707" t="s">
        <v>43</v>
      </c>
      <c r="AC707" t="str">
        <f t="shared" ref="AC707:AC770" si="22">LEFT(C707,2)</f>
        <v>CP</v>
      </c>
      <c r="AD707" t="str">
        <f>_xlfn.XLOOKUP(C707,Mapping!A:A,Mapping!D:D,0,0)</f>
        <v>Bin</v>
      </c>
      <c r="AE707" t="str">
        <f t="shared" ref="AE707:AE770" si="23">IFERROR(IF(SEARCH("_TJ",C707)&gt;0,"TJ",NA()),IFERROR(IF(SEARCH("_JB",C707)&gt;0,"JB",NA()),"OLD"))</f>
        <v>OLD</v>
      </c>
    </row>
    <row r="708" spans="1:31" x14ac:dyDescent="0.2">
      <c r="A708" t="s">
        <v>39</v>
      </c>
      <c r="B708">
        <v>1012867262</v>
      </c>
      <c r="C708" t="s">
        <v>749</v>
      </c>
      <c r="D708" t="s">
        <v>31</v>
      </c>
      <c r="E708" s="1">
        <v>0.67291666666666672</v>
      </c>
      <c r="F708" t="s">
        <v>32</v>
      </c>
      <c r="G708" t="s">
        <v>33</v>
      </c>
      <c r="H708" t="s">
        <v>737</v>
      </c>
      <c r="I708" t="s">
        <v>35</v>
      </c>
      <c r="J708">
        <v>168</v>
      </c>
      <c r="K708">
        <v>0</v>
      </c>
      <c r="L708" t="s">
        <v>63</v>
      </c>
      <c r="M708">
        <v>250</v>
      </c>
      <c r="N708">
        <v>0</v>
      </c>
      <c r="O708">
        <v>0</v>
      </c>
      <c r="P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 t="s">
        <v>63</v>
      </c>
      <c r="AB708" t="s">
        <v>303</v>
      </c>
      <c r="AC708" t="str">
        <f t="shared" si="22"/>
        <v>CP</v>
      </c>
      <c r="AD708" t="str">
        <f>_xlfn.XLOOKUP(C708,Mapping!A:A,Mapping!D:D,0,0)</f>
        <v>Tests</v>
      </c>
      <c r="AE708" t="str">
        <f t="shared" si="23"/>
        <v>OLD</v>
      </c>
    </row>
    <row r="709" spans="1:31" x14ac:dyDescent="0.2">
      <c r="A709" t="s">
        <v>39</v>
      </c>
      <c r="B709">
        <v>1012867272</v>
      </c>
      <c r="C709" t="s">
        <v>750</v>
      </c>
      <c r="D709" t="s">
        <v>31</v>
      </c>
      <c r="E709" s="1">
        <v>0.67291666666666672</v>
      </c>
      <c r="F709" t="s">
        <v>32</v>
      </c>
      <c r="G709" t="s">
        <v>33</v>
      </c>
      <c r="H709" t="s">
        <v>737</v>
      </c>
      <c r="I709" t="s">
        <v>35</v>
      </c>
      <c r="J709">
        <v>168</v>
      </c>
      <c r="K709">
        <v>0</v>
      </c>
      <c r="L709" t="s">
        <v>63</v>
      </c>
      <c r="M709">
        <v>250</v>
      </c>
      <c r="N709">
        <v>0</v>
      </c>
      <c r="O709">
        <v>0</v>
      </c>
      <c r="P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 t="s">
        <v>63</v>
      </c>
      <c r="AB709" t="s">
        <v>303</v>
      </c>
      <c r="AC709" t="str">
        <f t="shared" si="22"/>
        <v>CP</v>
      </c>
      <c r="AD709" t="str">
        <f>_xlfn.XLOOKUP(C709,Mapping!A:A,Mapping!D:D,0,0)</f>
        <v>Tests</v>
      </c>
      <c r="AE709" t="str">
        <f t="shared" si="23"/>
        <v>OLD</v>
      </c>
    </row>
    <row r="710" spans="1:31" x14ac:dyDescent="0.2">
      <c r="A710" t="s">
        <v>29</v>
      </c>
      <c r="B710">
        <v>1012869782</v>
      </c>
      <c r="C710" t="s">
        <v>751</v>
      </c>
      <c r="D710" t="s">
        <v>31</v>
      </c>
      <c r="E710" s="1">
        <v>0.67291666666666672</v>
      </c>
      <c r="F710" t="s">
        <v>32</v>
      </c>
      <c r="G710" t="s">
        <v>33</v>
      </c>
      <c r="H710" t="s">
        <v>34</v>
      </c>
      <c r="I710" t="s">
        <v>84</v>
      </c>
      <c r="J710">
        <v>104</v>
      </c>
      <c r="K710">
        <v>0</v>
      </c>
      <c r="L710" t="s">
        <v>36</v>
      </c>
      <c r="M710" t="s">
        <v>37</v>
      </c>
      <c r="N710">
        <v>44443</v>
      </c>
      <c r="O710">
        <v>2421</v>
      </c>
      <c r="P710">
        <v>5.4474299999999998</v>
      </c>
      <c r="Q710">
        <v>1</v>
      </c>
      <c r="R710">
        <v>110.39</v>
      </c>
      <c r="S710">
        <v>2.484</v>
      </c>
      <c r="T710">
        <v>4.5999999999999999E-2</v>
      </c>
      <c r="U710">
        <v>110.386</v>
      </c>
      <c r="V710">
        <v>1</v>
      </c>
      <c r="W710">
        <v>0</v>
      </c>
      <c r="X710" t="s">
        <v>36</v>
      </c>
      <c r="Y710">
        <v>44445</v>
      </c>
      <c r="Z710">
        <v>34991</v>
      </c>
      <c r="AA710">
        <v>4739</v>
      </c>
      <c r="AB710" t="s">
        <v>96</v>
      </c>
      <c r="AC710" t="str">
        <f t="shared" si="22"/>
        <v>CP</v>
      </c>
      <c r="AD710" t="str">
        <f>_xlfn.XLOOKUP(C710,Mapping!A:A,Mapping!D:D,0,0)</f>
        <v>Keyword - Preroll</v>
      </c>
      <c r="AE710" t="str">
        <f t="shared" si="23"/>
        <v>OLD</v>
      </c>
    </row>
    <row r="711" spans="1:31" x14ac:dyDescent="0.2">
      <c r="A711" t="s">
        <v>29</v>
      </c>
      <c r="B711">
        <v>1012869792</v>
      </c>
      <c r="C711" t="s">
        <v>97</v>
      </c>
      <c r="D711" t="s">
        <v>31</v>
      </c>
      <c r="E711" s="1">
        <v>0.67291666666666672</v>
      </c>
      <c r="F711" t="s">
        <v>32</v>
      </c>
      <c r="G711" t="s">
        <v>33</v>
      </c>
      <c r="H711" t="s">
        <v>34</v>
      </c>
      <c r="I711" t="s">
        <v>84</v>
      </c>
      <c r="J711">
        <v>104</v>
      </c>
      <c r="K711">
        <v>0</v>
      </c>
      <c r="L711" t="s">
        <v>36</v>
      </c>
      <c r="M711" t="s">
        <v>37</v>
      </c>
      <c r="N711">
        <v>20532</v>
      </c>
      <c r="O711">
        <v>961</v>
      </c>
      <c r="P711">
        <v>4.6805000000000003</v>
      </c>
      <c r="Q711">
        <v>2</v>
      </c>
      <c r="R711">
        <v>52.78</v>
      </c>
      <c r="S711">
        <v>2.5710000000000002</v>
      </c>
      <c r="T711">
        <v>5.5E-2</v>
      </c>
      <c r="U711">
        <v>26.391999999999999</v>
      </c>
      <c r="V711">
        <v>1</v>
      </c>
      <c r="W711">
        <v>0</v>
      </c>
      <c r="X711" t="s">
        <v>36</v>
      </c>
      <c r="Y711">
        <v>20531</v>
      </c>
      <c r="Z711">
        <v>14644</v>
      </c>
      <c r="AA711">
        <v>2158</v>
      </c>
      <c r="AB711" t="s">
        <v>96</v>
      </c>
      <c r="AC711" t="str">
        <f t="shared" si="22"/>
        <v>CP</v>
      </c>
      <c r="AD711" t="str">
        <f>_xlfn.XLOOKUP(C711,Mapping!A:A,Mapping!D:D,0,0)</f>
        <v>Keyword - Preroll</v>
      </c>
      <c r="AE711" t="str">
        <f t="shared" si="23"/>
        <v>OLD</v>
      </c>
    </row>
    <row r="712" spans="1:31" x14ac:dyDescent="0.2">
      <c r="A712" t="s">
        <v>29</v>
      </c>
      <c r="B712">
        <v>1012869802</v>
      </c>
      <c r="C712" t="s">
        <v>103</v>
      </c>
      <c r="D712" t="s">
        <v>31</v>
      </c>
      <c r="E712" s="1">
        <v>0.67291666666666672</v>
      </c>
      <c r="F712" t="s">
        <v>32</v>
      </c>
      <c r="G712" t="s">
        <v>33</v>
      </c>
      <c r="H712" t="s">
        <v>34</v>
      </c>
      <c r="I712" t="s">
        <v>84</v>
      </c>
      <c r="J712">
        <v>104</v>
      </c>
      <c r="K712">
        <v>0</v>
      </c>
      <c r="L712" t="s">
        <v>36</v>
      </c>
      <c r="M712" t="s">
        <v>37</v>
      </c>
      <c r="N712">
        <v>1698</v>
      </c>
      <c r="O712">
        <v>55</v>
      </c>
      <c r="P712">
        <v>3.2391000000000001</v>
      </c>
      <c r="Q712">
        <v>0</v>
      </c>
      <c r="R712">
        <v>4.71</v>
      </c>
      <c r="S712">
        <v>2.7749999999999999</v>
      </c>
      <c r="T712">
        <v>8.5999999999999993E-2</v>
      </c>
      <c r="U712">
        <v>0</v>
      </c>
      <c r="V712">
        <v>1</v>
      </c>
      <c r="W712">
        <v>0</v>
      </c>
      <c r="X712" t="s">
        <v>36</v>
      </c>
      <c r="Y712">
        <v>1698</v>
      </c>
      <c r="Z712">
        <v>1206</v>
      </c>
      <c r="AA712">
        <v>210</v>
      </c>
      <c r="AB712" t="s">
        <v>96</v>
      </c>
      <c r="AC712" t="str">
        <f t="shared" si="22"/>
        <v>CP</v>
      </c>
      <c r="AD712" t="str">
        <f>_xlfn.XLOOKUP(C712,Mapping!A:A,Mapping!D:D,0,0)</f>
        <v>Keyword - Preroll</v>
      </c>
      <c r="AE712" t="str">
        <f t="shared" si="23"/>
        <v>OLD</v>
      </c>
    </row>
    <row r="713" spans="1:31" x14ac:dyDescent="0.2">
      <c r="A713" t="s">
        <v>29</v>
      </c>
      <c r="B713">
        <v>1012869812</v>
      </c>
      <c r="C713" t="s">
        <v>752</v>
      </c>
      <c r="D713" t="s">
        <v>31</v>
      </c>
      <c r="E713" s="1">
        <v>0.67291666666666672</v>
      </c>
      <c r="F713" t="s">
        <v>32</v>
      </c>
      <c r="G713" t="s">
        <v>33</v>
      </c>
      <c r="H713" t="s">
        <v>34</v>
      </c>
      <c r="I713" t="s">
        <v>84</v>
      </c>
      <c r="J713">
        <v>104</v>
      </c>
      <c r="K713">
        <v>0</v>
      </c>
      <c r="L713" t="s">
        <v>36</v>
      </c>
      <c r="M713" t="s">
        <v>37</v>
      </c>
      <c r="N713">
        <v>1342</v>
      </c>
      <c r="O713">
        <v>65</v>
      </c>
      <c r="P713">
        <v>4.8435199999999998</v>
      </c>
      <c r="Q713">
        <v>0</v>
      </c>
      <c r="R713">
        <v>0.78</v>
      </c>
      <c r="S713">
        <v>0.58399999999999996</v>
      </c>
      <c r="T713">
        <v>1.2E-2</v>
      </c>
      <c r="U713">
        <v>0</v>
      </c>
      <c r="V713">
        <v>1</v>
      </c>
      <c r="W713">
        <v>0</v>
      </c>
      <c r="X713" t="s">
        <v>36</v>
      </c>
      <c r="Y713">
        <v>1342</v>
      </c>
      <c r="Z713">
        <v>967</v>
      </c>
      <c r="AA713">
        <v>173</v>
      </c>
      <c r="AB713" t="s">
        <v>96</v>
      </c>
      <c r="AC713" t="str">
        <f t="shared" si="22"/>
        <v>CP</v>
      </c>
      <c r="AD713" t="str">
        <f>_xlfn.XLOOKUP(C713,Mapping!A:A,Mapping!D:D,0,0)</f>
        <v>Keyword - Preroll</v>
      </c>
      <c r="AE713" t="str">
        <f t="shared" si="23"/>
        <v>OLD</v>
      </c>
    </row>
    <row r="714" spans="1:31" x14ac:dyDescent="0.2">
      <c r="A714" t="s">
        <v>690</v>
      </c>
      <c r="B714">
        <v>1012869822</v>
      </c>
      <c r="C714" t="s">
        <v>753</v>
      </c>
      <c r="D714" t="s">
        <v>31</v>
      </c>
      <c r="E714" s="1">
        <v>0.67291666666666672</v>
      </c>
      <c r="F714" t="s">
        <v>32</v>
      </c>
      <c r="G714" t="s">
        <v>33</v>
      </c>
      <c r="H714" t="s">
        <v>41</v>
      </c>
      <c r="I714" t="s">
        <v>62</v>
      </c>
      <c r="J714">
        <v>260</v>
      </c>
      <c r="K714">
        <v>0</v>
      </c>
      <c r="L714" t="s">
        <v>36</v>
      </c>
      <c r="M714" t="s">
        <v>37</v>
      </c>
      <c r="N714">
        <v>108</v>
      </c>
      <c r="O714">
        <v>4</v>
      </c>
      <c r="P714">
        <v>3.7037</v>
      </c>
      <c r="Q714">
        <v>0</v>
      </c>
      <c r="R714">
        <v>7.0000000000000007E-2</v>
      </c>
      <c r="S714">
        <v>0.68500000000000005</v>
      </c>
      <c r="T714">
        <v>1.7999999999999999E-2</v>
      </c>
      <c r="U714">
        <v>0</v>
      </c>
      <c r="V714">
        <v>1</v>
      </c>
      <c r="W714">
        <v>0</v>
      </c>
      <c r="X714" t="s">
        <v>36</v>
      </c>
      <c r="Y714">
        <v>108</v>
      </c>
      <c r="Z714">
        <v>94</v>
      </c>
      <c r="AA714">
        <v>8</v>
      </c>
      <c r="AB714" t="s">
        <v>96</v>
      </c>
      <c r="AC714" t="str">
        <f t="shared" si="22"/>
        <v>CP</v>
      </c>
      <c r="AD714" t="str">
        <f>_xlfn.XLOOKUP(C714,Mapping!A:A,Mapping!D:D,0,0)</f>
        <v>Keyword - Preroll</v>
      </c>
      <c r="AE714" t="str">
        <f t="shared" si="23"/>
        <v>OLD</v>
      </c>
    </row>
    <row r="715" spans="1:31" x14ac:dyDescent="0.2">
      <c r="A715" t="s">
        <v>690</v>
      </c>
      <c r="B715">
        <v>1012869832</v>
      </c>
      <c r="C715" t="s">
        <v>754</v>
      </c>
      <c r="D715" t="s">
        <v>31</v>
      </c>
      <c r="E715" s="1">
        <v>0.67291666666666672</v>
      </c>
      <c r="F715" t="s">
        <v>32</v>
      </c>
      <c r="G715" t="s">
        <v>33</v>
      </c>
      <c r="H715" t="s">
        <v>41</v>
      </c>
      <c r="I715" t="s">
        <v>62</v>
      </c>
      <c r="J715">
        <v>260</v>
      </c>
      <c r="K715">
        <v>0</v>
      </c>
      <c r="L715" t="s">
        <v>36</v>
      </c>
      <c r="M715" t="s">
        <v>37</v>
      </c>
      <c r="N715">
        <v>36</v>
      </c>
      <c r="O715">
        <v>2</v>
      </c>
      <c r="P715">
        <v>5.5555599999999998</v>
      </c>
      <c r="Q715">
        <v>0</v>
      </c>
      <c r="R715">
        <v>0.02</v>
      </c>
      <c r="S715">
        <v>0.60899999999999999</v>
      </c>
      <c r="T715">
        <v>1.0999999999999999E-2</v>
      </c>
      <c r="U715">
        <v>0</v>
      </c>
      <c r="V715">
        <v>1</v>
      </c>
      <c r="W715">
        <v>0</v>
      </c>
      <c r="X715" t="s">
        <v>36</v>
      </c>
      <c r="Y715">
        <v>36</v>
      </c>
      <c r="Z715">
        <v>33</v>
      </c>
      <c r="AA715">
        <v>3</v>
      </c>
      <c r="AB715" t="s">
        <v>96</v>
      </c>
      <c r="AC715" t="str">
        <f t="shared" si="22"/>
        <v>CP</v>
      </c>
      <c r="AD715" t="str">
        <f>_xlfn.XLOOKUP(C715,Mapping!A:A,Mapping!D:D,0,0)</f>
        <v>Keyword - Preroll</v>
      </c>
      <c r="AE715" t="str">
        <f t="shared" si="23"/>
        <v>OLD</v>
      </c>
    </row>
    <row r="716" spans="1:31" x14ac:dyDescent="0.2">
      <c r="A716" t="s">
        <v>39</v>
      </c>
      <c r="B716">
        <v>1012869842</v>
      </c>
      <c r="C716" t="s">
        <v>755</v>
      </c>
      <c r="D716" t="s">
        <v>31</v>
      </c>
      <c r="E716" s="1">
        <v>0.67291666666666672</v>
      </c>
      <c r="F716" t="s">
        <v>32</v>
      </c>
      <c r="G716" t="s">
        <v>33</v>
      </c>
      <c r="H716" t="s">
        <v>41</v>
      </c>
      <c r="I716" t="s">
        <v>62</v>
      </c>
      <c r="J716">
        <v>260</v>
      </c>
      <c r="K716">
        <v>0</v>
      </c>
      <c r="L716" t="s">
        <v>36</v>
      </c>
      <c r="M716" t="s">
        <v>37</v>
      </c>
      <c r="N716">
        <v>0</v>
      </c>
      <c r="O716">
        <v>0</v>
      </c>
      <c r="P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 t="s">
        <v>36</v>
      </c>
      <c r="AB716" t="s">
        <v>96</v>
      </c>
      <c r="AC716" t="str">
        <f t="shared" si="22"/>
        <v>CP</v>
      </c>
      <c r="AD716" t="str">
        <f>_xlfn.XLOOKUP(C716,Mapping!A:A,Mapping!D:D,0,0)</f>
        <v>Furry</v>
      </c>
      <c r="AE716" t="str">
        <f t="shared" si="23"/>
        <v>OLD</v>
      </c>
    </row>
    <row r="717" spans="1:31" x14ac:dyDescent="0.2">
      <c r="A717" t="s">
        <v>690</v>
      </c>
      <c r="B717">
        <v>1012869852</v>
      </c>
      <c r="C717" t="s">
        <v>756</v>
      </c>
      <c r="D717" t="s">
        <v>31</v>
      </c>
      <c r="E717" s="1">
        <v>0.67291666666666672</v>
      </c>
      <c r="F717" t="s">
        <v>32</v>
      </c>
      <c r="G717" t="s">
        <v>33</v>
      </c>
      <c r="H717" t="s">
        <v>41</v>
      </c>
      <c r="I717" t="s">
        <v>62</v>
      </c>
      <c r="J717">
        <v>260</v>
      </c>
      <c r="K717">
        <v>0</v>
      </c>
      <c r="L717" t="s">
        <v>36</v>
      </c>
      <c r="M717" t="s">
        <v>37</v>
      </c>
      <c r="N717">
        <v>510</v>
      </c>
      <c r="O717">
        <v>35</v>
      </c>
      <c r="P717">
        <v>6.8627500000000001</v>
      </c>
      <c r="Q717">
        <v>0</v>
      </c>
      <c r="R717">
        <v>0.28000000000000003</v>
      </c>
      <c r="S717">
        <v>0.55800000000000005</v>
      </c>
      <c r="T717">
        <v>8.0000000000000002E-3</v>
      </c>
      <c r="U717">
        <v>0</v>
      </c>
      <c r="V717">
        <v>1</v>
      </c>
      <c r="W717">
        <v>0</v>
      </c>
      <c r="X717" t="s">
        <v>36</v>
      </c>
      <c r="Y717">
        <v>510</v>
      </c>
      <c r="Z717">
        <v>445</v>
      </c>
      <c r="AA717">
        <v>37</v>
      </c>
      <c r="AB717" t="s">
        <v>96</v>
      </c>
      <c r="AC717" t="str">
        <f t="shared" si="22"/>
        <v>CP</v>
      </c>
      <c r="AD717" t="str">
        <f>_xlfn.XLOOKUP(C717,Mapping!A:A,Mapping!D:D,0,0)</f>
        <v>Keyword - Preroll</v>
      </c>
      <c r="AE717" t="str">
        <f t="shared" si="23"/>
        <v>OLD</v>
      </c>
    </row>
    <row r="718" spans="1:31" x14ac:dyDescent="0.2">
      <c r="A718" t="s">
        <v>29</v>
      </c>
      <c r="B718">
        <v>1012869862</v>
      </c>
      <c r="C718" t="s">
        <v>94</v>
      </c>
      <c r="D718" t="s">
        <v>31</v>
      </c>
      <c r="E718" s="1">
        <v>0.67291666666666672</v>
      </c>
      <c r="F718" t="s">
        <v>32</v>
      </c>
      <c r="G718" t="s">
        <v>33</v>
      </c>
      <c r="H718" t="s">
        <v>41</v>
      </c>
      <c r="I718" t="s">
        <v>62</v>
      </c>
      <c r="J718">
        <v>130</v>
      </c>
      <c r="K718">
        <v>0</v>
      </c>
      <c r="L718" t="s">
        <v>36</v>
      </c>
      <c r="M718" t="s">
        <v>37</v>
      </c>
      <c r="N718">
        <v>33289</v>
      </c>
      <c r="O718">
        <v>1768</v>
      </c>
      <c r="P718">
        <v>5.3110600000000003</v>
      </c>
      <c r="Q718">
        <v>1</v>
      </c>
      <c r="R718">
        <v>111.01</v>
      </c>
      <c r="S718">
        <v>3.335</v>
      </c>
      <c r="T718">
        <v>6.3E-2</v>
      </c>
      <c r="U718">
        <v>111.006</v>
      </c>
      <c r="V718">
        <v>1</v>
      </c>
      <c r="W718">
        <v>0</v>
      </c>
      <c r="X718" t="s">
        <v>36</v>
      </c>
      <c r="Y718">
        <v>33286</v>
      </c>
      <c r="Z718">
        <v>30106</v>
      </c>
      <c r="AA718">
        <v>1722</v>
      </c>
      <c r="AB718" t="s">
        <v>96</v>
      </c>
      <c r="AC718" t="str">
        <f t="shared" si="22"/>
        <v>CP</v>
      </c>
      <c r="AD718" t="str">
        <f>_xlfn.XLOOKUP(C718,Mapping!A:A,Mapping!D:D,0,0)</f>
        <v>Keyword - Preroll</v>
      </c>
      <c r="AE718" t="str">
        <f t="shared" si="23"/>
        <v>OLD</v>
      </c>
    </row>
    <row r="719" spans="1:31" x14ac:dyDescent="0.2">
      <c r="A719" t="s">
        <v>29</v>
      </c>
      <c r="B719">
        <v>1012869872</v>
      </c>
      <c r="C719" t="s">
        <v>101</v>
      </c>
      <c r="D719" t="s">
        <v>31</v>
      </c>
      <c r="E719" s="1">
        <v>0.67291666666666672</v>
      </c>
      <c r="F719" t="s">
        <v>32</v>
      </c>
      <c r="G719" t="s">
        <v>33</v>
      </c>
      <c r="H719" t="s">
        <v>41</v>
      </c>
      <c r="I719" t="s">
        <v>62</v>
      </c>
      <c r="J719">
        <v>260</v>
      </c>
      <c r="K719">
        <v>0</v>
      </c>
      <c r="L719" t="s">
        <v>36</v>
      </c>
      <c r="M719" t="s">
        <v>37</v>
      </c>
      <c r="N719">
        <v>294</v>
      </c>
      <c r="O719">
        <v>12</v>
      </c>
      <c r="P719">
        <v>4.08162</v>
      </c>
      <c r="Q719">
        <v>0</v>
      </c>
      <c r="R719">
        <v>0.21</v>
      </c>
      <c r="S719">
        <v>0.71</v>
      </c>
      <c r="T719">
        <v>1.7000000000000001E-2</v>
      </c>
      <c r="U719">
        <v>0</v>
      </c>
      <c r="V719">
        <v>1</v>
      </c>
      <c r="W719">
        <v>0</v>
      </c>
      <c r="X719" t="s">
        <v>36</v>
      </c>
      <c r="Y719">
        <v>294</v>
      </c>
      <c r="Z719">
        <v>257</v>
      </c>
      <c r="AA719">
        <v>20</v>
      </c>
      <c r="AB719" t="s">
        <v>96</v>
      </c>
      <c r="AC719" t="str">
        <f t="shared" si="22"/>
        <v>CP</v>
      </c>
      <c r="AD719" t="str">
        <f>_xlfn.XLOOKUP(C719,Mapping!A:A,Mapping!D:D,0,0)</f>
        <v>Keyword - Preroll</v>
      </c>
      <c r="AE719" t="str">
        <f t="shared" si="23"/>
        <v>OLD</v>
      </c>
    </row>
    <row r="720" spans="1:31" x14ac:dyDescent="0.2">
      <c r="A720" t="s">
        <v>690</v>
      </c>
      <c r="B720">
        <v>1012869882</v>
      </c>
      <c r="C720" t="s">
        <v>104</v>
      </c>
      <c r="D720" t="s">
        <v>31</v>
      </c>
      <c r="E720" s="1">
        <v>0.67291666666666672</v>
      </c>
      <c r="F720" t="s">
        <v>32</v>
      </c>
      <c r="G720" t="s">
        <v>33</v>
      </c>
      <c r="H720" t="s">
        <v>41</v>
      </c>
      <c r="I720" t="s">
        <v>62</v>
      </c>
      <c r="J720">
        <v>260</v>
      </c>
      <c r="K720">
        <v>0</v>
      </c>
      <c r="L720" t="s">
        <v>36</v>
      </c>
      <c r="M720" t="s">
        <v>37</v>
      </c>
      <c r="N720">
        <v>0</v>
      </c>
      <c r="O720">
        <v>0</v>
      </c>
      <c r="P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 t="s">
        <v>36</v>
      </c>
      <c r="AB720" t="s">
        <v>96</v>
      </c>
      <c r="AC720" t="str">
        <f t="shared" si="22"/>
        <v>CP</v>
      </c>
      <c r="AD720" t="str">
        <f>_xlfn.XLOOKUP(C720,Mapping!A:A,Mapping!D:D,0,0)</f>
        <v>Bin</v>
      </c>
      <c r="AE720" t="str">
        <f t="shared" si="23"/>
        <v>OLD</v>
      </c>
    </row>
    <row r="721" spans="1:31" x14ac:dyDescent="0.2">
      <c r="A721" t="s">
        <v>39</v>
      </c>
      <c r="B721">
        <v>1012869902</v>
      </c>
      <c r="C721" t="s">
        <v>621</v>
      </c>
      <c r="D721" t="s">
        <v>31</v>
      </c>
      <c r="E721" s="1">
        <v>0.67291666666666672</v>
      </c>
      <c r="F721" t="s">
        <v>32</v>
      </c>
      <c r="G721" t="s">
        <v>33</v>
      </c>
      <c r="H721" t="s">
        <v>41</v>
      </c>
      <c r="I721" t="s">
        <v>62</v>
      </c>
      <c r="J721">
        <v>260</v>
      </c>
      <c r="K721">
        <v>0</v>
      </c>
      <c r="L721" t="s">
        <v>36</v>
      </c>
      <c r="M721" t="s">
        <v>37</v>
      </c>
      <c r="N721">
        <v>0</v>
      </c>
      <c r="O721">
        <v>0</v>
      </c>
      <c r="P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 t="s">
        <v>36</v>
      </c>
      <c r="AB721" t="s">
        <v>96</v>
      </c>
      <c r="AC721" t="str">
        <f t="shared" si="22"/>
        <v>CP</v>
      </c>
      <c r="AD721" t="str">
        <f>_xlfn.XLOOKUP(C721,Mapping!A:A,Mapping!D:D,0,0)</f>
        <v>Bin</v>
      </c>
      <c r="AE721" t="str">
        <f t="shared" si="23"/>
        <v>OLD</v>
      </c>
    </row>
    <row r="722" spans="1:31" x14ac:dyDescent="0.2">
      <c r="A722" t="s">
        <v>29</v>
      </c>
      <c r="B722">
        <v>1012869912</v>
      </c>
      <c r="C722" t="s">
        <v>757</v>
      </c>
      <c r="D722" t="s">
        <v>31</v>
      </c>
      <c r="E722" s="1">
        <v>0.67291666666666672</v>
      </c>
      <c r="F722" t="s">
        <v>32</v>
      </c>
      <c r="G722" t="s">
        <v>33</v>
      </c>
      <c r="H722" t="s">
        <v>41</v>
      </c>
      <c r="I722" t="s">
        <v>62</v>
      </c>
      <c r="J722">
        <v>260</v>
      </c>
      <c r="K722">
        <v>0</v>
      </c>
      <c r="L722" t="s">
        <v>36</v>
      </c>
      <c r="M722" t="s">
        <v>37</v>
      </c>
      <c r="N722">
        <v>2170</v>
      </c>
      <c r="O722">
        <v>101</v>
      </c>
      <c r="P722">
        <v>4.6543799999999997</v>
      </c>
      <c r="Q722">
        <v>0</v>
      </c>
      <c r="R722">
        <v>1.26</v>
      </c>
      <c r="S722">
        <v>0.58099999999999996</v>
      </c>
      <c r="T722">
        <v>1.2E-2</v>
      </c>
      <c r="U722">
        <v>0</v>
      </c>
      <c r="V722">
        <v>1</v>
      </c>
      <c r="W722">
        <v>0</v>
      </c>
      <c r="X722" t="s">
        <v>36</v>
      </c>
      <c r="Y722">
        <v>2170</v>
      </c>
      <c r="Z722">
        <v>1914</v>
      </c>
      <c r="AA722">
        <v>168</v>
      </c>
      <c r="AB722" t="s">
        <v>96</v>
      </c>
      <c r="AC722" t="str">
        <f t="shared" si="22"/>
        <v>CP</v>
      </c>
      <c r="AD722" t="str">
        <f>_xlfn.XLOOKUP(C722,Mapping!A:A,Mapping!D:D,0,0)</f>
        <v>Keyword - Preroll</v>
      </c>
      <c r="AE722" t="str">
        <f t="shared" si="23"/>
        <v>OLD</v>
      </c>
    </row>
    <row r="723" spans="1:31" x14ac:dyDescent="0.2">
      <c r="A723" t="s">
        <v>29</v>
      </c>
      <c r="B723">
        <v>1012905942</v>
      </c>
      <c r="C723" t="s">
        <v>758</v>
      </c>
      <c r="D723" t="s">
        <v>31</v>
      </c>
      <c r="E723" s="1">
        <v>0.67291666666666672</v>
      </c>
      <c r="F723" t="s">
        <v>32</v>
      </c>
      <c r="G723" t="s">
        <v>33</v>
      </c>
      <c r="H723" t="s">
        <v>41</v>
      </c>
      <c r="I723" t="s">
        <v>759</v>
      </c>
      <c r="J723">
        <v>129</v>
      </c>
      <c r="K723">
        <v>0</v>
      </c>
      <c r="L723" t="s">
        <v>36</v>
      </c>
      <c r="M723" t="s">
        <v>37</v>
      </c>
      <c r="N723">
        <v>319734</v>
      </c>
      <c r="O723">
        <v>15868</v>
      </c>
      <c r="P723">
        <v>4.9628800000000002</v>
      </c>
      <c r="Q723">
        <v>11</v>
      </c>
      <c r="R723">
        <v>709.35</v>
      </c>
      <c r="S723">
        <v>2.2189999999999999</v>
      </c>
      <c r="T723">
        <v>4.4999999999999998E-2</v>
      </c>
      <c r="U723">
        <v>64.486000000000004</v>
      </c>
      <c r="V723">
        <v>1</v>
      </c>
      <c r="W723">
        <v>0</v>
      </c>
      <c r="X723" t="s">
        <v>63</v>
      </c>
      <c r="Y723">
        <v>319689</v>
      </c>
      <c r="Z723">
        <v>279309</v>
      </c>
      <c r="AA723">
        <v>29485</v>
      </c>
      <c r="AB723" t="s">
        <v>760</v>
      </c>
      <c r="AC723" t="str">
        <f t="shared" si="22"/>
        <v>CP</v>
      </c>
      <c r="AD723" t="str">
        <f>_xlfn.XLOOKUP(C723,Mapping!A:A,Mapping!D:D,0,0)</f>
        <v>Remarketing</v>
      </c>
      <c r="AE723" t="str">
        <f t="shared" si="23"/>
        <v>OLD</v>
      </c>
    </row>
    <row r="724" spans="1:31" x14ac:dyDescent="0.2">
      <c r="A724" t="s">
        <v>29</v>
      </c>
      <c r="B724">
        <v>1012905952</v>
      </c>
      <c r="C724" t="s">
        <v>761</v>
      </c>
      <c r="D724" t="s">
        <v>31</v>
      </c>
      <c r="E724" s="1">
        <v>0.67291666666666672</v>
      </c>
      <c r="F724" t="s">
        <v>32</v>
      </c>
      <c r="G724" t="s">
        <v>33</v>
      </c>
      <c r="H724" t="s">
        <v>41</v>
      </c>
      <c r="I724" t="s">
        <v>759</v>
      </c>
      <c r="J724">
        <v>129</v>
      </c>
      <c r="K724">
        <v>0</v>
      </c>
      <c r="L724" t="s">
        <v>63</v>
      </c>
      <c r="M724">
        <v>250</v>
      </c>
      <c r="N724">
        <v>18440</v>
      </c>
      <c r="O724">
        <v>838</v>
      </c>
      <c r="P724">
        <v>4.5444599999999999</v>
      </c>
      <c r="Q724">
        <v>1</v>
      </c>
      <c r="R724">
        <v>36.1</v>
      </c>
      <c r="S724">
        <v>1.958</v>
      </c>
      <c r="T724">
        <v>4.2999999999999997E-2</v>
      </c>
      <c r="U724">
        <v>36.104999999999997</v>
      </c>
      <c r="V724">
        <v>1</v>
      </c>
      <c r="W724">
        <v>0</v>
      </c>
      <c r="X724" t="s">
        <v>63</v>
      </c>
      <c r="Y724">
        <v>18440</v>
      </c>
      <c r="Z724">
        <v>16055</v>
      </c>
      <c r="AA724">
        <v>1846</v>
      </c>
      <c r="AB724" t="s">
        <v>760</v>
      </c>
      <c r="AC724" t="str">
        <f t="shared" si="22"/>
        <v>CP</v>
      </c>
      <c r="AD724" t="str">
        <f>_xlfn.XLOOKUP(C724,Mapping!A:A,Mapping!D:D,0,0)</f>
        <v>Remarketing</v>
      </c>
      <c r="AE724" t="str">
        <f t="shared" si="23"/>
        <v>OLD</v>
      </c>
    </row>
    <row r="725" spans="1:31" x14ac:dyDescent="0.2">
      <c r="A725" t="s">
        <v>29</v>
      </c>
      <c r="B725">
        <v>1012905962</v>
      </c>
      <c r="C725" t="s">
        <v>762</v>
      </c>
      <c r="D725" t="s">
        <v>31</v>
      </c>
      <c r="E725" s="1">
        <v>0.67291666666666672</v>
      </c>
      <c r="F725" t="s">
        <v>32</v>
      </c>
      <c r="G725" t="s">
        <v>33</v>
      </c>
      <c r="H725" t="s">
        <v>41</v>
      </c>
      <c r="I725" t="s">
        <v>759</v>
      </c>
      <c r="J725">
        <v>129</v>
      </c>
      <c r="K725">
        <v>0</v>
      </c>
      <c r="L725" t="s">
        <v>36</v>
      </c>
      <c r="M725" t="s">
        <v>37</v>
      </c>
      <c r="N725">
        <v>52593</v>
      </c>
      <c r="O725">
        <v>2742</v>
      </c>
      <c r="P725">
        <v>5.2136100000000001</v>
      </c>
      <c r="Q725">
        <v>5</v>
      </c>
      <c r="R725">
        <v>66.44</v>
      </c>
      <c r="S725">
        <v>1.2629999999999999</v>
      </c>
      <c r="T725">
        <v>2.4E-2</v>
      </c>
      <c r="U725">
        <v>13.287000000000001</v>
      </c>
      <c r="V725">
        <v>1</v>
      </c>
      <c r="W725">
        <v>0</v>
      </c>
      <c r="X725" t="s">
        <v>63</v>
      </c>
      <c r="Y725">
        <v>52592</v>
      </c>
      <c r="Z725">
        <v>46022</v>
      </c>
      <c r="AA725">
        <v>4740</v>
      </c>
      <c r="AB725" t="s">
        <v>760</v>
      </c>
      <c r="AC725" t="str">
        <f t="shared" si="22"/>
        <v>CP</v>
      </c>
      <c r="AD725" t="str">
        <f>_xlfn.XLOOKUP(C725,Mapping!A:A,Mapping!D:D,0,0)</f>
        <v>Remarketing</v>
      </c>
      <c r="AE725" t="str">
        <f t="shared" si="23"/>
        <v>OLD</v>
      </c>
    </row>
    <row r="726" spans="1:31" x14ac:dyDescent="0.2">
      <c r="A726" t="s">
        <v>29</v>
      </c>
      <c r="B726">
        <v>1012905982</v>
      </c>
      <c r="C726" t="s">
        <v>763</v>
      </c>
      <c r="D726" t="s">
        <v>31</v>
      </c>
      <c r="E726" s="1">
        <v>0.67291666666666672</v>
      </c>
      <c r="F726" t="s">
        <v>32</v>
      </c>
      <c r="G726" t="s">
        <v>33</v>
      </c>
      <c r="H726" t="s">
        <v>41</v>
      </c>
      <c r="I726" t="s">
        <v>759</v>
      </c>
      <c r="J726">
        <v>129</v>
      </c>
      <c r="K726">
        <v>0</v>
      </c>
      <c r="L726" t="s">
        <v>63</v>
      </c>
      <c r="M726">
        <v>250</v>
      </c>
      <c r="N726">
        <v>762</v>
      </c>
      <c r="O726">
        <v>33</v>
      </c>
      <c r="P726">
        <v>4.3307099999999998</v>
      </c>
      <c r="Q726">
        <v>0</v>
      </c>
      <c r="R726">
        <v>0.51</v>
      </c>
      <c r="S726">
        <v>0.66600000000000004</v>
      </c>
      <c r="T726">
        <v>1.4999999999999999E-2</v>
      </c>
      <c r="U726">
        <v>0</v>
      </c>
      <c r="V726">
        <v>1</v>
      </c>
      <c r="W726">
        <v>0</v>
      </c>
      <c r="X726" t="s">
        <v>63</v>
      </c>
      <c r="Y726">
        <v>762</v>
      </c>
      <c r="Z726">
        <v>671</v>
      </c>
      <c r="AA726">
        <v>60</v>
      </c>
      <c r="AB726" t="s">
        <v>760</v>
      </c>
      <c r="AC726" t="str">
        <f t="shared" si="22"/>
        <v>CP</v>
      </c>
      <c r="AD726" t="str">
        <f>_xlfn.XLOOKUP(C726,Mapping!A:A,Mapping!D:D,0,0)</f>
        <v>Remarketing</v>
      </c>
      <c r="AE726" t="str">
        <f t="shared" si="23"/>
        <v>OLD</v>
      </c>
    </row>
    <row r="727" spans="1:31" x14ac:dyDescent="0.2">
      <c r="A727" t="s">
        <v>29</v>
      </c>
      <c r="B727">
        <v>1012905992</v>
      </c>
      <c r="C727" t="s">
        <v>764</v>
      </c>
      <c r="D727" t="s">
        <v>31</v>
      </c>
      <c r="E727" s="1">
        <v>0.67291666666666672</v>
      </c>
      <c r="F727" t="s">
        <v>32</v>
      </c>
      <c r="G727" t="s">
        <v>33</v>
      </c>
      <c r="H727" t="s">
        <v>41</v>
      </c>
      <c r="I727" t="s">
        <v>759</v>
      </c>
      <c r="J727">
        <v>129</v>
      </c>
      <c r="K727">
        <v>0</v>
      </c>
      <c r="L727" t="s">
        <v>63</v>
      </c>
      <c r="M727">
        <v>250</v>
      </c>
      <c r="N727">
        <v>2974</v>
      </c>
      <c r="O727">
        <v>171</v>
      </c>
      <c r="P727">
        <v>5.7498300000000002</v>
      </c>
      <c r="Q727">
        <v>0</v>
      </c>
      <c r="R727">
        <v>3.3</v>
      </c>
      <c r="S727">
        <v>1.109</v>
      </c>
      <c r="T727">
        <v>1.9E-2</v>
      </c>
      <c r="U727">
        <v>0</v>
      </c>
      <c r="V727">
        <v>1</v>
      </c>
      <c r="W727">
        <v>0</v>
      </c>
      <c r="X727" t="s">
        <v>63</v>
      </c>
      <c r="Y727">
        <v>2974</v>
      </c>
      <c r="Z727">
        <v>2506</v>
      </c>
      <c r="AA727">
        <v>323</v>
      </c>
      <c r="AB727" t="s">
        <v>760</v>
      </c>
      <c r="AC727" t="str">
        <f t="shared" si="22"/>
        <v>CP</v>
      </c>
      <c r="AD727" t="str">
        <f>_xlfn.XLOOKUP(C727,Mapping!A:A,Mapping!D:D,0,0)</f>
        <v>Remarketing</v>
      </c>
      <c r="AE727" t="str">
        <f t="shared" si="23"/>
        <v>OLD</v>
      </c>
    </row>
    <row r="728" spans="1:31" x14ac:dyDescent="0.2">
      <c r="A728" t="s">
        <v>29</v>
      </c>
      <c r="B728">
        <v>1012906002</v>
      </c>
      <c r="C728" t="s">
        <v>765</v>
      </c>
      <c r="D728" t="s">
        <v>31</v>
      </c>
      <c r="E728" s="1">
        <v>0.67291666666666672</v>
      </c>
      <c r="F728" t="s">
        <v>32</v>
      </c>
      <c r="G728" t="s">
        <v>33</v>
      </c>
      <c r="H728" t="s">
        <v>41</v>
      </c>
      <c r="I728" t="s">
        <v>759</v>
      </c>
      <c r="J728">
        <v>129</v>
      </c>
      <c r="K728">
        <v>0</v>
      </c>
      <c r="L728" t="s">
        <v>63</v>
      </c>
      <c r="M728">
        <v>250</v>
      </c>
      <c r="N728">
        <v>7149</v>
      </c>
      <c r="O728">
        <v>391</v>
      </c>
      <c r="P728">
        <v>5.4692999999999996</v>
      </c>
      <c r="Q728">
        <v>0</v>
      </c>
      <c r="R728">
        <v>12.07</v>
      </c>
      <c r="S728">
        <v>1.6890000000000001</v>
      </c>
      <c r="T728">
        <v>3.1E-2</v>
      </c>
      <c r="U728">
        <v>0</v>
      </c>
      <c r="V728">
        <v>1</v>
      </c>
      <c r="W728">
        <v>0</v>
      </c>
      <c r="X728" t="s">
        <v>63</v>
      </c>
      <c r="Y728">
        <v>7149</v>
      </c>
      <c r="Z728">
        <v>6253</v>
      </c>
      <c r="AA728">
        <v>574</v>
      </c>
      <c r="AB728" t="s">
        <v>760</v>
      </c>
      <c r="AC728" t="str">
        <f t="shared" si="22"/>
        <v>CP</v>
      </c>
      <c r="AD728" t="str">
        <f>_xlfn.XLOOKUP(C728,Mapping!A:A,Mapping!D:D,0,0)</f>
        <v>Remarketing</v>
      </c>
      <c r="AE728" t="str">
        <f t="shared" si="23"/>
        <v>OLD</v>
      </c>
    </row>
    <row r="729" spans="1:31" x14ac:dyDescent="0.2">
      <c r="A729" t="s">
        <v>29</v>
      </c>
      <c r="B729">
        <v>1012906012</v>
      </c>
      <c r="C729" t="s">
        <v>766</v>
      </c>
      <c r="D729" t="s">
        <v>31</v>
      </c>
      <c r="E729" s="1">
        <v>0.67291666666666672</v>
      </c>
      <c r="F729" t="s">
        <v>32</v>
      </c>
      <c r="G729" t="s">
        <v>33</v>
      </c>
      <c r="H729" t="s">
        <v>41</v>
      </c>
      <c r="I729" t="s">
        <v>759</v>
      </c>
      <c r="J729">
        <v>129</v>
      </c>
      <c r="K729">
        <v>0</v>
      </c>
      <c r="L729" t="s">
        <v>63</v>
      </c>
      <c r="M729">
        <v>250</v>
      </c>
      <c r="N729">
        <v>17222</v>
      </c>
      <c r="O729">
        <v>935</v>
      </c>
      <c r="P729">
        <v>5.4291</v>
      </c>
      <c r="Q729">
        <v>0</v>
      </c>
      <c r="R729">
        <v>42.73</v>
      </c>
      <c r="S729">
        <v>2.4809999999999999</v>
      </c>
      <c r="T729">
        <v>4.5999999999999999E-2</v>
      </c>
      <c r="U729">
        <v>0</v>
      </c>
      <c r="V729">
        <v>1</v>
      </c>
      <c r="W729">
        <v>0</v>
      </c>
      <c r="X729" t="s">
        <v>63</v>
      </c>
      <c r="Y729">
        <v>17224</v>
      </c>
      <c r="Z729">
        <v>15265</v>
      </c>
      <c r="AA729">
        <v>1399</v>
      </c>
      <c r="AB729" t="s">
        <v>760</v>
      </c>
      <c r="AC729" t="str">
        <f t="shared" si="22"/>
        <v>CP</v>
      </c>
      <c r="AD729" t="str">
        <f>_xlfn.XLOOKUP(C729,Mapping!A:A,Mapping!D:D,0,0)</f>
        <v>Remarketing</v>
      </c>
      <c r="AE729" t="str">
        <f t="shared" si="23"/>
        <v>OLD</v>
      </c>
    </row>
    <row r="730" spans="1:31" x14ac:dyDescent="0.2">
      <c r="A730" t="s">
        <v>39</v>
      </c>
      <c r="B730">
        <v>1012914792</v>
      </c>
      <c r="C730" t="s">
        <v>306</v>
      </c>
      <c r="D730" t="s">
        <v>31</v>
      </c>
      <c r="E730" s="1">
        <v>0.67291666666666672</v>
      </c>
      <c r="F730" t="s">
        <v>32</v>
      </c>
      <c r="G730" t="s">
        <v>33</v>
      </c>
      <c r="H730" t="s">
        <v>34</v>
      </c>
      <c r="I730" t="s">
        <v>84</v>
      </c>
      <c r="J730">
        <v>100</v>
      </c>
      <c r="K730">
        <v>0</v>
      </c>
      <c r="L730" t="s">
        <v>63</v>
      </c>
      <c r="M730">
        <v>250</v>
      </c>
      <c r="N730">
        <v>0</v>
      </c>
      <c r="O730">
        <v>0</v>
      </c>
      <c r="P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 t="s">
        <v>36</v>
      </c>
      <c r="AB730" t="s">
        <v>606</v>
      </c>
      <c r="AC730" t="str">
        <f t="shared" si="22"/>
        <v>CP</v>
      </c>
      <c r="AD730" t="str">
        <f>_xlfn.XLOOKUP(C730,Mapping!A:A,Mapping!D:D,0,0)</f>
        <v>Archive</v>
      </c>
      <c r="AE730" t="str">
        <f t="shared" si="23"/>
        <v>OLD</v>
      </c>
    </row>
    <row r="731" spans="1:31" x14ac:dyDescent="0.2">
      <c r="A731" t="s">
        <v>39</v>
      </c>
      <c r="B731">
        <v>1012914802</v>
      </c>
      <c r="C731" t="s">
        <v>607</v>
      </c>
      <c r="D731" t="s">
        <v>31</v>
      </c>
      <c r="E731" s="1">
        <v>0.67291666666666672</v>
      </c>
      <c r="F731" t="s">
        <v>32</v>
      </c>
      <c r="G731" t="s">
        <v>33</v>
      </c>
      <c r="H731" t="s">
        <v>34</v>
      </c>
      <c r="I731" t="s">
        <v>84</v>
      </c>
      <c r="J731">
        <v>100</v>
      </c>
      <c r="K731">
        <v>0</v>
      </c>
      <c r="L731" t="s">
        <v>63</v>
      </c>
      <c r="M731">
        <v>250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1.8160000000000001</v>
      </c>
      <c r="T731">
        <v>0</v>
      </c>
      <c r="U731">
        <v>0</v>
      </c>
      <c r="V731">
        <v>1</v>
      </c>
      <c r="W731">
        <v>0</v>
      </c>
      <c r="X731" t="s">
        <v>36</v>
      </c>
      <c r="Y731">
        <v>1</v>
      </c>
      <c r="Z731">
        <v>0</v>
      </c>
      <c r="AA731">
        <v>0</v>
      </c>
      <c r="AB731" t="s">
        <v>606</v>
      </c>
      <c r="AC731" t="str">
        <f t="shared" si="22"/>
        <v>CP</v>
      </c>
      <c r="AD731" t="str">
        <f>_xlfn.XLOOKUP(C731,Mapping!A:A,Mapping!D:D,0,0)</f>
        <v>Archive</v>
      </c>
      <c r="AE731" t="str">
        <f t="shared" si="23"/>
        <v>OLD</v>
      </c>
    </row>
    <row r="732" spans="1:31" x14ac:dyDescent="0.2">
      <c r="A732" t="s">
        <v>39</v>
      </c>
      <c r="B732">
        <v>1012914812</v>
      </c>
      <c r="C732" t="s">
        <v>312</v>
      </c>
      <c r="D732" t="s">
        <v>31</v>
      </c>
      <c r="E732" s="1">
        <v>0.67291666666666672</v>
      </c>
      <c r="F732" t="s">
        <v>32</v>
      </c>
      <c r="G732" t="s">
        <v>33</v>
      </c>
      <c r="H732" t="s">
        <v>34</v>
      </c>
      <c r="I732" t="s">
        <v>84</v>
      </c>
      <c r="J732">
        <v>100</v>
      </c>
      <c r="K732">
        <v>0</v>
      </c>
      <c r="L732" t="s">
        <v>63</v>
      </c>
      <c r="M732">
        <v>250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2.9569999999999999</v>
      </c>
      <c r="T732">
        <v>0</v>
      </c>
      <c r="U732">
        <v>0</v>
      </c>
      <c r="V732">
        <v>1</v>
      </c>
      <c r="W732">
        <v>0</v>
      </c>
      <c r="X732" t="s">
        <v>36</v>
      </c>
      <c r="Y732">
        <v>1</v>
      </c>
      <c r="Z732">
        <v>1</v>
      </c>
      <c r="AA732">
        <v>0</v>
      </c>
      <c r="AB732" t="s">
        <v>606</v>
      </c>
      <c r="AC732" t="str">
        <f t="shared" si="22"/>
        <v>CP</v>
      </c>
      <c r="AD732" t="str">
        <f>_xlfn.XLOOKUP(C732,Mapping!A:A,Mapping!D:D,0,0)</f>
        <v>Bin</v>
      </c>
      <c r="AE732" t="str">
        <f t="shared" si="23"/>
        <v>OLD</v>
      </c>
    </row>
    <row r="733" spans="1:31" x14ac:dyDescent="0.2">
      <c r="A733" t="s">
        <v>29</v>
      </c>
      <c r="B733">
        <v>1012914822</v>
      </c>
      <c r="C733" t="s">
        <v>767</v>
      </c>
      <c r="D733" t="s">
        <v>31</v>
      </c>
      <c r="E733" s="1">
        <v>0.67291666666666672</v>
      </c>
      <c r="F733" t="s">
        <v>32</v>
      </c>
      <c r="G733" t="s">
        <v>33</v>
      </c>
      <c r="H733" t="s">
        <v>34</v>
      </c>
      <c r="I733" t="s">
        <v>84</v>
      </c>
      <c r="J733">
        <v>100</v>
      </c>
      <c r="K733">
        <v>0</v>
      </c>
      <c r="L733" t="s">
        <v>63</v>
      </c>
      <c r="M733">
        <v>250</v>
      </c>
      <c r="N733">
        <v>20383</v>
      </c>
      <c r="O733">
        <v>858</v>
      </c>
      <c r="P733">
        <v>4.20939</v>
      </c>
      <c r="Q733">
        <v>0</v>
      </c>
      <c r="R733">
        <v>19.25</v>
      </c>
      <c r="S733">
        <v>0.94499999999999995</v>
      </c>
      <c r="T733">
        <v>2.1999999999999999E-2</v>
      </c>
      <c r="U733">
        <v>0</v>
      </c>
      <c r="V733">
        <v>1</v>
      </c>
      <c r="W733">
        <v>0</v>
      </c>
      <c r="X733" t="s">
        <v>36</v>
      </c>
      <c r="Y733">
        <v>20383</v>
      </c>
      <c r="Z733">
        <v>15047</v>
      </c>
      <c r="AA733">
        <v>2676</v>
      </c>
      <c r="AB733" t="s">
        <v>606</v>
      </c>
      <c r="AC733" t="str">
        <f t="shared" si="22"/>
        <v>CP</v>
      </c>
      <c r="AD733" t="str">
        <f>_xlfn.XLOOKUP(C733,Mapping!A:A,Mapping!D:D,0,0)</f>
        <v>Keyword - Preroll</v>
      </c>
      <c r="AE733" t="str">
        <f t="shared" si="23"/>
        <v>OLD</v>
      </c>
    </row>
    <row r="734" spans="1:31" x14ac:dyDescent="0.2">
      <c r="A734" t="s">
        <v>39</v>
      </c>
      <c r="B734">
        <v>1012914832</v>
      </c>
      <c r="C734" t="s">
        <v>305</v>
      </c>
      <c r="D734" t="s">
        <v>31</v>
      </c>
      <c r="E734" s="1">
        <v>0.67291666666666672</v>
      </c>
      <c r="F734" t="s">
        <v>32</v>
      </c>
      <c r="G734" t="s">
        <v>33</v>
      </c>
      <c r="H734" t="s">
        <v>41</v>
      </c>
      <c r="I734" t="s">
        <v>62</v>
      </c>
      <c r="J734">
        <v>90</v>
      </c>
      <c r="K734">
        <v>0</v>
      </c>
      <c r="L734" t="s">
        <v>63</v>
      </c>
      <c r="M734">
        <v>250</v>
      </c>
      <c r="N734">
        <v>0</v>
      </c>
      <c r="O734">
        <v>0</v>
      </c>
      <c r="P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 t="s">
        <v>36</v>
      </c>
      <c r="AB734" t="s">
        <v>606</v>
      </c>
      <c r="AC734" t="str">
        <f t="shared" si="22"/>
        <v>CP</v>
      </c>
      <c r="AD734" t="str">
        <f>_xlfn.XLOOKUP(C734,Mapping!A:A,Mapping!D:D,0,0)</f>
        <v>Bin</v>
      </c>
      <c r="AE734" t="str">
        <f t="shared" si="23"/>
        <v>OLD</v>
      </c>
    </row>
    <row r="735" spans="1:31" x14ac:dyDescent="0.2">
      <c r="A735" t="s">
        <v>39</v>
      </c>
      <c r="B735">
        <v>1012914842</v>
      </c>
      <c r="C735" t="s">
        <v>311</v>
      </c>
      <c r="D735" t="s">
        <v>31</v>
      </c>
      <c r="E735" s="1">
        <v>0.67291666666666672</v>
      </c>
      <c r="F735" t="s">
        <v>32</v>
      </c>
      <c r="G735" t="s">
        <v>33</v>
      </c>
      <c r="H735" t="s">
        <v>41</v>
      </c>
      <c r="I735" t="s">
        <v>62</v>
      </c>
      <c r="J735">
        <v>90</v>
      </c>
      <c r="K735">
        <v>0</v>
      </c>
      <c r="L735" t="s">
        <v>63</v>
      </c>
      <c r="M735">
        <v>250</v>
      </c>
      <c r="N735">
        <v>0</v>
      </c>
      <c r="O735">
        <v>0</v>
      </c>
      <c r="P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0</v>
      </c>
      <c r="X735" t="s">
        <v>36</v>
      </c>
      <c r="AB735" t="s">
        <v>606</v>
      </c>
      <c r="AC735" t="str">
        <f t="shared" si="22"/>
        <v>CP</v>
      </c>
      <c r="AD735" t="str">
        <f>_xlfn.XLOOKUP(C735,Mapping!A:A,Mapping!D:D,0,0)</f>
        <v>Bin</v>
      </c>
      <c r="AE735" t="str">
        <f t="shared" si="23"/>
        <v>OLD</v>
      </c>
    </row>
    <row r="736" spans="1:31" x14ac:dyDescent="0.2">
      <c r="A736" t="s">
        <v>39</v>
      </c>
      <c r="B736">
        <v>1012914852</v>
      </c>
      <c r="C736" t="s">
        <v>308</v>
      </c>
      <c r="D736" t="s">
        <v>31</v>
      </c>
      <c r="E736" s="1">
        <v>0.67291666666666672</v>
      </c>
      <c r="F736" t="s">
        <v>32</v>
      </c>
      <c r="G736" t="s">
        <v>33</v>
      </c>
      <c r="H736" t="s">
        <v>41</v>
      </c>
      <c r="I736" t="s">
        <v>62</v>
      </c>
      <c r="J736">
        <v>90</v>
      </c>
      <c r="K736">
        <v>0</v>
      </c>
      <c r="L736" t="s">
        <v>63</v>
      </c>
      <c r="M736">
        <v>250</v>
      </c>
      <c r="N736">
        <v>0</v>
      </c>
      <c r="O736">
        <v>0</v>
      </c>
      <c r="P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0</v>
      </c>
      <c r="X736" t="s">
        <v>36</v>
      </c>
      <c r="AB736" t="s">
        <v>606</v>
      </c>
      <c r="AC736" t="str">
        <f t="shared" si="22"/>
        <v>CP</v>
      </c>
      <c r="AD736" t="str">
        <f>_xlfn.XLOOKUP(C736,Mapping!A:A,Mapping!D:D,0,0)</f>
        <v>Bin</v>
      </c>
      <c r="AE736" t="str">
        <f t="shared" si="23"/>
        <v>OLD</v>
      </c>
    </row>
    <row r="737" spans="1:31" x14ac:dyDescent="0.2">
      <c r="A737" t="s">
        <v>39</v>
      </c>
      <c r="B737">
        <v>1012914862</v>
      </c>
      <c r="C737" t="s">
        <v>316</v>
      </c>
      <c r="D737" t="s">
        <v>31</v>
      </c>
      <c r="E737" s="1">
        <v>0.67291666666666672</v>
      </c>
      <c r="F737" t="s">
        <v>32</v>
      </c>
      <c r="G737" t="s">
        <v>33</v>
      </c>
      <c r="H737" t="s">
        <v>41</v>
      </c>
      <c r="I737" t="s">
        <v>62</v>
      </c>
      <c r="J737">
        <v>90</v>
      </c>
      <c r="K737">
        <v>0</v>
      </c>
      <c r="L737" t="s">
        <v>63</v>
      </c>
      <c r="M737">
        <v>250</v>
      </c>
      <c r="N737">
        <v>0</v>
      </c>
      <c r="O737">
        <v>0</v>
      </c>
      <c r="P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 t="s">
        <v>36</v>
      </c>
      <c r="AB737" t="s">
        <v>606</v>
      </c>
      <c r="AC737" t="str">
        <f t="shared" si="22"/>
        <v>CP</v>
      </c>
      <c r="AD737" t="str">
        <f>_xlfn.XLOOKUP(C737,Mapping!A:A,Mapping!D:D,0,0)</f>
        <v>Bin</v>
      </c>
      <c r="AE737" t="str">
        <f t="shared" si="23"/>
        <v>OLD</v>
      </c>
    </row>
    <row r="738" spans="1:31" x14ac:dyDescent="0.2">
      <c r="A738" t="s">
        <v>29</v>
      </c>
      <c r="B738">
        <v>1012914872</v>
      </c>
      <c r="C738" t="s">
        <v>768</v>
      </c>
      <c r="D738" t="s">
        <v>31</v>
      </c>
      <c r="E738" s="1">
        <v>0.67291666666666672</v>
      </c>
      <c r="F738" t="s">
        <v>32</v>
      </c>
      <c r="G738" t="s">
        <v>33</v>
      </c>
      <c r="H738" t="s">
        <v>41</v>
      </c>
      <c r="I738" t="s">
        <v>62</v>
      </c>
      <c r="J738">
        <v>90</v>
      </c>
      <c r="K738">
        <v>0</v>
      </c>
      <c r="L738" t="s">
        <v>63</v>
      </c>
      <c r="M738">
        <v>250</v>
      </c>
      <c r="N738">
        <v>73175</v>
      </c>
      <c r="O738">
        <v>4246</v>
      </c>
      <c r="P738">
        <v>5.80253</v>
      </c>
      <c r="Q738">
        <v>0</v>
      </c>
      <c r="R738">
        <v>73.23</v>
      </c>
      <c r="S738">
        <v>1.0009999999999999</v>
      </c>
      <c r="T738">
        <v>1.7000000000000001E-2</v>
      </c>
      <c r="U738">
        <v>0</v>
      </c>
      <c r="V738">
        <v>1</v>
      </c>
      <c r="W738">
        <v>0</v>
      </c>
      <c r="X738" t="s">
        <v>36</v>
      </c>
      <c r="Y738">
        <v>73175</v>
      </c>
      <c r="Z738">
        <v>63851</v>
      </c>
      <c r="AA738">
        <v>6835</v>
      </c>
      <c r="AB738" t="s">
        <v>606</v>
      </c>
      <c r="AC738" t="str">
        <f t="shared" si="22"/>
        <v>CP</v>
      </c>
      <c r="AD738" t="str">
        <f>_xlfn.XLOOKUP(C738,Mapping!A:A,Mapping!D:D,0,0)</f>
        <v>Keyword - Preroll</v>
      </c>
      <c r="AE738" t="str">
        <f t="shared" si="23"/>
        <v>OLD</v>
      </c>
    </row>
    <row r="739" spans="1:31" x14ac:dyDescent="0.2">
      <c r="A739" t="s">
        <v>39</v>
      </c>
      <c r="B739">
        <v>1012914882</v>
      </c>
      <c r="C739" t="s">
        <v>769</v>
      </c>
      <c r="D739" t="s">
        <v>31</v>
      </c>
      <c r="E739" s="1">
        <v>0.67291666666666672</v>
      </c>
      <c r="F739" t="s">
        <v>32</v>
      </c>
      <c r="G739" t="s">
        <v>33</v>
      </c>
      <c r="H739" t="s">
        <v>41</v>
      </c>
      <c r="I739" t="s">
        <v>62</v>
      </c>
      <c r="J739">
        <v>90</v>
      </c>
      <c r="K739">
        <v>0</v>
      </c>
      <c r="L739" t="s">
        <v>63</v>
      </c>
      <c r="M739">
        <v>250</v>
      </c>
      <c r="N739">
        <v>0</v>
      </c>
      <c r="O739">
        <v>0</v>
      </c>
      <c r="P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 t="s">
        <v>36</v>
      </c>
      <c r="AB739" t="s">
        <v>606</v>
      </c>
      <c r="AC739" t="str">
        <f t="shared" si="22"/>
        <v>CP</v>
      </c>
      <c r="AD739" t="str">
        <f>_xlfn.XLOOKUP(C739,Mapping!A:A,Mapping!D:D,0,0)</f>
        <v>Blowjob</v>
      </c>
      <c r="AE739" t="str">
        <f t="shared" si="23"/>
        <v>OLD</v>
      </c>
    </row>
    <row r="740" spans="1:31" x14ac:dyDescent="0.2">
      <c r="A740" t="s">
        <v>39</v>
      </c>
      <c r="B740">
        <v>1012914892</v>
      </c>
      <c r="C740" t="s">
        <v>770</v>
      </c>
      <c r="D740" t="s">
        <v>31</v>
      </c>
      <c r="E740" s="1">
        <v>0.67291666666666672</v>
      </c>
      <c r="F740" t="s">
        <v>32</v>
      </c>
      <c r="G740" t="s">
        <v>33</v>
      </c>
      <c r="H740" t="s">
        <v>41</v>
      </c>
      <c r="I740" t="s">
        <v>62</v>
      </c>
      <c r="J740">
        <v>90</v>
      </c>
      <c r="K740">
        <v>0</v>
      </c>
      <c r="L740" t="s">
        <v>63</v>
      </c>
      <c r="M740">
        <v>250</v>
      </c>
      <c r="N740">
        <v>0</v>
      </c>
      <c r="O740">
        <v>0</v>
      </c>
      <c r="P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 t="s">
        <v>36</v>
      </c>
      <c r="AB740" t="s">
        <v>606</v>
      </c>
      <c r="AC740" t="str">
        <f t="shared" si="22"/>
        <v>CP</v>
      </c>
      <c r="AD740" t="str">
        <f>_xlfn.XLOOKUP(C740,Mapping!A:A,Mapping!D:D,0,0)</f>
        <v>Blowjob</v>
      </c>
      <c r="AE740" t="str">
        <f t="shared" si="23"/>
        <v>OLD</v>
      </c>
    </row>
    <row r="741" spans="1:31" x14ac:dyDescent="0.2">
      <c r="A741" t="s">
        <v>39</v>
      </c>
      <c r="B741">
        <v>1012914902</v>
      </c>
      <c r="C741" t="s">
        <v>771</v>
      </c>
      <c r="D741" t="s">
        <v>31</v>
      </c>
      <c r="E741" s="1">
        <v>0.67291666666666672</v>
      </c>
      <c r="F741" t="s">
        <v>32</v>
      </c>
      <c r="G741" t="s">
        <v>33</v>
      </c>
      <c r="H741" t="s">
        <v>41</v>
      </c>
      <c r="I741" t="s">
        <v>62</v>
      </c>
      <c r="J741">
        <v>90</v>
      </c>
      <c r="K741">
        <v>0</v>
      </c>
      <c r="L741" t="s">
        <v>63</v>
      </c>
      <c r="M741">
        <v>250</v>
      </c>
      <c r="N741">
        <v>0</v>
      </c>
      <c r="O741">
        <v>0</v>
      </c>
      <c r="P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0</v>
      </c>
      <c r="X741" t="s">
        <v>36</v>
      </c>
      <c r="AB741" t="s">
        <v>606</v>
      </c>
      <c r="AC741" t="str">
        <f t="shared" si="22"/>
        <v>CP</v>
      </c>
      <c r="AD741" t="str">
        <f>_xlfn.XLOOKUP(C741,Mapping!A:A,Mapping!D:D,0,0)</f>
        <v>Blowjob</v>
      </c>
      <c r="AE741" t="str">
        <f t="shared" si="23"/>
        <v>OLD</v>
      </c>
    </row>
    <row r="742" spans="1:31" x14ac:dyDescent="0.2">
      <c r="A742" t="s">
        <v>39</v>
      </c>
      <c r="B742">
        <v>1012914912</v>
      </c>
      <c r="C742" t="s">
        <v>772</v>
      </c>
      <c r="D742" t="s">
        <v>31</v>
      </c>
      <c r="E742" s="1">
        <v>0.67291666666666672</v>
      </c>
      <c r="F742" t="s">
        <v>32</v>
      </c>
      <c r="G742" t="s">
        <v>33</v>
      </c>
      <c r="H742" t="s">
        <v>41</v>
      </c>
      <c r="I742" t="s">
        <v>62</v>
      </c>
      <c r="J742">
        <v>90</v>
      </c>
      <c r="K742">
        <v>0</v>
      </c>
      <c r="L742" t="s">
        <v>63</v>
      </c>
      <c r="M742">
        <v>250</v>
      </c>
      <c r="N742">
        <v>0</v>
      </c>
      <c r="O742">
        <v>0</v>
      </c>
      <c r="P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X742" t="s">
        <v>36</v>
      </c>
      <c r="AB742" t="s">
        <v>606</v>
      </c>
      <c r="AC742" t="str">
        <f t="shared" si="22"/>
        <v>CP</v>
      </c>
      <c r="AD742" t="str">
        <f>_xlfn.XLOOKUP(C742,Mapping!A:A,Mapping!D:D,0,0)</f>
        <v>Blowjob</v>
      </c>
      <c r="AE742" t="str">
        <f t="shared" si="23"/>
        <v>OLD</v>
      </c>
    </row>
    <row r="743" spans="1:31" x14ac:dyDescent="0.2">
      <c r="A743" t="s">
        <v>39</v>
      </c>
      <c r="B743">
        <v>1012914922</v>
      </c>
      <c r="C743" t="s">
        <v>635</v>
      </c>
      <c r="D743" t="s">
        <v>31</v>
      </c>
      <c r="E743" s="1">
        <v>0.67291666666666672</v>
      </c>
      <c r="F743" t="s">
        <v>32</v>
      </c>
      <c r="G743" t="s">
        <v>33</v>
      </c>
      <c r="H743" t="s">
        <v>41</v>
      </c>
      <c r="I743" t="s">
        <v>62</v>
      </c>
      <c r="J743">
        <v>90</v>
      </c>
      <c r="K743">
        <v>0</v>
      </c>
      <c r="L743" t="s">
        <v>63</v>
      </c>
      <c r="M743">
        <v>250</v>
      </c>
      <c r="N743">
        <v>0</v>
      </c>
      <c r="O743">
        <v>0</v>
      </c>
      <c r="P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 t="s">
        <v>36</v>
      </c>
      <c r="AB743" t="s">
        <v>606</v>
      </c>
      <c r="AC743" t="str">
        <f t="shared" si="22"/>
        <v>CP</v>
      </c>
      <c r="AD743" t="str">
        <f>_xlfn.XLOOKUP(C743,Mapping!A:A,Mapping!D:D,0,0)</f>
        <v>Bin</v>
      </c>
      <c r="AE743" t="str">
        <f t="shared" si="23"/>
        <v>OLD</v>
      </c>
    </row>
    <row r="744" spans="1:31" x14ac:dyDescent="0.2">
      <c r="A744" t="s">
        <v>39</v>
      </c>
      <c r="B744">
        <v>1012914992</v>
      </c>
      <c r="C744" t="s">
        <v>773</v>
      </c>
      <c r="D744" t="s">
        <v>31</v>
      </c>
      <c r="E744" s="1">
        <v>0.38611111111111113</v>
      </c>
      <c r="F744" t="s">
        <v>32</v>
      </c>
      <c r="G744" t="s">
        <v>33</v>
      </c>
      <c r="H744" t="s">
        <v>41</v>
      </c>
      <c r="I744" t="s">
        <v>58</v>
      </c>
      <c r="J744">
        <v>3</v>
      </c>
      <c r="K744">
        <v>0</v>
      </c>
      <c r="L744" t="s">
        <v>36</v>
      </c>
      <c r="M744" t="s">
        <v>37</v>
      </c>
      <c r="N744">
        <v>0</v>
      </c>
      <c r="O744">
        <v>0</v>
      </c>
      <c r="P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 t="s">
        <v>36</v>
      </c>
      <c r="AB744" t="s">
        <v>60</v>
      </c>
      <c r="AC744" t="str">
        <f t="shared" si="22"/>
        <v>CP</v>
      </c>
      <c r="AD744" t="str">
        <f>_xlfn.XLOOKUP(C744,Mapping!A:A,Mapping!D:D,0,0)</f>
        <v>Shorties</v>
      </c>
      <c r="AE744" t="str">
        <f t="shared" si="23"/>
        <v>OLD</v>
      </c>
    </row>
    <row r="745" spans="1:31" x14ac:dyDescent="0.2">
      <c r="A745" t="s">
        <v>29</v>
      </c>
      <c r="B745">
        <v>1012915002</v>
      </c>
      <c r="C745" t="s">
        <v>774</v>
      </c>
      <c r="D745" t="s">
        <v>31</v>
      </c>
      <c r="E745" s="1">
        <v>0.38611111111111113</v>
      </c>
      <c r="F745" t="s">
        <v>32</v>
      </c>
      <c r="G745" t="s">
        <v>33</v>
      </c>
      <c r="H745" t="s">
        <v>41</v>
      </c>
      <c r="I745" t="s">
        <v>58</v>
      </c>
      <c r="J745">
        <v>3</v>
      </c>
      <c r="K745">
        <v>0</v>
      </c>
      <c r="L745" t="s">
        <v>36</v>
      </c>
      <c r="M745" t="s">
        <v>37</v>
      </c>
      <c r="N745">
        <v>502258</v>
      </c>
      <c r="O745">
        <v>6584</v>
      </c>
      <c r="P745">
        <v>1.31088</v>
      </c>
      <c r="Q745">
        <v>15</v>
      </c>
      <c r="R745">
        <v>1818.17</v>
      </c>
      <c r="S745">
        <v>3.62</v>
      </c>
      <c r="T745">
        <v>0.27600000000000002</v>
      </c>
      <c r="U745">
        <v>121.212</v>
      </c>
      <c r="V745">
        <v>1</v>
      </c>
      <c r="W745">
        <v>0</v>
      </c>
      <c r="X745" t="s">
        <v>36</v>
      </c>
      <c r="Y745">
        <v>502241</v>
      </c>
      <c r="Z745">
        <v>0</v>
      </c>
      <c r="AA745">
        <v>7298</v>
      </c>
      <c r="AB745" t="s">
        <v>60</v>
      </c>
      <c r="AC745" t="str">
        <f t="shared" si="22"/>
        <v>CP</v>
      </c>
      <c r="AD745" t="str">
        <f>_xlfn.XLOOKUP(C745,Mapping!A:A,Mapping!D:D,0,0)</f>
        <v>Shorties</v>
      </c>
      <c r="AE745" t="str">
        <f t="shared" si="23"/>
        <v>OLD</v>
      </c>
    </row>
    <row r="746" spans="1:31" x14ac:dyDescent="0.2">
      <c r="A746" t="s">
        <v>29</v>
      </c>
      <c r="B746">
        <v>1012915022</v>
      </c>
      <c r="C746" t="s">
        <v>775</v>
      </c>
      <c r="D746" t="s">
        <v>31</v>
      </c>
      <c r="E746" s="1">
        <v>0.38611111111111113</v>
      </c>
      <c r="F746" t="s">
        <v>32</v>
      </c>
      <c r="G746" t="s">
        <v>33</v>
      </c>
      <c r="H746" t="s">
        <v>41</v>
      </c>
      <c r="I746" t="s">
        <v>58</v>
      </c>
      <c r="J746">
        <v>3</v>
      </c>
      <c r="K746">
        <v>0</v>
      </c>
      <c r="L746" t="s">
        <v>36</v>
      </c>
      <c r="M746" t="s">
        <v>37</v>
      </c>
      <c r="N746">
        <v>100926</v>
      </c>
      <c r="O746">
        <v>1146</v>
      </c>
      <c r="P746">
        <v>1.1354900000000001</v>
      </c>
      <c r="Q746">
        <v>4</v>
      </c>
      <c r="R746">
        <v>183.99</v>
      </c>
      <c r="S746">
        <v>1.823</v>
      </c>
      <c r="T746">
        <v>0.161</v>
      </c>
      <c r="U746">
        <v>45.997</v>
      </c>
      <c r="V746">
        <v>1</v>
      </c>
      <c r="W746">
        <v>0</v>
      </c>
      <c r="X746" t="s">
        <v>36</v>
      </c>
      <c r="Y746">
        <v>100926</v>
      </c>
      <c r="Z746">
        <v>0</v>
      </c>
      <c r="AA746">
        <v>1300</v>
      </c>
      <c r="AB746" t="s">
        <v>60</v>
      </c>
      <c r="AC746" t="str">
        <f t="shared" si="22"/>
        <v>CP</v>
      </c>
      <c r="AD746" t="str">
        <f>_xlfn.XLOOKUP(C746,Mapping!A:A,Mapping!D:D,0,0)</f>
        <v>Shorties</v>
      </c>
      <c r="AE746" t="str">
        <f t="shared" si="23"/>
        <v>OLD</v>
      </c>
    </row>
    <row r="747" spans="1:31" x14ac:dyDescent="0.2">
      <c r="A747" t="s">
        <v>29</v>
      </c>
      <c r="B747">
        <v>1012915032</v>
      </c>
      <c r="C747" t="s">
        <v>776</v>
      </c>
      <c r="D747" t="s">
        <v>31</v>
      </c>
      <c r="E747" s="1">
        <v>0.38611111111111113</v>
      </c>
      <c r="F747" t="s">
        <v>32</v>
      </c>
      <c r="G747" t="s">
        <v>33</v>
      </c>
      <c r="H747" t="s">
        <v>41</v>
      </c>
      <c r="I747" t="s">
        <v>58</v>
      </c>
      <c r="J747">
        <v>3</v>
      </c>
      <c r="K747">
        <v>0</v>
      </c>
      <c r="L747" t="s">
        <v>36</v>
      </c>
      <c r="M747" t="s">
        <v>37</v>
      </c>
      <c r="N747">
        <v>29812</v>
      </c>
      <c r="O747">
        <v>342</v>
      </c>
      <c r="P747">
        <v>1.1471899999999999</v>
      </c>
      <c r="Q747">
        <v>1</v>
      </c>
      <c r="R747">
        <v>40.78</v>
      </c>
      <c r="S747">
        <v>1.3680000000000001</v>
      </c>
      <c r="T747">
        <v>0.11899999999999999</v>
      </c>
      <c r="U747">
        <v>40.783000000000001</v>
      </c>
      <c r="V747">
        <v>1</v>
      </c>
      <c r="W747">
        <v>0</v>
      </c>
      <c r="X747" t="s">
        <v>36</v>
      </c>
      <c r="Y747">
        <v>29812</v>
      </c>
      <c r="Z747">
        <v>0</v>
      </c>
      <c r="AA747">
        <v>428</v>
      </c>
      <c r="AB747" t="s">
        <v>60</v>
      </c>
      <c r="AC747" t="str">
        <f t="shared" si="22"/>
        <v>CP</v>
      </c>
      <c r="AD747" t="str">
        <f>_xlfn.XLOOKUP(C747,Mapping!A:A,Mapping!D:D,0,0)</f>
        <v>Shorties</v>
      </c>
      <c r="AE747" t="str">
        <f t="shared" si="23"/>
        <v>OLD</v>
      </c>
    </row>
    <row r="748" spans="1:31" x14ac:dyDescent="0.2">
      <c r="A748" t="s">
        <v>39</v>
      </c>
      <c r="B748">
        <v>1012915042</v>
      </c>
      <c r="C748" t="s">
        <v>777</v>
      </c>
      <c r="D748" t="s">
        <v>31</v>
      </c>
      <c r="E748" s="1">
        <v>0.38611111111111113</v>
      </c>
      <c r="F748" t="s">
        <v>32</v>
      </c>
      <c r="G748" t="s">
        <v>33</v>
      </c>
      <c r="H748" t="s">
        <v>41</v>
      </c>
      <c r="I748" t="s">
        <v>58</v>
      </c>
      <c r="J748">
        <v>3</v>
      </c>
      <c r="K748">
        <v>0</v>
      </c>
      <c r="L748" t="s">
        <v>36</v>
      </c>
      <c r="M748" t="s">
        <v>37</v>
      </c>
      <c r="N748">
        <v>0</v>
      </c>
      <c r="O748">
        <v>0</v>
      </c>
      <c r="P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0</v>
      </c>
      <c r="X748" t="s">
        <v>36</v>
      </c>
      <c r="AB748" t="s">
        <v>60</v>
      </c>
      <c r="AC748" t="str">
        <f t="shared" si="22"/>
        <v>CP</v>
      </c>
      <c r="AD748" t="str">
        <f>_xlfn.XLOOKUP(C748,Mapping!A:A,Mapping!D:D,0,0)</f>
        <v>Shorties</v>
      </c>
      <c r="AE748" t="str">
        <f t="shared" si="23"/>
        <v>OLD</v>
      </c>
    </row>
    <row r="749" spans="1:31" x14ac:dyDescent="0.2">
      <c r="A749" t="s">
        <v>29</v>
      </c>
      <c r="B749">
        <v>1012915052</v>
      </c>
      <c r="C749" t="s">
        <v>778</v>
      </c>
      <c r="D749" t="s">
        <v>31</v>
      </c>
      <c r="E749" s="1">
        <v>0.38611111111111113</v>
      </c>
      <c r="F749" t="s">
        <v>32</v>
      </c>
      <c r="G749" t="s">
        <v>33</v>
      </c>
      <c r="H749" t="s">
        <v>41</v>
      </c>
      <c r="I749" t="s">
        <v>58</v>
      </c>
      <c r="J749">
        <v>3</v>
      </c>
      <c r="K749">
        <v>0</v>
      </c>
      <c r="L749" t="s">
        <v>36</v>
      </c>
      <c r="M749" t="s">
        <v>37</v>
      </c>
      <c r="N749">
        <v>10672</v>
      </c>
      <c r="O749">
        <v>114</v>
      </c>
      <c r="P749">
        <v>1.0682199999999999</v>
      </c>
      <c r="Q749">
        <v>0</v>
      </c>
      <c r="R749">
        <v>3.9</v>
      </c>
      <c r="S749">
        <v>0.36499999999999999</v>
      </c>
      <c r="T749">
        <v>3.4000000000000002E-2</v>
      </c>
      <c r="U749">
        <v>0</v>
      </c>
      <c r="V749">
        <v>1</v>
      </c>
      <c r="W749">
        <v>0</v>
      </c>
      <c r="X749" t="s">
        <v>36</v>
      </c>
      <c r="Y749">
        <v>10672</v>
      </c>
      <c r="Z749">
        <v>0</v>
      </c>
      <c r="AA749">
        <v>79</v>
      </c>
      <c r="AB749" t="s">
        <v>60</v>
      </c>
      <c r="AC749" t="str">
        <f t="shared" si="22"/>
        <v>CP</v>
      </c>
      <c r="AD749" t="str">
        <f>_xlfn.XLOOKUP(C749,Mapping!A:A,Mapping!D:D,0,0)</f>
        <v>Shorties</v>
      </c>
      <c r="AE749" t="str">
        <f t="shared" si="23"/>
        <v>OLD</v>
      </c>
    </row>
    <row r="750" spans="1:31" x14ac:dyDescent="0.2">
      <c r="A750" t="s">
        <v>39</v>
      </c>
      <c r="B750">
        <v>1012915072</v>
      </c>
      <c r="C750" t="s">
        <v>779</v>
      </c>
      <c r="D750" t="s">
        <v>31</v>
      </c>
      <c r="E750" s="1">
        <v>0.38611111111111113</v>
      </c>
      <c r="F750" t="s">
        <v>32</v>
      </c>
      <c r="G750" t="s">
        <v>33</v>
      </c>
      <c r="H750" t="s">
        <v>41</v>
      </c>
      <c r="I750" t="s">
        <v>58</v>
      </c>
      <c r="J750">
        <v>3</v>
      </c>
      <c r="K750">
        <v>0</v>
      </c>
      <c r="L750" t="s">
        <v>36</v>
      </c>
      <c r="M750" t="s">
        <v>37</v>
      </c>
      <c r="N750">
        <v>81346</v>
      </c>
      <c r="O750">
        <v>766</v>
      </c>
      <c r="P750">
        <v>0.94166000000000005</v>
      </c>
      <c r="Q750">
        <v>1</v>
      </c>
      <c r="R750">
        <v>222.4</v>
      </c>
      <c r="S750">
        <v>2.734</v>
      </c>
      <c r="T750">
        <v>0.28999999999999998</v>
      </c>
      <c r="U750">
        <v>222.4</v>
      </c>
      <c r="V750">
        <v>1</v>
      </c>
      <c r="W750">
        <v>0</v>
      </c>
      <c r="X750" t="s">
        <v>36</v>
      </c>
      <c r="Y750">
        <v>81346</v>
      </c>
      <c r="Z750">
        <v>0</v>
      </c>
      <c r="AA750">
        <v>814</v>
      </c>
      <c r="AB750" t="s">
        <v>60</v>
      </c>
      <c r="AC750" t="str">
        <f t="shared" si="22"/>
        <v>CP</v>
      </c>
      <c r="AD750" t="str">
        <f>_xlfn.XLOOKUP(C750,Mapping!A:A,Mapping!D:D,0,0)</f>
        <v>Shorties</v>
      </c>
      <c r="AE750" t="str">
        <f t="shared" si="23"/>
        <v>OLD</v>
      </c>
    </row>
    <row r="751" spans="1:31" x14ac:dyDescent="0.2">
      <c r="A751" t="s">
        <v>39</v>
      </c>
      <c r="B751">
        <v>1012915082</v>
      </c>
      <c r="C751" t="s">
        <v>780</v>
      </c>
      <c r="D751" t="s">
        <v>31</v>
      </c>
      <c r="E751" s="1">
        <v>0.38611111111111113</v>
      </c>
      <c r="F751" t="s">
        <v>32</v>
      </c>
      <c r="G751" t="s">
        <v>33</v>
      </c>
      <c r="H751" t="s">
        <v>41</v>
      </c>
      <c r="I751" t="s">
        <v>58</v>
      </c>
      <c r="J751">
        <v>3</v>
      </c>
      <c r="K751">
        <v>0</v>
      </c>
      <c r="L751" t="s">
        <v>36</v>
      </c>
      <c r="M751" t="s">
        <v>37</v>
      </c>
      <c r="N751">
        <v>0</v>
      </c>
      <c r="O751">
        <v>0</v>
      </c>
      <c r="P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 t="s">
        <v>36</v>
      </c>
      <c r="AB751" t="s">
        <v>60</v>
      </c>
      <c r="AC751" t="str">
        <f t="shared" si="22"/>
        <v>CP</v>
      </c>
      <c r="AD751" t="str">
        <f>_xlfn.XLOOKUP(C751,Mapping!A:A,Mapping!D:D,0,0)</f>
        <v>Shorties</v>
      </c>
      <c r="AE751" t="str">
        <f t="shared" si="23"/>
        <v>OLD</v>
      </c>
    </row>
    <row r="752" spans="1:31" x14ac:dyDescent="0.2">
      <c r="A752" t="s">
        <v>29</v>
      </c>
      <c r="B752">
        <v>1012915092</v>
      </c>
      <c r="C752" t="s">
        <v>781</v>
      </c>
      <c r="D752" t="s">
        <v>31</v>
      </c>
      <c r="E752" s="1">
        <v>0.38611111111111113</v>
      </c>
      <c r="F752" t="s">
        <v>32</v>
      </c>
      <c r="G752" t="s">
        <v>33</v>
      </c>
      <c r="H752" t="s">
        <v>41</v>
      </c>
      <c r="I752" t="s">
        <v>58</v>
      </c>
      <c r="J752">
        <v>3</v>
      </c>
      <c r="K752">
        <v>0</v>
      </c>
      <c r="L752" t="s">
        <v>36</v>
      </c>
      <c r="M752" t="s">
        <v>37</v>
      </c>
      <c r="N752">
        <v>162012</v>
      </c>
      <c r="O752">
        <v>1410</v>
      </c>
      <c r="P752">
        <v>0.87031000000000003</v>
      </c>
      <c r="Q752">
        <v>1</v>
      </c>
      <c r="R752">
        <v>295.35000000000002</v>
      </c>
      <c r="S752">
        <v>1.823</v>
      </c>
      <c r="T752">
        <v>0.20899999999999999</v>
      </c>
      <c r="U752">
        <v>295.34800000000001</v>
      </c>
      <c r="V752">
        <v>1</v>
      </c>
      <c r="W752">
        <v>0</v>
      </c>
      <c r="X752" t="s">
        <v>36</v>
      </c>
      <c r="Y752">
        <v>162014</v>
      </c>
      <c r="Z752">
        <v>0</v>
      </c>
      <c r="AA752">
        <v>1682</v>
      </c>
      <c r="AB752" t="s">
        <v>60</v>
      </c>
      <c r="AC752" t="str">
        <f t="shared" si="22"/>
        <v>CP</v>
      </c>
      <c r="AD752" t="str">
        <f>_xlfn.XLOOKUP(C752,Mapping!A:A,Mapping!D:D,0,0)</f>
        <v>Shorties</v>
      </c>
      <c r="AE752" t="str">
        <f t="shared" si="23"/>
        <v>OLD</v>
      </c>
    </row>
    <row r="753" spans="1:31" x14ac:dyDescent="0.2">
      <c r="A753" t="s">
        <v>29</v>
      </c>
      <c r="B753">
        <v>1012915102</v>
      </c>
      <c r="C753" t="s">
        <v>782</v>
      </c>
      <c r="D753" t="s">
        <v>31</v>
      </c>
      <c r="E753" s="1">
        <v>0.38611111111111113</v>
      </c>
      <c r="F753" t="s">
        <v>32</v>
      </c>
      <c r="G753" t="s">
        <v>33</v>
      </c>
      <c r="H753" t="s">
        <v>41</v>
      </c>
      <c r="I753" t="s">
        <v>58</v>
      </c>
      <c r="J753">
        <v>3</v>
      </c>
      <c r="K753">
        <v>0</v>
      </c>
      <c r="L753" t="s">
        <v>36</v>
      </c>
      <c r="M753" t="s">
        <v>37</v>
      </c>
      <c r="N753">
        <v>8414</v>
      </c>
      <c r="O753">
        <v>54</v>
      </c>
      <c r="P753">
        <v>0.64178999999999997</v>
      </c>
      <c r="Q753">
        <v>0</v>
      </c>
      <c r="R753">
        <v>3.07</v>
      </c>
      <c r="S753">
        <v>0.36499999999999999</v>
      </c>
      <c r="T753">
        <v>5.7000000000000002E-2</v>
      </c>
      <c r="U753">
        <v>0</v>
      </c>
      <c r="V753">
        <v>1</v>
      </c>
      <c r="W753">
        <v>0</v>
      </c>
      <c r="X753" t="s">
        <v>36</v>
      </c>
      <c r="Y753">
        <v>8413</v>
      </c>
      <c r="Z753">
        <v>0</v>
      </c>
      <c r="AA753">
        <v>33</v>
      </c>
      <c r="AB753" t="s">
        <v>60</v>
      </c>
      <c r="AC753" t="str">
        <f t="shared" si="22"/>
        <v>CP</v>
      </c>
      <c r="AD753" t="str">
        <f>_xlfn.XLOOKUP(C753,Mapping!A:A,Mapping!D:D,0,0)</f>
        <v>Shorties</v>
      </c>
      <c r="AE753" t="str">
        <f t="shared" si="23"/>
        <v>OLD</v>
      </c>
    </row>
    <row r="754" spans="1:31" x14ac:dyDescent="0.2">
      <c r="A754" t="s">
        <v>39</v>
      </c>
      <c r="B754">
        <v>1012915132</v>
      </c>
      <c r="C754" t="s">
        <v>599</v>
      </c>
      <c r="D754" t="s">
        <v>31</v>
      </c>
      <c r="E754" s="1">
        <v>0.67291666666666672</v>
      </c>
      <c r="F754" t="s">
        <v>32</v>
      </c>
      <c r="G754" t="s">
        <v>33</v>
      </c>
      <c r="H754" t="s">
        <v>34</v>
      </c>
      <c r="I754" t="s">
        <v>84</v>
      </c>
      <c r="J754">
        <v>36</v>
      </c>
      <c r="K754">
        <v>0</v>
      </c>
      <c r="L754" t="s">
        <v>63</v>
      </c>
      <c r="M754">
        <v>250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1.0820000000000001</v>
      </c>
      <c r="T754">
        <v>0</v>
      </c>
      <c r="U754">
        <v>0</v>
      </c>
      <c r="V754">
        <v>1</v>
      </c>
      <c r="W754">
        <v>0</v>
      </c>
      <c r="X754" t="s">
        <v>36</v>
      </c>
      <c r="Y754">
        <v>1</v>
      </c>
      <c r="Z754">
        <v>0</v>
      </c>
      <c r="AA754">
        <v>0</v>
      </c>
      <c r="AB754" t="s">
        <v>783</v>
      </c>
      <c r="AC754" t="str">
        <f t="shared" si="22"/>
        <v>CP</v>
      </c>
      <c r="AD754" t="str">
        <f>_xlfn.XLOOKUP(C754,Mapping!A:A,Mapping!D:D,0,0)</f>
        <v>Bin</v>
      </c>
      <c r="AE754" t="str">
        <f t="shared" si="23"/>
        <v>OLD</v>
      </c>
    </row>
    <row r="755" spans="1:31" x14ac:dyDescent="0.2">
      <c r="A755" t="s">
        <v>39</v>
      </c>
      <c r="B755">
        <v>1012915142</v>
      </c>
      <c r="C755" t="s">
        <v>627</v>
      </c>
      <c r="D755" t="s">
        <v>31</v>
      </c>
      <c r="E755" s="1">
        <v>0.67291666666666672</v>
      </c>
      <c r="F755" t="s">
        <v>32</v>
      </c>
      <c r="G755" t="s">
        <v>33</v>
      </c>
      <c r="H755" t="s">
        <v>41</v>
      </c>
      <c r="I755" t="s">
        <v>62</v>
      </c>
      <c r="J755">
        <v>90</v>
      </c>
      <c r="K755">
        <v>0</v>
      </c>
      <c r="L755" t="s">
        <v>63</v>
      </c>
      <c r="M755">
        <v>250</v>
      </c>
      <c r="N755">
        <v>0</v>
      </c>
      <c r="O755">
        <v>0</v>
      </c>
      <c r="P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 t="s">
        <v>36</v>
      </c>
      <c r="AB755" t="s">
        <v>783</v>
      </c>
      <c r="AC755" t="str">
        <f t="shared" si="22"/>
        <v>CP</v>
      </c>
      <c r="AD755" t="str">
        <f>_xlfn.XLOOKUP(C755,Mapping!A:A,Mapping!D:D,0,0)</f>
        <v>Bin</v>
      </c>
      <c r="AE755" t="str">
        <f t="shared" si="23"/>
        <v>OLD</v>
      </c>
    </row>
    <row r="756" spans="1:31" x14ac:dyDescent="0.2">
      <c r="A756" t="s">
        <v>39</v>
      </c>
      <c r="B756">
        <v>1012915172</v>
      </c>
      <c r="C756" t="s">
        <v>339</v>
      </c>
      <c r="D756" t="s">
        <v>31</v>
      </c>
      <c r="E756" s="1">
        <v>0.67291666666666672</v>
      </c>
      <c r="F756" t="s">
        <v>32</v>
      </c>
      <c r="G756" t="s">
        <v>33</v>
      </c>
      <c r="H756" t="s">
        <v>41</v>
      </c>
      <c r="I756" t="s">
        <v>62</v>
      </c>
      <c r="J756">
        <v>90</v>
      </c>
      <c r="K756">
        <v>0</v>
      </c>
      <c r="L756" t="s">
        <v>63</v>
      </c>
      <c r="M756">
        <v>250</v>
      </c>
      <c r="N756">
        <v>0</v>
      </c>
      <c r="O756">
        <v>0</v>
      </c>
      <c r="P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 t="s">
        <v>36</v>
      </c>
      <c r="AB756" t="s">
        <v>783</v>
      </c>
      <c r="AC756" t="str">
        <f t="shared" si="22"/>
        <v>CP</v>
      </c>
      <c r="AD756" t="str">
        <f>_xlfn.XLOOKUP(C756,Mapping!A:A,Mapping!D:D,0,0)</f>
        <v>Bin</v>
      </c>
      <c r="AE756" t="str">
        <f t="shared" si="23"/>
        <v>OLD</v>
      </c>
    </row>
    <row r="757" spans="1:31" x14ac:dyDescent="0.2">
      <c r="A757" t="s">
        <v>39</v>
      </c>
      <c r="B757">
        <v>1012915182</v>
      </c>
      <c r="C757" t="s">
        <v>336</v>
      </c>
      <c r="D757" t="s">
        <v>31</v>
      </c>
      <c r="E757" s="1">
        <v>0.67291666666666672</v>
      </c>
      <c r="F757" t="s">
        <v>32</v>
      </c>
      <c r="G757" t="s">
        <v>33</v>
      </c>
      <c r="H757" t="s">
        <v>41</v>
      </c>
      <c r="I757" t="s">
        <v>62</v>
      </c>
      <c r="J757">
        <v>90</v>
      </c>
      <c r="K757">
        <v>0</v>
      </c>
      <c r="L757" t="s">
        <v>63</v>
      </c>
      <c r="M757">
        <v>250</v>
      </c>
      <c r="N757">
        <v>0</v>
      </c>
      <c r="O757">
        <v>0</v>
      </c>
      <c r="P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 t="s">
        <v>36</v>
      </c>
      <c r="AB757" t="s">
        <v>783</v>
      </c>
      <c r="AC757" t="str">
        <f t="shared" si="22"/>
        <v>CP</v>
      </c>
      <c r="AD757" t="str">
        <f>_xlfn.XLOOKUP(C757,Mapping!A:A,Mapping!D:D,0,0)</f>
        <v>Bin</v>
      </c>
      <c r="AE757" t="str">
        <f t="shared" si="23"/>
        <v>OLD</v>
      </c>
    </row>
    <row r="758" spans="1:31" x14ac:dyDescent="0.2">
      <c r="A758" t="s">
        <v>39</v>
      </c>
      <c r="B758">
        <v>1012915192</v>
      </c>
      <c r="C758" t="s">
        <v>342</v>
      </c>
      <c r="D758" t="s">
        <v>31</v>
      </c>
      <c r="E758" s="1">
        <v>0.67291666666666672</v>
      </c>
      <c r="F758" t="s">
        <v>32</v>
      </c>
      <c r="G758" t="s">
        <v>33</v>
      </c>
      <c r="H758" t="s">
        <v>41</v>
      </c>
      <c r="I758" t="s">
        <v>62</v>
      </c>
      <c r="J758">
        <v>90</v>
      </c>
      <c r="K758">
        <v>0</v>
      </c>
      <c r="L758" t="s">
        <v>63</v>
      </c>
      <c r="M758">
        <v>250</v>
      </c>
      <c r="N758">
        <v>0</v>
      </c>
      <c r="O758">
        <v>0</v>
      </c>
      <c r="P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 t="s">
        <v>36</v>
      </c>
      <c r="AB758" t="s">
        <v>783</v>
      </c>
      <c r="AC758" t="str">
        <f t="shared" si="22"/>
        <v>CP</v>
      </c>
      <c r="AD758" t="str">
        <f>_xlfn.XLOOKUP(C758,Mapping!A:A,Mapping!D:D,0,0)</f>
        <v>Bin</v>
      </c>
      <c r="AE758" t="str">
        <f t="shared" si="23"/>
        <v>OLD</v>
      </c>
    </row>
    <row r="759" spans="1:31" x14ac:dyDescent="0.2">
      <c r="A759" t="s">
        <v>39</v>
      </c>
      <c r="B759">
        <v>1012915202</v>
      </c>
      <c r="C759" t="s">
        <v>784</v>
      </c>
      <c r="D759" t="s">
        <v>31</v>
      </c>
      <c r="E759" s="1">
        <v>0.67291666666666672</v>
      </c>
      <c r="F759" t="s">
        <v>32</v>
      </c>
      <c r="G759" t="s">
        <v>33</v>
      </c>
      <c r="H759" t="s">
        <v>41</v>
      </c>
      <c r="I759" t="s">
        <v>62</v>
      </c>
      <c r="J759">
        <v>90</v>
      </c>
      <c r="K759">
        <v>0</v>
      </c>
      <c r="L759" t="s">
        <v>63</v>
      </c>
      <c r="M759">
        <v>250</v>
      </c>
      <c r="N759">
        <v>0</v>
      </c>
      <c r="O759">
        <v>0</v>
      </c>
      <c r="P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 t="s">
        <v>36</v>
      </c>
      <c r="AB759" t="s">
        <v>783</v>
      </c>
      <c r="AC759" t="str">
        <f t="shared" si="22"/>
        <v>CP</v>
      </c>
      <c r="AD759" t="str">
        <f>_xlfn.XLOOKUP(C759,Mapping!A:A,Mapping!D:D,0,0)</f>
        <v>Cowgirl</v>
      </c>
      <c r="AE759" t="str">
        <f t="shared" si="23"/>
        <v>OLD</v>
      </c>
    </row>
    <row r="760" spans="1:31" x14ac:dyDescent="0.2">
      <c r="A760" t="s">
        <v>39</v>
      </c>
      <c r="B760">
        <v>1012915212</v>
      </c>
      <c r="C760" t="s">
        <v>637</v>
      </c>
      <c r="D760" t="s">
        <v>31</v>
      </c>
      <c r="E760" s="1">
        <v>0.67291666666666672</v>
      </c>
      <c r="F760" t="s">
        <v>32</v>
      </c>
      <c r="G760" t="s">
        <v>33</v>
      </c>
      <c r="H760" t="s">
        <v>41</v>
      </c>
      <c r="I760" t="s">
        <v>62</v>
      </c>
      <c r="J760">
        <v>90</v>
      </c>
      <c r="K760">
        <v>0</v>
      </c>
      <c r="L760" t="s">
        <v>63</v>
      </c>
      <c r="M760">
        <v>250</v>
      </c>
      <c r="N760">
        <v>0</v>
      </c>
      <c r="O760">
        <v>0</v>
      </c>
      <c r="P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 t="s">
        <v>36</v>
      </c>
      <c r="AB760" t="s">
        <v>783</v>
      </c>
      <c r="AC760" t="str">
        <f t="shared" si="22"/>
        <v>CP</v>
      </c>
      <c r="AD760" t="str">
        <f>_xlfn.XLOOKUP(C760,Mapping!A:A,Mapping!D:D,0,0)</f>
        <v>Bin</v>
      </c>
      <c r="AE760" t="str">
        <f t="shared" si="23"/>
        <v>OLD</v>
      </c>
    </row>
    <row r="761" spans="1:31" x14ac:dyDescent="0.2">
      <c r="A761" t="s">
        <v>39</v>
      </c>
      <c r="B761">
        <v>1012915222</v>
      </c>
      <c r="C761" t="s">
        <v>785</v>
      </c>
      <c r="D761" t="s">
        <v>31</v>
      </c>
      <c r="E761" s="1">
        <v>0.67291666666666672</v>
      </c>
      <c r="F761" t="s">
        <v>32</v>
      </c>
      <c r="G761" t="s">
        <v>33</v>
      </c>
      <c r="H761" t="s">
        <v>41</v>
      </c>
      <c r="I761" t="s">
        <v>62</v>
      </c>
      <c r="J761">
        <v>90</v>
      </c>
      <c r="K761">
        <v>0</v>
      </c>
      <c r="L761" t="s">
        <v>63</v>
      </c>
      <c r="M761">
        <v>250</v>
      </c>
      <c r="N761">
        <v>0</v>
      </c>
      <c r="O761">
        <v>0</v>
      </c>
      <c r="P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 t="s">
        <v>36</v>
      </c>
      <c r="AB761" t="s">
        <v>783</v>
      </c>
      <c r="AC761" t="str">
        <f t="shared" si="22"/>
        <v>CP</v>
      </c>
      <c r="AD761" t="str">
        <f>_xlfn.XLOOKUP(C761,Mapping!A:A,Mapping!D:D,0,0)</f>
        <v>Cowgirl</v>
      </c>
      <c r="AE761" t="str">
        <f t="shared" si="23"/>
        <v>OLD</v>
      </c>
    </row>
    <row r="762" spans="1:31" x14ac:dyDescent="0.2">
      <c r="A762" t="s">
        <v>39</v>
      </c>
      <c r="B762">
        <v>1012915232</v>
      </c>
      <c r="C762" t="s">
        <v>786</v>
      </c>
      <c r="D762" t="s">
        <v>31</v>
      </c>
      <c r="E762" s="1">
        <v>0.67291666666666672</v>
      </c>
      <c r="F762" t="s">
        <v>32</v>
      </c>
      <c r="G762" t="s">
        <v>33</v>
      </c>
      <c r="H762" t="s">
        <v>41</v>
      </c>
      <c r="I762" t="s">
        <v>62</v>
      </c>
      <c r="J762">
        <v>90</v>
      </c>
      <c r="K762">
        <v>0</v>
      </c>
      <c r="L762" t="s">
        <v>63</v>
      </c>
      <c r="M762">
        <v>250</v>
      </c>
      <c r="N762">
        <v>0</v>
      </c>
      <c r="O762">
        <v>0</v>
      </c>
      <c r="P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 t="s">
        <v>36</v>
      </c>
      <c r="AB762" t="s">
        <v>783</v>
      </c>
      <c r="AC762" t="str">
        <f t="shared" si="22"/>
        <v>CP</v>
      </c>
      <c r="AD762" t="str">
        <f>_xlfn.XLOOKUP(C762,Mapping!A:A,Mapping!D:D,0,0)</f>
        <v>Cowgirl</v>
      </c>
      <c r="AE762" t="str">
        <f t="shared" si="23"/>
        <v>OLD</v>
      </c>
    </row>
    <row r="763" spans="1:31" x14ac:dyDescent="0.2">
      <c r="A763" t="s">
        <v>39</v>
      </c>
      <c r="B763">
        <v>1012915242</v>
      </c>
      <c r="C763" t="s">
        <v>343</v>
      </c>
      <c r="D763" t="s">
        <v>31</v>
      </c>
      <c r="E763" s="1">
        <v>0.67291666666666672</v>
      </c>
      <c r="F763" t="s">
        <v>32</v>
      </c>
      <c r="G763" t="s">
        <v>33</v>
      </c>
      <c r="H763" t="s">
        <v>41</v>
      </c>
      <c r="I763" t="s">
        <v>62</v>
      </c>
      <c r="J763">
        <v>90</v>
      </c>
      <c r="K763">
        <v>0</v>
      </c>
      <c r="L763" t="s">
        <v>63</v>
      </c>
      <c r="M763">
        <v>250</v>
      </c>
      <c r="N763">
        <v>0</v>
      </c>
      <c r="O763">
        <v>0</v>
      </c>
      <c r="P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 t="s">
        <v>36</v>
      </c>
      <c r="AB763" t="s">
        <v>783</v>
      </c>
      <c r="AC763" t="str">
        <f t="shared" si="22"/>
        <v>CP</v>
      </c>
      <c r="AD763" t="str">
        <f>_xlfn.XLOOKUP(C763,Mapping!A:A,Mapping!D:D,0,0)</f>
        <v>Archive</v>
      </c>
      <c r="AE763" t="str">
        <f t="shared" si="23"/>
        <v>OLD</v>
      </c>
    </row>
    <row r="764" spans="1:31" x14ac:dyDescent="0.2">
      <c r="A764" t="s">
        <v>39</v>
      </c>
      <c r="B764">
        <v>1012915252</v>
      </c>
      <c r="C764" t="s">
        <v>787</v>
      </c>
      <c r="D764" t="s">
        <v>31</v>
      </c>
      <c r="E764" s="1">
        <v>0.67291666666666672</v>
      </c>
      <c r="F764" t="s">
        <v>32</v>
      </c>
      <c r="G764" t="s">
        <v>33</v>
      </c>
      <c r="H764" t="s">
        <v>41</v>
      </c>
      <c r="I764" t="s">
        <v>62</v>
      </c>
      <c r="J764">
        <v>90</v>
      </c>
      <c r="K764">
        <v>0</v>
      </c>
      <c r="L764" t="s">
        <v>63</v>
      </c>
      <c r="M764">
        <v>250</v>
      </c>
      <c r="N764">
        <v>0</v>
      </c>
      <c r="O764">
        <v>0</v>
      </c>
      <c r="P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 t="s">
        <v>36</v>
      </c>
      <c r="AB764" t="s">
        <v>783</v>
      </c>
      <c r="AC764" t="str">
        <f t="shared" si="22"/>
        <v>CP</v>
      </c>
      <c r="AD764" t="str">
        <f>_xlfn.XLOOKUP(C764,Mapping!A:A,Mapping!D:D,0,0)</f>
        <v>Cowgirl</v>
      </c>
      <c r="AE764" t="str">
        <f t="shared" si="23"/>
        <v>OLD</v>
      </c>
    </row>
    <row r="765" spans="1:31" x14ac:dyDescent="0.2">
      <c r="A765" t="s">
        <v>29</v>
      </c>
      <c r="B765">
        <v>1012915262</v>
      </c>
      <c r="C765" t="s">
        <v>788</v>
      </c>
      <c r="D765" t="s">
        <v>31</v>
      </c>
      <c r="E765" s="1">
        <v>0.67291666666666672</v>
      </c>
      <c r="F765" t="s">
        <v>32</v>
      </c>
      <c r="G765" t="s">
        <v>33</v>
      </c>
      <c r="H765" t="s">
        <v>34</v>
      </c>
      <c r="I765" t="s">
        <v>84</v>
      </c>
      <c r="J765">
        <v>36</v>
      </c>
      <c r="K765">
        <v>0</v>
      </c>
      <c r="L765" t="s">
        <v>63</v>
      </c>
      <c r="M765">
        <v>250</v>
      </c>
      <c r="N765">
        <v>11471</v>
      </c>
      <c r="O765">
        <v>474</v>
      </c>
      <c r="P765">
        <v>4.1321599999999998</v>
      </c>
      <c r="Q765">
        <v>0</v>
      </c>
      <c r="R765">
        <v>11.1</v>
      </c>
      <c r="S765">
        <v>0.96799999999999997</v>
      </c>
      <c r="T765">
        <v>2.3E-2</v>
      </c>
      <c r="U765">
        <v>0</v>
      </c>
      <c r="V765">
        <v>1</v>
      </c>
      <c r="W765">
        <v>0</v>
      </c>
      <c r="X765" t="s">
        <v>36</v>
      </c>
      <c r="Y765">
        <v>11471</v>
      </c>
      <c r="Z765">
        <v>8097</v>
      </c>
      <c r="AA765">
        <v>1775</v>
      </c>
      <c r="AB765" t="s">
        <v>783</v>
      </c>
      <c r="AC765" t="str">
        <f t="shared" si="22"/>
        <v>CP</v>
      </c>
      <c r="AD765" t="str">
        <f>_xlfn.XLOOKUP(C765,Mapping!A:A,Mapping!D:D,0,0)</f>
        <v>Keyword - Preroll</v>
      </c>
      <c r="AE765" t="str">
        <f t="shared" si="23"/>
        <v>OLD</v>
      </c>
    </row>
    <row r="766" spans="1:31" x14ac:dyDescent="0.2">
      <c r="A766" t="s">
        <v>39</v>
      </c>
      <c r="B766">
        <v>1012915272</v>
      </c>
      <c r="C766" t="s">
        <v>344</v>
      </c>
      <c r="D766" t="s">
        <v>31</v>
      </c>
      <c r="E766" s="1">
        <v>0.67291666666666672</v>
      </c>
      <c r="F766" t="s">
        <v>32</v>
      </c>
      <c r="G766" t="s">
        <v>33</v>
      </c>
      <c r="H766" t="s">
        <v>34</v>
      </c>
      <c r="I766" t="s">
        <v>84</v>
      </c>
      <c r="J766">
        <v>36</v>
      </c>
      <c r="K766">
        <v>0</v>
      </c>
      <c r="L766" t="s">
        <v>63</v>
      </c>
      <c r="M766">
        <v>250</v>
      </c>
      <c r="N766">
        <v>0</v>
      </c>
      <c r="O766">
        <v>0</v>
      </c>
      <c r="P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0</v>
      </c>
      <c r="X766" t="s">
        <v>36</v>
      </c>
      <c r="AB766" t="s">
        <v>783</v>
      </c>
      <c r="AC766" t="str">
        <f t="shared" si="22"/>
        <v>CP</v>
      </c>
      <c r="AD766" t="str">
        <f>_xlfn.XLOOKUP(C766,Mapping!A:A,Mapping!D:D,0,0)</f>
        <v>Bin</v>
      </c>
      <c r="AE766" t="str">
        <f t="shared" si="23"/>
        <v>OLD</v>
      </c>
    </row>
    <row r="767" spans="1:31" x14ac:dyDescent="0.2">
      <c r="A767" t="s">
        <v>39</v>
      </c>
      <c r="B767">
        <v>1012915282</v>
      </c>
      <c r="C767" t="s">
        <v>341</v>
      </c>
      <c r="D767" t="s">
        <v>31</v>
      </c>
      <c r="E767" s="1">
        <v>0.67291666666666672</v>
      </c>
      <c r="F767" t="s">
        <v>32</v>
      </c>
      <c r="G767" t="s">
        <v>33</v>
      </c>
      <c r="H767" t="s">
        <v>34</v>
      </c>
      <c r="I767" t="s">
        <v>84</v>
      </c>
      <c r="J767">
        <v>36</v>
      </c>
      <c r="K767">
        <v>0</v>
      </c>
      <c r="L767" t="s">
        <v>63</v>
      </c>
      <c r="M767">
        <v>250</v>
      </c>
      <c r="N767">
        <v>0</v>
      </c>
      <c r="O767">
        <v>0</v>
      </c>
      <c r="P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X767" t="s">
        <v>36</v>
      </c>
      <c r="AB767" t="s">
        <v>783</v>
      </c>
      <c r="AC767" t="str">
        <f t="shared" si="22"/>
        <v>CP</v>
      </c>
      <c r="AD767" t="str">
        <f>_xlfn.XLOOKUP(C767,Mapping!A:A,Mapping!D:D,0,0)</f>
        <v>Bin</v>
      </c>
      <c r="AE767" t="str">
        <f t="shared" si="23"/>
        <v>OLD</v>
      </c>
    </row>
    <row r="768" spans="1:31" x14ac:dyDescent="0.2">
      <c r="A768" t="s">
        <v>39</v>
      </c>
      <c r="B768">
        <v>1012915292</v>
      </c>
      <c r="C768" t="s">
        <v>598</v>
      </c>
      <c r="D768" t="s">
        <v>31</v>
      </c>
      <c r="E768" s="1">
        <v>0.67291666666666672</v>
      </c>
      <c r="F768" t="s">
        <v>32</v>
      </c>
      <c r="G768" t="s">
        <v>33</v>
      </c>
      <c r="H768" t="s">
        <v>34</v>
      </c>
      <c r="I768" t="s">
        <v>84</v>
      </c>
      <c r="J768">
        <v>36</v>
      </c>
      <c r="K768">
        <v>0</v>
      </c>
      <c r="L768" t="s">
        <v>63</v>
      </c>
      <c r="M768">
        <v>250</v>
      </c>
      <c r="N768">
        <v>3</v>
      </c>
      <c r="O768">
        <v>0</v>
      </c>
      <c r="P768">
        <v>0</v>
      </c>
      <c r="Q768">
        <v>0</v>
      </c>
      <c r="R768">
        <v>0.01</v>
      </c>
      <c r="S768">
        <v>1.7430000000000001</v>
      </c>
      <c r="T768">
        <v>0</v>
      </c>
      <c r="U768">
        <v>0</v>
      </c>
      <c r="V768">
        <v>1</v>
      </c>
      <c r="W768">
        <v>0</v>
      </c>
      <c r="X768" t="s">
        <v>36</v>
      </c>
      <c r="Y768">
        <v>3</v>
      </c>
      <c r="Z768">
        <v>1</v>
      </c>
      <c r="AA768">
        <v>0</v>
      </c>
      <c r="AB768" t="s">
        <v>783</v>
      </c>
      <c r="AC768" t="str">
        <f t="shared" si="22"/>
        <v>CP</v>
      </c>
      <c r="AD768" t="str">
        <f>_xlfn.XLOOKUP(C768,Mapping!A:A,Mapping!D:D,0,0)</f>
        <v>Keyword - Preroll</v>
      </c>
      <c r="AE768" t="str">
        <f t="shared" si="23"/>
        <v>OLD</v>
      </c>
    </row>
    <row r="769" spans="1:31" x14ac:dyDescent="0.2">
      <c r="A769" t="s">
        <v>39</v>
      </c>
      <c r="B769">
        <v>1012915392</v>
      </c>
      <c r="C769" t="s">
        <v>122</v>
      </c>
      <c r="D769" t="s">
        <v>31</v>
      </c>
      <c r="E769" s="1">
        <v>0.67291666666666672</v>
      </c>
      <c r="F769" t="s">
        <v>32</v>
      </c>
      <c r="G769" t="s">
        <v>33</v>
      </c>
      <c r="H769" t="s">
        <v>41</v>
      </c>
      <c r="I769" t="s">
        <v>58</v>
      </c>
      <c r="J769">
        <v>20</v>
      </c>
      <c r="K769">
        <v>0</v>
      </c>
      <c r="L769" t="s">
        <v>63</v>
      </c>
      <c r="M769">
        <v>250</v>
      </c>
      <c r="N769">
        <v>0</v>
      </c>
      <c r="O769">
        <v>0</v>
      </c>
      <c r="P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 t="s">
        <v>36</v>
      </c>
      <c r="AB769" t="s">
        <v>789</v>
      </c>
      <c r="AC769" t="str">
        <f t="shared" si="22"/>
        <v>CP</v>
      </c>
      <c r="AD769" t="str">
        <f>_xlfn.XLOOKUP(C769,Mapping!A:A,Mapping!D:D,0,0)</f>
        <v>Bin</v>
      </c>
      <c r="AE769" t="str">
        <f t="shared" si="23"/>
        <v>OLD</v>
      </c>
    </row>
    <row r="770" spans="1:31" x14ac:dyDescent="0.2">
      <c r="A770" t="s">
        <v>29</v>
      </c>
      <c r="B770">
        <v>1012915402</v>
      </c>
      <c r="C770" t="s">
        <v>123</v>
      </c>
      <c r="D770" t="s">
        <v>31</v>
      </c>
      <c r="E770" s="1">
        <v>0.67291666666666672</v>
      </c>
      <c r="F770" t="s">
        <v>32</v>
      </c>
      <c r="G770" t="s">
        <v>33</v>
      </c>
      <c r="H770" t="s">
        <v>34</v>
      </c>
      <c r="I770" t="s">
        <v>124</v>
      </c>
      <c r="J770">
        <v>16</v>
      </c>
      <c r="K770">
        <v>0</v>
      </c>
      <c r="L770" t="s">
        <v>36</v>
      </c>
      <c r="M770" t="s">
        <v>37</v>
      </c>
      <c r="N770">
        <v>236407</v>
      </c>
      <c r="O770">
        <v>10487</v>
      </c>
      <c r="P770">
        <v>4.4359900000000003</v>
      </c>
      <c r="Q770">
        <v>7</v>
      </c>
      <c r="R770">
        <v>654.46</v>
      </c>
      <c r="S770">
        <v>2.7679999999999998</v>
      </c>
      <c r="T770">
        <v>6.2E-2</v>
      </c>
      <c r="U770">
        <v>93.494</v>
      </c>
      <c r="V770">
        <v>1</v>
      </c>
      <c r="W770">
        <v>0</v>
      </c>
      <c r="X770" t="s">
        <v>36</v>
      </c>
      <c r="Y770">
        <v>236399</v>
      </c>
      <c r="Z770">
        <v>186727</v>
      </c>
      <c r="AA770">
        <v>25700</v>
      </c>
      <c r="AB770" t="s">
        <v>789</v>
      </c>
      <c r="AC770" t="str">
        <f t="shared" si="22"/>
        <v>CP</v>
      </c>
      <c r="AD770" t="str">
        <f>_xlfn.XLOOKUP(C770,Mapping!A:A,Mapping!D:D,0,0)</f>
        <v>Trans</v>
      </c>
      <c r="AE770" t="str">
        <f t="shared" si="23"/>
        <v>OLD</v>
      </c>
    </row>
    <row r="771" spans="1:31" x14ac:dyDescent="0.2">
      <c r="A771" t="s">
        <v>39</v>
      </c>
      <c r="B771">
        <v>1012915422</v>
      </c>
      <c r="C771" t="s">
        <v>639</v>
      </c>
      <c r="D771" t="s">
        <v>31</v>
      </c>
      <c r="E771" s="1">
        <v>0.67291666666666672</v>
      </c>
      <c r="F771" t="s">
        <v>32</v>
      </c>
      <c r="G771" t="s">
        <v>33</v>
      </c>
      <c r="H771" t="s">
        <v>41</v>
      </c>
      <c r="I771" t="s">
        <v>58</v>
      </c>
      <c r="J771">
        <v>20</v>
      </c>
      <c r="K771">
        <v>0</v>
      </c>
      <c r="L771" t="s">
        <v>63</v>
      </c>
      <c r="M771">
        <v>250</v>
      </c>
      <c r="N771">
        <v>0</v>
      </c>
      <c r="O771">
        <v>0</v>
      </c>
      <c r="P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 t="s">
        <v>36</v>
      </c>
      <c r="AB771" t="s">
        <v>789</v>
      </c>
      <c r="AC771" t="str">
        <f t="shared" ref="AC771:AC834" si="24">LEFT(C771,2)</f>
        <v>CP</v>
      </c>
      <c r="AD771" t="str">
        <f>_xlfn.XLOOKUP(C771,Mapping!A:A,Mapping!D:D,0,0)</f>
        <v>Bin</v>
      </c>
      <c r="AE771" t="str">
        <f t="shared" ref="AE771:AE834" si="25">IFERROR(IF(SEARCH("_TJ",C771)&gt;0,"TJ",NA()),IFERROR(IF(SEARCH("_JB",C771)&gt;0,"JB",NA()),"OLD"))</f>
        <v>OLD</v>
      </c>
    </row>
    <row r="772" spans="1:31" x14ac:dyDescent="0.2">
      <c r="A772" t="s">
        <v>39</v>
      </c>
      <c r="B772">
        <v>1012915432</v>
      </c>
      <c r="C772" t="s">
        <v>790</v>
      </c>
      <c r="D772" t="s">
        <v>31</v>
      </c>
      <c r="E772" s="1">
        <v>0.67291666666666672</v>
      </c>
      <c r="F772" t="s">
        <v>32</v>
      </c>
      <c r="G772" t="s">
        <v>33</v>
      </c>
      <c r="H772" t="s">
        <v>34</v>
      </c>
      <c r="I772" t="s">
        <v>35</v>
      </c>
      <c r="J772">
        <v>36</v>
      </c>
      <c r="K772">
        <v>0</v>
      </c>
      <c r="L772" t="s">
        <v>63</v>
      </c>
      <c r="M772">
        <v>250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3.8109999999999999</v>
      </c>
      <c r="T772">
        <v>0</v>
      </c>
      <c r="U772">
        <v>0</v>
      </c>
      <c r="V772">
        <v>1</v>
      </c>
      <c r="W772">
        <v>0</v>
      </c>
      <c r="X772" t="s">
        <v>36</v>
      </c>
      <c r="Y772">
        <v>1</v>
      </c>
      <c r="Z772">
        <v>1</v>
      </c>
      <c r="AA772">
        <v>0</v>
      </c>
      <c r="AB772" t="s">
        <v>791</v>
      </c>
      <c r="AC772" t="str">
        <f t="shared" si="24"/>
        <v>CP</v>
      </c>
      <c r="AD772" t="str">
        <f>_xlfn.XLOOKUP(C772,Mapping!A:A,Mapping!D:D,0,0)</f>
        <v>Erotica Interest</v>
      </c>
      <c r="AE772" t="str">
        <f t="shared" si="25"/>
        <v>OLD</v>
      </c>
    </row>
    <row r="773" spans="1:31" x14ac:dyDescent="0.2">
      <c r="A773" t="s">
        <v>39</v>
      </c>
      <c r="B773">
        <v>1012915442</v>
      </c>
      <c r="C773" t="s">
        <v>792</v>
      </c>
      <c r="D773" t="s">
        <v>31</v>
      </c>
      <c r="E773" s="1">
        <v>0.67291666666666672</v>
      </c>
      <c r="F773" t="s">
        <v>32</v>
      </c>
      <c r="G773" t="s">
        <v>33</v>
      </c>
      <c r="H773" t="s">
        <v>41</v>
      </c>
      <c r="I773" t="s">
        <v>42</v>
      </c>
      <c r="J773">
        <v>90</v>
      </c>
      <c r="K773">
        <v>0</v>
      </c>
      <c r="L773" t="s">
        <v>63</v>
      </c>
      <c r="M773">
        <v>250</v>
      </c>
      <c r="N773">
        <v>0</v>
      </c>
      <c r="O773">
        <v>0</v>
      </c>
      <c r="P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 t="s">
        <v>36</v>
      </c>
      <c r="AB773" t="s">
        <v>791</v>
      </c>
      <c r="AC773" t="str">
        <f t="shared" si="24"/>
        <v>CP</v>
      </c>
      <c r="AD773" t="str">
        <f>_xlfn.XLOOKUP(C773,Mapping!A:A,Mapping!D:D,0,0)</f>
        <v>Erotica Interest</v>
      </c>
      <c r="AE773" t="str">
        <f t="shared" si="25"/>
        <v>OLD</v>
      </c>
    </row>
    <row r="774" spans="1:31" x14ac:dyDescent="0.2">
      <c r="A774" t="s">
        <v>29</v>
      </c>
      <c r="B774">
        <v>1012915452</v>
      </c>
      <c r="C774" t="s">
        <v>793</v>
      </c>
      <c r="D774" t="s">
        <v>31</v>
      </c>
      <c r="E774" s="1">
        <v>0.67291666666666672</v>
      </c>
      <c r="F774" t="s">
        <v>32</v>
      </c>
      <c r="G774" t="s">
        <v>33</v>
      </c>
      <c r="H774" t="s">
        <v>41</v>
      </c>
      <c r="I774" t="s">
        <v>42</v>
      </c>
      <c r="J774">
        <v>90</v>
      </c>
      <c r="K774">
        <v>0</v>
      </c>
      <c r="L774" t="s">
        <v>63</v>
      </c>
      <c r="M774">
        <v>250</v>
      </c>
      <c r="N774">
        <v>17000</v>
      </c>
      <c r="O774">
        <v>940</v>
      </c>
      <c r="P774">
        <v>5.5294100000000004</v>
      </c>
      <c r="Q774">
        <v>1</v>
      </c>
      <c r="R774">
        <v>53.88</v>
      </c>
      <c r="S774">
        <v>3.169</v>
      </c>
      <c r="T774">
        <v>5.7000000000000002E-2</v>
      </c>
      <c r="U774">
        <v>53.875999999999998</v>
      </c>
      <c r="V774">
        <v>1</v>
      </c>
      <c r="W774">
        <v>0</v>
      </c>
      <c r="X774" t="s">
        <v>36</v>
      </c>
      <c r="Y774">
        <v>16992</v>
      </c>
      <c r="Z774">
        <v>15064</v>
      </c>
      <c r="AA774">
        <v>1366</v>
      </c>
      <c r="AB774" t="s">
        <v>791</v>
      </c>
      <c r="AC774" t="str">
        <f t="shared" si="24"/>
        <v>CP</v>
      </c>
      <c r="AD774" t="str">
        <f>_xlfn.XLOOKUP(C774,Mapping!A:A,Mapping!D:D,0,0)</f>
        <v>Keyword - Preroll</v>
      </c>
      <c r="AE774" t="str">
        <f t="shared" si="25"/>
        <v>OLD</v>
      </c>
    </row>
    <row r="775" spans="1:31" x14ac:dyDescent="0.2">
      <c r="A775" t="s">
        <v>29</v>
      </c>
      <c r="B775">
        <v>1012915462</v>
      </c>
      <c r="C775" t="s">
        <v>794</v>
      </c>
      <c r="D775" t="s">
        <v>31</v>
      </c>
      <c r="E775" s="1">
        <v>0.67291666666666672</v>
      </c>
      <c r="F775" t="s">
        <v>32</v>
      </c>
      <c r="G775" t="s">
        <v>33</v>
      </c>
      <c r="H775" t="s">
        <v>34</v>
      </c>
      <c r="I775" t="s">
        <v>35</v>
      </c>
      <c r="J775">
        <v>36</v>
      </c>
      <c r="K775">
        <v>0</v>
      </c>
      <c r="L775" t="s">
        <v>36</v>
      </c>
      <c r="M775" t="s">
        <v>37</v>
      </c>
      <c r="N775">
        <v>4845</v>
      </c>
      <c r="O775">
        <v>262</v>
      </c>
      <c r="P775">
        <v>5.4076399999999998</v>
      </c>
      <c r="Q775">
        <v>1</v>
      </c>
      <c r="R775">
        <v>12.09</v>
      </c>
      <c r="S775">
        <v>2.4940000000000002</v>
      </c>
      <c r="T775">
        <v>4.5999999999999999E-2</v>
      </c>
      <c r="U775">
        <v>12.085000000000001</v>
      </c>
      <c r="V775">
        <v>1</v>
      </c>
      <c r="W775">
        <v>0</v>
      </c>
      <c r="X775" t="s">
        <v>36</v>
      </c>
      <c r="Y775">
        <v>4845</v>
      </c>
      <c r="Z775">
        <v>3639</v>
      </c>
      <c r="AA775">
        <v>661</v>
      </c>
      <c r="AB775" t="s">
        <v>791</v>
      </c>
      <c r="AC775" t="str">
        <f t="shared" si="24"/>
        <v>CP</v>
      </c>
      <c r="AD775" t="str">
        <f>_xlfn.XLOOKUP(C775,Mapping!A:A,Mapping!D:D,0,0)</f>
        <v>Keyword - Preroll</v>
      </c>
      <c r="AE775" t="str">
        <f t="shared" si="25"/>
        <v>OLD</v>
      </c>
    </row>
    <row r="776" spans="1:31" x14ac:dyDescent="0.2">
      <c r="A776" t="s">
        <v>29</v>
      </c>
      <c r="B776">
        <v>1012915472</v>
      </c>
      <c r="C776" t="s">
        <v>795</v>
      </c>
      <c r="D776" t="s">
        <v>31</v>
      </c>
      <c r="E776" s="1">
        <v>0.67291666666666672</v>
      </c>
      <c r="F776" t="s">
        <v>32</v>
      </c>
      <c r="G776" t="s">
        <v>33</v>
      </c>
      <c r="H776" t="s">
        <v>34</v>
      </c>
      <c r="I776" t="s">
        <v>35</v>
      </c>
      <c r="J776">
        <v>36</v>
      </c>
      <c r="K776">
        <v>0</v>
      </c>
      <c r="L776" t="s">
        <v>63</v>
      </c>
      <c r="M776">
        <v>250</v>
      </c>
      <c r="N776">
        <v>1282</v>
      </c>
      <c r="O776">
        <v>49</v>
      </c>
      <c r="P776">
        <v>3.8221500000000002</v>
      </c>
      <c r="Q776">
        <v>0</v>
      </c>
      <c r="R776">
        <v>3.58</v>
      </c>
      <c r="S776">
        <v>2.7949999999999999</v>
      </c>
      <c r="T776">
        <v>7.2999999999999995E-2</v>
      </c>
      <c r="U776">
        <v>0</v>
      </c>
      <c r="V776">
        <v>1</v>
      </c>
      <c r="W776">
        <v>0</v>
      </c>
      <c r="X776" t="s">
        <v>36</v>
      </c>
      <c r="Y776">
        <v>1282</v>
      </c>
      <c r="Z776">
        <v>1009</v>
      </c>
      <c r="AA776">
        <v>163</v>
      </c>
      <c r="AB776" t="s">
        <v>791</v>
      </c>
      <c r="AC776" t="str">
        <f t="shared" si="24"/>
        <v>CP</v>
      </c>
      <c r="AD776" t="str">
        <f>_xlfn.XLOOKUP(C776,Mapping!A:A,Mapping!D:D,0,0)</f>
        <v>Keyword - Preroll</v>
      </c>
      <c r="AE776" t="str">
        <f t="shared" si="25"/>
        <v>OLD</v>
      </c>
    </row>
    <row r="777" spans="1:31" x14ac:dyDescent="0.2">
      <c r="A777" t="s">
        <v>29</v>
      </c>
      <c r="B777">
        <v>1012915482</v>
      </c>
      <c r="C777" t="s">
        <v>796</v>
      </c>
      <c r="D777" t="s">
        <v>31</v>
      </c>
      <c r="E777" s="1">
        <v>0.67291666666666672</v>
      </c>
      <c r="F777" t="s">
        <v>32</v>
      </c>
      <c r="G777" t="s">
        <v>33</v>
      </c>
      <c r="H777" t="s">
        <v>34</v>
      </c>
      <c r="I777" t="s">
        <v>35</v>
      </c>
      <c r="J777">
        <v>36</v>
      </c>
      <c r="K777">
        <v>0</v>
      </c>
      <c r="L777" t="s">
        <v>63</v>
      </c>
      <c r="M777">
        <v>250</v>
      </c>
      <c r="N777">
        <v>8068</v>
      </c>
      <c r="O777">
        <v>381</v>
      </c>
      <c r="P777">
        <v>4.7223600000000001</v>
      </c>
      <c r="Q777">
        <v>0</v>
      </c>
      <c r="R777">
        <v>20.66</v>
      </c>
      <c r="S777">
        <v>2.5609999999999999</v>
      </c>
      <c r="T777">
        <v>5.3999999999999999E-2</v>
      </c>
      <c r="U777">
        <v>0</v>
      </c>
      <c r="V777">
        <v>1</v>
      </c>
      <c r="W777">
        <v>0</v>
      </c>
      <c r="X777" t="s">
        <v>36</v>
      </c>
      <c r="Y777">
        <v>8068</v>
      </c>
      <c r="Z777">
        <v>6208</v>
      </c>
      <c r="AA777">
        <v>1001</v>
      </c>
      <c r="AB777" t="s">
        <v>791</v>
      </c>
      <c r="AC777" t="str">
        <f t="shared" si="24"/>
        <v>CP</v>
      </c>
      <c r="AD777" t="str">
        <f>_xlfn.XLOOKUP(C777,Mapping!A:A,Mapping!D:D,0,0)</f>
        <v>Keyword - Preroll</v>
      </c>
      <c r="AE777" t="str">
        <f t="shared" si="25"/>
        <v>OLD</v>
      </c>
    </row>
    <row r="778" spans="1:31" x14ac:dyDescent="0.2">
      <c r="A778" t="s">
        <v>690</v>
      </c>
      <c r="B778">
        <v>1012915492</v>
      </c>
      <c r="C778" t="s">
        <v>797</v>
      </c>
      <c r="D778" t="s">
        <v>31</v>
      </c>
      <c r="E778" s="1">
        <v>0.67291666666666672</v>
      </c>
      <c r="F778" t="s">
        <v>32</v>
      </c>
      <c r="G778" t="s">
        <v>33</v>
      </c>
      <c r="H778" t="s">
        <v>34</v>
      </c>
      <c r="I778" t="s">
        <v>35</v>
      </c>
      <c r="J778">
        <v>36</v>
      </c>
      <c r="K778">
        <v>0</v>
      </c>
      <c r="L778" t="s">
        <v>63</v>
      </c>
      <c r="M778">
        <v>250</v>
      </c>
      <c r="N778">
        <v>208</v>
      </c>
      <c r="O778">
        <v>4</v>
      </c>
      <c r="P778">
        <v>1.9230799999999999</v>
      </c>
      <c r="Q778">
        <v>0</v>
      </c>
      <c r="R778">
        <v>0.12</v>
      </c>
      <c r="S778">
        <v>0.59</v>
      </c>
      <c r="T778">
        <v>3.1E-2</v>
      </c>
      <c r="U778">
        <v>0</v>
      </c>
      <c r="V778">
        <v>1</v>
      </c>
      <c r="W778">
        <v>0</v>
      </c>
      <c r="X778" t="s">
        <v>36</v>
      </c>
      <c r="Y778">
        <v>208</v>
      </c>
      <c r="Z778">
        <v>144</v>
      </c>
      <c r="AA778">
        <v>37</v>
      </c>
      <c r="AB778" t="s">
        <v>791</v>
      </c>
      <c r="AC778" t="str">
        <f t="shared" si="24"/>
        <v>CP</v>
      </c>
      <c r="AD778" t="str">
        <f>_xlfn.XLOOKUP(C778,Mapping!A:A,Mapping!D:D,0,0)</f>
        <v>Keyword - Preroll</v>
      </c>
      <c r="AE778" t="str">
        <f t="shared" si="25"/>
        <v>OLD</v>
      </c>
    </row>
    <row r="779" spans="1:31" x14ac:dyDescent="0.2">
      <c r="A779" t="s">
        <v>690</v>
      </c>
      <c r="B779">
        <v>1012915502</v>
      </c>
      <c r="C779" t="s">
        <v>798</v>
      </c>
      <c r="D779" t="s">
        <v>31</v>
      </c>
      <c r="E779" s="1">
        <v>0.67291666666666672</v>
      </c>
      <c r="F779" t="s">
        <v>32</v>
      </c>
      <c r="G779" t="s">
        <v>33</v>
      </c>
      <c r="H779" t="s">
        <v>41</v>
      </c>
      <c r="I779" t="s">
        <v>42</v>
      </c>
      <c r="J779">
        <v>90</v>
      </c>
      <c r="K779">
        <v>0</v>
      </c>
      <c r="L779" t="s">
        <v>63</v>
      </c>
      <c r="M779">
        <v>250</v>
      </c>
      <c r="N779">
        <v>0</v>
      </c>
      <c r="O779">
        <v>0</v>
      </c>
      <c r="P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 t="s">
        <v>36</v>
      </c>
      <c r="AB779" t="s">
        <v>791</v>
      </c>
      <c r="AC779" t="str">
        <f t="shared" si="24"/>
        <v>CP</v>
      </c>
      <c r="AD779" t="str">
        <f>_xlfn.XLOOKUP(C779,Mapping!A:A,Mapping!D:D,0,0)</f>
        <v>Erotica Interest</v>
      </c>
      <c r="AE779" t="str">
        <f t="shared" si="25"/>
        <v>OLD</v>
      </c>
    </row>
    <row r="780" spans="1:31" x14ac:dyDescent="0.2">
      <c r="A780" t="s">
        <v>29</v>
      </c>
      <c r="B780">
        <v>1012915512</v>
      </c>
      <c r="C780" t="s">
        <v>799</v>
      </c>
      <c r="D780" t="s">
        <v>31</v>
      </c>
      <c r="E780" s="1">
        <v>0.67291666666666672</v>
      </c>
      <c r="F780" t="s">
        <v>32</v>
      </c>
      <c r="G780" t="s">
        <v>33</v>
      </c>
      <c r="H780" t="s">
        <v>41</v>
      </c>
      <c r="I780" t="s">
        <v>42</v>
      </c>
      <c r="J780">
        <v>90</v>
      </c>
      <c r="K780">
        <v>0</v>
      </c>
      <c r="L780" t="s">
        <v>36</v>
      </c>
      <c r="M780" t="s">
        <v>37</v>
      </c>
      <c r="N780">
        <v>23974</v>
      </c>
      <c r="O780">
        <v>1030</v>
      </c>
      <c r="P780">
        <v>4.2963100000000001</v>
      </c>
      <c r="Q780">
        <v>1</v>
      </c>
      <c r="R780">
        <v>51.16</v>
      </c>
      <c r="S780">
        <v>2.1339999999999999</v>
      </c>
      <c r="T780">
        <v>0.05</v>
      </c>
      <c r="U780">
        <v>51.164000000000001</v>
      </c>
      <c r="V780">
        <v>1</v>
      </c>
      <c r="W780">
        <v>0</v>
      </c>
      <c r="X780" t="s">
        <v>36</v>
      </c>
      <c r="Y780">
        <v>23974</v>
      </c>
      <c r="Z780">
        <v>21430</v>
      </c>
      <c r="AA780">
        <v>1841</v>
      </c>
      <c r="AB780" t="s">
        <v>791</v>
      </c>
      <c r="AC780" t="str">
        <f t="shared" si="24"/>
        <v>CP</v>
      </c>
      <c r="AD780" t="str">
        <f>_xlfn.XLOOKUP(C780,Mapping!A:A,Mapping!D:D,0,0)</f>
        <v>Keyword - Preroll</v>
      </c>
      <c r="AE780" t="str">
        <f t="shared" si="25"/>
        <v>OLD</v>
      </c>
    </row>
    <row r="781" spans="1:31" x14ac:dyDescent="0.2">
      <c r="A781" t="s">
        <v>690</v>
      </c>
      <c r="B781">
        <v>1012915522</v>
      </c>
      <c r="C781" t="s">
        <v>800</v>
      </c>
      <c r="D781" t="s">
        <v>31</v>
      </c>
      <c r="E781" s="1">
        <v>0.67291666666666672</v>
      </c>
      <c r="F781" t="s">
        <v>32</v>
      </c>
      <c r="G781" t="s">
        <v>33</v>
      </c>
      <c r="H781" t="s">
        <v>41</v>
      </c>
      <c r="I781" t="s">
        <v>42</v>
      </c>
      <c r="J781">
        <v>90</v>
      </c>
      <c r="K781">
        <v>0</v>
      </c>
      <c r="L781" t="s">
        <v>63</v>
      </c>
      <c r="M781">
        <v>250</v>
      </c>
      <c r="N781">
        <v>124</v>
      </c>
      <c r="O781">
        <v>9</v>
      </c>
      <c r="P781">
        <v>7.2580600000000004</v>
      </c>
      <c r="Q781">
        <v>0</v>
      </c>
      <c r="R781">
        <v>0.09</v>
      </c>
      <c r="S781">
        <v>0.72799999999999998</v>
      </c>
      <c r="T781">
        <v>0.01</v>
      </c>
      <c r="U781">
        <v>0</v>
      </c>
      <c r="V781">
        <v>1</v>
      </c>
      <c r="W781">
        <v>0</v>
      </c>
      <c r="X781" t="s">
        <v>36</v>
      </c>
      <c r="Y781">
        <v>124</v>
      </c>
      <c r="Z781">
        <v>109</v>
      </c>
      <c r="AA781">
        <v>10</v>
      </c>
      <c r="AB781" t="s">
        <v>791</v>
      </c>
      <c r="AC781" t="str">
        <f t="shared" si="24"/>
        <v>CP</v>
      </c>
      <c r="AD781" t="str">
        <f>_xlfn.XLOOKUP(C781,Mapping!A:A,Mapping!D:D,0,0)</f>
        <v>Keyword - Preroll</v>
      </c>
      <c r="AE781" t="str">
        <f t="shared" si="25"/>
        <v>OLD</v>
      </c>
    </row>
    <row r="782" spans="1:31" x14ac:dyDescent="0.2">
      <c r="A782" t="s">
        <v>690</v>
      </c>
      <c r="B782">
        <v>1012915532</v>
      </c>
      <c r="C782" t="s">
        <v>801</v>
      </c>
      <c r="D782" t="s">
        <v>31</v>
      </c>
      <c r="E782" s="1">
        <v>0.67291666666666672</v>
      </c>
      <c r="F782" t="s">
        <v>32</v>
      </c>
      <c r="G782" t="s">
        <v>33</v>
      </c>
      <c r="H782" t="s">
        <v>41</v>
      </c>
      <c r="I782" t="s">
        <v>42</v>
      </c>
      <c r="J782">
        <v>90</v>
      </c>
      <c r="K782">
        <v>0</v>
      </c>
      <c r="L782" t="s">
        <v>63</v>
      </c>
      <c r="M782">
        <v>250</v>
      </c>
      <c r="N782">
        <v>242</v>
      </c>
      <c r="O782">
        <v>10</v>
      </c>
      <c r="P782">
        <v>4.1322299999999998</v>
      </c>
      <c r="Q782">
        <v>0</v>
      </c>
      <c r="R782">
        <v>0.14000000000000001</v>
      </c>
      <c r="S782">
        <v>0.58099999999999996</v>
      </c>
      <c r="T782">
        <v>1.4E-2</v>
      </c>
      <c r="U782">
        <v>0</v>
      </c>
      <c r="V782">
        <v>1</v>
      </c>
      <c r="W782">
        <v>0</v>
      </c>
      <c r="X782" t="s">
        <v>36</v>
      </c>
      <c r="Y782">
        <v>242</v>
      </c>
      <c r="Z782">
        <v>208</v>
      </c>
      <c r="AA782">
        <v>25</v>
      </c>
      <c r="AB782" t="s">
        <v>791</v>
      </c>
      <c r="AC782" t="str">
        <f t="shared" si="24"/>
        <v>CP</v>
      </c>
      <c r="AD782" t="str">
        <f>_xlfn.XLOOKUP(C782,Mapping!A:A,Mapping!D:D,0,0)</f>
        <v>Keyword - Preroll</v>
      </c>
      <c r="AE782" t="str">
        <f t="shared" si="25"/>
        <v>OLD</v>
      </c>
    </row>
    <row r="783" spans="1:31" x14ac:dyDescent="0.2">
      <c r="A783" t="s">
        <v>690</v>
      </c>
      <c r="B783">
        <v>1012915552</v>
      </c>
      <c r="C783" t="s">
        <v>802</v>
      </c>
      <c r="D783" t="s">
        <v>31</v>
      </c>
      <c r="E783" s="1">
        <v>0.67291666666666672</v>
      </c>
      <c r="F783" t="s">
        <v>32</v>
      </c>
      <c r="G783" t="s">
        <v>33</v>
      </c>
      <c r="H783" t="s">
        <v>41</v>
      </c>
      <c r="I783" t="s">
        <v>42</v>
      </c>
      <c r="J783">
        <v>90</v>
      </c>
      <c r="K783">
        <v>0</v>
      </c>
      <c r="L783" t="s">
        <v>63</v>
      </c>
      <c r="M783">
        <v>250</v>
      </c>
      <c r="N783">
        <v>10</v>
      </c>
      <c r="O783">
        <v>0</v>
      </c>
      <c r="P783">
        <v>0</v>
      </c>
      <c r="Q783">
        <v>0</v>
      </c>
      <c r="R783">
        <v>0.01</v>
      </c>
      <c r="S783">
        <v>0.629</v>
      </c>
      <c r="T783">
        <v>0</v>
      </c>
      <c r="U783">
        <v>0</v>
      </c>
      <c r="V783">
        <v>1</v>
      </c>
      <c r="W783">
        <v>0</v>
      </c>
      <c r="X783" t="s">
        <v>36</v>
      </c>
      <c r="Y783">
        <v>10</v>
      </c>
      <c r="Z783">
        <v>8</v>
      </c>
      <c r="AA783">
        <v>2</v>
      </c>
      <c r="AB783" t="s">
        <v>791</v>
      </c>
      <c r="AC783" t="str">
        <f t="shared" si="24"/>
        <v>CP</v>
      </c>
      <c r="AD783" t="str">
        <f>_xlfn.XLOOKUP(C783,Mapping!A:A,Mapping!D:D,0,0)</f>
        <v>Keyword - Preroll</v>
      </c>
      <c r="AE783" t="str">
        <f t="shared" si="25"/>
        <v>OLD</v>
      </c>
    </row>
    <row r="784" spans="1:31" x14ac:dyDescent="0.2">
      <c r="A784" t="s">
        <v>29</v>
      </c>
      <c r="B784">
        <v>1012915562</v>
      </c>
      <c r="C784" t="s">
        <v>803</v>
      </c>
      <c r="D784" t="s">
        <v>31</v>
      </c>
      <c r="E784" s="1">
        <v>0.67291666666666672</v>
      </c>
      <c r="F784" t="s">
        <v>32</v>
      </c>
      <c r="G784" t="s">
        <v>33</v>
      </c>
      <c r="H784" t="s">
        <v>41</v>
      </c>
      <c r="I784" t="s">
        <v>42</v>
      </c>
      <c r="J784">
        <v>90</v>
      </c>
      <c r="K784">
        <v>0</v>
      </c>
      <c r="L784" t="s">
        <v>63</v>
      </c>
      <c r="M784">
        <v>250</v>
      </c>
      <c r="N784">
        <v>18634</v>
      </c>
      <c r="O784">
        <v>973</v>
      </c>
      <c r="P784">
        <v>5.2216399999999998</v>
      </c>
      <c r="Q784">
        <v>0</v>
      </c>
      <c r="R784">
        <v>35.78</v>
      </c>
      <c r="S784">
        <v>1.92</v>
      </c>
      <c r="T784">
        <v>3.6999999999999998E-2</v>
      </c>
      <c r="U784">
        <v>0</v>
      </c>
      <c r="V784">
        <v>1</v>
      </c>
      <c r="W784">
        <v>0</v>
      </c>
      <c r="X784" t="s">
        <v>36</v>
      </c>
      <c r="Y784">
        <v>18634</v>
      </c>
      <c r="Z784">
        <v>16585</v>
      </c>
      <c r="AA784">
        <v>1480</v>
      </c>
      <c r="AB784" t="s">
        <v>791</v>
      </c>
      <c r="AC784" t="str">
        <f t="shared" si="24"/>
        <v>CP</v>
      </c>
      <c r="AD784" t="str">
        <f>_xlfn.XLOOKUP(C784,Mapping!A:A,Mapping!D:D,0,0)</f>
        <v>Keyword - Preroll</v>
      </c>
      <c r="AE784" t="str">
        <f t="shared" si="25"/>
        <v>OLD</v>
      </c>
    </row>
    <row r="785" spans="1:31" x14ac:dyDescent="0.2">
      <c r="A785" t="s">
        <v>690</v>
      </c>
      <c r="B785">
        <v>1012915572</v>
      </c>
      <c r="C785" t="s">
        <v>804</v>
      </c>
      <c r="D785" t="s">
        <v>31</v>
      </c>
      <c r="E785" s="1">
        <v>0.67291666666666672</v>
      </c>
      <c r="F785" t="s">
        <v>32</v>
      </c>
      <c r="G785" t="s">
        <v>33</v>
      </c>
      <c r="H785" t="s">
        <v>41</v>
      </c>
      <c r="I785" t="s">
        <v>42</v>
      </c>
      <c r="J785">
        <v>90</v>
      </c>
      <c r="K785">
        <v>0</v>
      </c>
      <c r="L785" t="s">
        <v>63</v>
      </c>
      <c r="M785">
        <v>250</v>
      </c>
      <c r="N785">
        <v>51</v>
      </c>
      <c r="O785">
        <v>10</v>
      </c>
      <c r="P785">
        <v>19.607839999999999</v>
      </c>
      <c r="Q785">
        <v>0</v>
      </c>
      <c r="R785">
        <v>0.04</v>
      </c>
      <c r="S785">
        <v>0.72799999999999998</v>
      </c>
      <c r="T785">
        <v>4.0000000000000001E-3</v>
      </c>
      <c r="U785">
        <v>0</v>
      </c>
      <c r="V785">
        <v>1</v>
      </c>
      <c r="W785">
        <v>0</v>
      </c>
      <c r="X785" t="s">
        <v>36</v>
      </c>
      <c r="Y785">
        <v>51</v>
      </c>
      <c r="Z785">
        <v>41</v>
      </c>
      <c r="AA785">
        <v>5</v>
      </c>
      <c r="AB785" t="s">
        <v>791</v>
      </c>
      <c r="AC785" t="str">
        <f t="shared" si="24"/>
        <v>CP</v>
      </c>
      <c r="AD785" t="str">
        <f>_xlfn.XLOOKUP(C785,Mapping!A:A,Mapping!D:D,0,0)</f>
        <v>Keyword - Preroll</v>
      </c>
      <c r="AE785" t="str">
        <f t="shared" si="25"/>
        <v>OLD</v>
      </c>
    </row>
    <row r="786" spans="1:31" x14ac:dyDescent="0.2">
      <c r="A786" t="s">
        <v>690</v>
      </c>
      <c r="B786">
        <v>1012915582</v>
      </c>
      <c r="C786" t="s">
        <v>805</v>
      </c>
      <c r="D786" t="s">
        <v>31</v>
      </c>
      <c r="E786" s="1">
        <v>0.67291666666666672</v>
      </c>
      <c r="F786" t="s">
        <v>32</v>
      </c>
      <c r="G786" t="s">
        <v>33</v>
      </c>
      <c r="H786" t="s">
        <v>41</v>
      </c>
      <c r="I786" t="s">
        <v>42</v>
      </c>
      <c r="J786">
        <v>90</v>
      </c>
      <c r="K786">
        <v>0</v>
      </c>
      <c r="L786" t="s">
        <v>63</v>
      </c>
      <c r="M786">
        <v>250</v>
      </c>
      <c r="N786">
        <v>130</v>
      </c>
      <c r="O786">
        <v>7</v>
      </c>
      <c r="P786">
        <v>5.38462</v>
      </c>
      <c r="Q786">
        <v>0</v>
      </c>
      <c r="R786">
        <v>0.08</v>
      </c>
      <c r="S786">
        <v>0.57999999999999996</v>
      </c>
      <c r="T786">
        <v>1.0999999999999999E-2</v>
      </c>
      <c r="U786">
        <v>0</v>
      </c>
      <c r="V786">
        <v>1</v>
      </c>
      <c r="W786">
        <v>0</v>
      </c>
      <c r="X786" t="s">
        <v>36</v>
      </c>
      <c r="Y786">
        <v>130</v>
      </c>
      <c r="Z786">
        <v>113</v>
      </c>
      <c r="AA786">
        <v>15</v>
      </c>
      <c r="AB786" t="s">
        <v>791</v>
      </c>
      <c r="AC786" t="str">
        <f t="shared" si="24"/>
        <v>CP</v>
      </c>
      <c r="AD786" t="str">
        <f>_xlfn.XLOOKUP(C786,Mapping!A:A,Mapping!D:D,0,0)</f>
        <v>Keyword - Preroll</v>
      </c>
      <c r="AE786" t="str">
        <f t="shared" si="25"/>
        <v>OLD</v>
      </c>
    </row>
    <row r="787" spans="1:31" x14ac:dyDescent="0.2">
      <c r="A787" t="s">
        <v>29</v>
      </c>
      <c r="B787">
        <v>1012915592</v>
      </c>
      <c r="C787" t="s">
        <v>806</v>
      </c>
      <c r="D787" t="s">
        <v>31</v>
      </c>
      <c r="E787" s="1">
        <v>0.67291666666666672</v>
      </c>
      <c r="F787" t="s">
        <v>32</v>
      </c>
      <c r="G787" t="s">
        <v>33</v>
      </c>
      <c r="H787" t="s">
        <v>34</v>
      </c>
      <c r="I787" t="s">
        <v>35</v>
      </c>
      <c r="J787">
        <v>36</v>
      </c>
      <c r="K787">
        <v>0</v>
      </c>
      <c r="L787" t="s">
        <v>63</v>
      </c>
      <c r="M787">
        <v>250</v>
      </c>
      <c r="N787">
        <v>7487</v>
      </c>
      <c r="O787">
        <v>412</v>
      </c>
      <c r="P787">
        <v>5.5028699999999997</v>
      </c>
      <c r="Q787">
        <v>0</v>
      </c>
      <c r="R787">
        <v>28.37</v>
      </c>
      <c r="S787">
        <v>3.7890000000000001</v>
      </c>
      <c r="T787">
        <v>6.9000000000000006E-2</v>
      </c>
      <c r="U787">
        <v>0</v>
      </c>
      <c r="V787">
        <v>1</v>
      </c>
      <c r="W787">
        <v>0</v>
      </c>
      <c r="X787" t="s">
        <v>36</v>
      </c>
      <c r="Y787">
        <v>7487</v>
      </c>
      <c r="Z787">
        <v>5648</v>
      </c>
      <c r="AA787">
        <v>1010</v>
      </c>
      <c r="AB787" t="s">
        <v>807</v>
      </c>
      <c r="AC787" t="str">
        <f t="shared" si="24"/>
        <v>CP</v>
      </c>
      <c r="AD787" t="str">
        <f>_xlfn.XLOOKUP(C787,Mapping!A:A,Mapping!D:D,0,0)</f>
        <v>Keyword - Preroll</v>
      </c>
      <c r="AE787" t="str">
        <f t="shared" si="25"/>
        <v>OLD</v>
      </c>
    </row>
    <row r="788" spans="1:31" x14ac:dyDescent="0.2">
      <c r="A788" t="s">
        <v>39</v>
      </c>
      <c r="B788">
        <v>1012915602</v>
      </c>
      <c r="C788" t="s">
        <v>808</v>
      </c>
      <c r="D788" t="s">
        <v>31</v>
      </c>
      <c r="E788" s="1">
        <v>0.67291666666666672</v>
      </c>
      <c r="F788" t="s">
        <v>32</v>
      </c>
      <c r="G788" t="s">
        <v>33</v>
      </c>
      <c r="H788" t="s">
        <v>41</v>
      </c>
      <c r="I788" t="s">
        <v>42</v>
      </c>
      <c r="J788">
        <v>90</v>
      </c>
      <c r="K788">
        <v>0</v>
      </c>
      <c r="L788" t="s">
        <v>63</v>
      </c>
      <c r="M788">
        <v>250</v>
      </c>
      <c r="N788">
        <v>0</v>
      </c>
      <c r="O788">
        <v>0</v>
      </c>
      <c r="P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 t="s">
        <v>36</v>
      </c>
      <c r="AB788" t="s">
        <v>807</v>
      </c>
      <c r="AC788" t="str">
        <f t="shared" si="24"/>
        <v>CP</v>
      </c>
      <c r="AD788" t="str">
        <f>_xlfn.XLOOKUP(C788,Mapping!A:A,Mapping!D:D,0,0)</f>
        <v>VR Intent</v>
      </c>
      <c r="AE788" t="str">
        <f t="shared" si="25"/>
        <v>OLD</v>
      </c>
    </row>
    <row r="789" spans="1:31" x14ac:dyDescent="0.2">
      <c r="A789" t="s">
        <v>29</v>
      </c>
      <c r="B789">
        <v>1012915612</v>
      </c>
      <c r="C789" t="s">
        <v>809</v>
      </c>
      <c r="D789" t="s">
        <v>31</v>
      </c>
      <c r="E789" s="1">
        <v>0.67291666666666672</v>
      </c>
      <c r="F789" t="s">
        <v>32</v>
      </c>
      <c r="G789" t="s">
        <v>33</v>
      </c>
      <c r="H789" t="s">
        <v>41</v>
      </c>
      <c r="I789" t="s">
        <v>42</v>
      </c>
      <c r="J789">
        <v>90</v>
      </c>
      <c r="K789">
        <v>0</v>
      </c>
      <c r="L789" t="s">
        <v>36</v>
      </c>
      <c r="M789" t="s">
        <v>37</v>
      </c>
      <c r="N789">
        <v>55728</v>
      </c>
      <c r="O789">
        <v>4239</v>
      </c>
      <c r="P789">
        <v>7.6065899999999997</v>
      </c>
      <c r="Q789">
        <v>3</v>
      </c>
      <c r="R789">
        <v>181.13</v>
      </c>
      <c r="S789">
        <v>3.25</v>
      </c>
      <c r="T789">
        <v>4.2999999999999997E-2</v>
      </c>
      <c r="U789">
        <v>60.377000000000002</v>
      </c>
      <c r="V789">
        <v>1</v>
      </c>
      <c r="W789">
        <v>0</v>
      </c>
      <c r="X789" t="s">
        <v>36</v>
      </c>
      <c r="Y789">
        <v>55728</v>
      </c>
      <c r="Z789">
        <v>47855</v>
      </c>
      <c r="AA789">
        <v>5419</v>
      </c>
      <c r="AB789" t="s">
        <v>807</v>
      </c>
      <c r="AC789" t="str">
        <f t="shared" si="24"/>
        <v>CP</v>
      </c>
      <c r="AD789" t="str">
        <f>_xlfn.XLOOKUP(C789,Mapping!A:A,Mapping!D:D,0,0)</f>
        <v>Keyword - Preroll</v>
      </c>
      <c r="AE789" t="str">
        <f t="shared" si="25"/>
        <v>OLD</v>
      </c>
    </row>
    <row r="790" spans="1:31" x14ac:dyDescent="0.2">
      <c r="A790" t="s">
        <v>29</v>
      </c>
      <c r="B790">
        <v>1012915622</v>
      </c>
      <c r="C790" t="s">
        <v>810</v>
      </c>
      <c r="D790" t="s">
        <v>31</v>
      </c>
      <c r="E790" s="1">
        <v>0.67291666666666672</v>
      </c>
      <c r="F790" t="s">
        <v>32</v>
      </c>
      <c r="G790" t="s">
        <v>33</v>
      </c>
      <c r="H790" t="s">
        <v>34</v>
      </c>
      <c r="I790" t="s">
        <v>35</v>
      </c>
      <c r="J790">
        <v>36</v>
      </c>
      <c r="K790">
        <v>0</v>
      </c>
      <c r="L790" t="s">
        <v>63</v>
      </c>
      <c r="M790">
        <v>250</v>
      </c>
      <c r="N790">
        <v>629</v>
      </c>
      <c r="O790">
        <v>28</v>
      </c>
      <c r="P790">
        <v>4.4515099999999999</v>
      </c>
      <c r="Q790">
        <v>0</v>
      </c>
      <c r="R790">
        <v>1.55</v>
      </c>
      <c r="S790">
        <v>2.4700000000000002</v>
      </c>
      <c r="T790">
        <v>5.5E-2</v>
      </c>
      <c r="U790">
        <v>0</v>
      </c>
      <c r="V790">
        <v>1</v>
      </c>
      <c r="W790">
        <v>0</v>
      </c>
      <c r="X790" t="s">
        <v>36</v>
      </c>
      <c r="Y790">
        <v>629</v>
      </c>
      <c r="Z790">
        <v>424</v>
      </c>
      <c r="AA790">
        <v>134</v>
      </c>
      <c r="AB790" t="s">
        <v>807</v>
      </c>
      <c r="AC790" t="str">
        <f t="shared" si="24"/>
        <v>CP</v>
      </c>
      <c r="AD790" t="str">
        <f>_xlfn.XLOOKUP(C790,Mapping!A:A,Mapping!D:D,0,0)</f>
        <v>Keyword - Preroll</v>
      </c>
      <c r="AE790" t="str">
        <f t="shared" si="25"/>
        <v>OLD</v>
      </c>
    </row>
    <row r="791" spans="1:31" x14ac:dyDescent="0.2">
      <c r="A791" t="s">
        <v>29</v>
      </c>
      <c r="B791">
        <v>1012915652</v>
      </c>
      <c r="C791" t="s">
        <v>811</v>
      </c>
      <c r="D791" t="s">
        <v>31</v>
      </c>
      <c r="E791" s="1">
        <v>0.67291666666666672</v>
      </c>
      <c r="F791" t="s">
        <v>32</v>
      </c>
      <c r="G791" t="s">
        <v>33</v>
      </c>
      <c r="H791" t="s">
        <v>34</v>
      </c>
      <c r="I791" t="s">
        <v>35</v>
      </c>
      <c r="J791">
        <v>36</v>
      </c>
      <c r="K791">
        <v>0</v>
      </c>
      <c r="L791" t="s">
        <v>63</v>
      </c>
      <c r="M791">
        <v>250</v>
      </c>
      <c r="N791">
        <v>388</v>
      </c>
      <c r="O791">
        <v>31</v>
      </c>
      <c r="P791">
        <v>7.9896900000000004</v>
      </c>
      <c r="Q791">
        <v>0</v>
      </c>
      <c r="R791">
        <v>1.08</v>
      </c>
      <c r="S791">
        <v>2.7949999999999999</v>
      </c>
      <c r="T791">
        <v>3.5000000000000003E-2</v>
      </c>
      <c r="U791">
        <v>0</v>
      </c>
      <c r="V791">
        <v>1</v>
      </c>
      <c r="W791">
        <v>0</v>
      </c>
      <c r="X791" t="s">
        <v>36</v>
      </c>
      <c r="Y791">
        <v>388</v>
      </c>
      <c r="Z791">
        <v>292</v>
      </c>
      <c r="AA791">
        <v>51</v>
      </c>
      <c r="AB791" t="s">
        <v>807</v>
      </c>
      <c r="AC791" t="str">
        <f t="shared" si="24"/>
        <v>CP</v>
      </c>
      <c r="AD791" t="str">
        <f>_xlfn.XLOOKUP(C791,Mapping!A:A,Mapping!D:D,0,0)</f>
        <v>Keyword - Preroll</v>
      </c>
      <c r="AE791" t="str">
        <f t="shared" si="25"/>
        <v>OLD</v>
      </c>
    </row>
    <row r="792" spans="1:31" x14ac:dyDescent="0.2">
      <c r="A792" t="s">
        <v>690</v>
      </c>
      <c r="B792">
        <v>1012915672</v>
      </c>
      <c r="C792" t="s">
        <v>812</v>
      </c>
      <c r="D792" t="s">
        <v>31</v>
      </c>
      <c r="E792" s="1">
        <v>0.67291666666666672</v>
      </c>
      <c r="F792" t="s">
        <v>32</v>
      </c>
      <c r="G792" t="s">
        <v>33</v>
      </c>
      <c r="H792" t="s">
        <v>34</v>
      </c>
      <c r="I792" t="s">
        <v>35</v>
      </c>
      <c r="J792">
        <v>36</v>
      </c>
      <c r="K792">
        <v>0</v>
      </c>
      <c r="L792" t="s">
        <v>63</v>
      </c>
      <c r="M792">
        <v>250</v>
      </c>
      <c r="N792">
        <v>11</v>
      </c>
      <c r="O792">
        <v>2</v>
      </c>
      <c r="P792">
        <v>18.181809999999999</v>
      </c>
      <c r="Q792">
        <v>0</v>
      </c>
      <c r="R792">
        <v>0.01</v>
      </c>
      <c r="S792">
        <v>0.57799999999999996</v>
      </c>
      <c r="T792">
        <v>3.0000000000000001E-3</v>
      </c>
      <c r="U792">
        <v>0</v>
      </c>
      <c r="V792">
        <v>1</v>
      </c>
      <c r="W792">
        <v>0</v>
      </c>
      <c r="X792" t="s">
        <v>36</v>
      </c>
      <c r="Y792">
        <v>11</v>
      </c>
      <c r="Z792">
        <v>8</v>
      </c>
      <c r="AA792">
        <v>2</v>
      </c>
      <c r="AB792" t="s">
        <v>807</v>
      </c>
      <c r="AC792" t="str">
        <f t="shared" si="24"/>
        <v>CP</v>
      </c>
      <c r="AD792" t="str">
        <f>_xlfn.XLOOKUP(C792,Mapping!A:A,Mapping!D:D,0,0)</f>
        <v>Keyword - Preroll</v>
      </c>
      <c r="AE792" t="str">
        <f t="shared" si="25"/>
        <v>OLD</v>
      </c>
    </row>
    <row r="793" spans="1:31" x14ac:dyDescent="0.2">
      <c r="A793" t="s">
        <v>29</v>
      </c>
      <c r="B793">
        <v>1012915682</v>
      </c>
      <c r="C793" t="s">
        <v>813</v>
      </c>
      <c r="D793" t="s">
        <v>31</v>
      </c>
      <c r="E793" s="1">
        <v>0.67291666666666672</v>
      </c>
      <c r="F793" t="s">
        <v>32</v>
      </c>
      <c r="G793" t="s">
        <v>33</v>
      </c>
      <c r="H793" t="s">
        <v>34</v>
      </c>
      <c r="I793" t="s">
        <v>35</v>
      </c>
      <c r="J793">
        <v>36</v>
      </c>
      <c r="K793">
        <v>0</v>
      </c>
      <c r="L793" t="s">
        <v>63</v>
      </c>
      <c r="M793">
        <v>250</v>
      </c>
      <c r="N793">
        <v>1405</v>
      </c>
      <c r="O793">
        <v>92</v>
      </c>
      <c r="P793">
        <v>6.5480400000000003</v>
      </c>
      <c r="Q793">
        <v>0</v>
      </c>
      <c r="R793">
        <v>3.56</v>
      </c>
      <c r="S793">
        <v>2.532</v>
      </c>
      <c r="T793">
        <v>3.9E-2</v>
      </c>
      <c r="U793">
        <v>0</v>
      </c>
      <c r="V793">
        <v>1</v>
      </c>
      <c r="W793">
        <v>0</v>
      </c>
      <c r="X793" t="s">
        <v>36</v>
      </c>
      <c r="Y793">
        <v>1405</v>
      </c>
      <c r="Z793">
        <v>1045</v>
      </c>
      <c r="AA793">
        <v>191</v>
      </c>
      <c r="AB793" t="s">
        <v>807</v>
      </c>
      <c r="AC793" t="str">
        <f t="shared" si="24"/>
        <v>CP</v>
      </c>
      <c r="AD793" t="str">
        <f>_xlfn.XLOOKUP(C793,Mapping!A:A,Mapping!D:D,0,0)</f>
        <v>Keyword - Preroll</v>
      </c>
      <c r="AE793" t="str">
        <f t="shared" si="25"/>
        <v>OLD</v>
      </c>
    </row>
    <row r="794" spans="1:31" x14ac:dyDescent="0.2">
      <c r="A794" t="s">
        <v>690</v>
      </c>
      <c r="B794">
        <v>1012915692</v>
      </c>
      <c r="C794" t="s">
        <v>814</v>
      </c>
      <c r="D794" t="s">
        <v>31</v>
      </c>
      <c r="E794" s="1">
        <v>0.67291666666666672</v>
      </c>
      <c r="F794" t="s">
        <v>32</v>
      </c>
      <c r="G794" t="s">
        <v>33</v>
      </c>
      <c r="H794" t="s">
        <v>41</v>
      </c>
      <c r="I794" t="s">
        <v>42</v>
      </c>
      <c r="J794">
        <v>90</v>
      </c>
      <c r="K794">
        <v>0</v>
      </c>
      <c r="L794" t="s">
        <v>63</v>
      </c>
      <c r="M794">
        <v>250</v>
      </c>
      <c r="N794">
        <v>29</v>
      </c>
      <c r="O794">
        <v>2</v>
      </c>
      <c r="P794">
        <v>6.8965500000000004</v>
      </c>
      <c r="Q794">
        <v>0</v>
      </c>
      <c r="R794">
        <v>0.02</v>
      </c>
      <c r="S794">
        <v>0.73199999999999998</v>
      </c>
      <c r="T794">
        <v>1.0999999999999999E-2</v>
      </c>
      <c r="U794">
        <v>0</v>
      </c>
      <c r="V794">
        <v>1</v>
      </c>
      <c r="W794">
        <v>0</v>
      </c>
      <c r="X794" t="s">
        <v>36</v>
      </c>
      <c r="Y794">
        <v>29</v>
      </c>
      <c r="Z794">
        <v>25</v>
      </c>
      <c r="AA794">
        <v>3</v>
      </c>
      <c r="AB794" t="s">
        <v>807</v>
      </c>
      <c r="AC794" t="str">
        <f t="shared" si="24"/>
        <v>CP</v>
      </c>
      <c r="AD794" t="str">
        <f>_xlfn.XLOOKUP(C794,Mapping!A:A,Mapping!D:D,0,0)</f>
        <v>Keyword - Preroll</v>
      </c>
      <c r="AE794" t="str">
        <f t="shared" si="25"/>
        <v>OLD</v>
      </c>
    </row>
    <row r="795" spans="1:31" x14ac:dyDescent="0.2">
      <c r="A795" t="s">
        <v>690</v>
      </c>
      <c r="B795">
        <v>1012915702</v>
      </c>
      <c r="C795" t="s">
        <v>815</v>
      </c>
      <c r="D795" t="s">
        <v>31</v>
      </c>
      <c r="E795" s="1">
        <v>0.67291666666666672</v>
      </c>
      <c r="F795" t="s">
        <v>32</v>
      </c>
      <c r="G795" t="s">
        <v>33</v>
      </c>
      <c r="H795" t="s">
        <v>41</v>
      </c>
      <c r="I795" t="s">
        <v>42</v>
      </c>
      <c r="J795">
        <v>90</v>
      </c>
      <c r="K795">
        <v>0</v>
      </c>
      <c r="L795" t="s">
        <v>63</v>
      </c>
      <c r="M795">
        <v>250</v>
      </c>
      <c r="N795">
        <v>0</v>
      </c>
      <c r="O795">
        <v>0</v>
      </c>
      <c r="P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 t="s">
        <v>36</v>
      </c>
      <c r="AB795" t="s">
        <v>807</v>
      </c>
      <c r="AC795" t="str">
        <f t="shared" si="24"/>
        <v>CP</v>
      </c>
      <c r="AD795" t="str">
        <f>_xlfn.XLOOKUP(C795,Mapping!A:A,Mapping!D:D,0,0)</f>
        <v>VR Intent</v>
      </c>
      <c r="AE795" t="str">
        <f t="shared" si="25"/>
        <v>OLD</v>
      </c>
    </row>
    <row r="796" spans="1:31" x14ac:dyDescent="0.2">
      <c r="A796" t="s">
        <v>29</v>
      </c>
      <c r="B796">
        <v>1012915712</v>
      </c>
      <c r="C796" t="s">
        <v>816</v>
      </c>
      <c r="D796" t="s">
        <v>31</v>
      </c>
      <c r="E796" s="1">
        <v>0.67291666666666672</v>
      </c>
      <c r="F796" t="s">
        <v>32</v>
      </c>
      <c r="G796" t="s">
        <v>33</v>
      </c>
      <c r="H796" t="s">
        <v>41</v>
      </c>
      <c r="I796" t="s">
        <v>42</v>
      </c>
      <c r="J796">
        <v>90</v>
      </c>
      <c r="K796">
        <v>0</v>
      </c>
      <c r="L796" t="s">
        <v>63</v>
      </c>
      <c r="M796">
        <v>250</v>
      </c>
      <c r="N796">
        <v>22115</v>
      </c>
      <c r="O796">
        <v>836</v>
      </c>
      <c r="P796">
        <v>3.78024</v>
      </c>
      <c r="Q796">
        <v>0</v>
      </c>
      <c r="R796">
        <v>46.97</v>
      </c>
      <c r="S796">
        <v>2.1240000000000001</v>
      </c>
      <c r="T796">
        <v>5.6000000000000001E-2</v>
      </c>
      <c r="U796">
        <v>0</v>
      </c>
      <c r="V796">
        <v>1</v>
      </c>
      <c r="W796">
        <v>0</v>
      </c>
      <c r="X796" t="s">
        <v>36</v>
      </c>
      <c r="Y796">
        <v>22115</v>
      </c>
      <c r="Z796">
        <v>19936</v>
      </c>
      <c r="AA796">
        <v>1670</v>
      </c>
      <c r="AB796" t="s">
        <v>807</v>
      </c>
      <c r="AC796" t="str">
        <f t="shared" si="24"/>
        <v>CP</v>
      </c>
      <c r="AD796" t="str">
        <f>_xlfn.XLOOKUP(C796,Mapping!A:A,Mapping!D:D,0,0)</f>
        <v>Keyword - Preroll</v>
      </c>
      <c r="AE796" t="str">
        <f t="shared" si="25"/>
        <v>OLD</v>
      </c>
    </row>
    <row r="797" spans="1:31" x14ac:dyDescent="0.2">
      <c r="A797" t="s">
        <v>690</v>
      </c>
      <c r="B797">
        <v>1012915722</v>
      </c>
      <c r="C797" t="s">
        <v>817</v>
      </c>
      <c r="D797" t="s">
        <v>31</v>
      </c>
      <c r="E797" s="1">
        <v>0.67291666666666672</v>
      </c>
      <c r="F797" t="s">
        <v>32</v>
      </c>
      <c r="G797" t="s">
        <v>33</v>
      </c>
      <c r="H797" t="s">
        <v>41</v>
      </c>
      <c r="I797" t="s">
        <v>42</v>
      </c>
      <c r="J797">
        <v>90</v>
      </c>
      <c r="K797">
        <v>0</v>
      </c>
      <c r="L797" t="s">
        <v>63</v>
      </c>
      <c r="M797">
        <v>250</v>
      </c>
      <c r="N797">
        <v>30</v>
      </c>
      <c r="O797">
        <v>1</v>
      </c>
      <c r="P797">
        <v>3.3333300000000001</v>
      </c>
      <c r="Q797">
        <v>0</v>
      </c>
      <c r="R797">
        <v>0.02</v>
      </c>
      <c r="S797">
        <v>0.58599999999999997</v>
      </c>
      <c r="T797">
        <v>1.7999999999999999E-2</v>
      </c>
      <c r="U797">
        <v>0</v>
      </c>
      <c r="V797">
        <v>1</v>
      </c>
      <c r="W797">
        <v>0</v>
      </c>
      <c r="X797" t="s">
        <v>36</v>
      </c>
      <c r="Y797">
        <v>30</v>
      </c>
      <c r="Z797">
        <v>22</v>
      </c>
      <c r="AA797">
        <v>7</v>
      </c>
      <c r="AB797" t="s">
        <v>807</v>
      </c>
      <c r="AC797" t="str">
        <f t="shared" si="24"/>
        <v>CP</v>
      </c>
      <c r="AD797" t="str">
        <f>_xlfn.XLOOKUP(C797,Mapping!A:A,Mapping!D:D,0,0)</f>
        <v>Keyword - Preroll</v>
      </c>
      <c r="AE797" t="str">
        <f t="shared" si="25"/>
        <v>OLD</v>
      </c>
    </row>
    <row r="798" spans="1:31" x14ac:dyDescent="0.2">
      <c r="A798" t="s">
        <v>690</v>
      </c>
      <c r="B798">
        <v>1012915732</v>
      </c>
      <c r="C798" t="s">
        <v>818</v>
      </c>
      <c r="D798" t="s">
        <v>31</v>
      </c>
      <c r="E798" s="1">
        <v>0.67291666666666672</v>
      </c>
      <c r="F798" t="s">
        <v>32</v>
      </c>
      <c r="G798" t="s">
        <v>33</v>
      </c>
      <c r="H798" t="s">
        <v>41</v>
      </c>
      <c r="I798" t="s">
        <v>42</v>
      </c>
      <c r="J798">
        <v>90</v>
      </c>
      <c r="K798">
        <v>0</v>
      </c>
      <c r="L798" t="s">
        <v>63</v>
      </c>
      <c r="M798">
        <v>250</v>
      </c>
      <c r="N798">
        <v>14</v>
      </c>
      <c r="O798">
        <v>4</v>
      </c>
      <c r="P798">
        <v>28.571429999999999</v>
      </c>
      <c r="Q798">
        <v>0</v>
      </c>
      <c r="R798">
        <v>0.01</v>
      </c>
      <c r="S798">
        <v>0.53300000000000003</v>
      </c>
      <c r="T798">
        <v>2E-3</v>
      </c>
      <c r="U798">
        <v>0</v>
      </c>
      <c r="V798">
        <v>1</v>
      </c>
      <c r="W798">
        <v>0</v>
      </c>
      <c r="X798" t="s">
        <v>36</v>
      </c>
      <c r="Y798">
        <v>14</v>
      </c>
      <c r="Z798">
        <v>11</v>
      </c>
      <c r="AA798">
        <v>2</v>
      </c>
      <c r="AB798" t="s">
        <v>807</v>
      </c>
      <c r="AC798" t="str">
        <f t="shared" si="24"/>
        <v>CP</v>
      </c>
      <c r="AD798" t="str">
        <f>_xlfn.XLOOKUP(C798,Mapping!A:A,Mapping!D:D,0,0)</f>
        <v>Keyword - Preroll</v>
      </c>
      <c r="AE798" t="str">
        <f t="shared" si="25"/>
        <v>OLD</v>
      </c>
    </row>
    <row r="799" spans="1:31" x14ac:dyDescent="0.2">
      <c r="A799" t="s">
        <v>29</v>
      </c>
      <c r="B799">
        <v>1012915742</v>
      </c>
      <c r="C799" t="s">
        <v>819</v>
      </c>
      <c r="D799" t="s">
        <v>31</v>
      </c>
      <c r="E799" s="1">
        <v>0.67291666666666672</v>
      </c>
      <c r="F799" t="s">
        <v>32</v>
      </c>
      <c r="G799" t="s">
        <v>33</v>
      </c>
      <c r="H799" t="s">
        <v>41</v>
      </c>
      <c r="I799" t="s">
        <v>42</v>
      </c>
      <c r="J799">
        <v>90</v>
      </c>
      <c r="K799">
        <v>0</v>
      </c>
      <c r="L799" t="s">
        <v>63</v>
      </c>
      <c r="M799">
        <v>250</v>
      </c>
      <c r="N799">
        <v>12568</v>
      </c>
      <c r="O799">
        <v>1002</v>
      </c>
      <c r="P799">
        <v>7.9726299999999997</v>
      </c>
      <c r="Q799">
        <v>0</v>
      </c>
      <c r="R799">
        <v>25.86</v>
      </c>
      <c r="S799">
        <v>2.0569999999999999</v>
      </c>
      <c r="T799">
        <v>2.5999999999999999E-2</v>
      </c>
      <c r="U799">
        <v>0</v>
      </c>
      <c r="V799">
        <v>1</v>
      </c>
      <c r="W799">
        <v>0</v>
      </c>
      <c r="X799" t="s">
        <v>36</v>
      </c>
      <c r="Y799">
        <v>12567</v>
      </c>
      <c r="Z799">
        <v>10608</v>
      </c>
      <c r="AA799">
        <v>1258</v>
      </c>
      <c r="AB799" t="s">
        <v>807</v>
      </c>
      <c r="AC799" t="str">
        <f t="shared" si="24"/>
        <v>CP</v>
      </c>
      <c r="AD799" t="str">
        <f>_xlfn.XLOOKUP(C799,Mapping!A:A,Mapping!D:D,0,0)</f>
        <v>Keyword - Preroll</v>
      </c>
      <c r="AE799" t="str">
        <f t="shared" si="25"/>
        <v>OLD</v>
      </c>
    </row>
    <row r="800" spans="1:31" x14ac:dyDescent="0.2">
      <c r="A800" t="s">
        <v>690</v>
      </c>
      <c r="B800">
        <v>1012915752</v>
      </c>
      <c r="C800" t="s">
        <v>820</v>
      </c>
      <c r="D800" t="s">
        <v>31</v>
      </c>
      <c r="E800" s="1">
        <v>0.67291666666666672</v>
      </c>
      <c r="F800" t="s">
        <v>32</v>
      </c>
      <c r="G800" t="s">
        <v>33</v>
      </c>
      <c r="H800" t="s">
        <v>41</v>
      </c>
      <c r="I800" t="s">
        <v>42</v>
      </c>
      <c r="J800">
        <v>90</v>
      </c>
      <c r="K800">
        <v>0</v>
      </c>
      <c r="L800" t="s">
        <v>63</v>
      </c>
      <c r="M800">
        <v>250</v>
      </c>
      <c r="N800">
        <v>44</v>
      </c>
      <c r="O800">
        <v>4</v>
      </c>
      <c r="P800">
        <v>9.0908999999999995</v>
      </c>
      <c r="Q800">
        <v>0</v>
      </c>
      <c r="R800">
        <v>0.03</v>
      </c>
      <c r="S800">
        <v>0.57699999999999996</v>
      </c>
      <c r="T800">
        <v>6.0000000000000001E-3</v>
      </c>
      <c r="U800">
        <v>0</v>
      </c>
      <c r="V800">
        <v>1</v>
      </c>
      <c r="W800">
        <v>0</v>
      </c>
      <c r="X800" t="s">
        <v>36</v>
      </c>
      <c r="Y800">
        <v>44</v>
      </c>
      <c r="Z800">
        <v>35</v>
      </c>
      <c r="AA800">
        <v>8</v>
      </c>
      <c r="AB800" t="s">
        <v>807</v>
      </c>
      <c r="AC800" t="str">
        <f t="shared" si="24"/>
        <v>CP</v>
      </c>
      <c r="AD800" t="str">
        <f>_xlfn.XLOOKUP(C800,Mapping!A:A,Mapping!D:D,0,0)</f>
        <v>Keyword - Preroll</v>
      </c>
      <c r="AE800" t="str">
        <f t="shared" si="25"/>
        <v>OLD</v>
      </c>
    </row>
    <row r="801" spans="1:31" x14ac:dyDescent="0.2">
      <c r="A801" t="s">
        <v>690</v>
      </c>
      <c r="B801">
        <v>1012915762</v>
      </c>
      <c r="C801" t="s">
        <v>821</v>
      </c>
      <c r="D801" t="s">
        <v>31</v>
      </c>
      <c r="E801" s="1">
        <v>0.67291666666666672</v>
      </c>
      <c r="F801" t="s">
        <v>32</v>
      </c>
      <c r="G801" t="s">
        <v>33</v>
      </c>
      <c r="H801" t="s">
        <v>41</v>
      </c>
      <c r="I801" t="s">
        <v>42</v>
      </c>
      <c r="J801">
        <v>90</v>
      </c>
      <c r="K801">
        <v>0</v>
      </c>
      <c r="L801" t="s">
        <v>63</v>
      </c>
      <c r="M801">
        <v>250</v>
      </c>
      <c r="N801">
        <v>46</v>
      </c>
      <c r="O801">
        <v>0</v>
      </c>
      <c r="P801">
        <v>0</v>
      </c>
      <c r="Q801">
        <v>0</v>
      </c>
      <c r="R801">
        <v>0.03</v>
      </c>
      <c r="S801">
        <v>0.72899999999999998</v>
      </c>
      <c r="T801">
        <v>0</v>
      </c>
      <c r="U801">
        <v>0</v>
      </c>
      <c r="V801">
        <v>1</v>
      </c>
      <c r="W801">
        <v>0</v>
      </c>
      <c r="X801" t="s">
        <v>36</v>
      </c>
      <c r="Y801">
        <v>46</v>
      </c>
      <c r="Z801">
        <v>36</v>
      </c>
      <c r="AA801">
        <v>5</v>
      </c>
      <c r="AB801" t="s">
        <v>807</v>
      </c>
      <c r="AC801" t="str">
        <f t="shared" si="24"/>
        <v>CP</v>
      </c>
      <c r="AD801" t="str">
        <f>_xlfn.XLOOKUP(C801,Mapping!A:A,Mapping!D:D,0,0)</f>
        <v>Keyword - Preroll</v>
      </c>
      <c r="AE801" t="str">
        <f t="shared" si="25"/>
        <v>OLD</v>
      </c>
    </row>
    <row r="802" spans="1:31" x14ac:dyDescent="0.2">
      <c r="A802" t="s">
        <v>39</v>
      </c>
      <c r="B802">
        <v>1012915772</v>
      </c>
      <c r="C802" t="s">
        <v>822</v>
      </c>
      <c r="D802" t="s">
        <v>31</v>
      </c>
      <c r="E802" s="1">
        <v>0.67291666666666672</v>
      </c>
      <c r="F802" t="s">
        <v>32</v>
      </c>
      <c r="G802" t="s">
        <v>33</v>
      </c>
      <c r="H802" t="s">
        <v>34</v>
      </c>
      <c r="I802" t="s">
        <v>35</v>
      </c>
      <c r="J802">
        <v>36</v>
      </c>
      <c r="K802">
        <v>0</v>
      </c>
      <c r="L802" t="s">
        <v>63</v>
      </c>
      <c r="M802">
        <v>250</v>
      </c>
      <c r="N802">
        <v>5</v>
      </c>
      <c r="O802">
        <v>0</v>
      </c>
      <c r="P802">
        <v>0</v>
      </c>
      <c r="Q802">
        <v>0</v>
      </c>
      <c r="R802">
        <v>0.02</v>
      </c>
      <c r="S802">
        <v>3.8109999999999999</v>
      </c>
      <c r="T802">
        <v>0</v>
      </c>
      <c r="U802">
        <v>0</v>
      </c>
      <c r="V802">
        <v>1</v>
      </c>
      <c r="W802">
        <v>0</v>
      </c>
      <c r="X802" t="s">
        <v>36</v>
      </c>
      <c r="Y802">
        <v>5</v>
      </c>
      <c r="Z802">
        <v>3</v>
      </c>
      <c r="AA802">
        <v>0</v>
      </c>
      <c r="AB802" t="s">
        <v>823</v>
      </c>
      <c r="AC802" t="str">
        <f t="shared" si="24"/>
        <v>CP</v>
      </c>
      <c r="AD802" t="str">
        <f>_xlfn.XLOOKUP(C802,Mapping!A:A,Mapping!D:D,0,0)</f>
        <v>Keyword - Preroll</v>
      </c>
      <c r="AE802" t="str">
        <f t="shared" si="25"/>
        <v>OLD</v>
      </c>
    </row>
    <row r="803" spans="1:31" x14ac:dyDescent="0.2">
      <c r="A803" t="s">
        <v>39</v>
      </c>
      <c r="B803">
        <v>1012915792</v>
      </c>
      <c r="C803" t="s">
        <v>824</v>
      </c>
      <c r="D803" t="s">
        <v>31</v>
      </c>
      <c r="E803" s="1">
        <v>0.67291666666666672</v>
      </c>
      <c r="F803" t="s">
        <v>32</v>
      </c>
      <c r="G803" t="s">
        <v>33</v>
      </c>
      <c r="H803" t="s">
        <v>41</v>
      </c>
      <c r="I803" t="s">
        <v>42</v>
      </c>
      <c r="J803">
        <v>90</v>
      </c>
      <c r="K803">
        <v>0</v>
      </c>
      <c r="L803" t="s">
        <v>63</v>
      </c>
      <c r="M803">
        <v>250</v>
      </c>
      <c r="N803">
        <v>0</v>
      </c>
      <c r="O803">
        <v>0</v>
      </c>
      <c r="P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  <c r="X803" t="s">
        <v>36</v>
      </c>
      <c r="AB803" t="s">
        <v>823</v>
      </c>
      <c r="AC803" t="str">
        <f t="shared" si="24"/>
        <v>CP</v>
      </c>
      <c r="AD803" t="str">
        <f>_xlfn.XLOOKUP(C803,Mapping!A:A,Mapping!D:D,0,0)</f>
        <v>VOD Hentai Intent</v>
      </c>
      <c r="AE803" t="str">
        <f t="shared" si="25"/>
        <v>OLD</v>
      </c>
    </row>
    <row r="804" spans="1:31" x14ac:dyDescent="0.2">
      <c r="A804" t="s">
        <v>39</v>
      </c>
      <c r="B804">
        <v>1012915802</v>
      </c>
      <c r="C804" t="s">
        <v>825</v>
      </c>
      <c r="D804" t="s">
        <v>31</v>
      </c>
      <c r="E804" s="1">
        <v>0.67291666666666672</v>
      </c>
      <c r="F804" t="s">
        <v>32</v>
      </c>
      <c r="G804" t="s">
        <v>33</v>
      </c>
      <c r="H804" t="s">
        <v>41</v>
      </c>
      <c r="I804" t="s">
        <v>42</v>
      </c>
      <c r="J804">
        <v>90</v>
      </c>
      <c r="K804">
        <v>0</v>
      </c>
      <c r="L804" t="s">
        <v>63</v>
      </c>
      <c r="M804">
        <v>250</v>
      </c>
      <c r="N804">
        <v>0</v>
      </c>
      <c r="O804">
        <v>0</v>
      </c>
      <c r="P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 t="s">
        <v>36</v>
      </c>
      <c r="AB804" t="s">
        <v>823</v>
      </c>
      <c r="AC804" t="str">
        <f t="shared" si="24"/>
        <v>CP</v>
      </c>
      <c r="AD804" t="str">
        <f>_xlfn.XLOOKUP(C804,Mapping!A:A,Mapping!D:D,0,0)</f>
        <v>VOD Hentai Intent</v>
      </c>
      <c r="AE804" t="str">
        <f t="shared" si="25"/>
        <v>OLD</v>
      </c>
    </row>
    <row r="805" spans="1:31" x14ac:dyDescent="0.2">
      <c r="A805" t="s">
        <v>29</v>
      </c>
      <c r="B805">
        <v>1012915832</v>
      </c>
      <c r="C805" t="s">
        <v>826</v>
      </c>
      <c r="D805" t="s">
        <v>31</v>
      </c>
      <c r="E805" s="1">
        <v>0.67291666666666672</v>
      </c>
      <c r="F805" t="s">
        <v>32</v>
      </c>
      <c r="G805" t="s">
        <v>33</v>
      </c>
      <c r="H805" t="s">
        <v>34</v>
      </c>
      <c r="I805" t="s">
        <v>35</v>
      </c>
      <c r="J805">
        <v>36</v>
      </c>
      <c r="K805">
        <v>0</v>
      </c>
      <c r="L805" t="s">
        <v>63</v>
      </c>
      <c r="M805">
        <v>250</v>
      </c>
      <c r="N805">
        <v>267</v>
      </c>
      <c r="O805">
        <v>18</v>
      </c>
      <c r="P805">
        <v>6.7415700000000003</v>
      </c>
      <c r="Q805">
        <v>0</v>
      </c>
      <c r="R805">
        <v>0.16</v>
      </c>
      <c r="S805">
        <v>0.59</v>
      </c>
      <c r="T805">
        <v>8.9999999999999993E-3</v>
      </c>
      <c r="U805">
        <v>0</v>
      </c>
      <c r="V805">
        <v>1</v>
      </c>
      <c r="W805">
        <v>0</v>
      </c>
      <c r="X805" t="s">
        <v>36</v>
      </c>
      <c r="Y805">
        <v>267</v>
      </c>
      <c r="Z805">
        <v>186</v>
      </c>
      <c r="AA805">
        <v>23</v>
      </c>
      <c r="AB805" t="s">
        <v>823</v>
      </c>
      <c r="AC805" t="str">
        <f t="shared" si="24"/>
        <v>CP</v>
      </c>
      <c r="AD805" t="str">
        <f>_xlfn.XLOOKUP(C805,Mapping!A:A,Mapping!D:D,0,0)</f>
        <v>Keyword - Preroll</v>
      </c>
      <c r="AE805" t="str">
        <f t="shared" si="25"/>
        <v>OLD</v>
      </c>
    </row>
    <row r="806" spans="1:31" x14ac:dyDescent="0.2">
      <c r="A806" t="s">
        <v>29</v>
      </c>
      <c r="B806">
        <v>1012915842</v>
      </c>
      <c r="C806" t="s">
        <v>827</v>
      </c>
      <c r="D806" t="s">
        <v>31</v>
      </c>
      <c r="E806" s="1">
        <v>0.67291666666666672</v>
      </c>
      <c r="F806" t="s">
        <v>32</v>
      </c>
      <c r="G806" t="s">
        <v>33</v>
      </c>
      <c r="H806" t="s">
        <v>34</v>
      </c>
      <c r="I806" t="s">
        <v>35</v>
      </c>
      <c r="J806">
        <v>36</v>
      </c>
      <c r="K806">
        <v>0</v>
      </c>
      <c r="L806" t="s">
        <v>63</v>
      </c>
      <c r="M806">
        <v>250</v>
      </c>
      <c r="N806">
        <v>5089</v>
      </c>
      <c r="O806">
        <v>291</v>
      </c>
      <c r="P806">
        <v>5.7182199999999996</v>
      </c>
      <c r="Q806">
        <v>1</v>
      </c>
      <c r="R806">
        <v>12.77</v>
      </c>
      <c r="S806">
        <v>2.5089999999999999</v>
      </c>
      <c r="T806">
        <v>4.3999999999999997E-2</v>
      </c>
      <c r="U806">
        <v>12.769</v>
      </c>
      <c r="V806">
        <v>1</v>
      </c>
      <c r="W806">
        <v>0</v>
      </c>
      <c r="X806" t="s">
        <v>36</v>
      </c>
      <c r="Y806">
        <v>5089</v>
      </c>
      <c r="Z806">
        <v>4027</v>
      </c>
      <c r="AA806">
        <v>480</v>
      </c>
      <c r="AB806" t="s">
        <v>823</v>
      </c>
      <c r="AC806" t="str">
        <f t="shared" si="24"/>
        <v>CP</v>
      </c>
      <c r="AD806" t="str">
        <f>_xlfn.XLOOKUP(C806,Mapping!A:A,Mapping!D:D,0,0)</f>
        <v>Keyword - Preroll</v>
      </c>
      <c r="AE806" t="str">
        <f t="shared" si="25"/>
        <v>OLD</v>
      </c>
    </row>
    <row r="807" spans="1:31" x14ac:dyDescent="0.2">
      <c r="A807" t="s">
        <v>29</v>
      </c>
      <c r="B807">
        <v>1012915852</v>
      </c>
      <c r="C807" t="s">
        <v>828</v>
      </c>
      <c r="D807" t="s">
        <v>31</v>
      </c>
      <c r="E807" s="1">
        <v>0.67291666666666672</v>
      </c>
      <c r="F807" t="s">
        <v>32</v>
      </c>
      <c r="G807" t="s">
        <v>33</v>
      </c>
      <c r="H807" t="s">
        <v>34</v>
      </c>
      <c r="I807" t="s">
        <v>35</v>
      </c>
      <c r="J807">
        <v>36</v>
      </c>
      <c r="K807">
        <v>0</v>
      </c>
      <c r="L807" t="s">
        <v>63</v>
      </c>
      <c r="M807">
        <v>250</v>
      </c>
      <c r="N807">
        <v>7200</v>
      </c>
      <c r="O807">
        <v>406</v>
      </c>
      <c r="P807">
        <v>5.63889</v>
      </c>
      <c r="Q807">
        <v>0</v>
      </c>
      <c r="R807">
        <v>18.59</v>
      </c>
      <c r="S807">
        <v>2.581</v>
      </c>
      <c r="T807">
        <v>4.5999999999999999E-2</v>
      </c>
      <c r="U807">
        <v>0</v>
      </c>
      <c r="V807">
        <v>1</v>
      </c>
      <c r="W807">
        <v>0</v>
      </c>
      <c r="X807" t="s">
        <v>36</v>
      </c>
      <c r="Y807">
        <v>7200</v>
      </c>
      <c r="Z807">
        <v>5637</v>
      </c>
      <c r="AA807">
        <v>670</v>
      </c>
      <c r="AB807" t="s">
        <v>823</v>
      </c>
      <c r="AC807" t="str">
        <f t="shared" si="24"/>
        <v>CP</v>
      </c>
      <c r="AD807" t="str">
        <f>_xlfn.XLOOKUP(C807,Mapping!A:A,Mapping!D:D,0,0)</f>
        <v>Keyword - Preroll</v>
      </c>
      <c r="AE807" t="str">
        <f t="shared" si="25"/>
        <v>OLD</v>
      </c>
    </row>
    <row r="808" spans="1:31" x14ac:dyDescent="0.2">
      <c r="A808" t="s">
        <v>29</v>
      </c>
      <c r="B808">
        <v>1012915862</v>
      </c>
      <c r="C808" t="s">
        <v>829</v>
      </c>
      <c r="D808" t="s">
        <v>31</v>
      </c>
      <c r="E808" s="1">
        <v>0.67291666666666672</v>
      </c>
      <c r="F808" t="s">
        <v>32</v>
      </c>
      <c r="G808" t="s">
        <v>33</v>
      </c>
      <c r="H808" t="s">
        <v>34</v>
      </c>
      <c r="I808" t="s">
        <v>35</v>
      </c>
      <c r="J808">
        <v>36</v>
      </c>
      <c r="K808">
        <v>0</v>
      </c>
      <c r="L808" t="s">
        <v>63</v>
      </c>
      <c r="M808">
        <v>250</v>
      </c>
      <c r="N808">
        <v>516</v>
      </c>
      <c r="O808">
        <v>28</v>
      </c>
      <c r="P808">
        <v>5.4263599999999999</v>
      </c>
      <c r="Q808">
        <v>0</v>
      </c>
      <c r="R808">
        <v>1.44</v>
      </c>
      <c r="S808">
        <v>2.7879999999999998</v>
      </c>
      <c r="T808">
        <v>5.0999999999999997E-2</v>
      </c>
      <c r="U808">
        <v>0</v>
      </c>
      <c r="V808">
        <v>1</v>
      </c>
      <c r="W808">
        <v>0</v>
      </c>
      <c r="X808" t="s">
        <v>36</v>
      </c>
      <c r="Y808">
        <v>516</v>
      </c>
      <c r="Z808">
        <v>391</v>
      </c>
      <c r="AA808">
        <v>50</v>
      </c>
      <c r="AB808" t="s">
        <v>823</v>
      </c>
      <c r="AC808" t="str">
        <f t="shared" si="24"/>
        <v>CP</v>
      </c>
      <c r="AD808" t="str">
        <f>_xlfn.XLOOKUP(C808,Mapping!A:A,Mapping!D:D,0,0)</f>
        <v>Keyword - Preroll</v>
      </c>
      <c r="AE808" t="str">
        <f t="shared" si="25"/>
        <v>OLD</v>
      </c>
    </row>
    <row r="809" spans="1:31" x14ac:dyDescent="0.2">
      <c r="A809" t="s">
        <v>690</v>
      </c>
      <c r="B809">
        <v>1012915872</v>
      </c>
      <c r="C809" t="s">
        <v>830</v>
      </c>
      <c r="D809" t="s">
        <v>31</v>
      </c>
      <c r="E809" s="1">
        <v>0.67291666666666672</v>
      </c>
      <c r="F809" t="s">
        <v>32</v>
      </c>
      <c r="G809" t="s">
        <v>33</v>
      </c>
      <c r="H809" t="s">
        <v>41</v>
      </c>
      <c r="I809" t="s">
        <v>42</v>
      </c>
      <c r="J809">
        <v>90</v>
      </c>
      <c r="K809">
        <v>0</v>
      </c>
      <c r="L809" t="s">
        <v>63</v>
      </c>
      <c r="M809">
        <v>250</v>
      </c>
      <c r="N809">
        <v>32</v>
      </c>
      <c r="O809">
        <v>5</v>
      </c>
      <c r="P809">
        <v>15.625</v>
      </c>
      <c r="Q809">
        <v>0</v>
      </c>
      <c r="R809">
        <v>0.02</v>
      </c>
      <c r="S809">
        <v>0.69899999999999995</v>
      </c>
      <c r="T809">
        <v>4.0000000000000001E-3</v>
      </c>
      <c r="U809">
        <v>0</v>
      </c>
      <c r="V809">
        <v>1</v>
      </c>
      <c r="W809">
        <v>0</v>
      </c>
      <c r="X809" t="s">
        <v>36</v>
      </c>
      <c r="Y809">
        <v>32</v>
      </c>
      <c r="Z809">
        <v>30</v>
      </c>
      <c r="AA809">
        <v>2</v>
      </c>
      <c r="AB809" t="s">
        <v>823</v>
      </c>
      <c r="AC809" t="str">
        <f t="shared" si="24"/>
        <v>CP</v>
      </c>
      <c r="AD809" t="str">
        <f>_xlfn.XLOOKUP(C809,Mapping!A:A,Mapping!D:D,0,0)</f>
        <v>Keyword - Preroll</v>
      </c>
      <c r="AE809" t="str">
        <f t="shared" si="25"/>
        <v>OLD</v>
      </c>
    </row>
    <row r="810" spans="1:31" x14ac:dyDescent="0.2">
      <c r="A810" t="s">
        <v>29</v>
      </c>
      <c r="B810">
        <v>1012915882</v>
      </c>
      <c r="C810" t="s">
        <v>831</v>
      </c>
      <c r="D810" t="s">
        <v>31</v>
      </c>
      <c r="E810" s="1">
        <v>0.67291666666666672</v>
      </c>
      <c r="F810" t="s">
        <v>32</v>
      </c>
      <c r="G810" t="s">
        <v>33</v>
      </c>
      <c r="H810" t="s">
        <v>41</v>
      </c>
      <c r="I810" t="s">
        <v>42</v>
      </c>
      <c r="J810">
        <v>90</v>
      </c>
      <c r="K810">
        <v>0</v>
      </c>
      <c r="L810" t="s">
        <v>63</v>
      </c>
      <c r="M810">
        <v>250</v>
      </c>
      <c r="N810">
        <v>21519</v>
      </c>
      <c r="O810">
        <v>1051</v>
      </c>
      <c r="P810">
        <v>4.8840599999999998</v>
      </c>
      <c r="Q810">
        <v>0</v>
      </c>
      <c r="R810">
        <v>46.4</v>
      </c>
      <c r="S810">
        <v>2.1560000000000001</v>
      </c>
      <c r="T810">
        <v>4.3999999999999997E-2</v>
      </c>
      <c r="U810">
        <v>0</v>
      </c>
      <c r="V810">
        <v>1</v>
      </c>
      <c r="W810">
        <v>0</v>
      </c>
      <c r="X810" t="s">
        <v>36</v>
      </c>
      <c r="Y810">
        <v>21519</v>
      </c>
      <c r="Z810">
        <v>19310</v>
      </c>
      <c r="AA810">
        <v>1463</v>
      </c>
      <c r="AB810" t="s">
        <v>823</v>
      </c>
      <c r="AC810" t="str">
        <f t="shared" si="24"/>
        <v>CP</v>
      </c>
      <c r="AD810" t="str">
        <f>_xlfn.XLOOKUP(C810,Mapping!A:A,Mapping!D:D,0,0)</f>
        <v>Keyword - Preroll</v>
      </c>
      <c r="AE810" t="str">
        <f t="shared" si="25"/>
        <v>OLD</v>
      </c>
    </row>
    <row r="811" spans="1:31" x14ac:dyDescent="0.2">
      <c r="A811" t="s">
        <v>690</v>
      </c>
      <c r="B811">
        <v>1012915892</v>
      </c>
      <c r="C811" t="s">
        <v>832</v>
      </c>
      <c r="D811" t="s">
        <v>31</v>
      </c>
      <c r="E811" s="1">
        <v>0.67291666666666672</v>
      </c>
      <c r="F811" t="s">
        <v>32</v>
      </c>
      <c r="G811" t="s">
        <v>33</v>
      </c>
      <c r="H811" t="s">
        <v>41</v>
      </c>
      <c r="I811" t="s">
        <v>42</v>
      </c>
      <c r="J811">
        <v>90</v>
      </c>
      <c r="K811">
        <v>0</v>
      </c>
      <c r="L811" t="s">
        <v>63</v>
      </c>
      <c r="M811">
        <v>250</v>
      </c>
      <c r="N811">
        <v>0</v>
      </c>
      <c r="O811">
        <v>0</v>
      </c>
      <c r="P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X811" t="s">
        <v>36</v>
      </c>
      <c r="AB811" t="s">
        <v>823</v>
      </c>
      <c r="AC811" t="str">
        <f t="shared" si="24"/>
        <v>CP</v>
      </c>
      <c r="AD811" t="str">
        <f>_xlfn.XLOOKUP(C811,Mapping!A:A,Mapping!D:D,0,0)</f>
        <v>VOD Hentai Intent</v>
      </c>
      <c r="AE811" t="str">
        <f t="shared" si="25"/>
        <v>OLD</v>
      </c>
    </row>
    <row r="812" spans="1:31" x14ac:dyDescent="0.2">
      <c r="A812" t="s">
        <v>690</v>
      </c>
      <c r="B812">
        <v>1012915902</v>
      </c>
      <c r="C812" t="s">
        <v>833</v>
      </c>
      <c r="D812" t="s">
        <v>31</v>
      </c>
      <c r="E812" s="1">
        <v>0.67291666666666672</v>
      </c>
      <c r="F812" t="s">
        <v>32</v>
      </c>
      <c r="G812" t="s">
        <v>33</v>
      </c>
      <c r="H812" t="s">
        <v>41</v>
      </c>
      <c r="I812" t="s">
        <v>42</v>
      </c>
      <c r="J812">
        <v>90</v>
      </c>
      <c r="K812">
        <v>0</v>
      </c>
      <c r="L812" t="s">
        <v>63</v>
      </c>
      <c r="M812">
        <v>250</v>
      </c>
      <c r="N812">
        <v>271</v>
      </c>
      <c r="O812">
        <v>14</v>
      </c>
      <c r="P812">
        <v>5.1660500000000003</v>
      </c>
      <c r="Q812">
        <v>0</v>
      </c>
      <c r="R812">
        <v>0.16</v>
      </c>
      <c r="S812">
        <v>0.58499999999999996</v>
      </c>
      <c r="T812">
        <v>1.0999999999999999E-2</v>
      </c>
      <c r="U812">
        <v>0</v>
      </c>
      <c r="V812">
        <v>1</v>
      </c>
      <c r="W812">
        <v>0</v>
      </c>
      <c r="X812" t="s">
        <v>36</v>
      </c>
      <c r="Y812">
        <v>271</v>
      </c>
      <c r="Z812">
        <v>238</v>
      </c>
      <c r="AA812">
        <v>25</v>
      </c>
      <c r="AB812" t="s">
        <v>823</v>
      </c>
      <c r="AC812" t="str">
        <f t="shared" si="24"/>
        <v>CP</v>
      </c>
      <c r="AD812" t="str">
        <f>_xlfn.XLOOKUP(C812,Mapping!A:A,Mapping!D:D,0,0)</f>
        <v>Keyword - Preroll</v>
      </c>
      <c r="AE812" t="str">
        <f t="shared" si="25"/>
        <v>OLD</v>
      </c>
    </row>
    <row r="813" spans="1:31" x14ac:dyDescent="0.2">
      <c r="A813" t="s">
        <v>690</v>
      </c>
      <c r="B813">
        <v>1012915922</v>
      </c>
      <c r="C813" t="s">
        <v>834</v>
      </c>
      <c r="D813" t="s">
        <v>31</v>
      </c>
      <c r="E813" s="1">
        <v>0.67291666666666672</v>
      </c>
      <c r="F813" t="s">
        <v>32</v>
      </c>
      <c r="G813" t="s">
        <v>33</v>
      </c>
      <c r="H813" t="s">
        <v>41</v>
      </c>
      <c r="I813" t="s">
        <v>42</v>
      </c>
      <c r="J813">
        <v>90</v>
      </c>
      <c r="K813">
        <v>0</v>
      </c>
      <c r="L813" t="s">
        <v>63</v>
      </c>
      <c r="M813">
        <v>250</v>
      </c>
      <c r="N813">
        <v>6</v>
      </c>
      <c r="O813">
        <v>1</v>
      </c>
      <c r="P813">
        <v>16.66667</v>
      </c>
      <c r="Q813">
        <v>0</v>
      </c>
      <c r="R813">
        <v>0</v>
      </c>
      <c r="S813">
        <v>0.65200000000000002</v>
      </c>
      <c r="T813">
        <v>4.0000000000000001E-3</v>
      </c>
      <c r="U813">
        <v>0</v>
      </c>
      <c r="V813">
        <v>1</v>
      </c>
      <c r="W813">
        <v>0</v>
      </c>
      <c r="X813" t="s">
        <v>36</v>
      </c>
      <c r="Y813">
        <v>6</v>
      </c>
      <c r="Z813">
        <v>6</v>
      </c>
      <c r="AA813">
        <v>0</v>
      </c>
      <c r="AB813" t="s">
        <v>823</v>
      </c>
      <c r="AC813" t="str">
        <f t="shared" si="24"/>
        <v>CP</v>
      </c>
      <c r="AD813" t="str">
        <f>_xlfn.XLOOKUP(C813,Mapping!A:A,Mapping!D:D,0,0)</f>
        <v>VOD Hentai Intent</v>
      </c>
      <c r="AE813" t="str">
        <f t="shared" si="25"/>
        <v>OLD</v>
      </c>
    </row>
    <row r="814" spans="1:31" x14ac:dyDescent="0.2">
      <c r="A814" t="s">
        <v>690</v>
      </c>
      <c r="B814">
        <v>1012915932</v>
      </c>
      <c r="C814" t="s">
        <v>835</v>
      </c>
      <c r="D814" t="s">
        <v>31</v>
      </c>
      <c r="E814" s="1">
        <v>0.67291666666666672</v>
      </c>
      <c r="F814" t="s">
        <v>32</v>
      </c>
      <c r="G814" t="s">
        <v>33</v>
      </c>
      <c r="H814" t="s">
        <v>41</v>
      </c>
      <c r="I814" t="s">
        <v>42</v>
      </c>
      <c r="J814">
        <v>90</v>
      </c>
      <c r="K814">
        <v>0</v>
      </c>
      <c r="L814" t="s">
        <v>63</v>
      </c>
      <c r="M814">
        <v>250</v>
      </c>
      <c r="N814">
        <v>0</v>
      </c>
      <c r="O814">
        <v>0</v>
      </c>
      <c r="P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 t="s">
        <v>36</v>
      </c>
      <c r="AB814" t="s">
        <v>823</v>
      </c>
      <c r="AC814" t="str">
        <f t="shared" si="24"/>
        <v>CP</v>
      </c>
      <c r="AD814" t="str">
        <f>_xlfn.XLOOKUP(C814,Mapping!A:A,Mapping!D:D,0,0)</f>
        <v>VOD Hentai Intent</v>
      </c>
      <c r="AE814" t="str">
        <f t="shared" si="25"/>
        <v>OLD</v>
      </c>
    </row>
    <row r="815" spans="1:31" x14ac:dyDescent="0.2">
      <c r="A815" t="s">
        <v>690</v>
      </c>
      <c r="B815">
        <v>1012915942</v>
      </c>
      <c r="C815" t="s">
        <v>836</v>
      </c>
      <c r="D815" t="s">
        <v>31</v>
      </c>
      <c r="E815" s="1">
        <v>0.67291666666666672</v>
      </c>
      <c r="F815" t="s">
        <v>32</v>
      </c>
      <c r="G815" t="s">
        <v>33</v>
      </c>
      <c r="H815" t="s">
        <v>41</v>
      </c>
      <c r="I815" t="s">
        <v>42</v>
      </c>
      <c r="J815">
        <v>90</v>
      </c>
      <c r="K815">
        <v>0</v>
      </c>
      <c r="L815" t="s">
        <v>63</v>
      </c>
      <c r="M815">
        <v>250</v>
      </c>
      <c r="N815">
        <v>288</v>
      </c>
      <c r="O815">
        <v>20</v>
      </c>
      <c r="P815">
        <v>6.9444400000000002</v>
      </c>
      <c r="Q815">
        <v>0</v>
      </c>
      <c r="R815">
        <v>0.17</v>
      </c>
      <c r="S815">
        <v>0.58299999999999996</v>
      </c>
      <c r="T815">
        <v>8.0000000000000002E-3</v>
      </c>
      <c r="U815">
        <v>0</v>
      </c>
      <c r="V815">
        <v>1</v>
      </c>
      <c r="W815">
        <v>0</v>
      </c>
      <c r="X815" t="s">
        <v>36</v>
      </c>
      <c r="Y815">
        <v>288</v>
      </c>
      <c r="Z815">
        <v>251</v>
      </c>
      <c r="AA815">
        <v>26</v>
      </c>
      <c r="AB815" t="s">
        <v>823</v>
      </c>
      <c r="AC815" t="str">
        <f t="shared" si="24"/>
        <v>CP</v>
      </c>
      <c r="AD815" t="str">
        <f>_xlfn.XLOOKUP(C815,Mapping!A:A,Mapping!D:D,0,0)</f>
        <v>Keyword - Preroll</v>
      </c>
      <c r="AE815" t="str">
        <f t="shared" si="25"/>
        <v>OLD</v>
      </c>
    </row>
    <row r="816" spans="1:31" x14ac:dyDescent="0.2">
      <c r="A816" t="s">
        <v>29</v>
      </c>
      <c r="B816">
        <v>1012915952</v>
      </c>
      <c r="C816" t="s">
        <v>837</v>
      </c>
      <c r="D816" t="s">
        <v>31</v>
      </c>
      <c r="E816" s="1">
        <v>0.67291666666666672</v>
      </c>
      <c r="F816" t="s">
        <v>32</v>
      </c>
      <c r="G816" t="s">
        <v>33</v>
      </c>
      <c r="H816" t="s">
        <v>41</v>
      </c>
      <c r="I816" t="s">
        <v>42</v>
      </c>
      <c r="J816">
        <v>90</v>
      </c>
      <c r="K816">
        <v>0</v>
      </c>
      <c r="L816" t="s">
        <v>63</v>
      </c>
      <c r="M816">
        <v>250</v>
      </c>
      <c r="N816">
        <v>25501</v>
      </c>
      <c r="O816">
        <v>1503</v>
      </c>
      <c r="P816">
        <v>5.8938899999999999</v>
      </c>
      <c r="Q816">
        <v>0</v>
      </c>
      <c r="R816">
        <v>50.62</v>
      </c>
      <c r="S816">
        <v>1.9850000000000001</v>
      </c>
      <c r="T816">
        <v>3.4000000000000002E-2</v>
      </c>
      <c r="U816">
        <v>0</v>
      </c>
      <c r="V816">
        <v>1</v>
      </c>
      <c r="W816">
        <v>0</v>
      </c>
      <c r="X816" t="s">
        <v>36</v>
      </c>
      <c r="Y816">
        <v>25498</v>
      </c>
      <c r="Z816">
        <v>22473</v>
      </c>
      <c r="AA816">
        <v>1984</v>
      </c>
      <c r="AB816" t="s">
        <v>823</v>
      </c>
      <c r="AC816" t="str">
        <f t="shared" si="24"/>
        <v>CP</v>
      </c>
      <c r="AD816" t="str">
        <f>_xlfn.XLOOKUP(C816,Mapping!A:A,Mapping!D:D,0,0)</f>
        <v>Keyword - Preroll</v>
      </c>
      <c r="AE816" t="str">
        <f t="shared" si="25"/>
        <v>OLD</v>
      </c>
    </row>
    <row r="817" spans="1:31" x14ac:dyDescent="0.2">
      <c r="A817" t="s">
        <v>29</v>
      </c>
      <c r="B817">
        <v>1012915962</v>
      </c>
      <c r="C817" t="s">
        <v>126</v>
      </c>
      <c r="D817" t="s">
        <v>31</v>
      </c>
      <c r="E817" s="1">
        <v>0.67291666666666672</v>
      </c>
      <c r="F817" t="s">
        <v>32</v>
      </c>
      <c r="G817" t="s">
        <v>33</v>
      </c>
      <c r="H817" t="s">
        <v>41</v>
      </c>
      <c r="I817" t="s">
        <v>58</v>
      </c>
      <c r="J817">
        <v>20</v>
      </c>
      <c r="K817">
        <v>0</v>
      </c>
      <c r="L817" t="s">
        <v>63</v>
      </c>
      <c r="M817">
        <v>250</v>
      </c>
      <c r="N817">
        <v>6198</v>
      </c>
      <c r="O817">
        <v>400</v>
      </c>
      <c r="P817">
        <v>6.4536899999999999</v>
      </c>
      <c r="Q817">
        <v>0</v>
      </c>
      <c r="R817">
        <v>4.49</v>
      </c>
      <c r="S817">
        <v>0.72499999999999998</v>
      </c>
      <c r="T817">
        <v>1.0999999999999999E-2</v>
      </c>
      <c r="U817">
        <v>0</v>
      </c>
      <c r="V817">
        <v>1</v>
      </c>
      <c r="W817">
        <v>0</v>
      </c>
      <c r="X817" t="s">
        <v>36</v>
      </c>
      <c r="Y817">
        <v>6198</v>
      </c>
      <c r="Z817">
        <v>5649</v>
      </c>
      <c r="AA817">
        <v>372</v>
      </c>
      <c r="AB817" t="s">
        <v>789</v>
      </c>
      <c r="AC817" t="str">
        <f t="shared" si="24"/>
        <v>CP</v>
      </c>
      <c r="AD817" t="str">
        <f>_xlfn.XLOOKUP(C817,Mapping!A:A,Mapping!D:D,0,0)</f>
        <v>Trans</v>
      </c>
      <c r="AE817" t="str">
        <f t="shared" si="25"/>
        <v>OLD</v>
      </c>
    </row>
    <row r="818" spans="1:31" x14ac:dyDescent="0.2">
      <c r="A818" t="s">
        <v>690</v>
      </c>
      <c r="B818">
        <v>1012915972</v>
      </c>
      <c r="C818" t="s">
        <v>132</v>
      </c>
      <c r="D818" t="s">
        <v>31</v>
      </c>
      <c r="E818" s="1">
        <v>0.67291666666666672</v>
      </c>
      <c r="F818" t="s">
        <v>32</v>
      </c>
      <c r="G818" t="s">
        <v>33</v>
      </c>
      <c r="H818" t="s">
        <v>41</v>
      </c>
      <c r="I818" t="s">
        <v>58</v>
      </c>
      <c r="J818">
        <v>20</v>
      </c>
      <c r="K818">
        <v>0</v>
      </c>
      <c r="L818" t="s">
        <v>63</v>
      </c>
      <c r="M818">
        <v>250</v>
      </c>
      <c r="N818">
        <v>122</v>
      </c>
      <c r="O818">
        <v>8</v>
      </c>
      <c r="P818">
        <v>6.5573800000000002</v>
      </c>
      <c r="Q818">
        <v>0</v>
      </c>
      <c r="R818">
        <v>0.1</v>
      </c>
      <c r="S818">
        <v>0.78</v>
      </c>
      <c r="T818">
        <v>1.2E-2</v>
      </c>
      <c r="U818">
        <v>0</v>
      </c>
      <c r="V818">
        <v>1</v>
      </c>
      <c r="W818">
        <v>0</v>
      </c>
      <c r="X818" t="s">
        <v>36</v>
      </c>
      <c r="Y818">
        <v>122</v>
      </c>
      <c r="Z818">
        <v>115</v>
      </c>
      <c r="AA818">
        <v>4</v>
      </c>
      <c r="AB818" t="s">
        <v>789</v>
      </c>
      <c r="AC818" t="str">
        <f t="shared" si="24"/>
        <v>CP</v>
      </c>
      <c r="AD818" t="str">
        <f>_xlfn.XLOOKUP(C818,Mapping!A:A,Mapping!D:D,0,0)</f>
        <v>Trans</v>
      </c>
      <c r="AE818" t="str">
        <f t="shared" si="25"/>
        <v>OLD</v>
      </c>
    </row>
    <row r="819" spans="1:31" x14ac:dyDescent="0.2">
      <c r="A819" t="s">
        <v>39</v>
      </c>
      <c r="B819">
        <v>1012915982</v>
      </c>
      <c r="C819" t="s">
        <v>128</v>
      </c>
      <c r="D819" t="s">
        <v>31</v>
      </c>
      <c r="E819" s="1">
        <v>0.67291666666666672</v>
      </c>
      <c r="F819" t="s">
        <v>32</v>
      </c>
      <c r="G819" t="s">
        <v>33</v>
      </c>
      <c r="H819" t="s">
        <v>41</v>
      </c>
      <c r="I819" t="s">
        <v>58</v>
      </c>
      <c r="J819">
        <v>20</v>
      </c>
      <c r="K819">
        <v>0</v>
      </c>
      <c r="L819" t="s">
        <v>63</v>
      </c>
      <c r="M819">
        <v>250</v>
      </c>
      <c r="N819">
        <v>0</v>
      </c>
      <c r="O819">
        <v>0</v>
      </c>
      <c r="P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 t="s">
        <v>36</v>
      </c>
      <c r="AB819" t="s">
        <v>789</v>
      </c>
      <c r="AC819" t="str">
        <f t="shared" si="24"/>
        <v>CP</v>
      </c>
      <c r="AD819" t="str">
        <f>_xlfn.XLOOKUP(C819,Mapping!A:A,Mapping!D:D,0,0)</f>
        <v>Bin</v>
      </c>
      <c r="AE819" t="str">
        <f t="shared" si="25"/>
        <v>OLD</v>
      </c>
    </row>
    <row r="820" spans="1:31" x14ac:dyDescent="0.2">
      <c r="A820" t="s">
        <v>690</v>
      </c>
      <c r="B820">
        <v>1012915992</v>
      </c>
      <c r="C820" t="s">
        <v>838</v>
      </c>
      <c r="D820" t="s">
        <v>31</v>
      </c>
      <c r="E820" s="1">
        <v>0.67291666666666672</v>
      </c>
      <c r="F820" t="s">
        <v>32</v>
      </c>
      <c r="G820" t="s">
        <v>33</v>
      </c>
      <c r="H820" t="s">
        <v>41</v>
      </c>
      <c r="I820" t="s">
        <v>58</v>
      </c>
      <c r="J820">
        <v>20</v>
      </c>
      <c r="K820">
        <v>0</v>
      </c>
      <c r="L820" t="s">
        <v>63</v>
      </c>
      <c r="M820">
        <v>250</v>
      </c>
      <c r="N820">
        <v>4</v>
      </c>
      <c r="O820">
        <v>0</v>
      </c>
      <c r="P820">
        <v>0</v>
      </c>
      <c r="Q820">
        <v>0</v>
      </c>
      <c r="R820">
        <v>0</v>
      </c>
      <c r="S820">
        <v>0.33100000000000002</v>
      </c>
      <c r="T820">
        <v>0</v>
      </c>
      <c r="U820">
        <v>0</v>
      </c>
      <c r="V820">
        <v>1</v>
      </c>
      <c r="W820">
        <v>0</v>
      </c>
      <c r="X820" t="s">
        <v>36</v>
      </c>
      <c r="Y820">
        <v>4</v>
      </c>
      <c r="Z820">
        <v>4</v>
      </c>
      <c r="AA820">
        <v>0</v>
      </c>
      <c r="AB820" t="s">
        <v>789</v>
      </c>
      <c r="AC820" t="str">
        <f t="shared" si="24"/>
        <v>CP</v>
      </c>
      <c r="AD820" t="str">
        <f>_xlfn.XLOOKUP(C820,Mapping!A:A,Mapping!D:D,0,0)</f>
        <v>Trans</v>
      </c>
      <c r="AE820" t="str">
        <f t="shared" si="25"/>
        <v>OLD</v>
      </c>
    </row>
    <row r="821" spans="1:31" x14ac:dyDescent="0.2">
      <c r="A821" t="s">
        <v>29</v>
      </c>
      <c r="B821">
        <v>1012916002</v>
      </c>
      <c r="C821" t="s">
        <v>129</v>
      </c>
      <c r="D821" t="s">
        <v>31</v>
      </c>
      <c r="E821" s="1">
        <v>0.67291666666666672</v>
      </c>
      <c r="F821" t="s">
        <v>32</v>
      </c>
      <c r="G821" t="s">
        <v>33</v>
      </c>
      <c r="H821" t="s">
        <v>34</v>
      </c>
      <c r="I821" t="s">
        <v>124</v>
      </c>
      <c r="J821">
        <v>8</v>
      </c>
      <c r="K821">
        <v>0</v>
      </c>
      <c r="L821" t="s">
        <v>63</v>
      </c>
      <c r="M821">
        <v>250</v>
      </c>
      <c r="N821">
        <v>10585</v>
      </c>
      <c r="O821">
        <v>488</v>
      </c>
      <c r="P821">
        <v>4.61029</v>
      </c>
      <c r="Q821">
        <v>0</v>
      </c>
      <c r="R821">
        <v>25.95</v>
      </c>
      <c r="S821">
        <v>2.452</v>
      </c>
      <c r="T821">
        <v>5.2999999999999999E-2</v>
      </c>
      <c r="U821">
        <v>0</v>
      </c>
      <c r="V821">
        <v>1</v>
      </c>
      <c r="W821">
        <v>0</v>
      </c>
      <c r="X821" t="s">
        <v>36</v>
      </c>
      <c r="Y821">
        <v>10585</v>
      </c>
      <c r="Z821">
        <v>8188</v>
      </c>
      <c r="AA821">
        <v>1363</v>
      </c>
      <c r="AB821" t="s">
        <v>789</v>
      </c>
      <c r="AC821" t="str">
        <f t="shared" si="24"/>
        <v>CP</v>
      </c>
      <c r="AD821" t="str">
        <f>_xlfn.XLOOKUP(C821,Mapping!A:A,Mapping!D:D,0,0)</f>
        <v>Trans</v>
      </c>
      <c r="AE821" t="str">
        <f t="shared" si="25"/>
        <v>OLD</v>
      </c>
    </row>
    <row r="822" spans="1:31" x14ac:dyDescent="0.2">
      <c r="A822" t="s">
        <v>29</v>
      </c>
      <c r="B822">
        <v>1012916012</v>
      </c>
      <c r="C822" t="s">
        <v>130</v>
      </c>
      <c r="D822" t="s">
        <v>31</v>
      </c>
      <c r="E822" s="1">
        <v>0.67291666666666672</v>
      </c>
      <c r="F822" t="s">
        <v>32</v>
      </c>
      <c r="G822" t="s">
        <v>33</v>
      </c>
      <c r="H822" t="s">
        <v>34</v>
      </c>
      <c r="I822" t="s">
        <v>124</v>
      </c>
      <c r="J822">
        <v>8</v>
      </c>
      <c r="K822">
        <v>0</v>
      </c>
      <c r="L822" t="s">
        <v>63</v>
      </c>
      <c r="M822">
        <v>250</v>
      </c>
      <c r="N822">
        <v>18361</v>
      </c>
      <c r="O822">
        <v>622</v>
      </c>
      <c r="P822">
        <v>3.3876200000000001</v>
      </c>
      <c r="Q822">
        <v>0</v>
      </c>
      <c r="R822">
        <v>49.48</v>
      </c>
      <c r="S822">
        <v>2.6949999999999998</v>
      </c>
      <c r="T822">
        <v>0.08</v>
      </c>
      <c r="U822">
        <v>0</v>
      </c>
      <c r="V822">
        <v>1</v>
      </c>
      <c r="W822">
        <v>0</v>
      </c>
      <c r="X822" t="s">
        <v>36</v>
      </c>
      <c r="Y822">
        <v>18361</v>
      </c>
      <c r="Z822">
        <v>14154</v>
      </c>
      <c r="AA822">
        <v>2054</v>
      </c>
      <c r="AB822" t="s">
        <v>789</v>
      </c>
      <c r="AC822" t="str">
        <f t="shared" si="24"/>
        <v>CP</v>
      </c>
      <c r="AD822" t="str">
        <f>_xlfn.XLOOKUP(C822,Mapping!A:A,Mapping!D:D,0,0)</f>
        <v>Trans</v>
      </c>
      <c r="AE822" t="str">
        <f t="shared" si="25"/>
        <v>OLD</v>
      </c>
    </row>
    <row r="823" spans="1:31" x14ac:dyDescent="0.2">
      <c r="A823" t="s">
        <v>39</v>
      </c>
      <c r="B823">
        <v>1012916022</v>
      </c>
      <c r="C823" t="s">
        <v>131</v>
      </c>
      <c r="D823" t="s">
        <v>31</v>
      </c>
      <c r="E823" s="1">
        <v>0.67291666666666672</v>
      </c>
      <c r="F823" t="s">
        <v>32</v>
      </c>
      <c r="G823" t="s">
        <v>33</v>
      </c>
      <c r="H823" t="s">
        <v>34</v>
      </c>
      <c r="I823" t="s">
        <v>124</v>
      </c>
      <c r="J823">
        <v>8</v>
      </c>
      <c r="K823">
        <v>0</v>
      </c>
      <c r="L823" t="s">
        <v>63</v>
      </c>
      <c r="M823">
        <v>250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2.5880000000000001</v>
      </c>
      <c r="T823">
        <v>0</v>
      </c>
      <c r="U823">
        <v>0</v>
      </c>
      <c r="V823">
        <v>1</v>
      </c>
      <c r="W823">
        <v>0</v>
      </c>
      <c r="X823" t="s">
        <v>36</v>
      </c>
      <c r="Y823">
        <v>1</v>
      </c>
      <c r="Z823">
        <v>1</v>
      </c>
      <c r="AA823">
        <v>0</v>
      </c>
      <c r="AB823" t="s">
        <v>789</v>
      </c>
      <c r="AC823" t="str">
        <f t="shared" si="24"/>
        <v>CP</v>
      </c>
      <c r="AD823" t="str">
        <f>_xlfn.XLOOKUP(C823,Mapping!A:A,Mapping!D:D,0,0)</f>
        <v>Bin</v>
      </c>
      <c r="AE823" t="str">
        <f t="shared" si="25"/>
        <v>OLD</v>
      </c>
    </row>
    <row r="824" spans="1:31" x14ac:dyDescent="0.2">
      <c r="A824" t="s">
        <v>29</v>
      </c>
      <c r="B824">
        <v>1012916032</v>
      </c>
      <c r="C824" t="s">
        <v>839</v>
      </c>
      <c r="D824" t="s">
        <v>31</v>
      </c>
      <c r="E824" s="1">
        <v>0.67291666666666672</v>
      </c>
      <c r="F824" t="s">
        <v>32</v>
      </c>
      <c r="G824" t="s">
        <v>33</v>
      </c>
      <c r="H824" t="s">
        <v>34</v>
      </c>
      <c r="I824" t="s">
        <v>124</v>
      </c>
      <c r="J824">
        <v>8</v>
      </c>
      <c r="K824">
        <v>0</v>
      </c>
      <c r="L824" t="s">
        <v>63</v>
      </c>
      <c r="M824">
        <v>250</v>
      </c>
      <c r="N824">
        <v>1393</v>
      </c>
      <c r="O824">
        <v>46</v>
      </c>
      <c r="P824">
        <v>3.3022300000000002</v>
      </c>
      <c r="Q824">
        <v>0</v>
      </c>
      <c r="R824">
        <v>0.77</v>
      </c>
      <c r="S824">
        <v>0.55400000000000005</v>
      </c>
      <c r="T824">
        <v>1.7000000000000001E-2</v>
      </c>
      <c r="U824">
        <v>0</v>
      </c>
      <c r="V824">
        <v>1</v>
      </c>
      <c r="W824">
        <v>0</v>
      </c>
      <c r="X824" t="s">
        <v>36</v>
      </c>
      <c r="Y824">
        <v>1393</v>
      </c>
      <c r="Z824">
        <v>998</v>
      </c>
      <c r="AA824">
        <v>185</v>
      </c>
      <c r="AB824" t="s">
        <v>789</v>
      </c>
      <c r="AC824" t="str">
        <f t="shared" si="24"/>
        <v>CP</v>
      </c>
      <c r="AD824" t="str">
        <f>_xlfn.XLOOKUP(C824,Mapping!A:A,Mapping!D:D,0,0)</f>
        <v>Trans</v>
      </c>
      <c r="AE824" t="str">
        <f t="shared" si="25"/>
        <v>OLD</v>
      </c>
    </row>
    <row r="825" spans="1:31" x14ac:dyDescent="0.2">
      <c r="A825" t="s">
        <v>29</v>
      </c>
      <c r="B825">
        <v>1012916052</v>
      </c>
      <c r="C825" t="s">
        <v>840</v>
      </c>
      <c r="D825" t="s">
        <v>31</v>
      </c>
      <c r="E825" s="1">
        <v>0.67291666666666672</v>
      </c>
      <c r="F825" t="s">
        <v>32</v>
      </c>
      <c r="G825" t="s">
        <v>33</v>
      </c>
      <c r="H825" t="s">
        <v>41</v>
      </c>
      <c r="I825" t="s">
        <v>58</v>
      </c>
      <c r="J825">
        <v>20</v>
      </c>
      <c r="K825">
        <v>0</v>
      </c>
      <c r="L825" t="s">
        <v>63</v>
      </c>
      <c r="M825">
        <v>250</v>
      </c>
      <c r="N825">
        <v>2760</v>
      </c>
      <c r="O825">
        <v>141</v>
      </c>
      <c r="P825">
        <v>5.1086999999999998</v>
      </c>
      <c r="Q825">
        <v>0</v>
      </c>
      <c r="R825">
        <v>1.96</v>
      </c>
      <c r="S825">
        <v>0.71</v>
      </c>
      <c r="T825">
        <v>1.4E-2</v>
      </c>
      <c r="U825">
        <v>0</v>
      </c>
      <c r="V825">
        <v>1</v>
      </c>
      <c r="W825">
        <v>0</v>
      </c>
      <c r="X825" t="s">
        <v>36</v>
      </c>
      <c r="Y825">
        <v>2760</v>
      </c>
      <c r="Z825">
        <v>2491</v>
      </c>
      <c r="AA825">
        <v>171</v>
      </c>
      <c r="AB825" t="s">
        <v>789</v>
      </c>
      <c r="AC825" t="str">
        <f t="shared" si="24"/>
        <v>CP</v>
      </c>
      <c r="AD825" t="str">
        <f>_xlfn.XLOOKUP(C825,Mapping!A:A,Mapping!D:D,0,0)</f>
        <v>Trans</v>
      </c>
      <c r="AE825" t="str">
        <f t="shared" si="25"/>
        <v>OLD</v>
      </c>
    </row>
    <row r="826" spans="1:31" x14ac:dyDescent="0.2">
      <c r="A826" t="s">
        <v>39</v>
      </c>
      <c r="B826">
        <v>1012916062</v>
      </c>
      <c r="C826" t="s">
        <v>841</v>
      </c>
      <c r="D826" t="s">
        <v>31</v>
      </c>
      <c r="E826" s="1">
        <v>0.67291666666666672</v>
      </c>
      <c r="F826" t="s">
        <v>32</v>
      </c>
      <c r="G826" t="s">
        <v>33</v>
      </c>
      <c r="H826" t="s">
        <v>41</v>
      </c>
      <c r="I826" t="s">
        <v>58</v>
      </c>
      <c r="J826">
        <v>20</v>
      </c>
      <c r="K826">
        <v>0</v>
      </c>
      <c r="L826" t="s">
        <v>63</v>
      </c>
      <c r="M826">
        <v>250</v>
      </c>
      <c r="N826">
        <v>0</v>
      </c>
      <c r="O826">
        <v>0</v>
      </c>
      <c r="P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 t="s">
        <v>36</v>
      </c>
      <c r="AB826" t="s">
        <v>789</v>
      </c>
      <c r="AC826" t="str">
        <f t="shared" si="24"/>
        <v>CP</v>
      </c>
      <c r="AD826" t="str">
        <f>_xlfn.XLOOKUP(C826,Mapping!A:A,Mapping!D:D,0,0)</f>
        <v>Trans</v>
      </c>
      <c r="AE826" t="str">
        <f t="shared" si="25"/>
        <v>OLD</v>
      </c>
    </row>
    <row r="827" spans="1:31" x14ac:dyDescent="0.2">
      <c r="A827" t="s">
        <v>29</v>
      </c>
      <c r="B827">
        <v>1012916072</v>
      </c>
      <c r="C827" t="s">
        <v>842</v>
      </c>
      <c r="D827" t="s">
        <v>31</v>
      </c>
      <c r="E827" s="1">
        <v>0.67291666666666672</v>
      </c>
      <c r="F827" t="s">
        <v>32</v>
      </c>
      <c r="G827" t="s">
        <v>33</v>
      </c>
      <c r="H827" t="s">
        <v>41</v>
      </c>
      <c r="I827" t="s">
        <v>58</v>
      </c>
      <c r="J827">
        <v>20</v>
      </c>
      <c r="K827">
        <v>0</v>
      </c>
      <c r="L827" t="s">
        <v>63</v>
      </c>
      <c r="M827">
        <v>250</v>
      </c>
      <c r="N827">
        <v>1432</v>
      </c>
      <c r="O827">
        <v>102</v>
      </c>
      <c r="P827">
        <v>7.1229100000000001</v>
      </c>
      <c r="Q827">
        <v>0</v>
      </c>
      <c r="R827">
        <v>0.97</v>
      </c>
      <c r="S827">
        <v>0.68</v>
      </c>
      <c r="T827">
        <v>0.01</v>
      </c>
      <c r="U827">
        <v>0</v>
      </c>
      <c r="V827">
        <v>1</v>
      </c>
      <c r="W827">
        <v>0</v>
      </c>
      <c r="X827" t="s">
        <v>36</v>
      </c>
      <c r="Y827">
        <v>1432</v>
      </c>
      <c r="Z827">
        <v>1315</v>
      </c>
      <c r="AA827">
        <v>80</v>
      </c>
      <c r="AB827" t="s">
        <v>789</v>
      </c>
      <c r="AC827" t="str">
        <f t="shared" si="24"/>
        <v>CP</v>
      </c>
      <c r="AD827" t="str">
        <f>_xlfn.XLOOKUP(C827,Mapping!A:A,Mapping!D:D,0,0)</f>
        <v>Trans</v>
      </c>
      <c r="AE827" t="str">
        <f t="shared" si="25"/>
        <v>OLD</v>
      </c>
    </row>
    <row r="828" spans="1:31" x14ac:dyDescent="0.2">
      <c r="A828" t="s">
        <v>690</v>
      </c>
      <c r="B828">
        <v>1012916082</v>
      </c>
      <c r="C828" t="s">
        <v>843</v>
      </c>
      <c r="D828" t="s">
        <v>31</v>
      </c>
      <c r="E828" s="1">
        <v>0.67291666666666672</v>
      </c>
      <c r="F828" t="s">
        <v>32</v>
      </c>
      <c r="G828" t="s">
        <v>33</v>
      </c>
      <c r="H828" t="s">
        <v>41</v>
      </c>
      <c r="I828" t="s">
        <v>58</v>
      </c>
      <c r="J828">
        <v>20</v>
      </c>
      <c r="K828">
        <v>0</v>
      </c>
      <c r="L828" t="s">
        <v>63</v>
      </c>
      <c r="M828">
        <v>250</v>
      </c>
      <c r="N828">
        <v>6</v>
      </c>
      <c r="O828">
        <v>1</v>
      </c>
      <c r="P828">
        <v>16.66667</v>
      </c>
      <c r="Q828">
        <v>0</v>
      </c>
      <c r="R828">
        <v>0</v>
      </c>
      <c r="S828">
        <v>0.23699999999999999</v>
      </c>
      <c r="T828">
        <v>1E-3</v>
      </c>
      <c r="U828">
        <v>0</v>
      </c>
      <c r="V828">
        <v>1</v>
      </c>
      <c r="W828">
        <v>0</v>
      </c>
      <c r="X828" t="s">
        <v>36</v>
      </c>
      <c r="Y828">
        <v>6</v>
      </c>
      <c r="Z828">
        <v>5</v>
      </c>
      <c r="AA828">
        <v>0</v>
      </c>
      <c r="AB828" t="s">
        <v>789</v>
      </c>
      <c r="AC828" t="str">
        <f t="shared" si="24"/>
        <v>CP</v>
      </c>
      <c r="AD828" t="str">
        <f>_xlfn.XLOOKUP(C828,Mapping!A:A,Mapping!D:D,0,0)</f>
        <v>Trans</v>
      </c>
      <c r="AE828" t="str">
        <f t="shared" si="25"/>
        <v>OLD</v>
      </c>
    </row>
    <row r="829" spans="1:31" x14ac:dyDescent="0.2">
      <c r="A829" t="s">
        <v>39</v>
      </c>
      <c r="B829">
        <v>1012921252</v>
      </c>
      <c r="C829" t="s">
        <v>844</v>
      </c>
      <c r="D829" t="s">
        <v>31</v>
      </c>
      <c r="E829" s="1">
        <v>0.67291666666666672</v>
      </c>
      <c r="F829" t="s">
        <v>32</v>
      </c>
      <c r="G829" t="s">
        <v>33</v>
      </c>
      <c r="H829" t="s">
        <v>41</v>
      </c>
      <c r="I829" t="s">
        <v>255</v>
      </c>
      <c r="J829">
        <v>6</v>
      </c>
      <c r="K829">
        <v>0</v>
      </c>
      <c r="L829" t="s">
        <v>63</v>
      </c>
      <c r="M829">
        <v>500</v>
      </c>
      <c r="N829">
        <v>0</v>
      </c>
      <c r="O829">
        <v>0</v>
      </c>
      <c r="P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 t="s">
        <v>36</v>
      </c>
      <c r="AB829" t="s">
        <v>606</v>
      </c>
      <c r="AC829" t="str">
        <f t="shared" si="24"/>
        <v>CP</v>
      </c>
      <c r="AD829" t="str">
        <f>_xlfn.XLOOKUP(C829,Mapping!A:A,Mapping!D:D,0,0)</f>
        <v>Blowjob</v>
      </c>
      <c r="AE829" t="str">
        <f t="shared" si="25"/>
        <v>OLD</v>
      </c>
    </row>
    <row r="830" spans="1:31" x14ac:dyDescent="0.2">
      <c r="A830" t="s">
        <v>29</v>
      </c>
      <c r="B830">
        <v>1012921942</v>
      </c>
      <c r="C830" t="s">
        <v>845</v>
      </c>
      <c r="D830" t="s">
        <v>31</v>
      </c>
      <c r="E830" s="1">
        <v>0.67291666666666672</v>
      </c>
      <c r="F830" t="s">
        <v>32</v>
      </c>
      <c r="G830" t="s">
        <v>33</v>
      </c>
      <c r="H830" t="s">
        <v>41</v>
      </c>
      <c r="I830" t="s">
        <v>62</v>
      </c>
      <c r="J830">
        <v>1100</v>
      </c>
      <c r="K830">
        <v>0</v>
      </c>
      <c r="L830" t="s">
        <v>36</v>
      </c>
      <c r="M830" t="s">
        <v>37</v>
      </c>
      <c r="N830">
        <v>80402</v>
      </c>
      <c r="O830">
        <v>6263</v>
      </c>
      <c r="P830">
        <v>7.7896099999999997</v>
      </c>
      <c r="Q830">
        <v>1</v>
      </c>
      <c r="R830">
        <v>99.37</v>
      </c>
      <c r="S830">
        <v>1.236</v>
      </c>
      <c r="T830">
        <v>1.6E-2</v>
      </c>
      <c r="U830">
        <v>99.373000000000005</v>
      </c>
      <c r="V830">
        <v>1</v>
      </c>
      <c r="W830">
        <v>0</v>
      </c>
      <c r="X830" t="s">
        <v>36</v>
      </c>
      <c r="Y830">
        <v>80402</v>
      </c>
      <c r="Z830">
        <v>70377</v>
      </c>
      <c r="AA830">
        <v>6258</v>
      </c>
      <c r="AB830" t="s">
        <v>618</v>
      </c>
      <c r="AC830" t="str">
        <f t="shared" si="24"/>
        <v>CP</v>
      </c>
      <c r="AD830" t="str">
        <f>_xlfn.XLOOKUP(C830,Mapping!A:A,Mapping!D:D,0,0)</f>
        <v>Hentai</v>
      </c>
      <c r="AE830" t="str">
        <f t="shared" si="25"/>
        <v>OLD</v>
      </c>
    </row>
    <row r="831" spans="1:31" x14ac:dyDescent="0.2">
      <c r="A831" t="s">
        <v>29</v>
      </c>
      <c r="B831">
        <v>1012921952</v>
      </c>
      <c r="C831" t="s">
        <v>846</v>
      </c>
      <c r="D831" t="s">
        <v>31</v>
      </c>
      <c r="E831" s="1">
        <v>0.67291666666666672</v>
      </c>
      <c r="F831" t="s">
        <v>32</v>
      </c>
      <c r="G831" t="s">
        <v>33</v>
      </c>
      <c r="H831" t="s">
        <v>41</v>
      </c>
      <c r="I831" t="s">
        <v>62</v>
      </c>
      <c r="J831">
        <v>1100</v>
      </c>
      <c r="K831">
        <v>0</v>
      </c>
      <c r="L831" t="s">
        <v>63</v>
      </c>
      <c r="M831">
        <v>250</v>
      </c>
      <c r="N831">
        <v>56923</v>
      </c>
      <c r="O831">
        <v>3585</v>
      </c>
      <c r="P831">
        <v>6.2979799999999999</v>
      </c>
      <c r="Q831">
        <v>0</v>
      </c>
      <c r="R831">
        <v>90.44</v>
      </c>
      <c r="S831">
        <v>1.589</v>
      </c>
      <c r="T831">
        <v>2.5000000000000001E-2</v>
      </c>
      <c r="U831">
        <v>0</v>
      </c>
      <c r="V831">
        <v>1</v>
      </c>
      <c r="W831">
        <v>0</v>
      </c>
      <c r="X831" t="s">
        <v>36</v>
      </c>
      <c r="Y831">
        <v>56924</v>
      </c>
      <c r="Z831">
        <v>50069</v>
      </c>
      <c r="AA831">
        <v>4286</v>
      </c>
      <c r="AB831" t="s">
        <v>618</v>
      </c>
      <c r="AC831" t="str">
        <f t="shared" si="24"/>
        <v>CP</v>
      </c>
      <c r="AD831" t="str">
        <f>_xlfn.XLOOKUP(C831,Mapping!A:A,Mapping!D:D,0,0)</f>
        <v>Hentai</v>
      </c>
      <c r="AE831" t="str">
        <f t="shared" si="25"/>
        <v>OLD</v>
      </c>
    </row>
    <row r="832" spans="1:31" x14ac:dyDescent="0.2">
      <c r="A832" t="s">
        <v>29</v>
      </c>
      <c r="B832">
        <v>1012921962</v>
      </c>
      <c r="C832" t="s">
        <v>847</v>
      </c>
      <c r="D832" t="s">
        <v>31</v>
      </c>
      <c r="E832" s="1">
        <v>0.67291666666666672</v>
      </c>
      <c r="F832" t="s">
        <v>32</v>
      </c>
      <c r="G832" t="s">
        <v>33</v>
      </c>
      <c r="H832" t="s">
        <v>34</v>
      </c>
      <c r="I832" t="s">
        <v>84</v>
      </c>
      <c r="J832">
        <v>520</v>
      </c>
      <c r="K832">
        <v>0</v>
      </c>
      <c r="L832" t="s">
        <v>36</v>
      </c>
      <c r="M832" t="s">
        <v>37</v>
      </c>
      <c r="N832">
        <v>38936</v>
      </c>
      <c r="O832">
        <v>2631</v>
      </c>
      <c r="P832">
        <v>6.7572400000000004</v>
      </c>
      <c r="Q832">
        <v>2</v>
      </c>
      <c r="R832">
        <v>70.95</v>
      </c>
      <c r="S832">
        <v>1.8220000000000001</v>
      </c>
      <c r="T832">
        <v>2.7E-2</v>
      </c>
      <c r="U832">
        <v>35.472999999999999</v>
      </c>
      <c r="V832">
        <v>1</v>
      </c>
      <c r="W832">
        <v>0</v>
      </c>
      <c r="X832" t="s">
        <v>36</v>
      </c>
      <c r="Y832">
        <v>38936</v>
      </c>
      <c r="Z832">
        <v>30453</v>
      </c>
      <c r="AA832">
        <v>4059</v>
      </c>
      <c r="AB832" t="s">
        <v>618</v>
      </c>
      <c r="AC832" t="str">
        <f t="shared" si="24"/>
        <v>CP</v>
      </c>
      <c r="AD832" t="str">
        <f>_xlfn.XLOOKUP(C832,Mapping!A:A,Mapping!D:D,0,0)</f>
        <v>Hentai</v>
      </c>
      <c r="AE832" t="str">
        <f t="shared" si="25"/>
        <v>OLD</v>
      </c>
    </row>
    <row r="833" spans="1:31" x14ac:dyDescent="0.2">
      <c r="A833" t="s">
        <v>29</v>
      </c>
      <c r="B833">
        <v>1012924742</v>
      </c>
      <c r="C833" t="s">
        <v>848</v>
      </c>
      <c r="D833" t="s">
        <v>31</v>
      </c>
      <c r="E833" s="1">
        <v>0.67291666666666672</v>
      </c>
      <c r="F833" t="s">
        <v>32</v>
      </c>
      <c r="G833" t="s">
        <v>33</v>
      </c>
      <c r="H833" t="s">
        <v>34</v>
      </c>
      <c r="I833" t="s">
        <v>84</v>
      </c>
      <c r="J833">
        <v>360</v>
      </c>
      <c r="K833">
        <v>0</v>
      </c>
      <c r="L833" t="s">
        <v>36</v>
      </c>
      <c r="M833" t="s">
        <v>37</v>
      </c>
      <c r="N833">
        <v>839975</v>
      </c>
      <c r="O833">
        <v>42435</v>
      </c>
      <c r="P833">
        <v>5.0519400000000001</v>
      </c>
      <c r="Q833">
        <v>19</v>
      </c>
      <c r="R833">
        <v>1559.05</v>
      </c>
      <c r="S833">
        <v>1.8560000000000001</v>
      </c>
      <c r="T833">
        <v>3.6999999999999998E-2</v>
      </c>
      <c r="U833">
        <v>82.055000000000007</v>
      </c>
      <c r="V833">
        <v>1</v>
      </c>
      <c r="W833">
        <v>0</v>
      </c>
      <c r="X833" t="s">
        <v>36</v>
      </c>
      <c r="Y833">
        <v>839982</v>
      </c>
      <c r="Z833">
        <v>645394</v>
      </c>
      <c r="AA833">
        <v>112265</v>
      </c>
      <c r="AB833" t="s">
        <v>849</v>
      </c>
      <c r="AC833" t="str">
        <f t="shared" si="24"/>
        <v>CP</v>
      </c>
      <c r="AD833" t="str">
        <f>_xlfn.XLOOKUP(C833,Mapping!A:A,Mapping!D:D,0,0)</f>
        <v>Global</v>
      </c>
      <c r="AE833" t="str">
        <f t="shared" si="25"/>
        <v>OLD</v>
      </c>
    </row>
    <row r="834" spans="1:31" x14ac:dyDescent="0.2">
      <c r="A834" t="s">
        <v>39</v>
      </c>
      <c r="B834">
        <v>1012924752</v>
      </c>
      <c r="C834" t="s">
        <v>850</v>
      </c>
      <c r="D834" t="s">
        <v>31</v>
      </c>
      <c r="E834" s="1">
        <v>0.67291666666666672</v>
      </c>
      <c r="F834" t="s">
        <v>32</v>
      </c>
      <c r="G834" t="s">
        <v>33</v>
      </c>
      <c r="H834" t="s">
        <v>41</v>
      </c>
      <c r="I834" t="s">
        <v>62</v>
      </c>
      <c r="J834">
        <v>700</v>
      </c>
      <c r="K834">
        <v>0</v>
      </c>
      <c r="L834" t="s">
        <v>36</v>
      </c>
      <c r="M834" t="s">
        <v>37</v>
      </c>
      <c r="N834">
        <v>0</v>
      </c>
      <c r="O834">
        <v>0</v>
      </c>
      <c r="P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 t="s">
        <v>36</v>
      </c>
      <c r="AB834" t="s">
        <v>849</v>
      </c>
      <c r="AC834" t="str">
        <f t="shared" si="24"/>
        <v>CP</v>
      </c>
      <c r="AD834" t="str">
        <f>_xlfn.XLOOKUP(C834,Mapping!A:A,Mapping!D:D,0,0)</f>
        <v>Global</v>
      </c>
      <c r="AE834" t="str">
        <f t="shared" si="25"/>
        <v>OLD</v>
      </c>
    </row>
    <row r="835" spans="1:31" x14ac:dyDescent="0.2">
      <c r="A835" t="s">
        <v>39</v>
      </c>
      <c r="B835">
        <v>1012924762</v>
      </c>
      <c r="C835" t="s">
        <v>851</v>
      </c>
      <c r="D835" t="s">
        <v>31</v>
      </c>
      <c r="E835" s="1">
        <v>0.67291666666666672</v>
      </c>
      <c r="F835" t="s">
        <v>32</v>
      </c>
      <c r="G835" t="s">
        <v>33</v>
      </c>
      <c r="H835" t="s">
        <v>41</v>
      </c>
      <c r="I835" t="s">
        <v>62</v>
      </c>
      <c r="J835">
        <v>700</v>
      </c>
      <c r="K835">
        <v>0</v>
      </c>
      <c r="L835" t="s">
        <v>36</v>
      </c>
      <c r="M835" t="s">
        <v>37</v>
      </c>
      <c r="N835">
        <v>2</v>
      </c>
      <c r="O835">
        <v>0</v>
      </c>
      <c r="P835">
        <v>0</v>
      </c>
      <c r="Q835">
        <v>1</v>
      </c>
      <c r="R835">
        <v>0</v>
      </c>
      <c r="S835">
        <v>1.482</v>
      </c>
      <c r="T835">
        <v>0</v>
      </c>
      <c r="U835">
        <v>3.0000000000000001E-3</v>
      </c>
      <c r="V835">
        <v>1</v>
      </c>
      <c r="W835">
        <v>0</v>
      </c>
      <c r="X835" t="s">
        <v>36</v>
      </c>
      <c r="Y835">
        <v>2</v>
      </c>
      <c r="Z835">
        <v>1</v>
      </c>
      <c r="AA835">
        <v>0</v>
      </c>
      <c r="AB835" t="s">
        <v>849</v>
      </c>
      <c r="AC835" t="str">
        <f t="shared" ref="AC835:AC898" si="26">LEFT(C835,2)</f>
        <v>CP</v>
      </c>
      <c r="AD835" t="str">
        <f>_xlfn.XLOOKUP(C835,Mapping!A:A,Mapping!D:D,0,0)</f>
        <v>Global</v>
      </c>
      <c r="AE835" t="str">
        <f t="shared" ref="AE835:AE898" si="27">IFERROR(IF(SEARCH("_TJ",C835)&gt;0,"TJ",NA()),IFERROR(IF(SEARCH("_JB",C835)&gt;0,"JB",NA()),"OLD"))</f>
        <v>OLD</v>
      </c>
    </row>
    <row r="836" spans="1:31" x14ac:dyDescent="0.2">
      <c r="A836" t="s">
        <v>29</v>
      </c>
      <c r="B836">
        <v>1012924802</v>
      </c>
      <c r="C836" t="s">
        <v>167</v>
      </c>
      <c r="D836" t="s">
        <v>31</v>
      </c>
      <c r="E836" s="1">
        <v>0.67291666666666672</v>
      </c>
      <c r="F836" t="s">
        <v>32</v>
      </c>
      <c r="G836" t="s">
        <v>33</v>
      </c>
      <c r="H836" t="s">
        <v>34</v>
      </c>
      <c r="I836" t="s">
        <v>84</v>
      </c>
      <c r="J836">
        <v>36</v>
      </c>
      <c r="K836">
        <v>0</v>
      </c>
      <c r="L836" t="s">
        <v>36</v>
      </c>
      <c r="M836" t="s">
        <v>37</v>
      </c>
      <c r="N836">
        <v>11512</v>
      </c>
      <c r="O836">
        <v>433</v>
      </c>
      <c r="P836">
        <v>3.7612899999999998</v>
      </c>
      <c r="Q836">
        <v>0</v>
      </c>
      <c r="R836">
        <v>31.54</v>
      </c>
      <c r="S836">
        <v>2.74</v>
      </c>
      <c r="T836">
        <v>7.2999999999999995E-2</v>
      </c>
      <c r="U836">
        <v>0</v>
      </c>
      <c r="V836">
        <v>1</v>
      </c>
      <c r="W836">
        <v>0</v>
      </c>
      <c r="X836" t="s">
        <v>36</v>
      </c>
      <c r="Y836">
        <v>11512</v>
      </c>
      <c r="Z836">
        <v>8789</v>
      </c>
      <c r="AA836">
        <v>1326</v>
      </c>
      <c r="AB836" t="s">
        <v>158</v>
      </c>
      <c r="AC836" t="str">
        <f t="shared" si="26"/>
        <v>CP</v>
      </c>
      <c r="AD836" t="str">
        <f>_xlfn.XLOOKUP(C836,Mapping!A:A,Mapping!D:D,0,0)</f>
        <v>Keyword - Preroll</v>
      </c>
      <c r="AE836" t="str">
        <f t="shared" si="27"/>
        <v>OLD</v>
      </c>
    </row>
    <row r="837" spans="1:31" x14ac:dyDescent="0.2">
      <c r="A837" t="s">
        <v>29</v>
      </c>
      <c r="B837">
        <v>1012924812</v>
      </c>
      <c r="C837" t="s">
        <v>852</v>
      </c>
      <c r="D837" t="s">
        <v>31</v>
      </c>
      <c r="E837" s="1">
        <v>0.67291666666666672</v>
      </c>
      <c r="F837" t="s">
        <v>32</v>
      </c>
      <c r="G837" t="s">
        <v>33</v>
      </c>
      <c r="H837" t="s">
        <v>34</v>
      </c>
      <c r="I837" t="s">
        <v>84</v>
      </c>
      <c r="J837">
        <v>36</v>
      </c>
      <c r="K837">
        <v>0</v>
      </c>
      <c r="L837" t="s">
        <v>36</v>
      </c>
      <c r="M837" t="s">
        <v>37</v>
      </c>
      <c r="N837">
        <v>1192</v>
      </c>
      <c r="O837">
        <v>48</v>
      </c>
      <c r="P837">
        <v>4.02684</v>
      </c>
      <c r="Q837">
        <v>0</v>
      </c>
      <c r="R837">
        <v>0.68</v>
      </c>
      <c r="S837">
        <v>0.57299999999999995</v>
      </c>
      <c r="T837">
        <v>1.4E-2</v>
      </c>
      <c r="U837">
        <v>0</v>
      </c>
      <c r="V837">
        <v>1</v>
      </c>
      <c r="W837">
        <v>0</v>
      </c>
      <c r="X837" t="s">
        <v>36</v>
      </c>
      <c r="Y837">
        <v>1192</v>
      </c>
      <c r="Z837">
        <v>856</v>
      </c>
      <c r="AA837">
        <v>169</v>
      </c>
      <c r="AB837" t="s">
        <v>158</v>
      </c>
      <c r="AC837" t="str">
        <f t="shared" si="26"/>
        <v>CP</v>
      </c>
      <c r="AD837" t="str">
        <f>_xlfn.XLOOKUP(C837,Mapping!A:A,Mapping!D:D,0,0)</f>
        <v>Keyword - Preroll</v>
      </c>
      <c r="AE837" t="str">
        <f t="shared" si="27"/>
        <v>OLD</v>
      </c>
    </row>
    <row r="838" spans="1:31" x14ac:dyDescent="0.2">
      <c r="A838" t="s">
        <v>39</v>
      </c>
      <c r="B838">
        <v>1012924822</v>
      </c>
      <c r="C838" t="s">
        <v>853</v>
      </c>
      <c r="D838" t="s">
        <v>31</v>
      </c>
      <c r="E838" s="1">
        <v>0.67291666666666672</v>
      </c>
      <c r="F838" t="s">
        <v>32</v>
      </c>
      <c r="G838" t="s">
        <v>33</v>
      </c>
      <c r="H838" t="s">
        <v>41</v>
      </c>
      <c r="I838" t="s">
        <v>62</v>
      </c>
      <c r="J838">
        <v>90</v>
      </c>
      <c r="K838">
        <v>0</v>
      </c>
      <c r="L838" t="s">
        <v>36</v>
      </c>
      <c r="M838" t="s">
        <v>37</v>
      </c>
      <c r="N838">
        <v>0</v>
      </c>
      <c r="O838">
        <v>0</v>
      </c>
      <c r="P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 t="s">
        <v>36</v>
      </c>
      <c r="AB838" t="s">
        <v>158</v>
      </c>
      <c r="AC838" t="str">
        <f t="shared" si="26"/>
        <v>CP</v>
      </c>
      <c r="AD838" t="str">
        <f>_xlfn.XLOOKUP(C838,Mapping!A:A,Mapping!D:D,0,0)</f>
        <v>FinDom</v>
      </c>
      <c r="AE838" t="str">
        <f t="shared" si="27"/>
        <v>OLD</v>
      </c>
    </row>
    <row r="839" spans="1:31" x14ac:dyDescent="0.2">
      <c r="A839" t="s">
        <v>39</v>
      </c>
      <c r="B839">
        <v>1012924832</v>
      </c>
      <c r="C839" t="s">
        <v>854</v>
      </c>
      <c r="D839" t="s">
        <v>31</v>
      </c>
      <c r="E839" s="1">
        <v>0.67291666666666672</v>
      </c>
      <c r="F839" t="s">
        <v>32</v>
      </c>
      <c r="G839" t="s">
        <v>33</v>
      </c>
      <c r="H839" t="s">
        <v>41</v>
      </c>
      <c r="I839" t="s">
        <v>62</v>
      </c>
      <c r="J839">
        <v>90</v>
      </c>
      <c r="K839">
        <v>0</v>
      </c>
      <c r="L839" t="s">
        <v>36</v>
      </c>
      <c r="M839" t="s">
        <v>37</v>
      </c>
      <c r="N839">
        <v>0</v>
      </c>
      <c r="O839">
        <v>0</v>
      </c>
      <c r="P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 t="s">
        <v>36</v>
      </c>
      <c r="AB839" t="s">
        <v>158</v>
      </c>
      <c r="AC839" t="str">
        <f t="shared" si="26"/>
        <v>CP</v>
      </c>
      <c r="AD839" t="str">
        <f>_xlfn.XLOOKUP(C839,Mapping!A:A,Mapping!D:D,0,0)</f>
        <v>FinDom</v>
      </c>
      <c r="AE839" t="str">
        <f t="shared" si="27"/>
        <v>OLD</v>
      </c>
    </row>
    <row r="840" spans="1:31" x14ac:dyDescent="0.2">
      <c r="A840" t="s">
        <v>29</v>
      </c>
      <c r="B840">
        <v>1012924842</v>
      </c>
      <c r="C840" t="s">
        <v>855</v>
      </c>
      <c r="D840" t="s">
        <v>31</v>
      </c>
      <c r="E840" s="1">
        <v>0.67291666666666672</v>
      </c>
      <c r="F840" t="s">
        <v>32</v>
      </c>
      <c r="G840" t="s">
        <v>33</v>
      </c>
      <c r="H840" t="s">
        <v>41</v>
      </c>
      <c r="I840" t="s">
        <v>62</v>
      </c>
      <c r="J840">
        <v>90</v>
      </c>
      <c r="K840">
        <v>0</v>
      </c>
      <c r="L840" t="s">
        <v>36</v>
      </c>
      <c r="M840" t="s">
        <v>37</v>
      </c>
      <c r="N840">
        <v>316</v>
      </c>
      <c r="O840">
        <v>20</v>
      </c>
      <c r="P840">
        <v>6.32911</v>
      </c>
      <c r="Q840">
        <v>0</v>
      </c>
      <c r="R840">
        <v>0.19</v>
      </c>
      <c r="S840">
        <v>0.6</v>
      </c>
      <c r="T840">
        <v>8.9999999999999993E-3</v>
      </c>
      <c r="U840">
        <v>0</v>
      </c>
      <c r="V840">
        <v>1</v>
      </c>
      <c r="W840">
        <v>0</v>
      </c>
      <c r="X840" t="s">
        <v>36</v>
      </c>
      <c r="Y840">
        <v>316</v>
      </c>
      <c r="Z840">
        <v>291</v>
      </c>
      <c r="AA840">
        <v>17</v>
      </c>
      <c r="AB840" t="s">
        <v>158</v>
      </c>
      <c r="AC840" t="str">
        <f t="shared" si="26"/>
        <v>CP</v>
      </c>
      <c r="AD840" t="str">
        <f>_xlfn.XLOOKUP(C840,Mapping!A:A,Mapping!D:D,0,0)</f>
        <v>Keyword - Preroll</v>
      </c>
      <c r="AE840" t="str">
        <f t="shared" si="27"/>
        <v>OLD</v>
      </c>
    </row>
    <row r="841" spans="1:31" x14ac:dyDescent="0.2">
      <c r="A841" t="s">
        <v>690</v>
      </c>
      <c r="B841">
        <v>1012924852</v>
      </c>
      <c r="C841" t="s">
        <v>856</v>
      </c>
      <c r="D841" t="s">
        <v>31</v>
      </c>
      <c r="E841" s="1">
        <v>0.67291666666666672</v>
      </c>
      <c r="F841" t="s">
        <v>32</v>
      </c>
      <c r="G841" t="s">
        <v>33</v>
      </c>
      <c r="H841" t="s">
        <v>41</v>
      </c>
      <c r="I841" t="s">
        <v>62</v>
      </c>
      <c r="J841">
        <v>90</v>
      </c>
      <c r="K841">
        <v>0</v>
      </c>
      <c r="L841" t="s">
        <v>36</v>
      </c>
      <c r="M841" t="s">
        <v>37</v>
      </c>
      <c r="N841">
        <v>812</v>
      </c>
      <c r="O841">
        <v>45</v>
      </c>
      <c r="P841">
        <v>5.5418700000000003</v>
      </c>
      <c r="Q841">
        <v>0</v>
      </c>
      <c r="R841">
        <v>0.42</v>
      </c>
      <c r="S841">
        <v>0.51900000000000002</v>
      </c>
      <c r="T841">
        <v>8.9999999999999993E-3</v>
      </c>
      <c r="U841">
        <v>0</v>
      </c>
      <c r="V841">
        <v>1</v>
      </c>
      <c r="W841">
        <v>0</v>
      </c>
      <c r="X841" t="s">
        <v>36</v>
      </c>
      <c r="Y841">
        <v>812</v>
      </c>
      <c r="Z841">
        <v>703</v>
      </c>
      <c r="AA841">
        <v>87</v>
      </c>
      <c r="AB841" t="s">
        <v>158</v>
      </c>
      <c r="AC841" t="str">
        <f t="shared" si="26"/>
        <v>CP</v>
      </c>
      <c r="AD841" t="str">
        <f>_xlfn.XLOOKUP(C841,Mapping!A:A,Mapping!D:D,0,0)</f>
        <v>Keyword - Preroll</v>
      </c>
      <c r="AE841" t="str">
        <f t="shared" si="27"/>
        <v>OLD</v>
      </c>
    </row>
    <row r="842" spans="1:31" x14ac:dyDescent="0.2">
      <c r="A842" t="s">
        <v>39</v>
      </c>
      <c r="B842">
        <v>1012924862</v>
      </c>
      <c r="C842" t="s">
        <v>118</v>
      </c>
      <c r="D842" t="s">
        <v>31</v>
      </c>
      <c r="E842" s="1">
        <v>0.67291666666666672</v>
      </c>
      <c r="F842" t="s">
        <v>32</v>
      </c>
      <c r="G842" t="s">
        <v>33</v>
      </c>
      <c r="H842" t="s">
        <v>41</v>
      </c>
      <c r="I842" t="s">
        <v>62</v>
      </c>
      <c r="J842">
        <v>90</v>
      </c>
      <c r="K842">
        <v>0</v>
      </c>
      <c r="L842" t="s">
        <v>36</v>
      </c>
      <c r="M842" t="s">
        <v>37</v>
      </c>
      <c r="N842">
        <v>0</v>
      </c>
      <c r="O842">
        <v>0</v>
      </c>
      <c r="P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0</v>
      </c>
      <c r="X842" t="s">
        <v>36</v>
      </c>
      <c r="AB842" t="s">
        <v>158</v>
      </c>
      <c r="AC842" t="str">
        <f t="shared" si="26"/>
        <v>CP</v>
      </c>
      <c r="AD842" t="str">
        <f>_xlfn.XLOOKUP(C842,Mapping!A:A,Mapping!D:D,0,0)</f>
        <v>Archive</v>
      </c>
      <c r="AE842" t="str">
        <f t="shared" si="27"/>
        <v>OLD</v>
      </c>
    </row>
    <row r="843" spans="1:31" x14ac:dyDescent="0.2">
      <c r="A843" t="s">
        <v>29</v>
      </c>
      <c r="B843">
        <v>1012924872</v>
      </c>
      <c r="C843" t="s">
        <v>159</v>
      </c>
      <c r="D843" t="s">
        <v>31</v>
      </c>
      <c r="E843" s="1">
        <v>0.67291666666666672</v>
      </c>
      <c r="F843" t="s">
        <v>32</v>
      </c>
      <c r="G843" t="s">
        <v>33</v>
      </c>
      <c r="H843" t="s">
        <v>41</v>
      </c>
      <c r="I843" t="s">
        <v>62</v>
      </c>
      <c r="J843">
        <v>90</v>
      </c>
      <c r="K843">
        <v>0</v>
      </c>
      <c r="L843" t="s">
        <v>36</v>
      </c>
      <c r="M843" t="s">
        <v>37</v>
      </c>
      <c r="N843">
        <v>1100</v>
      </c>
      <c r="O843">
        <v>51</v>
      </c>
      <c r="P843">
        <v>4.6363599999999998</v>
      </c>
      <c r="Q843">
        <v>0</v>
      </c>
      <c r="R843">
        <v>0.76</v>
      </c>
      <c r="S843">
        <v>0.69</v>
      </c>
      <c r="T843">
        <v>1.4999999999999999E-2</v>
      </c>
      <c r="U843">
        <v>0</v>
      </c>
      <c r="V843">
        <v>1</v>
      </c>
      <c r="W843">
        <v>0</v>
      </c>
      <c r="X843" t="s">
        <v>36</v>
      </c>
      <c r="Y843">
        <v>1100</v>
      </c>
      <c r="Z843">
        <v>998</v>
      </c>
      <c r="AA843">
        <v>72</v>
      </c>
      <c r="AB843" t="s">
        <v>158</v>
      </c>
      <c r="AC843" t="str">
        <f t="shared" si="26"/>
        <v>CP</v>
      </c>
      <c r="AD843" t="str">
        <f>_xlfn.XLOOKUP(C843,Mapping!A:A,Mapping!D:D,0,0)</f>
        <v>Keyword - Preroll</v>
      </c>
      <c r="AE843" t="str">
        <f t="shared" si="27"/>
        <v>OLD</v>
      </c>
    </row>
    <row r="844" spans="1:31" x14ac:dyDescent="0.2">
      <c r="A844" t="s">
        <v>39</v>
      </c>
      <c r="B844">
        <v>1012924882</v>
      </c>
      <c r="C844" t="s">
        <v>164</v>
      </c>
      <c r="D844" t="s">
        <v>31</v>
      </c>
      <c r="E844" s="1">
        <v>0.67291666666666672</v>
      </c>
      <c r="F844" t="s">
        <v>32</v>
      </c>
      <c r="G844" t="s">
        <v>33</v>
      </c>
      <c r="H844" t="s">
        <v>41</v>
      </c>
      <c r="I844" t="s">
        <v>62</v>
      </c>
      <c r="J844">
        <v>90</v>
      </c>
      <c r="K844">
        <v>0</v>
      </c>
      <c r="L844" t="s">
        <v>36</v>
      </c>
      <c r="M844" t="s">
        <v>37</v>
      </c>
      <c r="N844">
        <v>0</v>
      </c>
      <c r="O844">
        <v>0</v>
      </c>
      <c r="P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 t="s">
        <v>36</v>
      </c>
      <c r="AB844" t="s">
        <v>158</v>
      </c>
      <c r="AC844" t="str">
        <f t="shared" si="26"/>
        <v>CP</v>
      </c>
      <c r="AD844" t="str">
        <f>_xlfn.XLOOKUP(C844,Mapping!A:A,Mapping!D:D,0,0)</f>
        <v>Bin</v>
      </c>
      <c r="AE844" t="str">
        <f t="shared" si="27"/>
        <v>OLD</v>
      </c>
    </row>
    <row r="845" spans="1:31" x14ac:dyDescent="0.2">
      <c r="A845" t="s">
        <v>690</v>
      </c>
      <c r="B845">
        <v>1012924892</v>
      </c>
      <c r="C845" t="s">
        <v>857</v>
      </c>
      <c r="D845" t="s">
        <v>31</v>
      </c>
      <c r="E845" s="1">
        <v>0.67291666666666672</v>
      </c>
      <c r="F845" t="s">
        <v>32</v>
      </c>
      <c r="G845" t="s">
        <v>33</v>
      </c>
      <c r="H845" t="s">
        <v>41</v>
      </c>
      <c r="I845" t="s">
        <v>62</v>
      </c>
      <c r="J845">
        <v>90</v>
      </c>
      <c r="K845">
        <v>0</v>
      </c>
      <c r="L845" t="s">
        <v>36</v>
      </c>
      <c r="M845" t="s">
        <v>37</v>
      </c>
      <c r="N845">
        <v>1267</v>
      </c>
      <c r="O845">
        <v>71</v>
      </c>
      <c r="P845">
        <v>5.60379</v>
      </c>
      <c r="Q845">
        <v>0</v>
      </c>
      <c r="R845">
        <v>0.73</v>
      </c>
      <c r="S845">
        <v>0.57599999999999996</v>
      </c>
      <c r="T845">
        <v>0.01</v>
      </c>
      <c r="U845">
        <v>0</v>
      </c>
      <c r="V845">
        <v>1</v>
      </c>
      <c r="W845">
        <v>0</v>
      </c>
      <c r="X845" t="s">
        <v>36</v>
      </c>
      <c r="Y845">
        <v>1267</v>
      </c>
      <c r="Z845">
        <v>1094</v>
      </c>
      <c r="AA845">
        <v>121</v>
      </c>
      <c r="AB845" t="s">
        <v>158</v>
      </c>
      <c r="AC845" t="str">
        <f t="shared" si="26"/>
        <v>CP</v>
      </c>
      <c r="AD845" t="str">
        <f>_xlfn.XLOOKUP(C845,Mapping!A:A,Mapping!D:D,0,0)</f>
        <v>Keyword - Preroll</v>
      </c>
      <c r="AE845" t="str">
        <f t="shared" si="27"/>
        <v>OLD</v>
      </c>
    </row>
    <row r="846" spans="1:31" x14ac:dyDescent="0.2">
      <c r="A846" t="s">
        <v>690</v>
      </c>
      <c r="B846">
        <v>1012924902</v>
      </c>
      <c r="C846" t="s">
        <v>858</v>
      </c>
      <c r="D846" t="s">
        <v>31</v>
      </c>
      <c r="E846" s="1">
        <v>0.67291666666666672</v>
      </c>
      <c r="F846" t="s">
        <v>32</v>
      </c>
      <c r="G846" t="s">
        <v>33</v>
      </c>
      <c r="H846" t="s">
        <v>41</v>
      </c>
      <c r="I846" t="s">
        <v>62</v>
      </c>
      <c r="J846">
        <v>90</v>
      </c>
      <c r="K846">
        <v>0</v>
      </c>
      <c r="L846" t="s">
        <v>36</v>
      </c>
      <c r="M846" t="s">
        <v>37</v>
      </c>
      <c r="N846">
        <v>0</v>
      </c>
      <c r="O846">
        <v>0</v>
      </c>
      <c r="P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 t="s">
        <v>36</v>
      </c>
      <c r="AB846" t="s">
        <v>158</v>
      </c>
      <c r="AC846" t="str">
        <f t="shared" si="26"/>
        <v>CP</v>
      </c>
      <c r="AD846" t="str">
        <f>_xlfn.XLOOKUP(C846,Mapping!A:A,Mapping!D:D,0,0)</f>
        <v>FinDom</v>
      </c>
      <c r="AE846" t="str">
        <f t="shared" si="27"/>
        <v>OLD</v>
      </c>
    </row>
    <row r="847" spans="1:31" x14ac:dyDescent="0.2">
      <c r="A847" t="s">
        <v>29</v>
      </c>
      <c r="B847">
        <v>1012924912</v>
      </c>
      <c r="C847" t="s">
        <v>397</v>
      </c>
      <c r="D847" t="s">
        <v>31</v>
      </c>
      <c r="E847" s="1">
        <v>0.67291666666666672</v>
      </c>
      <c r="F847" t="s">
        <v>32</v>
      </c>
      <c r="G847" t="s">
        <v>33</v>
      </c>
      <c r="H847" t="s">
        <v>34</v>
      </c>
      <c r="I847" t="s">
        <v>84</v>
      </c>
      <c r="J847">
        <v>100</v>
      </c>
      <c r="K847">
        <v>0</v>
      </c>
      <c r="L847" t="s">
        <v>36</v>
      </c>
      <c r="M847" t="s">
        <v>37</v>
      </c>
      <c r="N847">
        <v>126924</v>
      </c>
      <c r="O847">
        <v>5137</v>
      </c>
      <c r="P847">
        <v>4.0472999999999999</v>
      </c>
      <c r="Q847">
        <v>1</v>
      </c>
      <c r="R847">
        <v>365.88</v>
      </c>
      <c r="S847">
        <v>2.883</v>
      </c>
      <c r="T847">
        <v>7.0999999999999994E-2</v>
      </c>
      <c r="U847">
        <v>365.88</v>
      </c>
      <c r="V847">
        <v>1</v>
      </c>
      <c r="W847">
        <v>0</v>
      </c>
      <c r="X847" t="s">
        <v>36</v>
      </c>
      <c r="Y847">
        <v>126925</v>
      </c>
      <c r="Z847">
        <v>103086</v>
      </c>
      <c r="AA847">
        <v>12846</v>
      </c>
      <c r="AB847" t="s">
        <v>401</v>
      </c>
      <c r="AC847" t="str">
        <f t="shared" si="26"/>
        <v>CP</v>
      </c>
      <c r="AD847" t="str">
        <f>_xlfn.XLOOKUP(C847,Mapping!A:A,Mapping!D:D,0,0)</f>
        <v>Keyword - Preroll</v>
      </c>
      <c r="AE847" t="str">
        <f t="shared" si="27"/>
        <v>OLD</v>
      </c>
    </row>
    <row r="848" spans="1:31" x14ac:dyDescent="0.2">
      <c r="A848" t="s">
        <v>29</v>
      </c>
      <c r="B848">
        <v>1012924922</v>
      </c>
      <c r="C848" t="s">
        <v>407</v>
      </c>
      <c r="D848" t="s">
        <v>31</v>
      </c>
      <c r="E848" s="1">
        <v>0.67291666666666672</v>
      </c>
      <c r="F848" t="s">
        <v>32</v>
      </c>
      <c r="G848" t="s">
        <v>33</v>
      </c>
      <c r="H848" t="s">
        <v>34</v>
      </c>
      <c r="I848" t="s">
        <v>84</v>
      </c>
      <c r="J848">
        <v>100</v>
      </c>
      <c r="K848">
        <v>0</v>
      </c>
      <c r="L848" t="s">
        <v>36</v>
      </c>
      <c r="M848" t="s">
        <v>37</v>
      </c>
      <c r="N848">
        <v>410792</v>
      </c>
      <c r="O848">
        <v>16816</v>
      </c>
      <c r="P848">
        <v>4.0935600000000001</v>
      </c>
      <c r="Q848">
        <v>5</v>
      </c>
      <c r="R848">
        <v>600.91999999999996</v>
      </c>
      <c r="S848">
        <v>1.4630000000000001</v>
      </c>
      <c r="T848">
        <v>3.5999999999999997E-2</v>
      </c>
      <c r="U848">
        <v>120.185</v>
      </c>
      <c r="V848">
        <v>1</v>
      </c>
      <c r="W848">
        <v>0</v>
      </c>
      <c r="X848" t="s">
        <v>36</v>
      </c>
      <c r="Y848">
        <v>410784</v>
      </c>
      <c r="Z848">
        <v>331271</v>
      </c>
      <c r="AA848">
        <v>44825</v>
      </c>
      <c r="AB848" t="s">
        <v>401</v>
      </c>
      <c r="AC848" t="str">
        <f t="shared" si="26"/>
        <v>CP</v>
      </c>
      <c r="AD848" t="str">
        <f>_xlfn.XLOOKUP(C848,Mapping!A:A,Mapping!D:D,0,0)</f>
        <v>Keyword - Preroll</v>
      </c>
      <c r="AE848" t="str">
        <f t="shared" si="27"/>
        <v>OLD</v>
      </c>
    </row>
    <row r="849" spans="1:31" x14ac:dyDescent="0.2">
      <c r="A849" t="s">
        <v>29</v>
      </c>
      <c r="B849">
        <v>1012924932</v>
      </c>
      <c r="C849" t="s">
        <v>859</v>
      </c>
      <c r="D849" t="s">
        <v>31</v>
      </c>
      <c r="E849" s="1">
        <v>0.67291666666666672</v>
      </c>
      <c r="F849" t="s">
        <v>32</v>
      </c>
      <c r="G849" t="s">
        <v>33</v>
      </c>
      <c r="H849" t="s">
        <v>34</v>
      </c>
      <c r="I849" t="s">
        <v>84</v>
      </c>
      <c r="J849">
        <v>100</v>
      </c>
      <c r="K849">
        <v>0</v>
      </c>
      <c r="L849" t="s">
        <v>36</v>
      </c>
      <c r="M849" t="s">
        <v>37</v>
      </c>
      <c r="N849">
        <v>9255</v>
      </c>
      <c r="O849">
        <v>401</v>
      </c>
      <c r="P849">
        <v>4.3327900000000001</v>
      </c>
      <c r="Q849">
        <v>0</v>
      </c>
      <c r="R849">
        <v>9.41</v>
      </c>
      <c r="S849">
        <v>1.0169999999999999</v>
      </c>
      <c r="T849">
        <v>2.3E-2</v>
      </c>
      <c r="U849">
        <v>0</v>
      </c>
      <c r="V849">
        <v>1</v>
      </c>
      <c r="W849">
        <v>0</v>
      </c>
      <c r="X849" t="s">
        <v>36</v>
      </c>
      <c r="Y849">
        <v>9255</v>
      </c>
      <c r="Z849">
        <v>7104</v>
      </c>
      <c r="AA849">
        <v>1163</v>
      </c>
      <c r="AB849" t="s">
        <v>401</v>
      </c>
      <c r="AC849" t="str">
        <f t="shared" si="26"/>
        <v>CP</v>
      </c>
      <c r="AD849" t="str">
        <f>_xlfn.XLOOKUP(C849,Mapping!A:A,Mapping!D:D,0,0)</f>
        <v>Keyword - Preroll</v>
      </c>
      <c r="AE849" t="str">
        <f t="shared" si="27"/>
        <v>OLD</v>
      </c>
    </row>
    <row r="850" spans="1:31" x14ac:dyDescent="0.2">
      <c r="A850" t="s">
        <v>29</v>
      </c>
      <c r="B850">
        <v>1012924942</v>
      </c>
      <c r="C850" t="s">
        <v>404</v>
      </c>
      <c r="D850" t="s">
        <v>31</v>
      </c>
      <c r="E850" s="1">
        <v>0.67291666666666672</v>
      </c>
      <c r="F850" t="s">
        <v>32</v>
      </c>
      <c r="G850" t="s">
        <v>33</v>
      </c>
      <c r="H850" t="s">
        <v>34</v>
      </c>
      <c r="I850" t="s">
        <v>84</v>
      </c>
      <c r="J850">
        <v>100</v>
      </c>
      <c r="K850">
        <v>0</v>
      </c>
      <c r="L850" t="s">
        <v>36</v>
      </c>
      <c r="M850" t="s">
        <v>37</v>
      </c>
      <c r="N850">
        <v>186701</v>
      </c>
      <c r="O850">
        <v>7907</v>
      </c>
      <c r="P850">
        <v>4.2351000000000001</v>
      </c>
      <c r="Q850">
        <v>0</v>
      </c>
      <c r="R850">
        <v>278.20999999999998</v>
      </c>
      <c r="S850">
        <v>1.49</v>
      </c>
      <c r="T850">
        <v>3.5000000000000003E-2</v>
      </c>
      <c r="U850">
        <v>0</v>
      </c>
      <c r="V850">
        <v>1</v>
      </c>
      <c r="W850">
        <v>0</v>
      </c>
      <c r="X850" t="s">
        <v>36</v>
      </c>
      <c r="Y850">
        <v>186703</v>
      </c>
      <c r="Z850">
        <v>145745</v>
      </c>
      <c r="AA850">
        <v>23437</v>
      </c>
      <c r="AB850" t="s">
        <v>401</v>
      </c>
      <c r="AC850" t="str">
        <f t="shared" si="26"/>
        <v>CP</v>
      </c>
      <c r="AD850" t="str">
        <f>_xlfn.XLOOKUP(C850,Mapping!A:A,Mapping!D:D,0,0)</f>
        <v>Keyword - Preroll</v>
      </c>
      <c r="AE850" t="str">
        <f t="shared" si="27"/>
        <v>OLD</v>
      </c>
    </row>
    <row r="851" spans="1:31" x14ac:dyDescent="0.2">
      <c r="A851" t="s">
        <v>39</v>
      </c>
      <c r="B851">
        <v>1012924952</v>
      </c>
      <c r="C851" t="s">
        <v>630</v>
      </c>
      <c r="D851" t="s">
        <v>31</v>
      </c>
      <c r="E851" s="1">
        <v>0.67291666666666672</v>
      </c>
      <c r="F851" t="s">
        <v>32</v>
      </c>
      <c r="G851" t="s">
        <v>33</v>
      </c>
      <c r="H851" t="s">
        <v>41</v>
      </c>
      <c r="I851" t="s">
        <v>62</v>
      </c>
      <c r="J851">
        <v>90</v>
      </c>
      <c r="K851">
        <v>0</v>
      </c>
      <c r="L851" t="s">
        <v>36</v>
      </c>
      <c r="M851" t="s">
        <v>37</v>
      </c>
      <c r="N851">
        <v>0</v>
      </c>
      <c r="O851">
        <v>0</v>
      </c>
      <c r="P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 t="s">
        <v>36</v>
      </c>
      <c r="AB851" t="s">
        <v>401</v>
      </c>
      <c r="AC851" t="str">
        <f t="shared" si="26"/>
        <v>CP</v>
      </c>
      <c r="AD851" t="str">
        <f>_xlfn.XLOOKUP(C851,Mapping!A:A,Mapping!D:D,0,0)</f>
        <v>Bin</v>
      </c>
      <c r="AE851" t="str">
        <f t="shared" si="27"/>
        <v>OLD</v>
      </c>
    </row>
    <row r="852" spans="1:31" x14ac:dyDescent="0.2">
      <c r="A852" t="s">
        <v>29</v>
      </c>
      <c r="B852">
        <v>1012924962</v>
      </c>
      <c r="C852" t="s">
        <v>860</v>
      </c>
      <c r="D852" t="s">
        <v>31</v>
      </c>
      <c r="E852" s="1">
        <v>0.67291666666666672</v>
      </c>
      <c r="F852" t="s">
        <v>32</v>
      </c>
      <c r="G852" t="s">
        <v>33</v>
      </c>
      <c r="H852" t="s">
        <v>41</v>
      </c>
      <c r="I852" t="s">
        <v>62</v>
      </c>
      <c r="J852">
        <v>90</v>
      </c>
      <c r="K852">
        <v>0</v>
      </c>
      <c r="L852" t="s">
        <v>36</v>
      </c>
      <c r="M852" t="s">
        <v>37</v>
      </c>
      <c r="N852">
        <v>7358</v>
      </c>
      <c r="O852">
        <v>421</v>
      </c>
      <c r="P852">
        <v>5.72166</v>
      </c>
      <c r="Q852">
        <v>0</v>
      </c>
      <c r="R852">
        <v>4.45</v>
      </c>
      <c r="S852">
        <v>0.60499999999999998</v>
      </c>
      <c r="T852">
        <v>1.0999999999999999E-2</v>
      </c>
      <c r="U852">
        <v>0</v>
      </c>
      <c r="V852">
        <v>1</v>
      </c>
      <c r="W852">
        <v>0</v>
      </c>
      <c r="X852" t="s">
        <v>36</v>
      </c>
      <c r="Y852">
        <v>7358</v>
      </c>
      <c r="Z852">
        <v>6844</v>
      </c>
      <c r="AA852">
        <v>352</v>
      </c>
      <c r="AB852" t="s">
        <v>401</v>
      </c>
      <c r="AC852" t="str">
        <f t="shared" si="26"/>
        <v>CP</v>
      </c>
      <c r="AD852" t="str">
        <f>_xlfn.XLOOKUP(C852,Mapping!A:A,Mapping!D:D,0,0)</f>
        <v>Keyword - Preroll</v>
      </c>
      <c r="AE852" t="str">
        <f t="shared" si="27"/>
        <v>OLD</v>
      </c>
    </row>
    <row r="853" spans="1:31" x14ac:dyDescent="0.2">
      <c r="A853" t="s">
        <v>39</v>
      </c>
      <c r="B853">
        <v>1012924972</v>
      </c>
      <c r="C853" t="s">
        <v>861</v>
      </c>
      <c r="D853" t="s">
        <v>31</v>
      </c>
      <c r="E853" s="1">
        <v>0.67291666666666672</v>
      </c>
      <c r="F853" t="s">
        <v>32</v>
      </c>
      <c r="G853" t="s">
        <v>33</v>
      </c>
      <c r="H853" t="s">
        <v>41</v>
      </c>
      <c r="I853" t="s">
        <v>62</v>
      </c>
      <c r="J853">
        <v>90</v>
      </c>
      <c r="K853">
        <v>0</v>
      </c>
      <c r="L853" t="s">
        <v>36</v>
      </c>
      <c r="M853" t="s">
        <v>37</v>
      </c>
      <c r="N853">
        <v>0</v>
      </c>
      <c r="O853">
        <v>0</v>
      </c>
      <c r="P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 t="s">
        <v>36</v>
      </c>
      <c r="AB853" t="s">
        <v>401</v>
      </c>
      <c r="AC853" t="str">
        <f t="shared" si="26"/>
        <v>CP</v>
      </c>
      <c r="AD853" t="str">
        <f>_xlfn.XLOOKUP(C853,Mapping!A:A,Mapping!D:D,0,0)</f>
        <v>Threesome</v>
      </c>
      <c r="AE853" t="str">
        <f t="shared" si="27"/>
        <v>OLD</v>
      </c>
    </row>
    <row r="854" spans="1:31" x14ac:dyDescent="0.2">
      <c r="A854" t="s">
        <v>29</v>
      </c>
      <c r="B854">
        <v>1012924982</v>
      </c>
      <c r="C854" t="s">
        <v>862</v>
      </c>
      <c r="D854" t="s">
        <v>31</v>
      </c>
      <c r="E854" s="1">
        <v>0.67291666666666672</v>
      </c>
      <c r="F854" t="s">
        <v>32</v>
      </c>
      <c r="G854" t="s">
        <v>33</v>
      </c>
      <c r="H854" t="s">
        <v>41</v>
      </c>
      <c r="I854" t="s">
        <v>62</v>
      </c>
      <c r="J854">
        <v>90</v>
      </c>
      <c r="K854">
        <v>0</v>
      </c>
      <c r="L854" t="s">
        <v>36</v>
      </c>
      <c r="M854" t="s">
        <v>37</v>
      </c>
      <c r="N854">
        <v>11361</v>
      </c>
      <c r="O854">
        <v>707</v>
      </c>
      <c r="P854">
        <v>6.2230400000000001</v>
      </c>
      <c r="Q854">
        <v>0</v>
      </c>
      <c r="R854">
        <v>5.93</v>
      </c>
      <c r="S854">
        <v>0.52200000000000002</v>
      </c>
      <c r="T854">
        <v>8.0000000000000002E-3</v>
      </c>
      <c r="U854">
        <v>0</v>
      </c>
      <c r="V854">
        <v>1</v>
      </c>
      <c r="W854">
        <v>0</v>
      </c>
      <c r="X854" t="s">
        <v>36</v>
      </c>
      <c r="Y854">
        <v>11361</v>
      </c>
      <c r="Z854">
        <v>9968</v>
      </c>
      <c r="AA854">
        <v>1035</v>
      </c>
      <c r="AB854" t="s">
        <v>401</v>
      </c>
      <c r="AC854" t="str">
        <f t="shared" si="26"/>
        <v>CP</v>
      </c>
      <c r="AD854" t="str">
        <f>_xlfn.XLOOKUP(C854,Mapping!A:A,Mapping!D:D,0,0)</f>
        <v>Keyword - Preroll</v>
      </c>
      <c r="AE854" t="str">
        <f t="shared" si="27"/>
        <v>OLD</v>
      </c>
    </row>
    <row r="855" spans="1:31" x14ac:dyDescent="0.2">
      <c r="A855" t="s">
        <v>39</v>
      </c>
      <c r="B855">
        <v>1012924992</v>
      </c>
      <c r="C855" t="s">
        <v>863</v>
      </c>
      <c r="D855" t="s">
        <v>31</v>
      </c>
      <c r="E855" s="1">
        <v>0.67291666666666672</v>
      </c>
      <c r="F855" t="s">
        <v>32</v>
      </c>
      <c r="G855" t="s">
        <v>33</v>
      </c>
      <c r="H855" t="s">
        <v>41</v>
      </c>
      <c r="I855" t="s">
        <v>62</v>
      </c>
      <c r="J855">
        <v>90</v>
      </c>
      <c r="K855">
        <v>0</v>
      </c>
      <c r="L855" t="s">
        <v>36</v>
      </c>
      <c r="M855" t="s">
        <v>37</v>
      </c>
      <c r="N855">
        <v>0</v>
      </c>
      <c r="O855">
        <v>0</v>
      </c>
      <c r="P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 t="s">
        <v>36</v>
      </c>
      <c r="AB855" t="s">
        <v>401</v>
      </c>
      <c r="AC855" t="str">
        <f t="shared" si="26"/>
        <v>CP</v>
      </c>
      <c r="AD855" t="str">
        <f>_xlfn.XLOOKUP(C855,Mapping!A:A,Mapping!D:D,0,0)</f>
        <v>Threesome</v>
      </c>
      <c r="AE855" t="str">
        <f t="shared" si="27"/>
        <v>OLD</v>
      </c>
    </row>
    <row r="856" spans="1:31" x14ac:dyDescent="0.2">
      <c r="A856" t="s">
        <v>39</v>
      </c>
      <c r="B856">
        <v>1012925002</v>
      </c>
      <c r="C856" t="s">
        <v>402</v>
      </c>
      <c r="D856" t="s">
        <v>31</v>
      </c>
      <c r="E856" s="1">
        <v>0.67291666666666672</v>
      </c>
      <c r="F856" t="s">
        <v>32</v>
      </c>
      <c r="G856" t="s">
        <v>33</v>
      </c>
      <c r="H856" t="s">
        <v>41</v>
      </c>
      <c r="I856" t="s">
        <v>62</v>
      </c>
      <c r="J856">
        <v>90</v>
      </c>
      <c r="K856">
        <v>0</v>
      </c>
      <c r="L856" t="s">
        <v>36</v>
      </c>
      <c r="M856" t="s">
        <v>37</v>
      </c>
      <c r="N856">
        <v>0</v>
      </c>
      <c r="O856">
        <v>0</v>
      </c>
      <c r="P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 t="s">
        <v>36</v>
      </c>
      <c r="AB856" t="s">
        <v>401</v>
      </c>
      <c r="AC856" t="str">
        <f t="shared" si="26"/>
        <v>CP</v>
      </c>
      <c r="AD856" t="str">
        <f>_xlfn.XLOOKUP(C856,Mapping!A:A,Mapping!D:D,0,0)</f>
        <v>Bin</v>
      </c>
      <c r="AE856" t="str">
        <f t="shared" si="27"/>
        <v>OLD</v>
      </c>
    </row>
    <row r="857" spans="1:31" x14ac:dyDescent="0.2">
      <c r="A857" t="s">
        <v>690</v>
      </c>
      <c r="B857">
        <v>1012925022</v>
      </c>
      <c r="C857" t="s">
        <v>396</v>
      </c>
      <c r="D857" t="s">
        <v>31</v>
      </c>
      <c r="E857" s="1">
        <v>0.67291666666666672</v>
      </c>
      <c r="F857" t="s">
        <v>32</v>
      </c>
      <c r="G857" t="s">
        <v>33</v>
      </c>
      <c r="H857" t="s">
        <v>41</v>
      </c>
      <c r="I857" t="s">
        <v>62</v>
      </c>
      <c r="J857">
        <v>90</v>
      </c>
      <c r="K857">
        <v>0</v>
      </c>
      <c r="L857" t="s">
        <v>36</v>
      </c>
      <c r="M857" t="s">
        <v>37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0.53400000000000003</v>
      </c>
      <c r="T857">
        <v>0</v>
      </c>
      <c r="U857">
        <v>0</v>
      </c>
      <c r="V857">
        <v>1</v>
      </c>
      <c r="W857">
        <v>0</v>
      </c>
      <c r="X857" t="s">
        <v>36</v>
      </c>
      <c r="Y857">
        <v>1</v>
      </c>
      <c r="Z857">
        <v>1</v>
      </c>
      <c r="AA857">
        <v>0</v>
      </c>
      <c r="AB857" t="s">
        <v>401</v>
      </c>
      <c r="AC857" t="str">
        <f t="shared" si="26"/>
        <v>CP</v>
      </c>
      <c r="AD857" t="str">
        <f>_xlfn.XLOOKUP(C857,Mapping!A:A,Mapping!D:D,0,0)</f>
        <v>Bin</v>
      </c>
      <c r="AE857" t="str">
        <f t="shared" si="27"/>
        <v>OLD</v>
      </c>
    </row>
    <row r="858" spans="1:31" x14ac:dyDescent="0.2">
      <c r="A858" t="s">
        <v>39</v>
      </c>
      <c r="B858">
        <v>1012925032</v>
      </c>
      <c r="C858" t="s">
        <v>406</v>
      </c>
      <c r="D858" t="s">
        <v>31</v>
      </c>
      <c r="E858" s="1">
        <v>0.67291666666666672</v>
      </c>
      <c r="F858" t="s">
        <v>32</v>
      </c>
      <c r="G858" t="s">
        <v>33</v>
      </c>
      <c r="H858" t="s">
        <v>41</v>
      </c>
      <c r="I858" t="s">
        <v>62</v>
      </c>
      <c r="J858">
        <v>90</v>
      </c>
      <c r="K858">
        <v>0</v>
      </c>
      <c r="L858" t="s">
        <v>36</v>
      </c>
      <c r="M858" t="s">
        <v>37</v>
      </c>
      <c r="N858">
        <v>0</v>
      </c>
      <c r="O858">
        <v>0</v>
      </c>
      <c r="P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 t="s">
        <v>36</v>
      </c>
      <c r="AB858" t="s">
        <v>401</v>
      </c>
      <c r="AC858" t="str">
        <f t="shared" si="26"/>
        <v>CP</v>
      </c>
      <c r="AD858" t="str">
        <f>_xlfn.XLOOKUP(C858,Mapping!A:A,Mapping!D:D,0,0)</f>
        <v>Bin</v>
      </c>
      <c r="AE858" t="str">
        <f t="shared" si="27"/>
        <v>OLD</v>
      </c>
    </row>
    <row r="859" spans="1:31" x14ac:dyDescent="0.2">
      <c r="A859" t="s">
        <v>690</v>
      </c>
      <c r="B859">
        <v>1012925042</v>
      </c>
      <c r="C859" t="s">
        <v>864</v>
      </c>
      <c r="D859" t="s">
        <v>31</v>
      </c>
      <c r="E859" s="1">
        <v>0.67291666666666672</v>
      </c>
      <c r="F859" t="s">
        <v>32</v>
      </c>
      <c r="G859" t="s">
        <v>33</v>
      </c>
      <c r="H859" t="s">
        <v>41</v>
      </c>
      <c r="I859" t="s">
        <v>62</v>
      </c>
      <c r="J859">
        <v>90</v>
      </c>
      <c r="K859">
        <v>0</v>
      </c>
      <c r="L859" t="s">
        <v>36</v>
      </c>
      <c r="M859" t="s">
        <v>37</v>
      </c>
      <c r="N859">
        <v>12505</v>
      </c>
      <c r="O859">
        <v>716</v>
      </c>
      <c r="P859">
        <v>5.7257100000000003</v>
      </c>
      <c r="Q859">
        <v>0</v>
      </c>
      <c r="R859">
        <v>7.11</v>
      </c>
      <c r="S859">
        <v>0.56899999999999995</v>
      </c>
      <c r="T859">
        <v>0.01</v>
      </c>
      <c r="U859">
        <v>0</v>
      </c>
      <c r="V859">
        <v>1</v>
      </c>
      <c r="W859">
        <v>0</v>
      </c>
      <c r="X859" t="s">
        <v>36</v>
      </c>
      <c r="Y859">
        <v>12505</v>
      </c>
      <c r="Z859">
        <v>10930</v>
      </c>
      <c r="AA859">
        <v>1141</v>
      </c>
      <c r="AB859" t="s">
        <v>401</v>
      </c>
      <c r="AC859" t="str">
        <f t="shared" si="26"/>
        <v>CP</v>
      </c>
      <c r="AD859" t="str">
        <f>_xlfn.XLOOKUP(C859,Mapping!A:A,Mapping!D:D,0,0)</f>
        <v>Keyword - Preroll</v>
      </c>
      <c r="AE859" t="str">
        <f t="shared" si="27"/>
        <v>OLD</v>
      </c>
    </row>
    <row r="860" spans="1:31" x14ac:dyDescent="0.2">
      <c r="A860" t="s">
        <v>39</v>
      </c>
      <c r="B860">
        <v>1012925052</v>
      </c>
      <c r="C860" t="s">
        <v>405</v>
      </c>
      <c r="D860" t="s">
        <v>31</v>
      </c>
      <c r="E860" s="1">
        <v>0.67291666666666672</v>
      </c>
      <c r="F860" t="s">
        <v>32</v>
      </c>
      <c r="G860" t="s">
        <v>33</v>
      </c>
      <c r="H860" t="s">
        <v>41</v>
      </c>
      <c r="I860" t="s">
        <v>62</v>
      </c>
      <c r="J860">
        <v>90</v>
      </c>
      <c r="K860">
        <v>0</v>
      </c>
      <c r="L860" t="s">
        <v>36</v>
      </c>
      <c r="M860" t="s">
        <v>37</v>
      </c>
      <c r="N860">
        <v>0</v>
      </c>
      <c r="O860">
        <v>0</v>
      </c>
      <c r="P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 t="s">
        <v>36</v>
      </c>
      <c r="AB860" t="s">
        <v>401</v>
      </c>
      <c r="AC860" t="str">
        <f t="shared" si="26"/>
        <v>CP</v>
      </c>
      <c r="AD860" t="str">
        <f>_xlfn.XLOOKUP(C860,Mapping!A:A,Mapping!D:D,0,0)</f>
        <v>Bin</v>
      </c>
      <c r="AE860" t="str">
        <f t="shared" si="27"/>
        <v>OLD</v>
      </c>
    </row>
    <row r="861" spans="1:31" x14ac:dyDescent="0.2">
      <c r="A861" t="s">
        <v>39</v>
      </c>
      <c r="B861">
        <v>1012927522</v>
      </c>
      <c r="C861" t="s">
        <v>865</v>
      </c>
      <c r="D861" t="s">
        <v>31</v>
      </c>
      <c r="E861" s="1">
        <v>0.67291666666666672</v>
      </c>
      <c r="F861" t="s">
        <v>32</v>
      </c>
      <c r="G861" t="s">
        <v>33</v>
      </c>
      <c r="H861" t="s">
        <v>41</v>
      </c>
      <c r="I861" t="s">
        <v>62</v>
      </c>
      <c r="J861">
        <v>490</v>
      </c>
      <c r="K861">
        <v>0</v>
      </c>
      <c r="L861" t="s">
        <v>63</v>
      </c>
      <c r="M861">
        <v>250</v>
      </c>
      <c r="N861">
        <v>0</v>
      </c>
      <c r="O861">
        <v>0</v>
      </c>
      <c r="P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0</v>
      </c>
      <c r="X861" t="s">
        <v>36</v>
      </c>
      <c r="AB861" t="s">
        <v>849</v>
      </c>
      <c r="AC861" t="str">
        <f t="shared" si="26"/>
        <v>CP</v>
      </c>
      <c r="AD861" t="str">
        <f>_xlfn.XLOOKUP(C861,Mapping!A:A,Mapping!D:D,0,0)</f>
        <v>Global</v>
      </c>
      <c r="AE861" t="str">
        <f t="shared" si="27"/>
        <v>OLD</v>
      </c>
    </row>
    <row r="862" spans="1:31" x14ac:dyDescent="0.2">
      <c r="A862" t="s">
        <v>29</v>
      </c>
      <c r="B862">
        <v>1012927532</v>
      </c>
      <c r="C862" t="s">
        <v>866</v>
      </c>
      <c r="D862" t="s">
        <v>31</v>
      </c>
      <c r="E862" s="1">
        <v>0.67291666666666672</v>
      </c>
      <c r="F862" t="s">
        <v>32</v>
      </c>
      <c r="G862" t="s">
        <v>33</v>
      </c>
      <c r="H862" t="s">
        <v>41</v>
      </c>
      <c r="I862" t="s">
        <v>867</v>
      </c>
      <c r="J862">
        <v>539</v>
      </c>
      <c r="K862">
        <v>0</v>
      </c>
      <c r="L862" t="s">
        <v>63</v>
      </c>
      <c r="M862">
        <v>250</v>
      </c>
      <c r="N862">
        <v>3272319</v>
      </c>
      <c r="O862">
        <v>223505</v>
      </c>
      <c r="P862">
        <v>6.8301699999999999</v>
      </c>
      <c r="Q862">
        <v>15</v>
      </c>
      <c r="R862">
        <v>1493.51</v>
      </c>
      <c r="S862">
        <v>0.45600000000000002</v>
      </c>
      <c r="T862">
        <v>7.0000000000000001E-3</v>
      </c>
      <c r="U862">
        <v>99.566999999999993</v>
      </c>
      <c r="V862">
        <v>1</v>
      </c>
      <c r="W862">
        <v>0</v>
      </c>
      <c r="X862" t="s">
        <v>63</v>
      </c>
      <c r="Y862">
        <v>3272068</v>
      </c>
      <c r="Z862">
        <v>2796268</v>
      </c>
      <c r="AA862">
        <v>311857</v>
      </c>
      <c r="AB862" t="s">
        <v>849</v>
      </c>
      <c r="AC862" t="str">
        <f t="shared" si="26"/>
        <v>CP</v>
      </c>
      <c r="AD862" t="str">
        <f>_xlfn.XLOOKUP(C862,Mapping!A:A,Mapping!D:D,0,0)</f>
        <v>Global</v>
      </c>
      <c r="AE862" t="str">
        <f t="shared" si="27"/>
        <v>OLD</v>
      </c>
    </row>
    <row r="863" spans="1:31" x14ac:dyDescent="0.2">
      <c r="A863" t="s">
        <v>29</v>
      </c>
      <c r="B863">
        <v>1012927542</v>
      </c>
      <c r="C863" t="s">
        <v>868</v>
      </c>
      <c r="D863" t="s">
        <v>31</v>
      </c>
      <c r="E863" s="1">
        <v>0.67291666666666672</v>
      </c>
      <c r="F863" t="s">
        <v>32</v>
      </c>
      <c r="G863" t="s">
        <v>33</v>
      </c>
      <c r="H863" t="s">
        <v>34</v>
      </c>
      <c r="I863" t="s">
        <v>84</v>
      </c>
      <c r="J863">
        <v>252</v>
      </c>
      <c r="K863">
        <v>0</v>
      </c>
      <c r="L863" t="s">
        <v>36</v>
      </c>
      <c r="M863" t="s">
        <v>37</v>
      </c>
      <c r="N863">
        <v>615430</v>
      </c>
      <c r="O863">
        <v>36981</v>
      </c>
      <c r="P863">
        <v>6.0089699999999997</v>
      </c>
      <c r="Q863">
        <v>12</v>
      </c>
      <c r="R863">
        <v>433.98</v>
      </c>
      <c r="S863">
        <v>0.70499999999999996</v>
      </c>
      <c r="T863">
        <v>1.2E-2</v>
      </c>
      <c r="U863">
        <v>36.164999999999999</v>
      </c>
      <c r="V863">
        <v>1</v>
      </c>
      <c r="W863">
        <v>0</v>
      </c>
      <c r="X863" t="s">
        <v>36</v>
      </c>
      <c r="Y863">
        <v>615428</v>
      </c>
      <c r="Z863">
        <v>467616</v>
      </c>
      <c r="AA863">
        <v>84827</v>
      </c>
      <c r="AB863" t="s">
        <v>849</v>
      </c>
      <c r="AC863" t="str">
        <f t="shared" si="26"/>
        <v>CP</v>
      </c>
      <c r="AD863" t="str">
        <f>_xlfn.XLOOKUP(C863,Mapping!A:A,Mapping!D:D,0,0)</f>
        <v>Global</v>
      </c>
      <c r="AE863" t="str">
        <f t="shared" si="27"/>
        <v>OLD</v>
      </c>
    </row>
    <row r="864" spans="1:31" x14ac:dyDescent="0.2">
      <c r="A864" t="s">
        <v>29</v>
      </c>
      <c r="B864">
        <v>1012927552</v>
      </c>
      <c r="C864" t="s">
        <v>869</v>
      </c>
      <c r="D864" t="s">
        <v>31</v>
      </c>
      <c r="E864" s="1">
        <v>0.67291666666666672</v>
      </c>
      <c r="F864" t="s">
        <v>32</v>
      </c>
      <c r="G864" t="s">
        <v>33</v>
      </c>
      <c r="H864" t="s">
        <v>34</v>
      </c>
      <c r="I864" t="s">
        <v>716</v>
      </c>
      <c r="J864">
        <v>360</v>
      </c>
      <c r="K864">
        <v>0</v>
      </c>
      <c r="L864" t="s">
        <v>36</v>
      </c>
      <c r="M864" t="s">
        <v>37</v>
      </c>
      <c r="N864">
        <v>2247602</v>
      </c>
      <c r="O864">
        <v>119121</v>
      </c>
      <c r="P864">
        <v>5.2999200000000002</v>
      </c>
      <c r="Q864">
        <v>35</v>
      </c>
      <c r="R864">
        <v>2684.56</v>
      </c>
      <c r="S864">
        <v>1.194</v>
      </c>
      <c r="T864">
        <v>2.3E-2</v>
      </c>
      <c r="U864">
        <v>76.701999999999998</v>
      </c>
      <c r="V864">
        <v>1</v>
      </c>
      <c r="W864">
        <v>0</v>
      </c>
      <c r="X864" t="s">
        <v>36</v>
      </c>
      <c r="Y864">
        <v>2247608</v>
      </c>
      <c r="Z864">
        <v>1721960</v>
      </c>
      <c r="AA864">
        <v>297173</v>
      </c>
      <c r="AB864" t="s">
        <v>849</v>
      </c>
      <c r="AC864" t="str">
        <f t="shared" si="26"/>
        <v>CP</v>
      </c>
      <c r="AD864" t="str">
        <f>_xlfn.XLOOKUP(C864,Mapping!A:A,Mapping!D:D,0,0)</f>
        <v>Global</v>
      </c>
      <c r="AE864" t="str">
        <f t="shared" si="27"/>
        <v>OLD</v>
      </c>
    </row>
    <row r="865" spans="1:31" x14ac:dyDescent="0.2">
      <c r="A865" t="s">
        <v>39</v>
      </c>
      <c r="B865">
        <v>1012927562</v>
      </c>
      <c r="C865" t="s">
        <v>870</v>
      </c>
      <c r="D865" t="s">
        <v>31</v>
      </c>
      <c r="E865" s="1">
        <v>0.67291666666666672</v>
      </c>
      <c r="F865" t="s">
        <v>32</v>
      </c>
      <c r="G865" t="s">
        <v>33</v>
      </c>
      <c r="H865" t="s">
        <v>41</v>
      </c>
      <c r="I865" t="s">
        <v>62</v>
      </c>
      <c r="J865">
        <v>700</v>
      </c>
      <c r="K865">
        <v>0</v>
      </c>
      <c r="L865" t="s">
        <v>63</v>
      </c>
      <c r="M865">
        <v>250</v>
      </c>
      <c r="N865">
        <v>0</v>
      </c>
      <c r="O865">
        <v>0</v>
      </c>
      <c r="P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 t="s">
        <v>36</v>
      </c>
      <c r="AB865" t="s">
        <v>849</v>
      </c>
      <c r="AC865" t="str">
        <f t="shared" si="26"/>
        <v>CP</v>
      </c>
      <c r="AD865" t="str">
        <f>_xlfn.XLOOKUP(C865,Mapping!A:A,Mapping!D:D,0,0)</f>
        <v>Global</v>
      </c>
      <c r="AE865" t="str">
        <f t="shared" si="27"/>
        <v>OLD</v>
      </c>
    </row>
    <row r="866" spans="1:31" x14ac:dyDescent="0.2">
      <c r="A866" t="s">
        <v>39</v>
      </c>
      <c r="B866">
        <v>1012927582</v>
      </c>
      <c r="C866" t="s">
        <v>871</v>
      </c>
      <c r="D866" t="s">
        <v>31</v>
      </c>
      <c r="E866" s="1">
        <v>0.67291666666666672</v>
      </c>
      <c r="F866" t="s">
        <v>32</v>
      </c>
      <c r="G866" t="s">
        <v>33</v>
      </c>
      <c r="H866" t="s">
        <v>41</v>
      </c>
      <c r="I866" t="s">
        <v>62</v>
      </c>
      <c r="J866">
        <v>700</v>
      </c>
      <c r="K866">
        <v>0</v>
      </c>
      <c r="L866" t="s">
        <v>63</v>
      </c>
      <c r="M866">
        <v>250</v>
      </c>
      <c r="N866">
        <v>0</v>
      </c>
      <c r="O866">
        <v>0</v>
      </c>
      <c r="P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 t="s">
        <v>36</v>
      </c>
      <c r="AB866" t="s">
        <v>849</v>
      </c>
      <c r="AC866" t="str">
        <f t="shared" si="26"/>
        <v>CP</v>
      </c>
      <c r="AD866" t="str">
        <f>_xlfn.XLOOKUP(C866,Mapping!A:A,Mapping!D:D,0,0)</f>
        <v>Global</v>
      </c>
      <c r="AE866" t="str">
        <f t="shared" si="27"/>
        <v>OLD</v>
      </c>
    </row>
    <row r="867" spans="1:31" x14ac:dyDescent="0.2">
      <c r="A867" t="s">
        <v>39</v>
      </c>
      <c r="B867">
        <v>1012927592</v>
      </c>
      <c r="C867" t="s">
        <v>872</v>
      </c>
      <c r="D867" t="s">
        <v>31</v>
      </c>
      <c r="E867" s="1">
        <v>0.67291666666666672</v>
      </c>
      <c r="F867" t="s">
        <v>32</v>
      </c>
      <c r="G867" t="s">
        <v>33</v>
      </c>
      <c r="H867" t="s">
        <v>41</v>
      </c>
      <c r="I867" t="s">
        <v>62</v>
      </c>
      <c r="J867">
        <v>700</v>
      </c>
      <c r="K867">
        <v>0</v>
      </c>
      <c r="L867" t="s">
        <v>63</v>
      </c>
      <c r="M867">
        <v>250</v>
      </c>
      <c r="N867">
        <v>0</v>
      </c>
      <c r="O867">
        <v>0</v>
      </c>
      <c r="P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 t="s">
        <v>36</v>
      </c>
      <c r="AB867" t="s">
        <v>849</v>
      </c>
      <c r="AC867" t="str">
        <f t="shared" si="26"/>
        <v>CP</v>
      </c>
      <c r="AD867" t="str">
        <f>_xlfn.XLOOKUP(C867,Mapping!A:A,Mapping!D:D,0,0)</f>
        <v>Global</v>
      </c>
      <c r="AE867" t="str">
        <f t="shared" si="27"/>
        <v>OLD</v>
      </c>
    </row>
    <row r="868" spans="1:31" x14ac:dyDescent="0.2">
      <c r="A868" t="s">
        <v>29</v>
      </c>
      <c r="B868">
        <v>1012927602</v>
      </c>
      <c r="C868" t="s">
        <v>873</v>
      </c>
      <c r="D868" t="s">
        <v>31</v>
      </c>
      <c r="E868" s="1">
        <v>0.67291666666666672</v>
      </c>
      <c r="F868" t="s">
        <v>32</v>
      </c>
      <c r="G868" t="s">
        <v>33</v>
      </c>
      <c r="H868" t="s">
        <v>34</v>
      </c>
      <c r="I868" t="s">
        <v>84</v>
      </c>
      <c r="J868">
        <v>360</v>
      </c>
      <c r="K868">
        <v>0</v>
      </c>
      <c r="L868" t="s">
        <v>36</v>
      </c>
      <c r="M868" t="s">
        <v>37</v>
      </c>
      <c r="N868">
        <v>709764</v>
      </c>
      <c r="O868">
        <v>39495</v>
      </c>
      <c r="P868">
        <v>5.5645300000000004</v>
      </c>
      <c r="Q868">
        <v>13</v>
      </c>
      <c r="R868">
        <v>820.24</v>
      </c>
      <c r="S868">
        <v>1.1559999999999999</v>
      </c>
      <c r="T868">
        <v>2.1000000000000001E-2</v>
      </c>
      <c r="U868">
        <v>63.095999999999997</v>
      </c>
      <c r="V868">
        <v>1</v>
      </c>
      <c r="W868">
        <v>0</v>
      </c>
      <c r="X868" t="s">
        <v>36</v>
      </c>
      <c r="Y868">
        <v>709764</v>
      </c>
      <c r="Z868">
        <v>547370</v>
      </c>
      <c r="AA868">
        <v>91910</v>
      </c>
      <c r="AB868" t="s">
        <v>849</v>
      </c>
      <c r="AC868" t="str">
        <f t="shared" si="26"/>
        <v>CP</v>
      </c>
      <c r="AD868" t="str">
        <f>_xlfn.XLOOKUP(C868,Mapping!A:A,Mapping!D:D,0,0)</f>
        <v>Global</v>
      </c>
      <c r="AE868" t="str">
        <f t="shared" si="27"/>
        <v>OLD</v>
      </c>
    </row>
    <row r="869" spans="1:31" x14ac:dyDescent="0.2">
      <c r="A869" t="s">
        <v>39</v>
      </c>
      <c r="B869">
        <v>1012927612</v>
      </c>
      <c r="C869" t="s">
        <v>874</v>
      </c>
      <c r="D869" t="s">
        <v>31</v>
      </c>
      <c r="E869" s="1">
        <v>0.67291666666666672</v>
      </c>
      <c r="F869" t="s">
        <v>32</v>
      </c>
      <c r="G869" t="s">
        <v>33</v>
      </c>
      <c r="H869" t="s">
        <v>41</v>
      </c>
      <c r="I869" t="s">
        <v>62</v>
      </c>
      <c r="J869">
        <v>700</v>
      </c>
      <c r="K869">
        <v>0</v>
      </c>
      <c r="L869" t="s">
        <v>63</v>
      </c>
      <c r="M869">
        <v>250</v>
      </c>
      <c r="N869">
        <v>0</v>
      </c>
      <c r="O869">
        <v>0</v>
      </c>
      <c r="P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 t="s">
        <v>36</v>
      </c>
      <c r="AB869" t="s">
        <v>849</v>
      </c>
      <c r="AC869" t="str">
        <f t="shared" si="26"/>
        <v>CP</v>
      </c>
      <c r="AD869" t="str">
        <f>_xlfn.XLOOKUP(C869,Mapping!A:A,Mapping!D:D,0,0)</f>
        <v>Global</v>
      </c>
      <c r="AE869" t="str">
        <f t="shared" si="27"/>
        <v>OLD</v>
      </c>
    </row>
    <row r="870" spans="1:31" x14ac:dyDescent="0.2">
      <c r="A870" t="s">
        <v>39</v>
      </c>
      <c r="B870">
        <v>1012927622</v>
      </c>
      <c r="C870" t="s">
        <v>875</v>
      </c>
      <c r="D870" t="s">
        <v>31</v>
      </c>
      <c r="E870" s="1">
        <v>0.67291666666666672</v>
      </c>
      <c r="F870" t="s">
        <v>32</v>
      </c>
      <c r="G870" t="s">
        <v>33</v>
      </c>
      <c r="H870" t="s">
        <v>41</v>
      </c>
      <c r="I870" t="s">
        <v>62</v>
      </c>
      <c r="J870">
        <v>700</v>
      </c>
      <c r="K870">
        <v>0</v>
      </c>
      <c r="L870" t="s">
        <v>63</v>
      </c>
      <c r="M870">
        <v>250</v>
      </c>
      <c r="N870">
        <v>0</v>
      </c>
      <c r="O870">
        <v>0</v>
      </c>
      <c r="P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 t="s">
        <v>36</v>
      </c>
      <c r="AB870" t="s">
        <v>849</v>
      </c>
      <c r="AC870" t="str">
        <f t="shared" si="26"/>
        <v>CP</v>
      </c>
      <c r="AD870" t="str">
        <f>_xlfn.XLOOKUP(C870,Mapping!A:A,Mapping!D:D,0,0)</f>
        <v>Global</v>
      </c>
      <c r="AE870" t="str">
        <f t="shared" si="27"/>
        <v>OLD</v>
      </c>
    </row>
    <row r="871" spans="1:31" x14ac:dyDescent="0.2">
      <c r="A871" t="s">
        <v>29</v>
      </c>
      <c r="B871">
        <v>1012927642</v>
      </c>
      <c r="C871" t="s">
        <v>876</v>
      </c>
      <c r="D871" t="s">
        <v>31</v>
      </c>
      <c r="E871" s="1">
        <v>0.67291666666666672</v>
      </c>
      <c r="F871" t="s">
        <v>32</v>
      </c>
      <c r="G871" t="s">
        <v>33</v>
      </c>
      <c r="H871" t="s">
        <v>34</v>
      </c>
      <c r="I871" t="s">
        <v>84</v>
      </c>
      <c r="J871">
        <v>360</v>
      </c>
      <c r="K871">
        <v>0</v>
      </c>
      <c r="L871" t="s">
        <v>63</v>
      </c>
      <c r="M871">
        <v>250</v>
      </c>
      <c r="N871">
        <v>713523</v>
      </c>
      <c r="O871">
        <v>39972</v>
      </c>
      <c r="P871">
        <v>5.6020599999999998</v>
      </c>
      <c r="Q871">
        <v>4</v>
      </c>
      <c r="R871">
        <v>946.55</v>
      </c>
      <c r="S871">
        <v>1.327</v>
      </c>
      <c r="T871">
        <v>2.4E-2</v>
      </c>
      <c r="U871">
        <v>236.63900000000001</v>
      </c>
      <c r="V871">
        <v>1</v>
      </c>
      <c r="W871">
        <v>0</v>
      </c>
      <c r="X871" t="s">
        <v>36</v>
      </c>
      <c r="Y871">
        <v>713515</v>
      </c>
      <c r="Z871">
        <v>540401</v>
      </c>
      <c r="AA871">
        <v>102226</v>
      </c>
      <c r="AB871" t="s">
        <v>849</v>
      </c>
      <c r="AC871" t="str">
        <f t="shared" si="26"/>
        <v>CP</v>
      </c>
      <c r="AD871" t="str">
        <f>_xlfn.XLOOKUP(C871,Mapping!A:A,Mapping!D:D,0,0)</f>
        <v>Global</v>
      </c>
      <c r="AE871" t="str">
        <f t="shared" si="27"/>
        <v>OLD</v>
      </c>
    </row>
    <row r="872" spans="1:31" x14ac:dyDescent="0.2">
      <c r="A872" t="s">
        <v>29</v>
      </c>
      <c r="B872">
        <v>1012927662</v>
      </c>
      <c r="C872" t="s">
        <v>877</v>
      </c>
      <c r="D872" t="s">
        <v>31</v>
      </c>
      <c r="E872" s="1">
        <v>0.67291666666666672</v>
      </c>
      <c r="F872" t="s">
        <v>32</v>
      </c>
      <c r="G872" t="s">
        <v>33</v>
      </c>
      <c r="H872" t="s">
        <v>41</v>
      </c>
      <c r="I872" t="s">
        <v>867</v>
      </c>
      <c r="J872">
        <v>700</v>
      </c>
      <c r="K872">
        <v>0</v>
      </c>
      <c r="L872" t="s">
        <v>63</v>
      </c>
      <c r="M872">
        <v>250</v>
      </c>
      <c r="N872">
        <v>25893792</v>
      </c>
      <c r="O872">
        <v>2074685</v>
      </c>
      <c r="P872">
        <v>8.0122900000000001</v>
      </c>
      <c r="Q872">
        <v>38</v>
      </c>
      <c r="R872">
        <v>6028.95</v>
      </c>
      <c r="S872">
        <v>0.23300000000000001</v>
      </c>
      <c r="T872">
        <v>3.0000000000000001E-3</v>
      </c>
      <c r="U872">
        <v>158.65700000000001</v>
      </c>
      <c r="V872">
        <v>2</v>
      </c>
      <c r="W872">
        <v>0</v>
      </c>
      <c r="X872" t="s">
        <v>63</v>
      </c>
      <c r="Y872">
        <v>25893622</v>
      </c>
      <c r="Z872">
        <v>22193755</v>
      </c>
      <c r="AA872">
        <v>2595500</v>
      </c>
      <c r="AB872" t="s">
        <v>849</v>
      </c>
      <c r="AC872" t="str">
        <f t="shared" si="26"/>
        <v>CP</v>
      </c>
      <c r="AD872" t="str">
        <f>_xlfn.XLOOKUP(C872,Mapping!A:A,Mapping!D:D,0,0)</f>
        <v>Global</v>
      </c>
      <c r="AE872" t="str">
        <f t="shared" si="27"/>
        <v>OLD</v>
      </c>
    </row>
    <row r="873" spans="1:31" x14ac:dyDescent="0.2">
      <c r="A873" t="s">
        <v>29</v>
      </c>
      <c r="B873">
        <v>1012927672</v>
      </c>
      <c r="C873" t="s">
        <v>878</v>
      </c>
      <c r="D873" t="s">
        <v>31</v>
      </c>
      <c r="E873" s="1">
        <v>0.67291666666666672</v>
      </c>
      <c r="F873" t="s">
        <v>32</v>
      </c>
      <c r="G873" t="s">
        <v>33</v>
      </c>
      <c r="H873" t="s">
        <v>34</v>
      </c>
      <c r="I873" t="s">
        <v>84</v>
      </c>
      <c r="J873">
        <v>360</v>
      </c>
      <c r="K873">
        <v>0</v>
      </c>
      <c r="L873" t="s">
        <v>63</v>
      </c>
      <c r="M873">
        <v>250</v>
      </c>
      <c r="N873">
        <v>312515</v>
      </c>
      <c r="O873">
        <v>17141</v>
      </c>
      <c r="P873">
        <v>5.4848600000000003</v>
      </c>
      <c r="Q873">
        <v>2</v>
      </c>
      <c r="R873">
        <v>262.24</v>
      </c>
      <c r="S873">
        <v>0.83899999999999997</v>
      </c>
      <c r="T873">
        <v>1.4999999999999999E-2</v>
      </c>
      <c r="U873">
        <v>131.11799999999999</v>
      </c>
      <c r="V873">
        <v>1</v>
      </c>
      <c r="W873">
        <v>0</v>
      </c>
      <c r="X873" t="s">
        <v>36</v>
      </c>
      <c r="Y873">
        <v>312513</v>
      </c>
      <c r="Z873">
        <v>239681</v>
      </c>
      <c r="AA873">
        <v>42699</v>
      </c>
      <c r="AB873" t="s">
        <v>849</v>
      </c>
      <c r="AC873" t="str">
        <f t="shared" si="26"/>
        <v>CP</v>
      </c>
      <c r="AD873" t="str">
        <f>_xlfn.XLOOKUP(C873,Mapping!A:A,Mapping!D:D,0,0)</f>
        <v>Global</v>
      </c>
      <c r="AE873" t="str">
        <f t="shared" si="27"/>
        <v>OLD</v>
      </c>
    </row>
    <row r="874" spans="1:31" x14ac:dyDescent="0.2">
      <c r="A874" t="s">
        <v>39</v>
      </c>
      <c r="B874">
        <v>1012927682</v>
      </c>
      <c r="C874" t="s">
        <v>879</v>
      </c>
      <c r="D874" t="s">
        <v>31</v>
      </c>
      <c r="E874" s="1">
        <v>0.67291666666666672</v>
      </c>
      <c r="F874" t="s">
        <v>32</v>
      </c>
      <c r="G874" t="s">
        <v>33</v>
      </c>
      <c r="H874" t="s">
        <v>41</v>
      </c>
      <c r="I874" t="s">
        <v>62</v>
      </c>
      <c r="J874">
        <v>700</v>
      </c>
      <c r="K874">
        <v>0</v>
      </c>
      <c r="L874" t="s">
        <v>63</v>
      </c>
      <c r="M874">
        <v>250</v>
      </c>
      <c r="N874">
        <v>0</v>
      </c>
      <c r="O874">
        <v>0</v>
      </c>
      <c r="P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0</v>
      </c>
      <c r="X874" t="s">
        <v>36</v>
      </c>
      <c r="AB874" t="s">
        <v>849</v>
      </c>
      <c r="AC874" t="str">
        <f t="shared" si="26"/>
        <v>CP</v>
      </c>
      <c r="AD874" t="str">
        <f>_xlfn.XLOOKUP(C874,Mapping!A:A,Mapping!D:D,0,0)</f>
        <v>Global</v>
      </c>
      <c r="AE874" t="str">
        <f t="shared" si="27"/>
        <v>OLD</v>
      </c>
    </row>
    <row r="875" spans="1:31" x14ac:dyDescent="0.2">
      <c r="A875" t="s">
        <v>29</v>
      </c>
      <c r="B875">
        <v>1012927692</v>
      </c>
      <c r="C875" t="s">
        <v>880</v>
      </c>
      <c r="D875" t="s">
        <v>31</v>
      </c>
      <c r="E875" s="1">
        <v>0.67291666666666672</v>
      </c>
      <c r="F875" t="s">
        <v>32</v>
      </c>
      <c r="G875" t="s">
        <v>33</v>
      </c>
      <c r="H875" t="s">
        <v>41</v>
      </c>
      <c r="I875" t="s">
        <v>62</v>
      </c>
      <c r="J875">
        <v>700</v>
      </c>
      <c r="K875">
        <v>0</v>
      </c>
      <c r="L875" t="s">
        <v>63</v>
      </c>
      <c r="M875">
        <v>250</v>
      </c>
      <c r="N875">
        <v>740492</v>
      </c>
      <c r="O875">
        <v>54204</v>
      </c>
      <c r="P875">
        <v>7.32</v>
      </c>
      <c r="Q875">
        <v>3</v>
      </c>
      <c r="R875">
        <v>342.88</v>
      </c>
      <c r="S875">
        <v>0.46300000000000002</v>
      </c>
      <c r="T875">
        <v>6.0000000000000001E-3</v>
      </c>
      <c r="U875">
        <v>114.29300000000001</v>
      </c>
      <c r="V875">
        <v>1</v>
      </c>
      <c r="W875">
        <v>0</v>
      </c>
      <c r="X875" t="s">
        <v>36</v>
      </c>
      <c r="Y875">
        <v>740488</v>
      </c>
      <c r="Z875">
        <v>635163</v>
      </c>
      <c r="AA875">
        <v>66466</v>
      </c>
      <c r="AB875" t="s">
        <v>849</v>
      </c>
      <c r="AC875" t="str">
        <f t="shared" si="26"/>
        <v>CP</v>
      </c>
      <c r="AD875" t="str">
        <f>_xlfn.XLOOKUP(C875,Mapping!A:A,Mapping!D:D,0,0)</f>
        <v>Global</v>
      </c>
      <c r="AE875" t="str">
        <f t="shared" si="27"/>
        <v>OLD</v>
      </c>
    </row>
    <row r="876" spans="1:31" x14ac:dyDescent="0.2">
      <c r="A876" t="s">
        <v>29</v>
      </c>
      <c r="B876">
        <v>1012929922</v>
      </c>
      <c r="C876" t="s">
        <v>881</v>
      </c>
      <c r="D876" t="s">
        <v>31</v>
      </c>
      <c r="E876" t="s">
        <v>246</v>
      </c>
      <c r="F876" t="s">
        <v>247</v>
      </c>
      <c r="G876" t="s">
        <v>33</v>
      </c>
      <c r="H876" t="s">
        <v>41</v>
      </c>
      <c r="I876" t="s">
        <v>58</v>
      </c>
      <c r="J876">
        <v>37</v>
      </c>
      <c r="K876">
        <v>0</v>
      </c>
      <c r="L876" t="s">
        <v>36</v>
      </c>
      <c r="M876" t="s">
        <v>37</v>
      </c>
      <c r="N876">
        <v>9444837</v>
      </c>
      <c r="O876">
        <v>18509</v>
      </c>
      <c r="P876">
        <v>0.19597000000000001</v>
      </c>
      <c r="Q876">
        <v>40</v>
      </c>
      <c r="R876">
        <v>3003.46</v>
      </c>
      <c r="S876">
        <v>0.318</v>
      </c>
      <c r="T876">
        <v>0.16200000000000001</v>
      </c>
      <c r="U876">
        <v>75.085999999999999</v>
      </c>
      <c r="V876">
        <v>2</v>
      </c>
      <c r="W876">
        <v>0</v>
      </c>
      <c r="X876" t="s">
        <v>36</v>
      </c>
      <c r="Y876">
        <v>0</v>
      </c>
      <c r="Z876">
        <v>0</v>
      </c>
      <c r="AA876">
        <v>0</v>
      </c>
      <c r="AB876" t="s">
        <v>687</v>
      </c>
      <c r="AC876" t="str">
        <f t="shared" si="26"/>
        <v>OL</v>
      </c>
      <c r="AD876" t="str">
        <f>_xlfn.XLOOKUP(C876,Mapping!A:A,Mapping!D:D,0,0)</f>
        <v>Native - Homepage</v>
      </c>
      <c r="AE876" t="str">
        <f t="shared" si="27"/>
        <v>OLD</v>
      </c>
    </row>
    <row r="877" spans="1:31" x14ac:dyDescent="0.2">
      <c r="A877" t="s">
        <v>29</v>
      </c>
      <c r="B877">
        <v>1012929942</v>
      </c>
      <c r="C877" t="s">
        <v>882</v>
      </c>
      <c r="D877" t="s">
        <v>31</v>
      </c>
      <c r="E877" t="s">
        <v>246</v>
      </c>
      <c r="F877" t="s">
        <v>247</v>
      </c>
      <c r="G877" t="s">
        <v>33</v>
      </c>
      <c r="H877" t="s">
        <v>41</v>
      </c>
      <c r="I877" t="s">
        <v>124</v>
      </c>
      <c r="J877">
        <v>37</v>
      </c>
      <c r="K877">
        <v>0</v>
      </c>
      <c r="L877" t="s">
        <v>63</v>
      </c>
      <c r="M877">
        <v>2000</v>
      </c>
      <c r="N877">
        <v>8641597</v>
      </c>
      <c r="O877">
        <v>13028</v>
      </c>
      <c r="P877">
        <v>0.15076000000000001</v>
      </c>
      <c r="Q877">
        <v>21</v>
      </c>
      <c r="R877">
        <v>1985.27</v>
      </c>
      <c r="S877">
        <v>0.23</v>
      </c>
      <c r="T877">
        <v>0.152</v>
      </c>
      <c r="U877">
        <v>94.537000000000006</v>
      </c>
      <c r="V877">
        <v>2</v>
      </c>
      <c r="W877">
        <v>0</v>
      </c>
      <c r="X877" t="s">
        <v>36</v>
      </c>
      <c r="Y877">
        <v>0</v>
      </c>
      <c r="Z877">
        <v>0</v>
      </c>
      <c r="AA877">
        <v>0</v>
      </c>
      <c r="AB877" t="s">
        <v>687</v>
      </c>
      <c r="AC877" t="str">
        <f t="shared" si="26"/>
        <v>OL</v>
      </c>
      <c r="AD877" t="str">
        <f>_xlfn.XLOOKUP(C877,Mapping!A:A,Mapping!D:D,0,0)</f>
        <v>Native - Homepage</v>
      </c>
      <c r="AE877" t="str">
        <f t="shared" si="27"/>
        <v>OLD</v>
      </c>
    </row>
    <row r="878" spans="1:31" x14ac:dyDescent="0.2">
      <c r="A878" t="s">
        <v>29</v>
      </c>
      <c r="B878">
        <v>1012946891</v>
      </c>
      <c r="C878" t="s">
        <v>883</v>
      </c>
      <c r="D878" t="s">
        <v>31</v>
      </c>
      <c r="E878" t="s">
        <v>246</v>
      </c>
      <c r="F878" t="s">
        <v>247</v>
      </c>
      <c r="G878" t="s">
        <v>33</v>
      </c>
      <c r="H878" t="s">
        <v>34</v>
      </c>
      <c r="I878" t="s">
        <v>84</v>
      </c>
      <c r="J878">
        <v>264</v>
      </c>
      <c r="K878">
        <v>0</v>
      </c>
      <c r="L878" t="s">
        <v>36</v>
      </c>
      <c r="M878" t="s">
        <v>37</v>
      </c>
      <c r="N878">
        <v>1386728</v>
      </c>
      <c r="O878">
        <v>3099</v>
      </c>
      <c r="P878">
        <v>0.22348000000000001</v>
      </c>
      <c r="Q878">
        <v>4</v>
      </c>
      <c r="R878">
        <v>123.52</v>
      </c>
      <c r="S878">
        <v>8.8999999999999996E-2</v>
      </c>
      <c r="T878">
        <v>0.04</v>
      </c>
      <c r="U878">
        <v>30.88</v>
      </c>
      <c r="V878">
        <v>2</v>
      </c>
      <c r="W878">
        <v>0</v>
      </c>
      <c r="X878" t="s">
        <v>36</v>
      </c>
      <c r="Y878">
        <v>0</v>
      </c>
      <c r="Z878">
        <v>0</v>
      </c>
      <c r="AA878">
        <v>0</v>
      </c>
      <c r="AB878" t="s">
        <v>884</v>
      </c>
      <c r="AC878" t="str">
        <f t="shared" si="26"/>
        <v>OL</v>
      </c>
      <c r="AD878" t="str">
        <f>_xlfn.XLOOKUP(C878,Mapping!A:A,Mapping!D:D,0,0)</f>
        <v>Indian</v>
      </c>
      <c r="AE878" t="str">
        <f t="shared" si="27"/>
        <v>OLD</v>
      </c>
    </row>
    <row r="879" spans="1:31" x14ac:dyDescent="0.2">
      <c r="A879" t="s">
        <v>39</v>
      </c>
      <c r="B879">
        <v>1012946931</v>
      </c>
      <c r="C879" t="s">
        <v>885</v>
      </c>
      <c r="D879" t="s">
        <v>31</v>
      </c>
      <c r="E879" t="s">
        <v>246</v>
      </c>
      <c r="F879" t="s">
        <v>247</v>
      </c>
      <c r="G879" t="s">
        <v>33</v>
      </c>
      <c r="H879" t="s">
        <v>41</v>
      </c>
      <c r="I879" t="s">
        <v>62</v>
      </c>
      <c r="J879">
        <v>286</v>
      </c>
      <c r="K879">
        <v>0</v>
      </c>
      <c r="L879" t="s">
        <v>63</v>
      </c>
      <c r="M879">
        <v>250</v>
      </c>
      <c r="N879">
        <v>0</v>
      </c>
      <c r="O879">
        <v>0</v>
      </c>
      <c r="P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0</v>
      </c>
      <c r="X879" t="s">
        <v>36</v>
      </c>
      <c r="AB879" t="s">
        <v>884</v>
      </c>
      <c r="AC879" t="str">
        <f t="shared" si="26"/>
        <v>CP</v>
      </c>
      <c r="AD879" t="str">
        <f>_xlfn.XLOOKUP(C879,Mapping!A:A,Mapping!D:D,0,0)</f>
        <v>Indian</v>
      </c>
      <c r="AE879" t="str">
        <f t="shared" si="27"/>
        <v>OLD</v>
      </c>
    </row>
    <row r="880" spans="1:31" x14ac:dyDescent="0.2">
      <c r="A880" t="s">
        <v>39</v>
      </c>
      <c r="B880">
        <v>1012946971</v>
      </c>
      <c r="C880" t="s">
        <v>886</v>
      </c>
      <c r="D880" t="s">
        <v>31</v>
      </c>
      <c r="E880" t="s">
        <v>246</v>
      </c>
      <c r="F880" t="s">
        <v>247</v>
      </c>
      <c r="G880" t="s">
        <v>33</v>
      </c>
      <c r="H880" t="s">
        <v>41</v>
      </c>
      <c r="I880" t="s">
        <v>62</v>
      </c>
      <c r="J880">
        <v>286</v>
      </c>
      <c r="K880">
        <v>0</v>
      </c>
      <c r="L880" t="s">
        <v>63</v>
      </c>
      <c r="M880">
        <v>250</v>
      </c>
      <c r="N880">
        <v>0</v>
      </c>
      <c r="O880">
        <v>0</v>
      </c>
      <c r="P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 t="s">
        <v>36</v>
      </c>
      <c r="AB880" t="s">
        <v>884</v>
      </c>
      <c r="AC880" t="str">
        <f t="shared" si="26"/>
        <v>CP</v>
      </c>
      <c r="AD880" t="str">
        <f>_xlfn.XLOOKUP(C880,Mapping!A:A,Mapping!D:D,0,0)</f>
        <v>Indian</v>
      </c>
      <c r="AE880" t="str">
        <f t="shared" si="27"/>
        <v>OLD</v>
      </c>
    </row>
    <row r="881" spans="1:31" x14ac:dyDescent="0.2">
      <c r="A881" t="s">
        <v>29</v>
      </c>
      <c r="B881">
        <v>1012947151</v>
      </c>
      <c r="C881" t="s">
        <v>887</v>
      </c>
      <c r="D881" t="s">
        <v>31</v>
      </c>
      <c r="E881" t="s">
        <v>246</v>
      </c>
      <c r="F881" t="s">
        <v>247</v>
      </c>
      <c r="G881" t="s">
        <v>33</v>
      </c>
      <c r="H881" t="s">
        <v>34</v>
      </c>
      <c r="I881" t="s">
        <v>84</v>
      </c>
      <c r="J881">
        <v>144</v>
      </c>
      <c r="K881">
        <v>0</v>
      </c>
      <c r="L881" t="s">
        <v>36</v>
      </c>
      <c r="M881" t="s">
        <v>37</v>
      </c>
      <c r="N881">
        <v>239891</v>
      </c>
      <c r="O881">
        <v>268</v>
      </c>
      <c r="P881">
        <v>0.11172</v>
      </c>
      <c r="Q881">
        <v>2</v>
      </c>
      <c r="R881">
        <v>21.61</v>
      </c>
      <c r="S881">
        <v>0.09</v>
      </c>
      <c r="T881">
        <v>8.1000000000000003E-2</v>
      </c>
      <c r="U881">
        <v>10.805999999999999</v>
      </c>
      <c r="V881">
        <v>2</v>
      </c>
      <c r="W881">
        <v>0</v>
      </c>
      <c r="X881" t="s">
        <v>36</v>
      </c>
      <c r="Y881">
        <v>0</v>
      </c>
      <c r="Z881">
        <v>0</v>
      </c>
      <c r="AA881">
        <v>0</v>
      </c>
      <c r="AB881" t="s">
        <v>888</v>
      </c>
      <c r="AC881" t="str">
        <f t="shared" si="26"/>
        <v>CP</v>
      </c>
      <c r="AD881" t="str">
        <f>_xlfn.XLOOKUP(C881,Mapping!A:A,Mapping!D:D,0,0)</f>
        <v>Keyword - Preroll</v>
      </c>
      <c r="AE881" t="str">
        <f t="shared" si="27"/>
        <v>OLD</v>
      </c>
    </row>
    <row r="882" spans="1:31" x14ac:dyDescent="0.2">
      <c r="A882" t="s">
        <v>29</v>
      </c>
      <c r="B882">
        <v>1012947181</v>
      </c>
      <c r="C882" t="s">
        <v>889</v>
      </c>
      <c r="D882" t="s">
        <v>31</v>
      </c>
      <c r="E882" t="s">
        <v>246</v>
      </c>
      <c r="F882" t="s">
        <v>247</v>
      </c>
      <c r="G882" t="s">
        <v>33</v>
      </c>
      <c r="H882" t="s">
        <v>41</v>
      </c>
      <c r="I882" t="s">
        <v>62</v>
      </c>
      <c r="J882">
        <v>156</v>
      </c>
      <c r="K882">
        <v>0</v>
      </c>
      <c r="L882" t="s">
        <v>36</v>
      </c>
      <c r="M882" t="s">
        <v>37</v>
      </c>
      <c r="N882">
        <v>400098</v>
      </c>
      <c r="O882">
        <v>1086</v>
      </c>
      <c r="P882">
        <v>0.27143</v>
      </c>
      <c r="Q882">
        <v>4</v>
      </c>
      <c r="R882">
        <v>41.43</v>
      </c>
      <c r="S882">
        <v>0.104</v>
      </c>
      <c r="T882">
        <v>3.7999999999999999E-2</v>
      </c>
      <c r="U882">
        <v>10.358000000000001</v>
      </c>
      <c r="V882">
        <v>2</v>
      </c>
      <c r="W882">
        <v>0</v>
      </c>
      <c r="X882" t="s">
        <v>36</v>
      </c>
      <c r="Y882">
        <v>0</v>
      </c>
      <c r="Z882">
        <v>0</v>
      </c>
      <c r="AA882">
        <v>0</v>
      </c>
      <c r="AB882" t="s">
        <v>888</v>
      </c>
      <c r="AC882" t="str">
        <f t="shared" si="26"/>
        <v>CP</v>
      </c>
      <c r="AD882" t="str">
        <f>_xlfn.XLOOKUP(C882,Mapping!A:A,Mapping!D:D,0,0)</f>
        <v>Keyword - Preroll</v>
      </c>
      <c r="AE882" t="str">
        <f t="shared" si="27"/>
        <v>OLD</v>
      </c>
    </row>
    <row r="883" spans="1:31" x14ac:dyDescent="0.2">
      <c r="A883" t="s">
        <v>39</v>
      </c>
      <c r="B883">
        <v>1012947191</v>
      </c>
      <c r="C883" t="s">
        <v>890</v>
      </c>
      <c r="D883" t="s">
        <v>31</v>
      </c>
      <c r="E883" t="s">
        <v>246</v>
      </c>
      <c r="F883" t="s">
        <v>247</v>
      </c>
      <c r="G883" t="s">
        <v>33</v>
      </c>
      <c r="H883" t="s">
        <v>41</v>
      </c>
      <c r="I883" t="s">
        <v>62</v>
      </c>
      <c r="J883">
        <v>156</v>
      </c>
      <c r="K883">
        <v>0</v>
      </c>
      <c r="L883" t="s">
        <v>63</v>
      </c>
      <c r="M883">
        <v>250</v>
      </c>
      <c r="N883">
        <v>0</v>
      </c>
      <c r="O883">
        <v>0</v>
      </c>
      <c r="P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X883" t="s">
        <v>36</v>
      </c>
      <c r="AB883" t="s">
        <v>888</v>
      </c>
      <c r="AC883" t="str">
        <f t="shared" si="26"/>
        <v>CP</v>
      </c>
      <c r="AD883" t="str">
        <f>_xlfn.XLOOKUP(C883,Mapping!A:A,Mapping!D:D,0,0)</f>
        <v>Big Tits</v>
      </c>
      <c r="AE883" t="str">
        <f t="shared" si="27"/>
        <v>OLD</v>
      </c>
    </row>
    <row r="884" spans="1:31" x14ac:dyDescent="0.2">
      <c r="A884" t="s">
        <v>39</v>
      </c>
      <c r="B884">
        <v>1012950521</v>
      </c>
      <c r="C884" t="s">
        <v>891</v>
      </c>
      <c r="D884" t="s">
        <v>31</v>
      </c>
      <c r="E884" t="s">
        <v>892</v>
      </c>
      <c r="F884" t="s">
        <v>247</v>
      </c>
      <c r="G884" t="s">
        <v>33</v>
      </c>
      <c r="H884" t="s">
        <v>41</v>
      </c>
      <c r="I884" t="s">
        <v>124</v>
      </c>
      <c r="J884">
        <v>8</v>
      </c>
      <c r="K884">
        <v>0</v>
      </c>
      <c r="L884" t="s">
        <v>63</v>
      </c>
      <c r="M884">
        <v>250</v>
      </c>
      <c r="N884">
        <v>0</v>
      </c>
      <c r="O884">
        <v>0</v>
      </c>
      <c r="P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 t="s">
        <v>36</v>
      </c>
      <c r="AB884" t="s">
        <v>687</v>
      </c>
      <c r="AC884" t="str">
        <f t="shared" si="26"/>
        <v>CP</v>
      </c>
      <c r="AD884" t="str">
        <f>_xlfn.XLOOKUP(C884,Mapping!A:A,Mapping!D:D,0,0)</f>
        <v>General</v>
      </c>
      <c r="AE884" t="str">
        <f t="shared" si="27"/>
        <v>OLD</v>
      </c>
    </row>
    <row r="885" spans="1:31" x14ac:dyDescent="0.2">
      <c r="A885" t="s">
        <v>29</v>
      </c>
      <c r="B885">
        <v>1012999511</v>
      </c>
      <c r="C885" t="s">
        <v>893</v>
      </c>
      <c r="D885" t="s">
        <v>31</v>
      </c>
      <c r="E885" t="s">
        <v>246</v>
      </c>
      <c r="F885" t="s">
        <v>247</v>
      </c>
      <c r="G885" t="s">
        <v>33</v>
      </c>
      <c r="H885" t="s">
        <v>34</v>
      </c>
      <c r="I885" t="s">
        <v>84</v>
      </c>
      <c r="J885">
        <v>264</v>
      </c>
      <c r="K885">
        <v>0</v>
      </c>
      <c r="L885" t="s">
        <v>36</v>
      </c>
      <c r="M885" t="s">
        <v>37</v>
      </c>
      <c r="N885">
        <v>1383920</v>
      </c>
      <c r="O885">
        <v>3377</v>
      </c>
      <c r="P885">
        <v>0.24401999999999999</v>
      </c>
      <c r="Q885">
        <v>2</v>
      </c>
      <c r="R885">
        <v>123.26</v>
      </c>
      <c r="S885">
        <v>8.8999999999999996E-2</v>
      </c>
      <c r="T885">
        <v>3.6999999999999998E-2</v>
      </c>
      <c r="U885">
        <v>61.631</v>
      </c>
      <c r="V885">
        <v>2</v>
      </c>
      <c r="W885">
        <v>0</v>
      </c>
      <c r="X885" t="s">
        <v>36</v>
      </c>
      <c r="Y885">
        <v>0</v>
      </c>
      <c r="Z885">
        <v>0</v>
      </c>
      <c r="AA885">
        <v>0</v>
      </c>
      <c r="AB885" t="s">
        <v>884</v>
      </c>
      <c r="AC885" t="str">
        <f t="shared" si="26"/>
        <v>CP</v>
      </c>
      <c r="AD885" t="str">
        <f>_xlfn.XLOOKUP(C885,Mapping!A:A,Mapping!D:D,0,0)</f>
        <v>Indian</v>
      </c>
      <c r="AE885" t="str">
        <f t="shared" si="27"/>
        <v>OLD</v>
      </c>
    </row>
    <row r="886" spans="1:31" x14ac:dyDescent="0.2">
      <c r="A886" t="s">
        <v>39</v>
      </c>
      <c r="B886">
        <v>1013003481</v>
      </c>
      <c r="C886" t="s">
        <v>894</v>
      </c>
      <c r="D886" t="s">
        <v>31</v>
      </c>
      <c r="E886" s="1">
        <v>0.38611111111111113</v>
      </c>
      <c r="F886" t="s">
        <v>32</v>
      </c>
      <c r="G886" t="s">
        <v>33</v>
      </c>
      <c r="H886" t="s">
        <v>41</v>
      </c>
      <c r="I886" t="s">
        <v>759</v>
      </c>
      <c r="J886">
        <v>5</v>
      </c>
      <c r="K886">
        <v>0</v>
      </c>
      <c r="L886" t="s">
        <v>63</v>
      </c>
      <c r="M886">
        <v>500</v>
      </c>
      <c r="N886">
        <v>0</v>
      </c>
      <c r="O886">
        <v>0</v>
      </c>
      <c r="P886">
        <v>0</v>
      </c>
      <c r="R886">
        <v>0</v>
      </c>
      <c r="S886">
        <v>0</v>
      </c>
      <c r="T886">
        <v>0</v>
      </c>
      <c r="U886">
        <v>0</v>
      </c>
      <c r="V886">
        <v>2</v>
      </c>
      <c r="W886">
        <v>0</v>
      </c>
      <c r="X886" t="s">
        <v>36</v>
      </c>
      <c r="AB886" t="s">
        <v>60</v>
      </c>
      <c r="AC886" t="str">
        <f t="shared" si="26"/>
        <v>CP</v>
      </c>
      <c r="AD886" t="str">
        <f>_xlfn.XLOOKUP(C886,Mapping!A:A,Mapping!D:D,0,0)</f>
        <v>Shorties</v>
      </c>
      <c r="AE886" t="str">
        <f t="shared" si="27"/>
        <v>OLD</v>
      </c>
    </row>
    <row r="887" spans="1:31" x14ac:dyDescent="0.2">
      <c r="A887" t="s">
        <v>29</v>
      </c>
      <c r="B887">
        <v>1013012751</v>
      </c>
      <c r="C887" t="s">
        <v>895</v>
      </c>
      <c r="D887" t="s">
        <v>31</v>
      </c>
      <c r="E887" t="s">
        <v>246</v>
      </c>
      <c r="F887" t="s">
        <v>247</v>
      </c>
      <c r="G887" t="s">
        <v>33</v>
      </c>
      <c r="H887" t="s">
        <v>41</v>
      </c>
      <c r="I887" t="s">
        <v>691</v>
      </c>
      <c r="J887">
        <v>57</v>
      </c>
      <c r="K887">
        <v>0</v>
      </c>
      <c r="L887" t="s">
        <v>36</v>
      </c>
      <c r="M887" t="s">
        <v>37</v>
      </c>
      <c r="N887">
        <v>10872185</v>
      </c>
      <c r="O887">
        <v>18881</v>
      </c>
      <c r="P887">
        <v>0.17366000000000001</v>
      </c>
      <c r="Q887">
        <v>31</v>
      </c>
      <c r="R887">
        <v>2475.5500000000002</v>
      </c>
      <c r="S887">
        <v>0.22800000000000001</v>
      </c>
      <c r="T887">
        <v>0.13100000000000001</v>
      </c>
      <c r="U887">
        <v>79.855999999999995</v>
      </c>
      <c r="V887">
        <v>2</v>
      </c>
      <c r="W887">
        <v>0</v>
      </c>
      <c r="X887" t="s">
        <v>63</v>
      </c>
      <c r="Y887">
        <v>0</v>
      </c>
      <c r="Z887">
        <v>0</v>
      </c>
      <c r="AA887">
        <v>0</v>
      </c>
      <c r="AB887" t="s">
        <v>618</v>
      </c>
      <c r="AC887" t="str">
        <f t="shared" si="26"/>
        <v>US</v>
      </c>
      <c r="AD887" t="str">
        <f>_xlfn.XLOOKUP(C887,Mapping!A:A,Mapping!D:D,0,0)</f>
        <v>Hentai</v>
      </c>
      <c r="AE887" t="str">
        <f t="shared" si="27"/>
        <v>TJ</v>
      </c>
    </row>
    <row r="888" spans="1:31" x14ac:dyDescent="0.2">
      <c r="A888" t="s">
        <v>29</v>
      </c>
      <c r="B888">
        <v>1013012981</v>
      </c>
      <c r="C888" t="s">
        <v>896</v>
      </c>
      <c r="D888" t="s">
        <v>31</v>
      </c>
      <c r="E888" t="s">
        <v>246</v>
      </c>
      <c r="F888" t="s">
        <v>247</v>
      </c>
      <c r="G888" t="s">
        <v>33</v>
      </c>
      <c r="H888" t="s">
        <v>41</v>
      </c>
      <c r="I888" t="s">
        <v>58</v>
      </c>
      <c r="J888">
        <v>1</v>
      </c>
      <c r="K888">
        <v>17</v>
      </c>
      <c r="L888" t="s">
        <v>36</v>
      </c>
      <c r="M888" t="s">
        <v>37</v>
      </c>
      <c r="N888">
        <v>20747282</v>
      </c>
      <c r="O888">
        <v>19873</v>
      </c>
      <c r="P888">
        <v>9.579E-2</v>
      </c>
      <c r="Q888">
        <v>52</v>
      </c>
      <c r="R888">
        <v>6626.33</v>
      </c>
      <c r="S888">
        <v>0.31900000000000001</v>
      </c>
      <c r="T888">
        <v>0.33300000000000002</v>
      </c>
      <c r="U888">
        <v>127.429</v>
      </c>
      <c r="V888">
        <v>2</v>
      </c>
      <c r="W888">
        <v>0</v>
      </c>
      <c r="X888" t="s">
        <v>36</v>
      </c>
      <c r="Y888">
        <v>0</v>
      </c>
      <c r="Z888">
        <v>0</v>
      </c>
      <c r="AA888">
        <v>0</v>
      </c>
      <c r="AB888" t="s">
        <v>687</v>
      </c>
      <c r="AC888" t="str">
        <f t="shared" si="26"/>
        <v>US</v>
      </c>
      <c r="AD888" t="str">
        <f>_xlfn.XLOOKUP(C888,Mapping!A:A,Mapping!D:D,0,0)</f>
        <v>Native - Homepage</v>
      </c>
      <c r="AE888" t="str">
        <f t="shared" si="27"/>
        <v>TJ</v>
      </c>
    </row>
    <row r="889" spans="1:31" x14ac:dyDescent="0.2">
      <c r="A889" t="s">
        <v>29</v>
      </c>
      <c r="B889">
        <v>1013012991</v>
      </c>
      <c r="C889" t="s">
        <v>897</v>
      </c>
      <c r="D889" t="s">
        <v>31</v>
      </c>
      <c r="E889" t="s">
        <v>246</v>
      </c>
      <c r="F889" t="s">
        <v>247</v>
      </c>
      <c r="G889" t="s">
        <v>33</v>
      </c>
      <c r="H889" t="s">
        <v>41</v>
      </c>
      <c r="I889" t="s">
        <v>58</v>
      </c>
      <c r="J889">
        <v>18</v>
      </c>
      <c r="K889">
        <v>0</v>
      </c>
      <c r="L889" t="s">
        <v>36</v>
      </c>
      <c r="M889" t="s">
        <v>37</v>
      </c>
      <c r="N889">
        <v>7693171</v>
      </c>
      <c r="O889">
        <v>8621</v>
      </c>
      <c r="P889">
        <v>0.11206000000000001</v>
      </c>
      <c r="Q889">
        <v>23</v>
      </c>
      <c r="R889">
        <v>1838.67</v>
      </c>
      <c r="S889">
        <v>0.23899999999999999</v>
      </c>
      <c r="T889">
        <v>0.21299999999999999</v>
      </c>
      <c r="U889">
        <v>79.941999999999993</v>
      </c>
      <c r="V889">
        <v>2</v>
      </c>
      <c r="W889">
        <v>0</v>
      </c>
      <c r="X889" t="s">
        <v>63</v>
      </c>
      <c r="Y889">
        <v>0</v>
      </c>
      <c r="Z889">
        <v>0</v>
      </c>
      <c r="AA889">
        <v>0</v>
      </c>
      <c r="AB889" t="s">
        <v>687</v>
      </c>
      <c r="AC889" t="str">
        <f t="shared" si="26"/>
        <v>CA</v>
      </c>
      <c r="AD889" t="str">
        <f>_xlfn.XLOOKUP(C889,Mapping!A:A,Mapping!D:D,0,0)</f>
        <v>Native - Homepage</v>
      </c>
      <c r="AE889" t="str">
        <f t="shared" si="27"/>
        <v>TJ</v>
      </c>
    </row>
    <row r="890" spans="1:31" x14ac:dyDescent="0.2">
      <c r="A890" t="s">
        <v>29</v>
      </c>
      <c r="B890">
        <v>1013013261</v>
      </c>
      <c r="C890" t="s">
        <v>898</v>
      </c>
      <c r="D890" t="s">
        <v>31</v>
      </c>
      <c r="E890" s="1">
        <v>0.67291666666666672</v>
      </c>
      <c r="F890" t="s">
        <v>32</v>
      </c>
      <c r="G890" t="s">
        <v>33</v>
      </c>
      <c r="H890" t="s">
        <v>41</v>
      </c>
      <c r="I890" t="s">
        <v>62</v>
      </c>
      <c r="J890">
        <v>30</v>
      </c>
      <c r="K890">
        <v>50</v>
      </c>
      <c r="L890" t="s">
        <v>63</v>
      </c>
      <c r="M890">
        <v>250</v>
      </c>
      <c r="N890">
        <v>382711</v>
      </c>
      <c r="O890">
        <v>23668</v>
      </c>
      <c r="P890">
        <v>6.1843000000000004</v>
      </c>
      <c r="Q890">
        <v>2</v>
      </c>
      <c r="R890">
        <v>764.22</v>
      </c>
      <c r="S890">
        <v>1.9970000000000001</v>
      </c>
      <c r="T890">
        <v>3.2000000000000001E-2</v>
      </c>
      <c r="U890">
        <v>382.11200000000002</v>
      </c>
      <c r="V890">
        <v>2</v>
      </c>
      <c r="W890">
        <v>0</v>
      </c>
      <c r="X890" t="s">
        <v>36</v>
      </c>
      <c r="Y890">
        <v>382708</v>
      </c>
      <c r="Z890">
        <v>337654</v>
      </c>
      <c r="AA890">
        <v>29339</v>
      </c>
      <c r="AB890" t="s">
        <v>884</v>
      </c>
      <c r="AC890" t="str">
        <f t="shared" si="26"/>
        <v>US</v>
      </c>
      <c r="AD890" t="str">
        <f>_xlfn.XLOOKUP(C890,Mapping!A:A,Mapping!D:D,0,0)</f>
        <v>Keyword - Preroll</v>
      </c>
      <c r="AE890" t="str">
        <f t="shared" si="27"/>
        <v>JB</v>
      </c>
    </row>
    <row r="891" spans="1:31" x14ac:dyDescent="0.2">
      <c r="A891" t="s">
        <v>29</v>
      </c>
      <c r="B891">
        <v>1013013541</v>
      </c>
      <c r="C891" t="s">
        <v>899</v>
      </c>
      <c r="D891" t="s">
        <v>31</v>
      </c>
      <c r="E891" s="1">
        <v>0.67291666666666672</v>
      </c>
      <c r="F891" t="s">
        <v>32</v>
      </c>
      <c r="G891" t="s">
        <v>33</v>
      </c>
      <c r="H891" t="s">
        <v>41</v>
      </c>
      <c r="I891" t="s">
        <v>62</v>
      </c>
      <c r="J891">
        <v>133</v>
      </c>
      <c r="K891">
        <v>0</v>
      </c>
      <c r="L891" t="s">
        <v>63</v>
      </c>
      <c r="M891">
        <v>250</v>
      </c>
      <c r="N891">
        <v>820293</v>
      </c>
      <c r="O891">
        <v>61148</v>
      </c>
      <c r="P891">
        <v>7.4544100000000002</v>
      </c>
      <c r="Q891">
        <v>6</v>
      </c>
      <c r="R891">
        <v>1629.76</v>
      </c>
      <c r="S891">
        <v>1.9870000000000001</v>
      </c>
      <c r="T891">
        <v>2.7E-2</v>
      </c>
      <c r="U891">
        <v>271.62700000000001</v>
      </c>
      <c r="V891">
        <v>2</v>
      </c>
      <c r="W891">
        <v>0</v>
      </c>
      <c r="X891" t="s">
        <v>36</v>
      </c>
      <c r="Y891">
        <v>820284</v>
      </c>
      <c r="Z891">
        <v>731531</v>
      </c>
      <c r="AA891">
        <v>56849</v>
      </c>
      <c r="AB891" t="s">
        <v>900</v>
      </c>
      <c r="AC891" t="str">
        <f t="shared" si="26"/>
        <v>US</v>
      </c>
      <c r="AD891" t="str">
        <f>_xlfn.XLOOKUP(C891,Mapping!A:A,Mapping!D:D,0,0)</f>
        <v>Keyword - Preroll</v>
      </c>
      <c r="AE891" t="str">
        <f t="shared" si="27"/>
        <v>JB</v>
      </c>
    </row>
    <row r="892" spans="1:31" x14ac:dyDescent="0.2">
      <c r="A892" t="s">
        <v>29</v>
      </c>
      <c r="B892">
        <v>1013013551</v>
      </c>
      <c r="C892" t="s">
        <v>901</v>
      </c>
      <c r="D892" t="s">
        <v>31</v>
      </c>
      <c r="E892" s="1">
        <v>0.67291666666666672</v>
      </c>
      <c r="F892" t="s">
        <v>32</v>
      </c>
      <c r="G892" t="s">
        <v>33</v>
      </c>
      <c r="H892" t="s">
        <v>41</v>
      </c>
      <c r="I892" t="s">
        <v>62</v>
      </c>
      <c r="J892">
        <v>133</v>
      </c>
      <c r="K892">
        <v>0</v>
      </c>
      <c r="L892" t="s">
        <v>63</v>
      </c>
      <c r="M892">
        <v>250</v>
      </c>
      <c r="N892">
        <v>475661</v>
      </c>
      <c r="O892">
        <v>24766</v>
      </c>
      <c r="P892">
        <v>5.2066499999999998</v>
      </c>
      <c r="Q892">
        <v>4</v>
      </c>
      <c r="R892">
        <v>896.52</v>
      </c>
      <c r="S892">
        <v>1.885</v>
      </c>
      <c r="T892">
        <v>3.5999999999999997E-2</v>
      </c>
      <c r="U892">
        <v>224.131</v>
      </c>
      <c r="V892">
        <v>2</v>
      </c>
      <c r="W892">
        <v>0</v>
      </c>
      <c r="X892" t="s">
        <v>36</v>
      </c>
      <c r="Y892">
        <v>475665</v>
      </c>
      <c r="Z892">
        <v>436752</v>
      </c>
      <c r="AA892">
        <v>22378</v>
      </c>
      <c r="AB892" t="s">
        <v>900</v>
      </c>
      <c r="AC892" t="str">
        <f t="shared" si="26"/>
        <v>US</v>
      </c>
      <c r="AD892" t="str">
        <f>_xlfn.XLOOKUP(C892,Mapping!A:A,Mapping!D:D,0,0)</f>
        <v>Keyword - Preroll</v>
      </c>
      <c r="AE892" t="str">
        <f t="shared" si="27"/>
        <v>JB</v>
      </c>
    </row>
    <row r="893" spans="1:31" x14ac:dyDescent="0.2">
      <c r="A893" t="s">
        <v>29</v>
      </c>
      <c r="B893">
        <v>1013013561</v>
      </c>
      <c r="C893" t="s">
        <v>902</v>
      </c>
      <c r="D893" t="s">
        <v>31</v>
      </c>
      <c r="E893" s="1">
        <v>0.67291666666666672</v>
      </c>
      <c r="F893" t="s">
        <v>32</v>
      </c>
      <c r="G893" t="s">
        <v>33</v>
      </c>
      <c r="H893" t="s">
        <v>34</v>
      </c>
      <c r="I893" t="s">
        <v>84</v>
      </c>
      <c r="J893">
        <v>56</v>
      </c>
      <c r="K893">
        <v>0</v>
      </c>
      <c r="L893" t="s">
        <v>63</v>
      </c>
      <c r="M893">
        <v>500</v>
      </c>
      <c r="N893">
        <v>506139</v>
      </c>
      <c r="O893">
        <v>20926</v>
      </c>
      <c r="P893">
        <v>4.13443</v>
      </c>
      <c r="Q893">
        <v>7</v>
      </c>
      <c r="R893">
        <v>869.13</v>
      </c>
      <c r="S893">
        <v>1.7170000000000001</v>
      </c>
      <c r="T893">
        <v>4.2000000000000003E-2</v>
      </c>
      <c r="U893">
        <v>124.16200000000001</v>
      </c>
      <c r="V893">
        <v>2</v>
      </c>
      <c r="W893">
        <v>0</v>
      </c>
      <c r="X893" t="s">
        <v>36</v>
      </c>
      <c r="Y893">
        <v>506137</v>
      </c>
      <c r="Z893">
        <v>378379</v>
      </c>
      <c r="AA893">
        <v>61942</v>
      </c>
      <c r="AB893" t="s">
        <v>900</v>
      </c>
      <c r="AC893" t="str">
        <f t="shared" si="26"/>
        <v>US</v>
      </c>
      <c r="AD893" t="str">
        <f>_xlfn.XLOOKUP(C893,Mapping!A:A,Mapping!D:D,0,0)</f>
        <v>Keyword - Preroll</v>
      </c>
      <c r="AE893" t="str">
        <f t="shared" si="27"/>
        <v>JB</v>
      </c>
    </row>
    <row r="894" spans="1:31" x14ac:dyDescent="0.2">
      <c r="A894" t="s">
        <v>29</v>
      </c>
      <c r="B894">
        <v>1013013571</v>
      </c>
      <c r="C894" t="s">
        <v>903</v>
      </c>
      <c r="D894" t="s">
        <v>31</v>
      </c>
      <c r="E894" s="1">
        <v>0.67291666666666672</v>
      </c>
      <c r="F894" t="s">
        <v>32</v>
      </c>
      <c r="G894" t="s">
        <v>33</v>
      </c>
      <c r="H894" t="s">
        <v>41</v>
      </c>
      <c r="I894" t="s">
        <v>62</v>
      </c>
      <c r="J894">
        <v>183</v>
      </c>
      <c r="K894">
        <v>0</v>
      </c>
      <c r="L894" t="s">
        <v>63</v>
      </c>
      <c r="M894">
        <v>250</v>
      </c>
      <c r="N894">
        <v>538580</v>
      </c>
      <c r="O894">
        <v>34226</v>
      </c>
      <c r="P894">
        <v>6.3548600000000004</v>
      </c>
      <c r="Q894">
        <v>13</v>
      </c>
      <c r="R894">
        <v>1068.28</v>
      </c>
      <c r="S894">
        <v>1.984</v>
      </c>
      <c r="T894">
        <v>3.1E-2</v>
      </c>
      <c r="U894">
        <v>82.176000000000002</v>
      </c>
      <c r="V894">
        <v>2</v>
      </c>
      <c r="W894">
        <v>0</v>
      </c>
      <c r="X894" t="s">
        <v>36</v>
      </c>
      <c r="Y894">
        <v>538562</v>
      </c>
      <c r="Z894">
        <v>480609</v>
      </c>
      <c r="AA894">
        <v>37595</v>
      </c>
      <c r="AB894" t="s">
        <v>618</v>
      </c>
      <c r="AC894" t="str">
        <f t="shared" si="26"/>
        <v>CA</v>
      </c>
      <c r="AD894" t="str">
        <f>_xlfn.XLOOKUP(C894,Mapping!A:A,Mapping!D:D,0,0)</f>
        <v>Hentai</v>
      </c>
      <c r="AE894" t="str">
        <f t="shared" si="27"/>
        <v>JB</v>
      </c>
    </row>
    <row r="895" spans="1:31" x14ac:dyDescent="0.2">
      <c r="A895" t="s">
        <v>29</v>
      </c>
      <c r="B895">
        <v>1013013591</v>
      </c>
      <c r="C895" t="s">
        <v>904</v>
      </c>
      <c r="D895" t="s">
        <v>31</v>
      </c>
      <c r="E895" s="1">
        <v>0.67291666666666672</v>
      </c>
      <c r="F895" t="s">
        <v>32</v>
      </c>
      <c r="G895" t="s">
        <v>33</v>
      </c>
      <c r="H895" t="s">
        <v>41</v>
      </c>
      <c r="I895" t="s">
        <v>62</v>
      </c>
      <c r="J895">
        <v>173</v>
      </c>
      <c r="K895">
        <v>0</v>
      </c>
      <c r="L895" t="s">
        <v>63</v>
      </c>
      <c r="M895">
        <v>250</v>
      </c>
      <c r="N895">
        <v>884157</v>
      </c>
      <c r="O895">
        <v>44371</v>
      </c>
      <c r="P895">
        <v>5.01844</v>
      </c>
      <c r="Q895">
        <v>14</v>
      </c>
      <c r="R895">
        <v>1804.2</v>
      </c>
      <c r="S895">
        <v>2.0409999999999999</v>
      </c>
      <c r="T895">
        <v>4.1000000000000002E-2</v>
      </c>
      <c r="U895">
        <v>128.87200000000001</v>
      </c>
      <c r="V895">
        <v>2</v>
      </c>
      <c r="W895">
        <v>0</v>
      </c>
      <c r="X895" t="s">
        <v>36</v>
      </c>
      <c r="Y895">
        <v>884125</v>
      </c>
      <c r="Z895">
        <v>797809</v>
      </c>
      <c r="AA895">
        <v>55194</v>
      </c>
      <c r="AB895" t="s">
        <v>618</v>
      </c>
      <c r="AC895" t="str">
        <f t="shared" si="26"/>
        <v>CA</v>
      </c>
      <c r="AD895" t="str">
        <f>_xlfn.XLOOKUP(C895,Mapping!A:A,Mapping!D:D,0,0)</f>
        <v>Hentai</v>
      </c>
      <c r="AE895" t="str">
        <f t="shared" si="27"/>
        <v>JB</v>
      </c>
    </row>
    <row r="896" spans="1:31" x14ac:dyDescent="0.2">
      <c r="A896" t="s">
        <v>29</v>
      </c>
      <c r="B896">
        <v>1013013601</v>
      </c>
      <c r="C896" t="s">
        <v>905</v>
      </c>
      <c r="D896" t="s">
        <v>31</v>
      </c>
      <c r="E896" s="1">
        <v>0.67291666666666672</v>
      </c>
      <c r="F896" t="s">
        <v>32</v>
      </c>
      <c r="G896" t="s">
        <v>33</v>
      </c>
      <c r="H896" t="s">
        <v>34</v>
      </c>
      <c r="I896" t="s">
        <v>84</v>
      </c>
      <c r="J896">
        <v>68</v>
      </c>
      <c r="K896">
        <v>0</v>
      </c>
      <c r="L896" t="s">
        <v>63</v>
      </c>
      <c r="M896">
        <v>250</v>
      </c>
      <c r="N896">
        <v>83968</v>
      </c>
      <c r="O896">
        <v>4505</v>
      </c>
      <c r="P896">
        <v>5.3651400000000002</v>
      </c>
      <c r="Q896">
        <v>0</v>
      </c>
      <c r="R896">
        <v>216.05</v>
      </c>
      <c r="S896">
        <v>2.573</v>
      </c>
      <c r="T896">
        <v>4.8000000000000001E-2</v>
      </c>
      <c r="U896">
        <v>0</v>
      </c>
      <c r="V896">
        <v>2</v>
      </c>
      <c r="W896">
        <v>0</v>
      </c>
      <c r="X896" t="s">
        <v>36</v>
      </c>
      <c r="Y896">
        <v>83964</v>
      </c>
      <c r="Z896">
        <v>63083</v>
      </c>
      <c r="AA896">
        <v>7183</v>
      </c>
      <c r="AB896" t="s">
        <v>618</v>
      </c>
      <c r="AC896" t="str">
        <f t="shared" si="26"/>
        <v>CA</v>
      </c>
      <c r="AD896" t="str">
        <f>_xlfn.XLOOKUP(C896,Mapping!A:A,Mapping!D:D,0,0)</f>
        <v>Hentai</v>
      </c>
      <c r="AE896" t="str">
        <f t="shared" si="27"/>
        <v>JB</v>
      </c>
    </row>
    <row r="897" spans="1:31" x14ac:dyDescent="0.2">
      <c r="A897" t="s">
        <v>29</v>
      </c>
      <c r="B897">
        <v>1013013621</v>
      </c>
      <c r="C897" t="s">
        <v>906</v>
      </c>
      <c r="D897" t="s">
        <v>31</v>
      </c>
      <c r="E897" s="1">
        <v>0.67291666666666672</v>
      </c>
      <c r="F897" t="s">
        <v>32</v>
      </c>
      <c r="G897" t="s">
        <v>33</v>
      </c>
      <c r="H897" t="s">
        <v>41</v>
      </c>
      <c r="I897" t="s">
        <v>62</v>
      </c>
      <c r="J897">
        <v>173</v>
      </c>
      <c r="K897">
        <v>0</v>
      </c>
      <c r="L897" t="s">
        <v>63</v>
      </c>
      <c r="M897">
        <v>250</v>
      </c>
      <c r="N897">
        <v>751212</v>
      </c>
      <c r="O897">
        <v>63192</v>
      </c>
      <c r="P897">
        <v>8.4120100000000004</v>
      </c>
      <c r="Q897">
        <v>7</v>
      </c>
      <c r="R897">
        <v>1535.48</v>
      </c>
      <c r="S897">
        <v>2.044</v>
      </c>
      <c r="T897">
        <v>2.4E-2</v>
      </c>
      <c r="U897">
        <v>219.35499999999999</v>
      </c>
      <c r="V897">
        <v>2</v>
      </c>
      <c r="W897">
        <v>0</v>
      </c>
      <c r="X897" t="s">
        <v>36</v>
      </c>
      <c r="Y897">
        <v>751191</v>
      </c>
      <c r="Z897">
        <v>675176</v>
      </c>
      <c r="AA897">
        <v>48141</v>
      </c>
      <c r="AB897" t="s">
        <v>618</v>
      </c>
      <c r="AC897" t="str">
        <f t="shared" si="26"/>
        <v>US</v>
      </c>
      <c r="AD897" t="str">
        <f>_xlfn.XLOOKUP(C897,Mapping!A:A,Mapping!D:D,0,0)</f>
        <v>Hentai</v>
      </c>
      <c r="AE897" t="str">
        <f t="shared" si="27"/>
        <v>JB</v>
      </c>
    </row>
    <row r="898" spans="1:31" x14ac:dyDescent="0.2">
      <c r="A898" t="s">
        <v>29</v>
      </c>
      <c r="B898">
        <v>1013013631</v>
      </c>
      <c r="C898" t="s">
        <v>907</v>
      </c>
      <c r="D898" t="s">
        <v>31</v>
      </c>
      <c r="E898" s="1">
        <v>0.67291666666666672</v>
      </c>
      <c r="F898" t="s">
        <v>32</v>
      </c>
      <c r="G898" t="s">
        <v>33</v>
      </c>
      <c r="H898" t="s">
        <v>41</v>
      </c>
      <c r="I898" t="s">
        <v>62</v>
      </c>
      <c r="J898">
        <v>173</v>
      </c>
      <c r="K898">
        <v>0</v>
      </c>
      <c r="L898" t="s">
        <v>63</v>
      </c>
      <c r="M898">
        <v>250</v>
      </c>
      <c r="N898">
        <v>1066426</v>
      </c>
      <c r="O898">
        <v>57053</v>
      </c>
      <c r="P898">
        <v>5.3499299999999996</v>
      </c>
      <c r="Q898">
        <v>20</v>
      </c>
      <c r="R898">
        <v>2396.11</v>
      </c>
      <c r="S898">
        <v>2.2469999999999999</v>
      </c>
      <c r="T898">
        <v>4.2000000000000003E-2</v>
      </c>
      <c r="U898">
        <v>119.806</v>
      </c>
      <c r="V898">
        <v>2</v>
      </c>
      <c r="W898">
        <v>0</v>
      </c>
      <c r="X898" t="s">
        <v>36</v>
      </c>
      <c r="Y898">
        <v>1066407</v>
      </c>
      <c r="Z898">
        <v>958015</v>
      </c>
      <c r="AA898">
        <v>66007</v>
      </c>
      <c r="AB898" t="s">
        <v>618</v>
      </c>
      <c r="AC898" t="str">
        <f t="shared" si="26"/>
        <v>US</v>
      </c>
      <c r="AD898" t="str">
        <f>_xlfn.XLOOKUP(C898,Mapping!A:A,Mapping!D:D,0,0)</f>
        <v>Hentai</v>
      </c>
      <c r="AE898" t="str">
        <f t="shared" si="27"/>
        <v>JB</v>
      </c>
    </row>
    <row r="899" spans="1:31" x14ac:dyDescent="0.2">
      <c r="A899" t="s">
        <v>29</v>
      </c>
      <c r="B899">
        <v>1013013641</v>
      </c>
      <c r="C899" t="s">
        <v>908</v>
      </c>
      <c r="D899" t="s">
        <v>31</v>
      </c>
      <c r="E899" s="1">
        <v>0.67291666666666672</v>
      </c>
      <c r="F899" t="s">
        <v>32</v>
      </c>
      <c r="G899" t="s">
        <v>33</v>
      </c>
      <c r="H899" t="s">
        <v>34</v>
      </c>
      <c r="I899" t="s">
        <v>84</v>
      </c>
      <c r="J899">
        <v>52</v>
      </c>
      <c r="K899">
        <v>0</v>
      </c>
      <c r="L899" t="s">
        <v>36</v>
      </c>
      <c r="M899" t="s">
        <v>37</v>
      </c>
      <c r="N899">
        <v>3552</v>
      </c>
      <c r="O899">
        <v>211</v>
      </c>
      <c r="P899">
        <v>5.9403199999999998</v>
      </c>
      <c r="Q899">
        <v>2</v>
      </c>
      <c r="R899">
        <v>10.72</v>
      </c>
      <c r="S899">
        <v>3.0179999999999998</v>
      </c>
      <c r="T899">
        <v>5.0999999999999997E-2</v>
      </c>
      <c r="U899">
        <v>5.36</v>
      </c>
      <c r="V899">
        <v>2</v>
      </c>
      <c r="W899">
        <v>0</v>
      </c>
      <c r="X899" t="s">
        <v>36</v>
      </c>
      <c r="Y899">
        <v>3551</v>
      </c>
      <c r="Z899">
        <v>2583</v>
      </c>
      <c r="AA899">
        <v>387</v>
      </c>
      <c r="AB899" t="s">
        <v>618</v>
      </c>
      <c r="AC899" t="str">
        <f t="shared" ref="AC899:AC962" si="28">LEFT(C899,2)</f>
        <v>US</v>
      </c>
      <c r="AD899" t="str">
        <f>_xlfn.XLOOKUP(C899,Mapping!A:A,Mapping!D:D,0,0)</f>
        <v>Hentai</v>
      </c>
      <c r="AE899" t="str">
        <f t="shared" ref="AE899:AE962" si="29">IFERROR(IF(SEARCH("_TJ",C899)&gt;0,"TJ",NA()),IFERROR(IF(SEARCH("_JB",C899)&gt;0,"JB",NA()),"OLD"))</f>
        <v>JB</v>
      </c>
    </row>
    <row r="900" spans="1:31" x14ac:dyDescent="0.2">
      <c r="A900" t="s">
        <v>29</v>
      </c>
      <c r="B900">
        <v>1013013651</v>
      </c>
      <c r="C900" t="s">
        <v>909</v>
      </c>
      <c r="D900" t="s">
        <v>31</v>
      </c>
      <c r="E900" s="1">
        <v>0.67291666666666672</v>
      </c>
      <c r="F900" t="s">
        <v>32</v>
      </c>
      <c r="G900" t="s">
        <v>33</v>
      </c>
      <c r="H900" t="s">
        <v>41</v>
      </c>
      <c r="I900" t="s">
        <v>62</v>
      </c>
      <c r="J900">
        <v>173</v>
      </c>
      <c r="K900">
        <v>0</v>
      </c>
      <c r="L900" t="s">
        <v>63</v>
      </c>
      <c r="M900">
        <v>250</v>
      </c>
      <c r="N900">
        <v>1498</v>
      </c>
      <c r="O900">
        <v>80</v>
      </c>
      <c r="P900">
        <v>5.3404499999999997</v>
      </c>
      <c r="Q900">
        <v>0</v>
      </c>
      <c r="R900">
        <v>2.3199999999999998</v>
      </c>
      <c r="S900">
        <v>1.552</v>
      </c>
      <c r="T900">
        <v>2.9000000000000001E-2</v>
      </c>
      <c r="U900">
        <v>0</v>
      </c>
      <c r="V900">
        <v>2</v>
      </c>
      <c r="W900">
        <v>0</v>
      </c>
      <c r="X900" t="s">
        <v>36</v>
      </c>
      <c r="Y900">
        <v>1498</v>
      </c>
      <c r="Z900">
        <v>1358</v>
      </c>
      <c r="AA900">
        <v>76</v>
      </c>
      <c r="AB900" t="s">
        <v>618</v>
      </c>
      <c r="AC900" t="str">
        <f t="shared" si="28"/>
        <v>AU</v>
      </c>
      <c r="AD900" t="str">
        <f>_xlfn.XLOOKUP(C900,Mapping!A:A,Mapping!D:D,0,0)</f>
        <v>Hentai</v>
      </c>
      <c r="AE900" t="str">
        <f t="shared" si="29"/>
        <v>JB</v>
      </c>
    </row>
    <row r="901" spans="1:31" x14ac:dyDescent="0.2">
      <c r="A901" t="s">
        <v>29</v>
      </c>
      <c r="B901">
        <v>1013013701</v>
      </c>
      <c r="C901" t="s">
        <v>910</v>
      </c>
      <c r="D901" t="s">
        <v>31</v>
      </c>
      <c r="E901" s="1">
        <v>0.67291666666666672</v>
      </c>
      <c r="F901" t="s">
        <v>32</v>
      </c>
      <c r="G901" t="s">
        <v>33</v>
      </c>
      <c r="H901" t="s">
        <v>41</v>
      </c>
      <c r="I901" t="s">
        <v>62</v>
      </c>
      <c r="J901">
        <v>173</v>
      </c>
      <c r="K901">
        <v>0</v>
      </c>
      <c r="L901" t="s">
        <v>63</v>
      </c>
      <c r="M901">
        <v>250</v>
      </c>
      <c r="N901">
        <v>3295</v>
      </c>
      <c r="O901">
        <v>187</v>
      </c>
      <c r="P901">
        <v>5.6752700000000003</v>
      </c>
      <c r="Q901">
        <v>0</v>
      </c>
      <c r="R901">
        <v>3.01</v>
      </c>
      <c r="S901">
        <v>0.91400000000000003</v>
      </c>
      <c r="T901">
        <v>1.6E-2</v>
      </c>
      <c r="U901">
        <v>0</v>
      </c>
      <c r="V901">
        <v>2</v>
      </c>
      <c r="W901">
        <v>0</v>
      </c>
      <c r="X901" t="s">
        <v>36</v>
      </c>
      <c r="Y901">
        <v>3295</v>
      </c>
      <c r="Z901">
        <v>2969</v>
      </c>
      <c r="AA901">
        <v>163</v>
      </c>
      <c r="AB901" t="s">
        <v>618</v>
      </c>
      <c r="AC901" t="str">
        <f t="shared" si="28"/>
        <v>AU</v>
      </c>
      <c r="AD901" t="str">
        <f>_xlfn.XLOOKUP(C901,Mapping!A:A,Mapping!D:D,0,0)</f>
        <v>Hentai</v>
      </c>
      <c r="AE901" t="str">
        <f t="shared" si="29"/>
        <v>JB</v>
      </c>
    </row>
    <row r="902" spans="1:31" x14ac:dyDescent="0.2">
      <c r="A902" t="s">
        <v>29</v>
      </c>
      <c r="B902">
        <v>1013013731</v>
      </c>
      <c r="C902" t="s">
        <v>911</v>
      </c>
      <c r="D902" t="s">
        <v>31</v>
      </c>
      <c r="E902" s="1">
        <v>0.67291666666666672</v>
      </c>
      <c r="F902" t="s">
        <v>32</v>
      </c>
      <c r="G902" t="s">
        <v>33</v>
      </c>
      <c r="H902" t="s">
        <v>34</v>
      </c>
      <c r="I902" t="s">
        <v>84</v>
      </c>
      <c r="J902">
        <v>64</v>
      </c>
      <c r="K902">
        <v>0</v>
      </c>
      <c r="L902" t="s">
        <v>63</v>
      </c>
      <c r="M902">
        <v>250</v>
      </c>
      <c r="N902">
        <v>140350</v>
      </c>
      <c r="O902">
        <v>8690</v>
      </c>
      <c r="P902">
        <v>6.1916599999999997</v>
      </c>
      <c r="Q902">
        <v>2</v>
      </c>
      <c r="R902">
        <v>348.76</v>
      </c>
      <c r="S902">
        <v>2.4849999999999999</v>
      </c>
      <c r="T902">
        <v>0.04</v>
      </c>
      <c r="U902">
        <v>174.37899999999999</v>
      </c>
      <c r="V902">
        <v>2</v>
      </c>
      <c r="W902">
        <v>0</v>
      </c>
      <c r="X902" t="s">
        <v>36</v>
      </c>
      <c r="Y902">
        <v>140353</v>
      </c>
      <c r="Z902">
        <v>110458</v>
      </c>
      <c r="AA902">
        <v>14654</v>
      </c>
      <c r="AB902" t="s">
        <v>618</v>
      </c>
      <c r="AC902" t="str">
        <f t="shared" si="28"/>
        <v>AU</v>
      </c>
      <c r="AD902" t="str">
        <f>_xlfn.XLOOKUP(C902,Mapping!A:A,Mapping!D:D,0,0)</f>
        <v>Keyword - Preroll</v>
      </c>
      <c r="AE902" t="str">
        <f t="shared" si="29"/>
        <v>JB</v>
      </c>
    </row>
    <row r="903" spans="1:31" x14ac:dyDescent="0.2">
      <c r="A903" t="s">
        <v>690</v>
      </c>
      <c r="B903">
        <v>1013013741</v>
      </c>
      <c r="C903" t="s">
        <v>912</v>
      </c>
      <c r="D903" t="s">
        <v>31</v>
      </c>
      <c r="E903" s="1">
        <v>0.67291666666666672</v>
      </c>
      <c r="F903" t="s">
        <v>32</v>
      </c>
      <c r="G903" t="s">
        <v>33</v>
      </c>
      <c r="H903" t="s">
        <v>41</v>
      </c>
      <c r="I903" t="s">
        <v>62</v>
      </c>
      <c r="J903">
        <v>140</v>
      </c>
      <c r="K903">
        <v>0</v>
      </c>
      <c r="L903" t="s">
        <v>63</v>
      </c>
      <c r="M903">
        <v>250</v>
      </c>
      <c r="N903">
        <v>175</v>
      </c>
      <c r="O903">
        <v>10</v>
      </c>
      <c r="P903">
        <v>5.7142900000000001</v>
      </c>
      <c r="Q903">
        <v>0</v>
      </c>
      <c r="R903">
        <v>0.1</v>
      </c>
      <c r="S903">
        <v>0.58699999999999997</v>
      </c>
      <c r="T903">
        <v>0.01</v>
      </c>
      <c r="U903">
        <v>0</v>
      </c>
      <c r="V903">
        <v>2</v>
      </c>
      <c r="W903">
        <v>0</v>
      </c>
      <c r="X903" t="s">
        <v>36</v>
      </c>
      <c r="Y903">
        <v>175</v>
      </c>
      <c r="Z903">
        <v>161</v>
      </c>
      <c r="AA903">
        <v>9</v>
      </c>
      <c r="AB903" t="s">
        <v>618</v>
      </c>
      <c r="AC903" t="str">
        <f t="shared" si="28"/>
        <v>UK</v>
      </c>
      <c r="AD903" t="str">
        <f>_xlfn.XLOOKUP(C903,Mapping!A:A,Mapping!D:D,0,0)</f>
        <v>Hentai</v>
      </c>
      <c r="AE903" t="str">
        <f t="shared" si="29"/>
        <v>JB</v>
      </c>
    </row>
    <row r="904" spans="1:31" x14ac:dyDescent="0.2">
      <c r="A904" t="s">
        <v>690</v>
      </c>
      <c r="B904">
        <v>1013013761</v>
      </c>
      <c r="C904" t="s">
        <v>913</v>
      </c>
      <c r="D904" t="s">
        <v>31</v>
      </c>
      <c r="E904" s="1">
        <v>0.67291666666666672</v>
      </c>
      <c r="F904" t="s">
        <v>32</v>
      </c>
      <c r="G904" t="s">
        <v>33</v>
      </c>
      <c r="H904" t="s">
        <v>41</v>
      </c>
      <c r="I904" t="s">
        <v>62</v>
      </c>
      <c r="J904">
        <v>130</v>
      </c>
      <c r="K904">
        <v>0</v>
      </c>
      <c r="L904" t="s">
        <v>63</v>
      </c>
      <c r="M904">
        <v>250</v>
      </c>
      <c r="N904">
        <v>0</v>
      </c>
      <c r="O904">
        <v>0</v>
      </c>
      <c r="P904">
        <v>0</v>
      </c>
      <c r="R904">
        <v>0</v>
      </c>
      <c r="S904">
        <v>0</v>
      </c>
      <c r="T904">
        <v>0</v>
      </c>
      <c r="U904">
        <v>0</v>
      </c>
      <c r="V904">
        <v>2</v>
      </c>
      <c r="W904">
        <v>0</v>
      </c>
      <c r="X904" t="s">
        <v>36</v>
      </c>
      <c r="AB904" t="s">
        <v>618</v>
      </c>
      <c r="AC904" t="str">
        <f t="shared" si="28"/>
        <v>UK</v>
      </c>
      <c r="AD904" t="str">
        <f>_xlfn.XLOOKUP(C904,Mapping!A:A,Mapping!D:D,0,0)</f>
        <v>Hentai</v>
      </c>
      <c r="AE904" t="str">
        <f t="shared" si="29"/>
        <v>JB</v>
      </c>
    </row>
    <row r="905" spans="1:31" x14ac:dyDescent="0.2">
      <c r="A905" t="s">
        <v>29</v>
      </c>
      <c r="B905">
        <v>1013013771</v>
      </c>
      <c r="C905" t="s">
        <v>914</v>
      </c>
      <c r="D905" t="s">
        <v>31</v>
      </c>
      <c r="E905" s="1">
        <v>0.67291666666666672</v>
      </c>
      <c r="F905" t="s">
        <v>32</v>
      </c>
      <c r="G905" t="s">
        <v>33</v>
      </c>
      <c r="H905" t="s">
        <v>34</v>
      </c>
      <c r="I905" t="s">
        <v>84</v>
      </c>
      <c r="J905">
        <v>68</v>
      </c>
      <c r="K905">
        <v>0</v>
      </c>
      <c r="L905" t="s">
        <v>63</v>
      </c>
      <c r="M905">
        <v>250</v>
      </c>
      <c r="N905">
        <v>6911</v>
      </c>
      <c r="O905">
        <v>245</v>
      </c>
      <c r="P905">
        <v>3.5450699999999999</v>
      </c>
      <c r="Q905">
        <v>0</v>
      </c>
      <c r="R905">
        <v>19.239999999999998</v>
      </c>
      <c r="S905">
        <v>2.7839999999999998</v>
      </c>
      <c r="T905">
        <v>7.9000000000000001E-2</v>
      </c>
      <c r="U905">
        <v>0</v>
      </c>
      <c r="V905">
        <v>2</v>
      </c>
      <c r="W905">
        <v>0</v>
      </c>
      <c r="X905" t="s">
        <v>36</v>
      </c>
      <c r="Y905">
        <v>6911</v>
      </c>
      <c r="Z905">
        <v>4859</v>
      </c>
      <c r="AA905">
        <v>871</v>
      </c>
      <c r="AB905" t="s">
        <v>618</v>
      </c>
      <c r="AC905" t="str">
        <f t="shared" si="28"/>
        <v>UK</v>
      </c>
      <c r="AD905" t="str">
        <f>_xlfn.XLOOKUP(C905,Mapping!A:A,Mapping!D:D,0,0)</f>
        <v>Hentai</v>
      </c>
      <c r="AE905" t="str">
        <f t="shared" si="29"/>
        <v>JB</v>
      </c>
    </row>
    <row r="906" spans="1:31" x14ac:dyDescent="0.2">
      <c r="A906" t="s">
        <v>29</v>
      </c>
      <c r="B906">
        <v>1013013791</v>
      </c>
      <c r="C906" t="s">
        <v>915</v>
      </c>
      <c r="D906" t="s">
        <v>31</v>
      </c>
      <c r="E906" s="1">
        <v>0.67291666666666672</v>
      </c>
      <c r="F906" t="s">
        <v>32</v>
      </c>
      <c r="G906" t="s">
        <v>33</v>
      </c>
      <c r="H906" t="s">
        <v>41</v>
      </c>
      <c r="I906" t="s">
        <v>62</v>
      </c>
      <c r="J906">
        <v>1730</v>
      </c>
      <c r="K906">
        <v>0</v>
      </c>
      <c r="L906" t="s">
        <v>36</v>
      </c>
      <c r="M906" t="s">
        <v>37</v>
      </c>
      <c r="N906">
        <v>106971</v>
      </c>
      <c r="O906">
        <v>8409</v>
      </c>
      <c r="P906">
        <v>7.8610100000000003</v>
      </c>
      <c r="Q906">
        <v>5</v>
      </c>
      <c r="R906">
        <v>130.09</v>
      </c>
      <c r="S906">
        <v>1.216</v>
      </c>
      <c r="T906">
        <v>1.4999999999999999E-2</v>
      </c>
      <c r="U906">
        <v>26.018000000000001</v>
      </c>
      <c r="V906">
        <v>2</v>
      </c>
      <c r="W906">
        <v>0</v>
      </c>
      <c r="X906" t="s">
        <v>36</v>
      </c>
      <c r="Y906">
        <v>106973</v>
      </c>
      <c r="Z906">
        <v>94260</v>
      </c>
      <c r="AA906">
        <v>7597</v>
      </c>
      <c r="AB906" t="s">
        <v>618</v>
      </c>
      <c r="AC906" t="str">
        <f t="shared" si="28"/>
        <v>T2</v>
      </c>
      <c r="AD906" t="str">
        <f>_xlfn.XLOOKUP(C906,Mapping!A:A,Mapping!D:D,0,0)</f>
        <v>Hentai</v>
      </c>
      <c r="AE906" t="str">
        <f t="shared" si="29"/>
        <v>JB</v>
      </c>
    </row>
    <row r="907" spans="1:31" x14ac:dyDescent="0.2">
      <c r="A907" t="s">
        <v>29</v>
      </c>
      <c r="B907">
        <v>1013013811</v>
      </c>
      <c r="C907" t="s">
        <v>916</v>
      </c>
      <c r="D907" t="s">
        <v>31</v>
      </c>
      <c r="E907" s="1">
        <v>0.67291666666666672</v>
      </c>
      <c r="F907" t="s">
        <v>32</v>
      </c>
      <c r="G907" t="s">
        <v>33</v>
      </c>
      <c r="H907" t="s">
        <v>41</v>
      </c>
      <c r="I907" t="s">
        <v>62</v>
      </c>
      <c r="J907">
        <v>1730</v>
      </c>
      <c r="K907">
        <v>0</v>
      </c>
      <c r="L907" t="s">
        <v>63</v>
      </c>
      <c r="M907">
        <v>250</v>
      </c>
      <c r="N907">
        <v>76858</v>
      </c>
      <c r="O907">
        <v>5047</v>
      </c>
      <c r="P907">
        <v>6.5666599999999997</v>
      </c>
      <c r="Q907">
        <v>1</v>
      </c>
      <c r="R907">
        <v>122.16</v>
      </c>
      <c r="S907">
        <v>1.59</v>
      </c>
      <c r="T907">
        <v>2.4E-2</v>
      </c>
      <c r="U907">
        <v>122.163</v>
      </c>
      <c r="V907">
        <v>2</v>
      </c>
      <c r="W907">
        <v>0</v>
      </c>
      <c r="X907" t="s">
        <v>36</v>
      </c>
      <c r="Y907">
        <v>76859</v>
      </c>
      <c r="Z907">
        <v>67938</v>
      </c>
      <c r="AA907">
        <v>5282</v>
      </c>
      <c r="AB907" t="s">
        <v>618</v>
      </c>
      <c r="AC907" t="str">
        <f t="shared" si="28"/>
        <v>T2</v>
      </c>
      <c r="AD907" t="str">
        <f>_xlfn.XLOOKUP(C907,Mapping!A:A,Mapping!D:D,0,0)</f>
        <v>Hentai</v>
      </c>
      <c r="AE907" t="str">
        <f t="shared" si="29"/>
        <v>JB</v>
      </c>
    </row>
    <row r="908" spans="1:31" x14ac:dyDescent="0.2">
      <c r="A908" t="s">
        <v>29</v>
      </c>
      <c r="B908">
        <v>1013013831</v>
      </c>
      <c r="C908" t="s">
        <v>917</v>
      </c>
      <c r="D908" t="s">
        <v>31</v>
      </c>
      <c r="E908" s="1">
        <v>0.67291666666666672</v>
      </c>
      <c r="F908" t="s">
        <v>32</v>
      </c>
      <c r="G908" t="s">
        <v>33</v>
      </c>
      <c r="H908" t="s">
        <v>34</v>
      </c>
      <c r="I908" t="s">
        <v>84</v>
      </c>
      <c r="J908">
        <v>680</v>
      </c>
      <c r="K908">
        <v>0</v>
      </c>
      <c r="L908" t="s">
        <v>36</v>
      </c>
      <c r="M908" t="s">
        <v>37</v>
      </c>
      <c r="N908">
        <v>55873</v>
      </c>
      <c r="O908">
        <v>3592</v>
      </c>
      <c r="P908">
        <v>6.4288699999999999</v>
      </c>
      <c r="Q908">
        <v>2</v>
      </c>
      <c r="R908">
        <v>102.12</v>
      </c>
      <c r="S908">
        <v>1.8280000000000001</v>
      </c>
      <c r="T908">
        <v>2.8000000000000001E-2</v>
      </c>
      <c r="U908">
        <v>51.058</v>
      </c>
      <c r="V908">
        <v>2</v>
      </c>
      <c r="W908">
        <v>0</v>
      </c>
      <c r="X908" t="s">
        <v>36</v>
      </c>
      <c r="Y908">
        <v>55873</v>
      </c>
      <c r="Z908">
        <v>43479</v>
      </c>
      <c r="AA908">
        <v>5355</v>
      </c>
      <c r="AB908" t="s">
        <v>618</v>
      </c>
      <c r="AC908" t="str">
        <f t="shared" si="28"/>
        <v>T2</v>
      </c>
      <c r="AD908" t="str">
        <f>_xlfn.XLOOKUP(C908,Mapping!A:A,Mapping!D:D,0,0)</f>
        <v>Hentai</v>
      </c>
      <c r="AE908" t="str">
        <f t="shared" si="29"/>
        <v>JB</v>
      </c>
    </row>
    <row r="909" spans="1:31" x14ac:dyDescent="0.2">
      <c r="A909" t="s">
        <v>39</v>
      </c>
      <c r="B909">
        <v>1013013851</v>
      </c>
      <c r="C909" t="s">
        <v>918</v>
      </c>
      <c r="D909" t="s">
        <v>31</v>
      </c>
      <c r="E909" s="1">
        <v>0.67291666666666672</v>
      </c>
      <c r="F909" t="s">
        <v>32</v>
      </c>
      <c r="G909" t="s">
        <v>33</v>
      </c>
      <c r="H909" t="s">
        <v>41</v>
      </c>
      <c r="I909" t="s">
        <v>58</v>
      </c>
      <c r="J909">
        <v>200</v>
      </c>
      <c r="K909">
        <v>0</v>
      </c>
      <c r="L909" t="s">
        <v>63</v>
      </c>
      <c r="M909">
        <v>250</v>
      </c>
      <c r="N909">
        <v>244141</v>
      </c>
      <c r="O909">
        <v>19216</v>
      </c>
      <c r="P909">
        <v>7.8708600000000004</v>
      </c>
      <c r="Q909">
        <v>1</v>
      </c>
      <c r="R909">
        <v>471.67</v>
      </c>
      <c r="S909">
        <v>1.9319999999999999</v>
      </c>
      <c r="T909">
        <v>2.5000000000000001E-2</v>
      </c>
      <c r="U909">
        <v>471.666</v>
      </c>
      <c r="V909">
        <v>2</v>
      </c>
      <c r="W909">
        <v>0</v>
      </c>
      <c r="X909" t="s">
        <v>36</v>
      </c>
      <c r="Y909">
        <v>244141</v>
      </c>
      <c r="Z909">
        <v>216683</v>
      </c>
      <c r="AA909">
        <v>19773</v>
      </c>
      <c r="AB909" t="s">
        <v>919</v>
      </c>
      <c r="AC909" t="str">
        <f t="shared" si="28"/>
        <v>US</v>
      </c>
      <c r="AD909" t="str">
        <f>_xlfn.XLOOKUP(C909,Mapping!A:A,Mapping!D:D,0,0)</f>
        <v>General - Pre-roll</v>
      </c>
      <c r="AE909" t="str">
        <f t="shared" si="29"/>
        <v>JB</v>
      </c>
    </row>
    <row r="910" spans="1:31" x14ac:dyDescent="0.2">
      <c r="A910" t="s">
        <v>29</v>
      </c>
      <c r="B910">
        <v>1013013861</v>
      </c>
      <c r="C910" t="s">
        <v>920</v>
      </c>
      <c r="D910" t="s">
        <v>31</v>
      </c>
      <c r="E910" s="1">
        <v>0.67291666666666672</v>
      </c>
      <c r="F910" t="s">
        <v>32</v>
      </c>
      <c r="G910" t="s">
        <v>33</v>
      </c>
      <c r="H910" t="s">
        <v>41</v>
      </c>
      <c r="I910" t="s">
        <v>58</v>
      </c>
      <c r="J910">
        <v>243</v>
      </c>
      <c r="K910">
        <v>0</v>
      </c>
      <c r="L910" t="s">
        <v>63</v>
      </c>
      <c r="M910">
        <v>250</v>
      </c>
      <c r="N910">
        <v>1244313</v>
      </c>
      <c r="O910">
        <v>62802</v>
      </c>
      <c r="P910">
        <v>5.04711</v>
      </c>
      <c r="Q910">
        <v>16</v>
      </c>
      <c r="R910">
        <v>2433.5700000000002</v>
      </c>
      <c r="S910">
        <v>1.956</v>
      </c>
      <c r="T910">
        <v>3.9E-2</v>
      </c>
      <c r="U910">
        <v>152.09800000000001</v>
      </c>
      <c r="V910">
        <v>2</v>
      </c>
      <c r="W910">
        <v>0</v>
      </c>
      <c r="X910" t="s">
        <v>63</v>
      </c>
      <c r="Y910">
        <v>1244310</v>
      </c>
      <c r="Z910">
        <v>1132199</v>
      </c>
      <c r="AA910">
        <v>67561</v>
      </c>
      <c r="AB910" t="s">
        <v>919</v>
      </c>
      <c r="AC910" t="str">
        <f t="shared" si="28"/>
        <v>US</v>
      </c>
      <c r="AD910" t="str">
        <f>_xlfn.XLOOKUP(C910,Mapping!A:A,Mapping!D:D,0,0)</f>
        <v>General - Pre-roll - T3</v>
      </c>
      <c r="AE910" t="str">
        <f t="shared" si="29"/>
        <v>JB</v>
      </c>
    </row>
    <row r="911" spans="1:31" x14ac:dyDescent="0.2">
      <c r="A911" t="s">
        <v>29</v>
      </c>
      <c r="B911">
        <v>1013013881</v>
      </c>
      <c r="C911" t="s">
        <v>921</v>
      </c>
      <c r="D911" t="s">
        <v>31</v>
      </c>
      <c r="E911" s="1">
        <v>0.67291666666666672</v>
      </c>
      <c r="F911" t="s">
        <v>32</v>
      </c>
      <c r="G911" t="s">
        <v>33</v>
      </c>
      <c r="H911" t="s">
        <v>34</v>
      </c>
      <c r="I911" t="s">
        <v>124</v>
      </c>
      <c r="J911">
        <v>100</v>
      </c>
      <c r="K911">
        <v>0</v>
      </c>
      <c r="L911" t="s">
        <v>63</v>
      </c>
      <c r="M911">
        <v>250</v>
      </c>
      <c r="N911">
        <v>988713</v>
      </c>
      <c r="O911">
        <v>48853</v>
      </c>
      <c r="P911">
        <v>4.9410699999999999</v>
      </c>
      <c r="Q911">
        <v>12</v>
      </c>
      <c r="R911">
        <v>3227.23</v>
      </c>
      <c r="S911">
        <v>3.2639999999999998</v>
      </c>
      <c r="T911">
        <v>6.6000000000000003E-2</v>
      </c>
      <c r="U911">
        <v>268.93599999999998</v>
      </c>
      <c r="V911">
        <v>2</v>
      </c>
      <c r="W911">
        <v>0</v>
      </c>
      <c r="X911" t="s">
        <v>36</v>
      </c>
      <c r="Y911">
        <v>988633</v>
      </c>
      <c r="Z911">
        <v>782967</v>
      </c>
      <c r="AA911">
        <v>108357</v>
      </c>
      <c r="AB911" t="s">
        <v>919</v>
      </c>
      <c r="AC911" t="str">
        <f t="shared" si="28"/>
        <v>US</v>
      </c>
      <c r="AD911" t="str">
        <f>_xlfn.XLOOKUP(C911,Mapping!A:A,Mapping!D:D,0,0)</f>
        <v>General - Pre-roll</v>
      </c>
      <c r="AE911" t="str">
        <f t="shared" si="29"/>
        <v>JB</v>
      </c>
    </row>
    <row r="912" spans="1:31" x14ac:dyDescent="0.2">
      <c r="A912" t="s">
        <v>29</v>
      </c>
      <c r="B912">
        <v>1013013911</v>
      </c>
      <c r="C912" t="s">
        <v>922</v>
      </c>
      <c r="D912" t="s">
        <v>31</v>
      </c>
      <c r="E912" s="1">
        <v>0.67291666666666672</v>
      </c>
      <c r="F912" t="s">
        <v>32</v>
      </c>
      <c r="G912" t="s">
        <v>33</v>
      </c>
      <c r="H912" t="s">
        <v>41</v>
      </c>
      <c r="I912" t="s">
        <v>62</v>
      </c>
      <c r="J912">
        <v>32</v>
      </c>
      <c r="K912">
        <v>0</v>
      </c>
      <c r="L912" t="s">
        <v>63</v>
      </c>
      <c r="M912">
        <v>250</v>
      </c>
      <c r="N912">
        <v>73441</v>
      </c>
      <c r="O912">
        <v>3052</v>
      </c>
      <c r="P912">
        <v>4.15571</v>
      </c>
      <c r="Q912">
        <v>1</v>
      </c>
      <c r="R912">
        <v>86.65</v>
      </c>
      <c r="S912">
        <v>1.18</v>
      </c>
      <c r="T912">
        <v>2.8000000000000001E-2</v>
      </c>
      <c r="U912">
        <v>86.650999999999996</v>
      </c>
      <c r="V912">
        <v>2</v>
      </c>
      <c r="W912">
        <v>0</v>
      </c>
      <c r="X912" t="s">
        <v>36</v>
      </c>
      <c r="Y912">
        <v>73441</v>
      </c>
      <c r="Z912">
        <v>64195</v>
      </c>
      <c r="AA912">
        <v>6427</v>
      </c>
      <c r="AB912" t="s">
        <v>606</v>
      </c>
      <c r="AC912" t="str">
        <f t="shared" si="28"/>
        <v>US</v>
      </c>
      <c r="AD912" t="str">
        <f>_xlfn.XLOOKUP(C912,Mapping!A:A,Mapping!D:D,0,0)</f>
        <v>Keyword - Preroll</v>
      </c>
      <c r="AE912" t="str">
        <f t="shared" si="29"/>
        <v>JB</v>
      </c>
    </row>
    <row r="913" spans="1:31" x14ac:dyDescent="0.2">
      <c r="A913" t="s">
        <v>29</v>
      </c>
      <c r="B913">
        <v>1013013931</v>
      </c>
      <c r="C913" t="s">
        <v>923</v>
      </c>
      <c r="D913" t="s">
        <v>31</v>
      </c>
      <c r="E913" s="1">
        <v>0.67291666666666672</v>
      </c>
      <c r="F913" t="s">
        <v>32</v>
      </c>
      <c r="G913" t="s">
        <v>33</v>
      </c>
      <c r="H913" t="s">
        <v>41</v>
      </c>
      <c r="I913" t="s">
        <v>62</v>
      </c>
      <c r="J913">
        <v>32</v>
      </c>
      <c r="K913">
        <v>0</v>
      </c>
      <c r="L913" t="s">
        <v>63</v>
      </c>
      <c r="M913">
        <v>250</v>
      </c>
      <c r="N913">
        <v>154724</v>
      </c>
      <c r="O913">
        <v>7818</v>
      </c>
      <c r="P913">
        <v>5.0528700000000004</v>
      </c>
      <c r="Q913">
        <v>0</v>
      </c>
      <c r="R913">
        <v>181.27</v>
      </c>
      <c r="S913">
        <v>1.1719999999999999</v>
      </c>
      <c r="T913">
        <v>2.3E-2</v>
      </c>
      <c r="U913">
        <v>0</v>
      </c>
      <c r="V913">
        <v>2</v>
      </c>
      <c r="W913">
        <v>0</v>
      </c>
      <c r="X913" t="s">
        <v>36</v>
      </c>
      <c r="Y913">
        <v>154724</v>
      </c>
      <c r="Z913">
        <v>134120</v>
      </c>
      <c r="AA913">
        <v>13705</v>
      </c>
      <c r="AB913" t="s">
        <v>606</v>
      </c>
      <c r="AC913" t="str">
        <f t="shared" si="28"/>
        <v>US</v>
      </c>
      <c r="AD913" t="str">
        <f>_xlfn.XLOOKUP(C913,Mapping!A:A,Mapping!D:D,0,0)</f>
        <v>Keyword - Preroll</v>
      </c>
      <c r="AE913" t="str">
        <f t="shared" si="29"/>
        <v>JB</v>
      </c>
    </row>
    <row r="914" spans="1:31" x14ac:dyDescent="0.2">
      <c r="A914" t="s">
        <v>29</v>
      </c>
      <c r="B914">
        <v>1013013941</v>
      </c>
      <c r="C914" t="s">
        <v>924</v>
      </c>
      <c r="D914" t="s">
        <v>31</v>
      </c>
      <c r="E914" s="1">
        <v>0.67291666666666672</v>
      </c>
      <c r="F914" t="s">
        <v>32</v>
      </c>
      <c r="G914" t="s">
        <v>33</v>
      </c>
      <c r="H914" t="s">
        <v>34</v>
      </c>
      <c r="I914" t="s">
        <v>84</v>
      </c>
      <c r="J914">
        <v>64</v>
      </c>
      <c r="K914">
        <v>0</v>
      </c>
      <c r="L914" t="s">
        <v>63</v>
      </c>
      <c r="M914">
        <v>250</v>
      </c>
      <c r="N914">
        <v>22294</v>
      </c>
      <c r="O914">
        <v>869</v>
      </c>
      <c r="P914">
        <v>3.89791</v>
      </c>
      <c r="Q914">
        <v>0</v>
      </c>
      <c r="R914">
        <v>19.91</v>
      </c>
      <c r="S914">
        <v>0.89300000000000002</v>
      </c>
      <c r="T914">
        <v>2.3E-2</v>
      </c>
      <c r="U914">
        <v>0</v>
      </c>
      <c r="V914">
        <v>2</v>
      </c>
      <c r="W914">
        <v>0</v>
      </c>
      <c r="X914" t="s">
        <v>36</v>
      </c>
      <c r="Y914">
        <v>22294</v>
      </c>
      <c r="Z914">
        <v>16065</v>
      </c>
      <c r="AA914">
        <v>3160</v>
      </c>
      <c r="AB914" t="s">
        <v>606</v>
      </c>
      <c r="AC914" t="str">
        <f t="shared" si="28"/>
        <v>US</v>
      </c>
      <c r="AD914" t="str">
        <f>_xlfn.XLOOKUP(C914,Mapping!A:A,Mapping!D:D,0,0)</f>
        <v>Keyword - Preroll</v>
      </c>
      <c r="AE914" t="str">
        <f t="shared" si="29"/>
        <v>JB</v>
      </c>
    </row>
    <row r="915" spans="1:31" x14ac:dyDescent="0.2">
      <c r="A915" t="s">
        <v>39</v>
      </c>
      <c r="B915">
        <v>1013013951</v>
      </c>
      <c r="C915" t="s">
        <v>925</v>
      </c>
      <c r="D915" t="s">
        <v>31</v>
      </c>
      <c r="E915" s="1">
        <v>0.67291666666666672</v>
      </c>
      <c r="F915" t="s">
        <v>32</v>
      </c>
      <c r="G915" t="s">
        <v>33</v>
      </c>
      <c r="H915" t="s">
        <v>41</v>
      </c>
      <c r="I915" t="s">
        <v>62</v>
      </c>
      <c r="J915">
        <v>100</v>
      </c>
      <c r="K915">
        <v>0</v>
      </c>
      <c r="L915" t="s">
        <v>63</v>
      </c>
      <c r="M915">
        <v>250</v>
      </c>
      <c r="N915">
        <v>324964</v>
      </c>
      <c r="O915">
        <v>23834</v>
      </c>
      <c r="P915">
        <v>7.3343499999999997</v>
      </c>
      <c r="Q915">
        <v>2</v>
      </c>
      <c r="R915">
        <v>466.44</v>
      </c>
      <c r="S915">
        <v>1.4350000000000001</v>
      </c>
      <c r="T915">
        <v>0.02</v>
      </c>
      <c r="U915">
        <v>233.21899999999999</v>
      </c>
      <c r="V915">
        <v>2</v>
      </c>
      <c r="W915">
        <v>0</v>
      </c>
      <c r="X915" t="s">
        <v>36</v>
      </c>
      <c r="Y915">
        <v>324964</v>
      </c>
      <c r="Z915">
        <v>288687</v>
      </c>
      <c r="AA915">
        <v>25807</v>
      </c>
      <c r="AB915" t="s">
        <v>783</v>
      </c>
      <c r="AC915" t="str">
        <f t="shared" si="28"/>
        <v>US</v>
      </c>
      <c r="AD915" t="str">
        <f>_xlfn.XLOOKUP(C915,Mapping!A:A,Mapping!D:D,0,0)</f>
        <v>Keyword - Preroll</v>
      </c>
      <c r="AE915" t="str">
        <f t="shared" si="29"/>
        <v>JB</v>
      </c>
    </row>
    <row r="916" spans="1:31" x14ac:dyDescent="0.2">
      <c r="A916" t="s">
        <v>29</v>
      </c>
      <c r="B916">
        <v>1013013961</v>
      </c>
      <c r="C916" t="s">
        <v>926</v>
      </c>
      <c r="D916" t="s">
        <v>31</v>
      </c>
      <c r="E916" s="1">
        <v>0.67291666666666672</v>
      </c>
      <c r="F916" t="s">
        <v>32</v>
      </c>
      <c r="G916" t="s">
        <v>33</v>
      </c>
      <c r="H916" t="s">
        <v>41</v>
      </c>
      <c r="I916" t="s">
        <v>62</v>
      </c>
      <c r="J916">
        <v>140</v>
      </c>
      <c r="K916">
        <v>0</v>
      </c>
      <c r="L916" t="s">
        <v>63</v>
      </c>
      <c r="M916">
        <v>250</v>
      </c>
      <c r="N916">
        <v>1097124</v>
      </c>
      <c r="O916">
        <v>54261</v>
      </c>
      <c r="P916">
        <v>4.9457500000000003</v>
      </c>
      <c r="Q916">
        <v>9</v>
      </c>
      <c r="R916">
        <v>1906.98</v>
      </c>
      <c r="S916">
        <v>1.738</v>
      </c>
      <c r="T916">
        <v>3.5000000000000003E-2</v>
      </c>
      <c r="U916">
        <v>211.887</v>
      </c>
      <c r="V916">
        <v>2</v>
      </c>
      <c r="W916">
        <v>0</v>
      </c>
      <c r="X916" t="s">
        <v>36</v>
      </c>
      <c r="Y916">
        <v>1097123</v>
      </c>
      <c r="Z916">
        <v>988928</v>
      </c>
      <c r="AA916">
        <v>69159</v>
      </c>
      <c r="AB916" t="s">
        <v>783</v>
      </c>
      <c r="AC916" t="str">
        <f t="shared" si="28"/>
        <v>US</v>
      </c>
      <c r="AD916" t="str">
        <f>_xlfn.XLOOKUP(C916,Mapping!A:A,Mapping!D:D,0,0)</f>
        <v>Keyword - Preroll</v>
      </c>
      <c r="AE916" t="str">
        <f t="shared" si="29"/>
        <v>JB</v>
      </c>
    </row>
    <row r="917" spans="1:31" x14ac:dyDescent="0.2">
      <c r="A917" t="s">
        <v>29</v>
      </c>
      <c r="B917">
        <v>1013013971</v>
      </c>
      <c r="C917" t="s">
        <v>927</v>
      </c>
      <c r="D917" t="s">
        <v>31</v>
      </c>
      <c r="E917" s="1">
        <v>0.67291666666666672</v>
      </c>
      <c r="F917" t="s">
        <v>32</v>
      </c>
      <c r="G917" t="s">
        <v>33</v>
      </c>
      <c r="H917" t="s">
        <v>34</v>
      </c>
      <c r="I917" t="s">
        <v>723</v>
      </c>
      <c r="J917">
        <v>52</v>
      </c>
      <c r="K917">
        <v>0</v>
      </c>
      <c r="L917" t="s">
        <v>63</v>
      </c>
      <c r="M917">
        <v>250</v>
      </c>
      <c r="N917">
        <v>830609</v>
      </c>
      <c r="O917">
        <v>36437</v>
      </c>
      <c r="P917">
        <v>4.3867799999999999</v>
      </c>
      <c r="Q917">
        <v>16</v>
      </c>
      <c r="R917">
        <v>1591.8</v>
      </c>
      <c r="S917">
        <v>1.9159999999999999</v>
      </c>
      <c r="T917">
        <v>4.3999999999999997E-2</v>
      </c>
      <c r="U917">
        <v>99.488</v>
      </c>
      <c r="V917">
        <v>2</v>
      </c>
      <c r="W917">
        <v>0</v>
      </c>
      <c r="X917" t="s">
        <v>36</v>
      </c>
      <c r="Y917">
        <v>830607</v>
      </c>
      <c r="Z917">
        <v>639216</v>
      </c>
      <c r="AA917">
        <v>98537</v>
      </c>
      <c r="AB917" t="s">
        <v>783</v>
      </c>
      <c r="AC917" t="str">
        <f t="shared" si="28"/>
        <v>US</v>
      </c>
      <c r="AD917" t="str">
        <f>_xlfn.XLOOKUP(C917,Mapping!A:A,Mapping!D:D,0,0)</f>
        <v>Keyword - Preroll</v>
      </c>
      <c r="AE917" t="str">
        <f t="shared" si="29"/>
        <v>JB</v>
      </c>
    </row>
    <row r="918" spans="1:31" x14ac:dyDescent="0.2">
      <c r="A918" t="s">
        <v>29</v>
      </c>
      <c r="B918">
        <v>1013013981</v>
      </c>
      <c r="C918" t="s">
        <v>928</v>
      </c>
      <c r="D918" t="s">
        <v>31</v>
      </c>
      <c r="E918" s="1">
        <v>0.67291666666666672</v>
      </c>
      <c r="F918" t="s">
        <v>32</v>
      </c>
      <c r="G918" t="s">
        <v>33</v>
      </c>
      <c r="H918" t="s">
        <v>34</v>
      </c>
      <c r="I918" t="s">
        <v>84</v>
      </c>
      <c r="J918">
        <v>60</v>
      </c>
      <c r="K918">
        <v>0</v>
      </c>
      <c r="L918" t="s">
        <v>63</v>
      </c>
      <c r="M918">
        <v>250</v>
      </c>
      <c r="N918">
        <v>393787</v>
      </c>
      <c r="O918">
        <v>14870</v>
      </c>
      <c r="P918">
        <v>3.7761499999999999</v>
      </c>
      <c r="Q918">
        <v>2</v>
      </c>
      <c r="R918">
        <v>478.45</v>
      </c>
      <c r="S918">
        <v>1.2150000000000001</v>
      </c>
      <c r="T918">
        <v>3.2000000000000001E-2</v>
      </c>
      <c r="U918">
        <v>239.22300000000001</v>
      </c>
      <c r="V918">
        <v>2</v>
      </c>
      <c r="W918">
        <v>0</v>
      </c>
      <c r="X918" t="s">
        <v>36</v>
      </c>
      <c r="Y918">
        <v>393786</v>
      </c>
      <c r="Z918">
        <v>292520</v>
      </c>
      <c r="AA918">
        <v>41527</v>
      </c>
      <c r="AB918" t="s">
        <v>348</v>
      </c>
      <c r="AC918" t="str">
        <f t="shared" si="28"/>
        <v>US</v>
      </c>
      <c r="AD918" t="str">
        <f>_xlfn.XLOOKUP(C918,Mapping!A:A,Mapping!D:D,0,0)</f>
        <v>Keyword - Preroll</v>
      </c>
      <c r="AE918" t="str">
        <f t="shared" si="29"/>
        <v>JB</v>
      </c>
    </row>
    <row r="919" spans="1:31" x14ac:dyDescent="0.2">
      <c r="A919" t="s">
        <v>29</v>
      </c>
      <c r="B919">
        <v>1013014001</v>
      </c>
      <c r="C919" t="s">
        <v>929</v>
      </c>
      <c r="D919" t="s">
        <v>31</v>
      </c>
      <c r="E919" s="1">
        <v>0.67291666666666672</v>
      </c>
      <c r="F919" t="s">
        <v>32</v>
      </c>
      <c r="G919" t="s">
        <v>33</v>
      </c>
      <c r="H919" t="s">
        <v>41</v>
      </c>
      <c r="I919" t="s">
        <v>62</v>
      </c>
      <c r="J919">
        <v>65</v>
      </c>
      <c r="K919">
        <v>0</v>
      </c>
      <c r="L919" t="s">
        <v>63</v>
      </c>
      <c r="M919">
        <v>250</v>
      </c>
      <c r="N919">
        <v>263662</v>
      </c>
      <c r="O919">
        <v>12446</v>
      </c>
      <c r="P919">
        <v>4.72044</v>
      </c>
      <c r="Q919">
        <v>2</v>
      </c>
      <c r="R919">
        <v>485.6</v>
      </c>
      <c r="S919">
        <v>1.8420000000000001</v>
      </c>
      <c r="T919">
        <v>3.9E-2</v>
      </c>
      <c r="U919">
        <v>242.80099999999999</v>
      </c>
      <c r="V919">
        <v>2</v>
      </c>
      <c r="W919">
        <v>0</v>
      </c>
      <c r="X919" t="s">
        <v>36</v>
      </c>
      <c r="Y919">
        <v>263654</v>
      </c>
      <c r="Z919">
        <v>239101</v>
      </c>
      <c r="AA919">
        <v>14516</v>
      </c>
      <c r="AB919" t="s">
        <v>348</v>
      </c>
      <c r="AC919" t="str">
        <f t="shared" si="28"/>
        <v>US</v>
      </c>
      <c r="AD919" t="str">
        <f>_xlfn.XLOOKUP(C919,Mapping!A:A,Mapping!D:D,0,0)</f>
        <v>Keyword - Preroll</v>
      </c>
      <c r="AE919" t="str">
        <f t="shared" si="29"/>
        <v>JB</v>
      </c>
    </row>
    <row r="920" spans="1:31" x14ac:dyDescent="0.2">
      <c r="A920" t="s">
        <v>39</v>
      </c>
      <c r="B920">
        <v>1013014101</v>
      </c>
      <c r="C920" t="s">
        <v>930</v>
      </c>
      <c r="D920" t="s">
        <v>31</v>
      </c>
      <c r="E920" s="1">
        <v>0.67291666666666672</v>
      </c>
      <c r="F920" t="s">
        <v>32</v>
      </c>
      <c r="G920" t="s">
        <v>33</v>
      </c>
      <c r="H920" t="s">
        <v>34</v>
      </c>
      <c r="I920" t="s">
        <v>84</v>
      </c>
      <c r="J920">
        <v>44</v>
      </c>
      <c r="K920">
        <v>0</v>
      </c>
      <c r="L920" t="s">
        <v>63</v>
      </c>
      <c r="M920">
        <v>250</v>
      </c>
      <c r="N920">
        <v>41177</v>
      </c>
      <c r="O920">
        <v>1849</v>
      </c>
      <c r="P920">
        <v>4.4903700000000004</v>
      </c>
      <c r="Q920">
        <v>0</v>
      </c>
      <c r="R920">
        <v>115.9</v>
      </c>
      <c r="S920">
        <v>2.8149999999999999</v>
      </c>
      <c r="T920">
        <v>6.3E-2</v>
      </c>
      <c r="U920">
        <v>0</v>
      </c>
      <c r="V920">
        <v>2</v>
      </c>
      <c r="W920">
        <v>0</v>
      </c>
      <c r="X920" t="s">
        <v>36</v>
      </c>
      <c r="Y920">
        <v>41177</v>
      </c>
      <c r="Z920">
        <v>31564</v>
      </c>
      <c r="AA920">
        <v>4928</v>
      </c>
      <c r="AB920" t="s">
        <v>348</v>
      </c>
      <c r="AC920" t="str">
        <f t="shared" si="28"/>
        <v>UK</v>
      </c>
      <c r="AD920" t="str">
        <f>_xlfn.XLOOKUP(C920,Mapping!A:A,Mapping!D:D,0,0)</f>
        <v>Keyword - Preroll</v>
      </c>
      <c r="AE920" t="str">
        <f t="shared" si="29"/>
        <v>JB</v>
      </c>
    </row>
    <row r="921" spans="1:31" x14ac:dyDescent="0.2">
      <c r="A921" t="s">
        <v>29</v>
      </c>
      <c r="B921">
        <v>1013014111</v>
      </c>
      <c r="C921" t="s">
        <v>931</v>
      </c>
      <c r="D921" t="s">
        <v>31</v>
      </c>
      <c r="E921" s="1">
        <v>0.67291666666666672</v>
      </c>
      <c r="F921" t="s">
        <v>32</v>
      </c>
      <c r="G921" t="s">
        <v>33</v>
      </c>
      <c r="H921" t="s">
        <v>41</v>
      </c>
      <c r="I921" t="s">
        <v>62</v>
      </c>
      <c r="J921">
        <v>65</v>
      </c>
      <c r="K921">
        <v>0</v>
      </c>
      <c r="L921" t="s">
        <v>63</v>
      </c>
      <c r="M921">
        <v>250</v>
      </c>
      <c r="N921">
        <v>3265566</v>
      </c>
      <c r="O921">
        <v>199316</v>
      </c>
      <c r="P921">
        <v>6.1035700000000004</v>
      </c>
      <c r="Q921">
        <v>26</v>
      </c>
      <c r="R921">
        <v>5794.67</v>
      </c>
      <c r="S921">
        <v>1.7749999999999999</v>
      </c>
      <c r="T921">
        <v>2.9000000000000001E-2</v>
      </c>
      <c r="U921">
        <v>222.87200000000001</v>
      </c>
      <c r="V921">
        <v>2</v>
      </c>
      <c r="W921">
        <v>0</v>
      </c>
      <c r="X921" t="s">
        <v>36</v>
      </c>
      <c r="Y921">
        <v>3264919</v>
      </c>
      <c r="Z921">
        <v>2900107</v>
      </c>
      <c r="AA921">
        <v>261773</v>
      </c>
      <c r="AB921" t="s">
        <v>348</v>
      </c>
      <c r="AC921" t="str">
        <f t="shared" si="28"/>
        <v>US</v>
      </c>
      <c r="AD921" t="str">
        <f>_xlfn.XLOOKUP(C921,Mapping!A:A,Mapping!D:D,0,0)</f>
        <v>Keyword - Preroll</v>
      </c>
      <c r="AE921" t="str">
        <f t="shared" si="29"/>
        <v>JB</v>
      </c>
    </row>
    <row r="922" spans="1:31" x14ac:dyDescent="0.2">
      <c r="A922" t="s">
        <v>29</v>
      </c>
      <c r="B922">
        <v>1013014221</v>
      </c>
      <c r="C922" t="s">
        <v>932</v>
      </c>
      <c r="D922" t="s">
        <v>31</v>
      </c>
      <c r="E922" s="1">
        <v>0.67291666666666672</v>
      </c>
      <c r="F922" t="s">
        <v>32</v>
      </c>
      <c r="G922" t="s">
        <v>33</v>
      </c>
      <c r="H922" t="s">
        <v>41</v>
      </c>
      <c r="I922" t="s">
        <v>62</v>
      </c>
      <c r="J922">
        <v>153</v>
      </c>
      <c r="K922">
        <v>0</v>
      </c>
      <c r="L922" t="s">
        <v>63</v>
      </c>
      <c r="M922">
        <v>250</v>
      </c>
      <c r="N922">
        <v>1244985</v>
      </c>
      <c r="O922">
        <v>95495</v>
      </c>
      <c r="P922">
        <v>7.6703700000000001</v>
      </c>
      <c r="Q922">
        <v>7</v>
      </c>
      <c r="R922">
        <v>1983.37</v>
      </c>
      <c r="S922">
        <v>1.593</v>
      </c>
      <c r="T922">
        <v>2.1000000000000001E-2</v>
      </c>
      <c r="U922">
        <v>283.33800000000002</v>
      </c>
      <c r="V922">
        <v>2</v>
      </c>
      <c r="W922">
        <v>0</v>
      </c>
      <c r="X922" t="s">
        <v>36</v>
      </c>
      <c r="Y922">
        <v>1244959</v>
      </c>
      <c r="Z922">
        <v>1112297</v>
      </c>
      <c r="AA922">
        <v>91474</v>
      </c>
      <c r="AB922" t="s">
        <v>933</v>
      </c>
      <c r="AC922" t="str">
        <f t="shared" si="28"/>
        <v>US</v>
      </c>
      <c r="AD922" t="str">
        <f>_xlfn.XLOOKUP(C922,Mapping!A:A,Mapping!D:D,0,0)</f>
        <v>Keyword - Preroll</v>
      </c>
      <c r="AE922" t="str">
        <f t="shared" si="29"/>
        <v>JB</v>
      </c>
    </row>
    <row r="923" spans="1:31" x14ac:dyDescent="0.2">
      <c r="A923" t="s">
        <v>29</v>
      </c>
      <c r="B923">
        <v>1013014271</v>
      </c>
      <c r="C923" t="s">
        <v>934</v>
      </c>
      <c r="D923" t="s">
        <v>31</v>
      </c>
      <c r="E923" s="1">
        <v>0.67291666666666672</v>
      </c>
      <c r="F923" t="s">
        <v>32</v>
      </c>
      <c r="G923" t="s">
        <v>33</v>
      </c>
      <c r="H923" t="s">
        <v>41</v>
      </c>
      <c r="I923" t="s">
        <v>62</v>
      </c>
      <c r="J923">
        <v>163</v>
      </c>
      <c r="K923">
        <v>0</v>
      </c>
      <c r="L923" t="s">
        <v>63</v>
      </c>
      <c r="M923">
        <v>250</v>
      </c>
      <c r="N923">
        <v>577204</v>
      </c>
      <c r="O923">
        <v>27560</v>
      </c>
      <c r="P923">
        <v>4.7747400000000004</v>
      </c>
      <c r="Q923">
        <v>0</v>
      </c>
      <c r="R923">
        <v>1129.73</v>
      </c>
      <c r="S923">
        <v>1.9570000000000001</v>
      </c>
      <c r="T923">
        <v>4.1000000000000002E-2</v>
      </c>
      <c r="U923">
        <v>0</v>
      </c>
      <c r="V923">
        <v>2</v>
      </c>
      <c r="W923">
        <v>0</v>
      </c>
      <c r="X923" t="s">
        <v>36</v>
      </c>
      <c r="Y923">
        <v>577183</v>
      </c>
      <c r="Z923">
        <v>529366</v>
      </c>
      <c r="AA923">
        <v>27406</v>
      </c>
      <c r="AB923" t="s">
        <v>933</v>
      </c>
      <c r="AC923" t="str">
        <f t="shared" si="28"/>
        <v>US</v>
      </c>
      <c r="AD923" t="str">
        <f>_xlfn.XLOOKUP(C923,Mapping!A:A,Mapping!D:D,0,0)</f>
        <v>Keyword - Preroll</v>
      </c>
      <c r="AE923" t="str">
        <f t="shared" si="29"/>
        <v>JB</v>
      </c>
    </row>
    <row r="924" spans="1:31" x14ac:dyDescent="0.2">
      <c r="A924" t="s">
        <v>29</v>
      </c>
      <c r="B924">
        <v>1013014281</v>
      </c>
      <c r="C924" t="s">
        <v>935</v>
      </c>
      <c r="D924" t="s">
        <v>31</v>
      </c>
      <c r="E924" s="1">
        <v>0.67291666666666672</v>
      </c>
      <c r="F924" t="s">
        <v>32</v>
      </c>
      <c r="G924" t="s">
        <v>33</v>
      </c>
      <c r="H924" t="s">
        <v>34</v>
      </c>
      <c r="I924" t="s">
        <v>84</v>
      </c>
      <c r="J924">
        <v>68</v>
      </c>
      <c r="K924">
        <v>0</v>
      </c>
      <c r="L924" t="s">
        <v>36</v>
      </c>
      <c r="M924" t="s">
        <v>37</v>
      </c>
      <c r="N924">
        <v>562398</v>
      </c>
      <c r="O924">
        <v>21596</v>
      </c>
      <c r="P924">
        <v>3.8399899999999998</v>
      </c>
      <c r="Q924">
        <v>9</v>
      </c>
      <c r="R924">
        <v>693.57</v>
      </c>
      <c r="S924">
        <v>1.2330000000000001</v>
      </c>
      <c r="T924">
        <v>3.2000000000000001E-2</v>
      </c>
      <c r="U924">
        <v>77.063999999999993</v>
      </c>
      <c r="V924">
        <v>2</v>
      </c>
      <c r="W924">
        <v>0</v>
      </c>
      <c r="X924" t="s">
        <v>36</v>
      </c>
      <c r="Y924">
        <v>562396</v>
      </c>
      <c r="Z924">
        <v>413438</v>
      </c>
      <c r="AA924">
        <v>71222</v>
      </c>
      <c r="AB924" t="s">
        <v>933</v>
      </c>
      <c r="AC924" t="str">
        <f t="shared" si="28"/>
        <v>US</v>
      </c>
      <c r="AD924" t="str">
        <f>_xlfn.XLOOKUP(C924,Mapping!A:A,Mapping!D:D,0,0)</f>
        <v>Keyword - Preroll</v>
      </c>
      <c r="AE924" t="str">
        <f t="shared" si="29"/>
        <v>JB</v>
      </c>
    </row>
    <row r="925" spans="1:31" x14ac:dyDescent="0.2">
      <c r="A925" t="s">
        <v>29</v>
      </c>
      <c r="B925">
        <v>1013014311</v>
      </c>
      <c r="C925" t="s">
        <v>936</v>
      </c>
      <c r="D925" t="s">
        <v>31</v>
      </c>
      <c r="E925" s="1">
        <v>0.67291666666666672</v>
      </c>
      <c r="F925" t="s">
        <v>32</v>
      </c>
      <c r="G925" t="s">
        <v>33</v>
      </c>
      <c r="H925" t="s">
        <v>34</v>
      </c>
      <c r="I925" t="s">
        <v>84</v>
      </c>
      <c r="J925">
        <v>96</v>
      </c>
      <c r="K925">
        <v>0</v>
      </c>
      <c r="L925" t="s">
        <v>63</v>
      </c>
      <c r="M925">
        <v>250</v>
      </c>
      <c r="N925">
        <v>89753</v>
      </c>
      <c r="O925">
        <v>3892</v>
      </c>
      <c r="P925">
        <v>4.3363500000000004</v>
      </c>
      <c r="Q925">
        <v>0</v>
      </c>
      <c r="R925">
        <v>230.7</v>
      </c>
      <c r="S925">
        <v>2.57</v>
      </c>
      <c r="T925">
        <v>5.8999999999999997E-2</v>
      </c>
      <c r="U925">
        <v>0</v>
      </c>
      <c r="V925">
        <v>1</v>
      </c>
      <c r="W925">
        <v>0</v>
      </c>
      <c r="X925" t="s">
        <v>36</v>
      </c>
      <c r="Y925">
        <v>89753</v>
      </c>
      <c r="Z925">
        <v>70791</v>
      </c>
      <c r="AA925">
        <v>9376</v>
      </c>
      <c r="AB925" t="s">
        <v>937</v>
      </c>
      <c r="AC925" t="str">
        <f t="shared" si="28"/>
        <v>US</v>
      </c>
      <c r="AD925" t="str">
        <f>_xlfn.XLOOKUP(C925,Mapping!A:A,Mapping!D:D,0,0)</f>
        <v>Keyword - Preroll</v>
      </c>
      <c r="AE925" t="str">
        <f t="shared" si="29"/>
        <v>JB</v>
      </c>
    </row>
    <row r="926" spans="1:31" x14ac:dyDescent="0.2">
      <c r="A926" t="s">
        <v>39</v>
      </c>
      <c r="B926">
        <v>1013014461</v>
      </c>
      <c r="C926" t="s">
        <v>938</v>
      </c>
      <c r="D926" t="s">
        <v>31</v>
      </c>
      <c r="E926" s="1">
        <v>0.67291666666666672</v>
      </c>
      <c r="F926" t="s">
        <v>32</v>
      </c>
      <c r="G926" t="s">
        <v>33</v>
      </c>
      <c r="H926" t="s">
        <v>41</v>
      </c>
      <c r="I926" t="s">
        <v>62</v>
      </c>
      <c r="J926">
        <v>90</v>
      </c>
      <c r="K926">
        <v>0</v>
      </c>
      <c r="L926" t="s">
        <v>63</v>
      </c>
      <c r="M926">
        <v>250</v>
      </c>
      <c r="N926">
        <v>107901</v>
      </c>
      <c r="O926">
        <v>7972</v>
      </c>
      <c r="P926">
        <v>7.3882500000000002</v>
      </c>
      <c r="Q926">
        <v>1</v>
      </c>
      <c r="R926">
        <v>186.98</v>
      </c>
      <c r="S926">
        <v>1.7330000000000001</v>
      </c>
      <c r="T926">
        <v>2.3E-2</v>
      </c>
      <c r="U926">
        <v>186.97900000000001</v>
      </c>
      <c r="V926">
        <v>2</v>
      </c>
      <c r="W926">
        <v>0</v>
      </c>
      <c r="X926" t="s">
        <v>36</v>
      </c>
      <c r="Y926">
        <v>107901</v>
      </c>
      <c r="Z926">
        <v>95073</v>
      </c>
      <c r="AA926">
        <v>8407</v>
      </c>
      <c r="AB926" t="s">
        <v>937</v>
      </c>
      <c r="AC926" t="str">
        <f t="shared" si="28"/>
        <v>US</v>
      </c>
      <c r="AD926" t="str">
        <f>_xlfn.XLOOKUP(C926,Mapping!A:A,Mapping!D:D,0,0)</f>
        <v>Keyword - Preroll</v>
      </c>
      <c r="AE926" t="str">
        <f t="shared" si="29"/>
        <v>JB</v>
      </c>
    </row>
    <row r="927" spans="1:31" x14ac:dyDescent="0.2">
      <c r="A927" t="s">
        <v>29</v>
      </c>
      <c r="B927">
        <v>1013014511</v>
      </c>
      <c r="C927" t="s">
        <v>939</v>
      </c>
      <c r="D927" t="s">
        <v>31</v>
      </c>
      <c r="E927" s="1">
        <v>0.67291666666666672</v>
      </c>
      <c r="F927" t="s">
        <v>32</v>
      </c>
      <c r="G927" t="s">
        <v>33</v>
      </c>
      <c r="H927" t="s">
        <v>41</v>
      </c>
      <c r="I927" t="s">
        <v>62</v>
      </c>
      <c r="J927">
        <v>114</v>
      </c>
      <c r="K927">
        <v>0</v>
      </c>
      <c r="L927" t="s">
        <v>63</v>
      </c>
      <c r="M927">
        <v>250</v>
      </c>
      <c r="N927">
        <v>207843</v>
      </c>
      <c r="O927">
        <v>9489</v>
      </c>
      <c r="P927">
        <v>4.5654700000000004</v>
      </c>
      <c r="Q927">
        <v>1</v>
      </c>
      <c r="R927">
        <v>370.85</v>
      </c>
      <c r="S927">
        <v>1.784</v>
      </c>
      <c r="T927">
        <v>3.9E-2</v>
      </c>
      <c r="U927">
        <v>370.84800000000001</v>
      </c>
      <c r="V927">
        <v>2</v>
      </c>
      <c r="W927">
        <v>0</v>
      </c>
      <c r="X927" t="s">
        <v>36</v>
      </c>
      <c r="Y927">
        <v>207840</v>
      </c>
      <c r="Z927">
        <v>184940</v>
      </c>
      <c r="AA927">
        <v>13338</v>
      </c>
      <c r="AB927" t="s">
        <v>937</v>
      </c>
      <c r="AC927" t="str">
        <f t="shared" si="28"/>
        <v>US</v>
      </c>
      <c r="AD927" t="str">
        <f>_xlfn.XLOOKUP(C927,Mapping!A:A,Mapping!D:D,0,0)</f>
        <v>Keyword - Preroll</v>
      </c>
      <c r="AE927" t="str">
        <f t="shared" si="29"/>
        <v>JB</v>
      </c>
    </row>
    <row r="928" spans="1:31" x14ac:dyDescent="0.2">
      <c r="A928" t="s">
        <v>29</v>
      </c>
      <c r="B928">
        <v>1013016311</v>
      </c>
      <c r="C928" t="s">
        <v>940</v>
      </c>
      <c r="D928" t="s">
        <v>31</v>
      </c>
      <c r="E928" s="1">
        <v>0.67291666666666672</v>
      </c>
      <c r="F928" t="s">
        <v>32</v>
      </c>
      <c r="G928" t="s">
        <v>33</v>
      </c>
      <c r="H928" t="s">
        <v>34</v>
      </c>
      <c r="I928" t="s">
        <v>84</v>
      </c>
      <c r="J928">
        <v>80</v>
      </c>
      <c r="K928">
        <v>0</v>
      </c>
      <c r="L928" t="s">
        <v>63</v>
      </c>
      <c r="M928">
        <v>250</v>
      </c>
      <c r="N928">
        <v>200879</v>
      </c>
      <c r="O928">
        <v>10698</v>
      </c>
      <c r="P928">
        <v>5.32559</v>
      </c>
      <c r="Q928">
        <v>2</v>
      </c>
      <c r="R928">
        <v>271.92</v>
      </c>
      <c r="S928">
        <v>1.3540000000000001</v>
      </c>
      <c r="T928">
        <v>2.5000000000000001E-2</v>
      </c>
      <c r="U928">
        <v>135.96100000000001</v>
      </c>
      <c r="V928">
        <v>2</v>
      </c>
      <c r="W928">
        <v>0</v>
      </c>
      <c r="X928" t="s">
        <v>36</v>
      </c>
      <c r="Y928">
        <v>200879</v>
      </c>
      <c r="Z928">
        <v>157683</v>
      </c>
      <c r="AA928">
        <v>21583</v>
      </c>
      <c r="AB928" t="s">
        <v>937</v>
      </c>
      <c r="AC928" t="str">
        <f t="shared" si="28"/>
        <v>NZ</v>
      </c>
      <c r="AD928" t="str">
        <f>_xlfn.XLOOKUP(C928,Mapping!A:A,Mapping!D:D,0,0)</f>
        <v>Keyword - Preroll</v>
      </c>
      <c r="AE928" t="str">
        <f t="shared" si="29"/>
        <v>JB</v>
      </c>
    </row>
    <row r="929" spans="1:31" x14ac:dyDescent="0.2">
      <c r="A929" t="s">
        <v>29</v>
      </c>
      <c r="B929">
        <v>1013017191</v>
      </c>
      <c r="C929" t="s">
        <v>941</v>
      </c>
      <c r="D929" t="s">
        <v>31</v>
      </c>
      <c r="E929" s="1">
        <v>0.38611111111111113</v>
      </c>
      <c r="F929" t="s">
        <v>32</v>
      </c>
      <c r="G929" t="s">
        <v>33</v>
      </c>
      <c r="H929" t="s">
        <v>41</v>
      </c>
      <c r="I929" t="s">
        <v>942</v>
      </c>
      <c r="J929">
        <v>3</v>
      </c>
      <c r="K929">
        <v>2</v>
      </c>
      <c r="L929" t="s">
        <v>36</v>
      </c>
      <c r="M929" t="s">
        <v>37</v>
      </c>
      <c r="N929">
        <v>2211253</v>
      </c>
      <c r="O929">
        <v>13737</v>
      </c>
      <c r="P929">
        <v>0.62121999999999999</v>
      </c>
      <c r="Q929">
        <v>23</v>
      </c>
      <c r="R929">
        <v>1676.54</v>
      </c>
      <c r="S929">
        <v>0.75800000000000001</v>
      </c>
      <c r="T929">
        <v>0.122</v>
      </c>
      <c r="U929">
        <v>72.893000000000001</v>
      </c>
      <c r="V929">
        <v>2</v>
      </c>
      <c r="W929">
        <v>0</v>
      </c>
      <c r="X929" t="s">
        <v>63</v>
      </c>
      <c r="Y929">
        <v>2211220</v>
      </c>
      <c r="Z929">
        <v>0</v>
      </c>
      <c r="AA929">
        <v>7670</v>
      </c>
      <c r="AB929" t="s">
        <v>60</v>
      </c>
      <c r="AC929" t="str">
        <f t="shared" si="28"/>
        <v>US</v>
      </c>
      <c r="AD929" t="str">
        <f>_xlfn.XLOOKUP(C929,Mapping!A:A,Mapping!D:D,0,0)</f>
        <v>Shorties</v>
      </c>
      <c r="AE929" t="str">
        <f t="shared" si="29"/>
        <v>TJ</v>
      </c>
    </row>
    <row r="930" spans="1:31" x14ac:dyDescent="0.2">
      <c r="A930" t="s">
        <v>29</v>
      </c>
      <c r="B930">
        <v>1013017281</v>
      </c>
      <c r="C930" t="s">
        <v>943</v>
      </c>
      <c r="D930" t="s">
        <v>31</v>
      </c>
      <c r="E930" s="1">
        <v>0.67291666666666672</v>
      </c>
      <c r="F930" t="s">
        <v>32</v>
      </c>
      <c r="G930" t="s">
        <v>33</v>
      </c>
      <c r="H930" t="s">
        <v>34</v>
      </c>
      <c r="I930" t="s">
        <v>723</v>
      </c>
      <c r="J930">
        <v>7</v>
      </c>
      <c r="K930">
        <v>0</v>
      </c>
      <c r="L930" t="s">
        <v>36</v>
      </c>
      <c r="M930" t="s">
        <v>37</v>
      </c>
      <c r="N930">
        <v>228626</v>
      </c>
      <c r="O930">
        <v>9594</v>
      </c>
      <c r="P930">
        <v>4.1963699999999999</v>
      </c>
      <c r="Q930">
        <v>8</v>
      </c>
      <c r="R930">
        <v>690.45</v>
      </c>
      <c r="S930">
        <v>3.02</v>
      </c>
      <c r="T930">
        <v>7.1999999999999995E-2</v>
      </c>
      <c r="U930">
        <v>86.305999999999997</v>
      </c>
      <c r="V930">
        <v>2</v>
      </c>
      <c r="W930">
        <v>0</v>
      </c>
      <c r="X930" t="s">
        <v>63</v>
      </c>
      <c r="Y930">
        <v>228621</v>
      </c>
      <c r="Z930">
        <v>176242</v>
      </c>
      <c r="AA930">
        <v>23506</v>
      </c>
      <c r="AB930" t="s">
        <v>38</v>
      </c>
      <c r="AC930" t="str">
        <f t="shared" si="28"/>
        <v>US</v>
      </c>
      <c r="AD930" t="str">
        <f>_xlfn.XLOOKUP(C930,Mapping!A:A,Mapping!D:D,0,0)</f>
        <v>AI</v>
      </c>
      <c r="AE930" t="str">
        <f t="shared" si="29"/>
        <v>TJ</v>
      </c>
    </row>
    <row r="931" spans="1:31" x14ac:dyDescent="0.2">
      <c r="A931" t="s">
        <v>29</v>
      </c>
      <c r="B931">
        <v>1013017291</v>
      </c>
      <c r="C931" t="s">
        <v>944</v>
      </c>
      <c r="D931" t="s">
        <v>31</v>
      </c>
      <c r="E931" s="1">
        <v>0.67291666666666672</v>
      </c>
      <c r="F931" t="s">
        <v>32</v>
      </c>
      <c r="G931" t="s">
        <v>33</v>
      </c>
      <c r="H931" t="s">
        <v>34</v>
      </c>
      <c r="I931" t="s">
        <v>723</v>
      </c>
      <c r="J931">
        <v>7</v>
      </c>
      <c r="K931">
        <v>0</v>
      </c>
      <c r="L931" t="s">
        <v>63</v>
      </c>
      <c r="M931">
        <v>500</v>
      </c>
      <c r="N931">
        <v>4219</v>
      </c>
      <c r="O931">
        <v>132</v>
      </c>
      <c r="P931">
        <v>3.1286999999999998</v>
      </c>
      <c r="Q931">
        <v>0</v>
      </c>
      <c r="R931">
        <v>10.7</v>
      </c>
      <c r="S931">
        <v>2.536</v>
      </c>
      <c r="T931">
        <v>8.1000000000000003E-2</v>
      </c>
      <c r="U931">
        <v>0</v>
      </c>
      <c r="V931">
        <v>2</v>
      </c>
      <c r="W931">
        <v>0</v>
      </c>
      <c r="X931" t="s">
        <v>63</v>
      </c>
      <c r="Y931">
        <v>4219</v>
      </c>
      <c r="Z931">
        <v>3107</v>
      </c>
      <c r="AA931">
        <v>501</v>
      </c>
      <c r="AB931" t="s">
        <v>38</v>
      </c>
      <c r="AC931" t="str">
        <f t="shared" si="28"/>
        <v>UK</v>
      </c>
      <c r="AD931" t="str">
        <f>_xlfn.XLOOKUP(C931,Mapping!A:A,Mapping!D:D,0,0)</f>
        <v>AI</v>
      </c>
      <c r="AE931" t="str">
        <f t="shared" si="29"/>
        <v>TJ</v>
      </c>
    </row>
    <row r="932" spans="1:31" x14ac:dyDescent="0.2">
      <c r="A932" t="s">
        <v>29</v>
      </c>
      <c r="B932">
        <v>1013017301</v>
      </c>
      <c r="C932" t="s">
        <v>945</v>
      </c>
      <c r="D932" t="s">
        <v>31</v>
      </c>
      <c r="E932" s="1">
        <v>0.67291666666666672</v>
      </c>
      <c r="F932" t="s">
        <v>32</v>
      </c>
      <c r="G932" t="s">
        <v>33</v>
      </c>
      <c r="H932" t="s">
        <v>41</v>
      </c>
      <c r="I932" t="s">
        <v>58</v>
      </c>
      <c r="J932">
        <v>50</v>
      </c>
      <c r="K932">
        <v>0</v>
      </c>
      <c r="L932" t="s">
        <v>63</v>
      </c>
      <c r="M932">
        <v>250</v>
      </c>
      <c r="N932">
        <v>833700</v>
      </c>
      <c r="O932">
        <v>50817</v>
      </c>
      <c r="P932">
        <v>6.0953600000000003</v>
      </c>
      <c r="Q932">
        <v>14</v>
      </c>
      <c r="R932">
        <v>1821.94</v>
      </c>
      <c r="S932">
        <v>2.1850000000000001</v>
      </c>
      <c r="T932">
        <v>3.5999999999999997E-2</v>
      </c>
      <c r="U932">
        <v>130.13900000000001</v>
      </c>
      <c r="V932">
        <v>2</v>
      </c>
      <c r="W932">
        <v>0</v>
      </c>
      <c r="X932" t="s">
        <v>36</v>
      </c>
      <c r="Y932">
        <v>833684</v>
      </c>
      <c r="Z932">
        <v>751670</v>
      </c>
      <c r="AA932">
        <v>52790</v>
      </c>
      <c r="AB932" t="s">
        <v>946</v>
      </c>
      <c r="AC932" t="str">
        <f t="shared" si="28"/>
        <v>US</v>
      </c>
      <c r="AD932" t="str">
        <f>_xlfn.XLOOKUP(C932,Mapping!A:A,Mapping!D:D,0,0)</f>
        <v>Gay</v>
      </c>
      <c r="AE932" t="str">
        <f t="shared" si="29"/>
        <v>JB</v>
      </c>
    </row>
    <row r="933" spans="1:31" x14ac:dyDescent="0.2">
      <c r="A933" t="s">
        <v>29</v>
      </c>
      <c r="B933">
        <v>1013017321</v>
      </c>
      <c r="C933" t="s">
        <v>947</v>
      </c>
      <c r="D933" t="s">
        <v>31</v>
      </c>
      <c r="E933" s="1">
        <v>0.67291666666666672</v>
      </c>
      <c r="F933" t="s">
        <v>32</v>
      </c>
      <c r="G933" t="s">
        <v>33</v>
      </c>
      <c r="H933" t="s">
        <v>41</v>
      </c>
      <c r="I933" t="s">
        <v>867</v>
      </c>
      <c r="J933">
        <v>2</v>
      </c>
      <c r="K933">
        <v>2</v>
      </c>
      <c r="L933" t="s">
        <v>63</v>
      </c>
      <c r="M933">
        <v>500</v>
      </c>
      <c r="N933">
        <v>1137778</v>
      </c>
      <c r="O933">
        <v>51425</v>
      </c>
      <c r="P933">
        <v>4.5197700000000003</v>
      </c>
      <c r="Q933">
        <v>23</v>
      </c>
      <c r="R933">
        <v>2482.63</v>
      </c>
      <c r="S933">
        <v>2.1819999999999999</v>
      </c>
      <c r="T933">
        <v>4.8000000000000001E-2</v>
      </c>
      <c r="U933">
        <v>107.941</v>
      </c>
      <c r="V933">
        <v>2</v>
      </c>
      <c r="W933">
        <v>0</v>
      </c>
      <c r="X933" t="s">
        <v>36</v>
      </c>
      <c r="Y933">
        <v>1137776</v>
      </c>
      <c r="Z933">
        <v>1011123</v>
      </c>
      <c r="AA933">
        <v>91231</v>
      </c>
      <c r="AB933" t="s">
        <v>789</v>
      </c>
      <c r="AC933" t="str">
        <f t="shared" si="28"/>
        <v>US</v>
      </c>
      <c r="AD933" t="str">
        <f>_xlfn.XLOOKUP(C933,Mapping!A:A,Mapping!D:D,0,0)</f>
        <v>Trans</v>
      </c>
      <c r="AE933" t="str">
        <f t="shared" si="29"/>
        <v>TJ</v>
      </c>
    </row>
    <row r="934" spans="1:31" x14ac:dyDescent="0.2">
      <c r="A934" t="s">
        <v>29</v>
      </c>
      <c r="B934">
        <v>1013017331</v>
      </c>
      <c r="C934" t="s">
        <v>948</v>
      </c>
      <c r="D934" t="s">
        <v>31</v>
      </c>
      <c r="E934" s="1">
        <v>0.67291666666666672</v>
      </c>
      <c r="F934" t="s">
        <v>32</v>
      </c>
      <c r="G934" t="s">
        <v>33</v>
      </c>
      <c r="H934" t="s">
        <v>41</v>
      </c>
      <c r="I934" t="s">
        <v>867</v>
      </c>
      <c r="J934">
        <v>2</v>
      </c>
      <c r="K934">
        <v>0</v>
      </c>
      <c r="L934" t="s">
        <v>63</v>
      </c>
      <c r="M934">
        <v>500</v>
      </c>
      <c r="N934">
        <v>305482</v>
      </c>
      <c r="O934">
        <v>18584</v>
      </c>
      <c r="P934">
        <v>6.0834999999999999</v>
      </c>
      <c r="Q934">
        <v>2</v>
      </c>
      <c r="R934">
        <v>663.51</v>
      </c>
      <c r="S934">
        <v>2.1720000000000002</v>
      </c>
      <c r="T934">
        <v>3.5999999999999997E-2</v>
      </c>
      <c r="U934">
        <v>331.75299999999999</v>
      </c>
      <c r="V934">
        <v>2</v>
      </c>
      <c r="W934">
        <v>0</v>
      </c>
      <c r="X934" t="s">
        <v>63</v>
      </c>
      <c r="Y934">
        <v>305482</v>
      </c>
      <c r="Z934">
        <v>267319</v>
      </c>
      <c r="AA934">
        <v>26747</v>
      </c>
      <c r="AB934" t="s">
        <v>789</v>
      </c>
      <c r="AC934" t="str">
        <f t="shared" si="28"/>
        <v>US</v>
      </c>
      <c r="AD934" t="str">
        <f>_xlfn.XLOOKUP(C934,Mapping!A:A,Mapping!D:D,0,0)</f>
        <v>Trans</v>
      </c>
      <c r="AE934" t="str">
        <f t="shared" si="29"/>
        <v>TJ</v>
      </c>
    </row>
    <row r="935" spans="1:31" x14ac:dyDescent="0.2">
      <c r="A935" t="s">
        <v>39</v>
      </c>
      <c r="B935">
        <v>1013017351</v>
      </c>
      <c r="C935" t="s">
        <v>949</v>
      </c>
      <c r="D935" t="s">
        <v>31</v>
      </c>
      <c r="E935" s="1">
        <v>0.67291666666666672</v>
      </c>
      <c r="F935" t="s">
        <v>32</v>
      </c>
      <c r="G935" t="s">
        <v>33</v>
      </c>
      <c r="H935" t="s">
        <v>41</v>
      </c>
      <c r="I935" t="s">
        <v>58</v>
      </c>
      <c r="J935">
        <v>50</v>
      </c>
      <c r="K935">
        <v>0</v>
      </c>
      <c r="L935" t="s">
        <v>63</v>
      </c>
      <c r="M935">
        <v>250</v>
      </c>
      <c r="N935">
        <v>127732</v>
      </c>
      <c r="O935">
        <v>6935</v>
      </c>
      <c r="P935">
        <v>5.4293399999999998</v>
      </c>
      <c r="Q935">
        <v>1</v>
      </c>
      <c r="R935">
        <v>325.19</v>
      </c>
      <c r="S935">
        <v>2.5459999999999998</v>
      </c>
      <c r="T935">
        <v>4.7E-2</v>
      </c>
      <c r="U935">
        <v>325.19200000000001</v>
      </c>
      <c r="V935">
        <v>2</v>
      </c>
      <c r="W935">
        <v>0</v>
      </c>
      <c r="X935" t="s">
        <v>36</v>
      </c>
      <c r="Y935">
        <v>127732</v>
      </c>
      <c r="Z935">
        <v>115651</v>
      </c>
      <c r="AA935">
        <v>7645</v>
      </c>
      <c r="AB935" t="s">
        <v>946</v>
      </c>
      <c r="AC935" t="str">
        <f t="shared" si="28"/>
        <v>US</v>
      </c>
      <c r="AD935" t="str">
        <f>_xlfn.XLOOKUP(C935,Mapping!A:A,Mapping!D:D,0,0)</f>
        <v>Gay</v>
      </c>
      <c r="AE935" t="str">
        <f t="shared" si="29"/>
        <v>JB</v>
      </c>
    </row>
    <row r="936" spans="1:31" x14ac:dyDescent="0.2">
      <c r="A936" t="s">
        <v>29</v>
      </c>
      <c r="B936">
        <v>1013017371</v>
      </c>
      <c r="C936" t="s">
        <v>950</v>
      </c>
      <c r="D936" t="s">
        <v>31</v>
      </c>
      <c r="E936" s="1">
        <v>0.67291666666666672</v>
      </c>
      <c r="F936" t="s">
        <v>32</v>
      </c>
      <c r="G936" t="s">
        <v>33</v>
      </c>
      <c r="H936" t="s">
        <v>34</v>
      </c>
      <c r="I936" t="s">
        <v>124</v>
      </c>
      <c r="J936">
        <v>20</v>
      </c>
      <c r="K936">
        <v>0</v>
      </c>
      <c r="L936" t="s">
        <v>36</v>
      </c>
      <c r="M936" t="s">
        <v>37</v>
      </c>
      <c r="N936">
        <v>669399</v>
      </c>
      <c r="O936">
        <v>35776</v>
      </c>
      <c r="P936">
        <v>5.3445</v>
      </c>
      <c r="Q936">
        <v>25</v>
      </c>
      <c r="R936">
        <v>3294.01</v>
      </c>
      <c r="S936">
        <v>4.9210000000000003</v>
      </c>
      <c r="T936">
        <v>9.1999999999999998E-2</v>
      </c>
      <c r="U936">
        <v>131.76</v>
      </c>
      <c r="V936">
        <v>2</v>
      </c>
      <c r="W936">
        <v>0</v>
      </c>
      <c r="X936" t="s">
        <v>36</v>
      </c>
      <c r="Y936">
        <v>669405</v>
      </c>
      <c r="Z936">
        <v>543204</v>
      </c>
      <c r="AA936">
        <v>63969</v>
      </c>
      <c r="AB936" t="s">
        <v>946</v>
      </c>
      <c r="AC936" t="str">
        <f t="shared" si="28"/>
        <v>US</v>
      </c>
      <c r="AD936" t="str">
        <f>_xlfn.XLOOKUP(C936,Mapping!A:A,Mapping!D:D,0,0)</f>
        <v>Gay</v>
      </c>
      <c r="AE936" t="str">
        <f t="shared" si="29"/>
        <v>JB</v>
      </c>
    </row>
    <row r="937" spans="1:31" x14ac:dyDescent="0.2">
      <c r="A937" t="s">
        <v>29</v>
      </c>
      <c r="B937">
        <v>1013017401</v>
      </c>
      <c r="C937" t="s">
        <v>951</v>
      </c>
      <c r="D937" t="s">
        <v>31</v>
      </c>
      <c r="E937" s="1">
        <v>0.67291666666666672</v>
      </c>
      <c r="F937" t="s">
        <v>32</v>
      </c>
      <c r="G937" t="s">
        <v>33</v>
      </c>
      <c r="H937" t="s">
        <v>34</v>
      </c>
      <c r="I937" t="s">
        <v>124</v>
      </c>
      <c r="J937">
        <v>20</v>
      </c>
      <c r="K937">
        <v>0</v>
      </c>
      <c r="L937" t="s">
        <v>36</v>
      </c>
      <c r="M937" t="s">
        <v>37</v>
      </c>
      <c r="N937">
        <v>35471</v>
      </c>
      <c r="O937">
        <v>1780</v>
      </c>
      <c r="P937">
        <v>5.0181800000000001</v>
      </c>
      <c r="Q937">
        <v>1</v>
      </c>
      <c r="R937">
        <v>82.89</v>
      </c>
      <c r="S937">
        <v>2.3370000000000002</v>
      </c>
      <c r="T937">
        <v>4.7E-2</v>
      </c>
      <c r="U937">
        <v>82.89</v>
      </c>
      <c r="V937">
        <v>2</v>
      </c>
      <c r="W937">
        <v>0</v>
      </c>
      <c r="X937" t="s">
        <v>36</v>
      </c>
      <c r="Y937">
        <v>35471</v>
      </c>
      <c r="Z937">
        <v>28362</v>
      </c>
      <c r="AA937">
        <v>3825</v>
      </c>
      <c r="AB937" t="s">
        <v>946</v>
      </c>
      <c r="AC937" t="str">
        <f t="shared" si="28"/>
        <v>AU</v>
      </c>
      <c r="AD937" t="str">
        <f>_xlfn.XLOOKUP(C937,Mapping!A:A,Mapping!D:D,0,0)</f>
        <v>Gay</v>
      </c>
      <c r="AE937" t="str">
        <f t="shared" si="29"/>
        <v>JB</v>
      </c>
    </row>
    <row r="938" spans="1:31" x14ac:dyDescent="0.2">
      <c r="A938" t="s">
        <v>29</v>
      </c>
      <c r="B938">
        <v>1013017411</v>
      </c>
      <c r="C938" t="s">
        <v>952</v>
      </c>
      <c r="D938" t="s">
        <v>31</v>
      </c>
      <c r="E938" s="1">
        <v>0.67291666666666672</v>
      </c>
      <c r="F938" t="s">
        <v>32</v>
      </c>
      <c r="G938" t="s">
        <v>33</v>
      </c>
      <c r="H938" t="s">
        <v>34</v>
      </c>
      <c r="I938" t="s">
        <v>124</v>
      </c>
      <c r="J938">
        <v>20</v>
      </c>
      <c r="K938">
        <v>0</v>
      </c>
      <c r="L938" t="s">
        <v>36</v>
      </c>
      <c r="M938" t="s">
        <v>37</v>
      </c>
      <c r="N938">
        <v>167123</v>
      </c>
      <c r="O938">
        <v>8149</v>
      </c>
      <c r="P938">
        <v>4.8760500000000002</v>
      </c>
      <c r="Q938">
        <v>3</v>
      </c>
      <c r="R938">
        <v>273.26</v>
      </c>
      <c r="S938">
        <v>1.635</v>
      </c>
      <c r="T938">
        <v>3.4000000000000002E-2</v>
      </c>
      <c r="U938">
        <v>91.087000000000003</v>
      </c>
      <c r="V938">
        <v>2</v>
      </c>
      <c r="W938">
        <v>0</v>
      </c>
      <c r="X938" t="s">
        <v>36</v>
      </c>
      <c r="Y938">
        <v>167116</v>
      </c>
      <c r="Z938">
        <v>136126</v>
      </c>
      <c r="AA938">
        <v>15539</v>
      </c>
      <c r="AB938" t="s">
        <v>946</v>
      </c>
      <c r="AC938" t="str">
        <f t="shared" si="28"/>
        <v>CA</v>
      </c>
      <c r="AD938" t="str">
        <f>_xlfn.XLOOKUP(C938,Mapping!A:A,Mapping!D:D,0,0)</f>
        <v>Gay</v>
      </c>
      <c r="AE938" t="str">
        <f t="shared" si="29"/>
        <v>JB</v>
      </c>
    </row>
    <row r="939" spans="1:31" x14ac:dyDescent="0.2">
      <c r="A939" t="s">
        <v>39</v>
      </c>
      <c r="B939">
        <v>1013022481</v>
      </c>
      <c r="C939" t="s">
        <v>953</v>
      </c>
      <c r="D939" t="s">
        <v>31</v>
      </c>
      <c r="E939" s="1">
        <v>0.67291666666666672</v>
      </c>
      <c r="F939" t="s">
        <v>32</v>
      </c>
      <c r="G939" t="s">
        <v>33</v>
      </c>
      <c r="H939" t="s">
        <v>34</v>
      </c>
      <c r="I939" t="s">
        <v>84</v>
      </c>
      <c r="J939">
        <v>2</v>
      </c>
      <c r="K939">
        <v>0</v>
      </c>
      <c r="L939" t="s">
        <v>63</v>
      </c>
      <c r="M939">
        <v>25</v>
      </c>
      <c r="N939">
        <v>23</v>
      </c>
      <c r="O939">
        <v>3</v>
      </c>
      <c r="P939">
        <v>13.043480000000001</v>
      </c>
      <c r="Q939">
        <v>0</v>
      </c>
      <c r="R939">
        <v>0.02</v>
      </c>
      <c r="S939">
        <v>0.89300000000000002</v>
      </c>
      <c r="T939">
        <v>7.0000000000000001E-3</v>
      </c>
      <c r="U939">
        <v>0</v>
      </c>
      <c r="V939">
        <v>2</v>
      </c>
      <c r="W939">
        <v>0</v>
      </c>
      <c r="X939" t="s">
        <v>36</v>
      </c>
      <c r="Y939">
        <v>23</v>
      </c>
      <c r="Z939">
        <v>21</v>
      </c>
      <c r="AA939">
        <v>1</v>
      </c>
      <c r="AB939" t="s">
        <v>954</v>
      </c>
      <c r="AC939" t="str">
        <f t="shared" si="28"/>
        <v>TE</v>
      </c>
      <c r="AD939" t="str">
        <f>_xlfn.XLOOKUP(C939,Mapping!A:A,Mapping!D:D,0,0)</f>
        <v>JB-Testing</v>
      </c>
      <c r="AE939" t="str">
        <f t="shared" si="29"/>
        <v>JB</v>
      </c>
    </row>
    <row r="940" spans="1:31" x14ac:dyDescent="0.2">
      <c r="A940" t="s">
        <v>39</v>
      </c>
      <c r="B940">
        <v>1013022491</v>
      </c>
      <c r="C940" t="s">
        <v>955</v>
      </c>
      <c r="D940" t="s">
        <v>31</v>
      </c>
      <c r="E940" s="1">
        <v>0.67291666666666672</v>
      </c>
      <c r="F940" t="s">
        <v>32</v>
      </c>
      <c r="G940" t="s">
        <v>33</v>
      </c>
      <c r="H940" t="s">
        <v>34</v>
      </c>
      <c r="I940" t="s">
        <v>84</v>
      </c>
      <c r="J940">
        <v>11</v>
      </c>
      <c r="K940">
        <v>0</v>
      </c>
      <c r="L940" t="s">
        <v>63</v>
      </c>
      <c r="M940">
        <v>25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0.89300000000000002</v>
      </c>
      <c r="T940">
        <v>0</v>
      </c>
      <c r="U940">
        <v>0</v>
      </c>
      <c r="V940">
        <v>2</v>
      </c>
      <c r="W940">
        <v>0</v>
      </c>
      <c r="X940" t="s">
        <v>36</v>
      </c>
      <c r="Y940">
        <v>1</v>
      </c>
      <c r="Z940">
        <v>1</v>
      </c>
      <c r="AA940">
        <v>0</v>
      </c>
      <c r="AB940" t="s">
        <v>954</v>
      </c>
      <c r="AC940" t="str">
        <f t="shared" si="28"/>
        <v>TE</v>
      </c>
      <c r="AD940" t="str">
        <f>_xlfn.XLOOKUP(C940,Mapping!A:A,Mapping!D:D,0,0)</f>
        <v>JB-Testing</v>
      </c>
      <c r="AE940" t="str">
        <f t="shared" si="29"/>
        <v>JB</v>
      </c>
    </row>
    <row r="941" spans="1:31" x14ac:dyDescent="0.2">
      <c r="A941" t="s">
        <v>39</v>
      </c>
      <c r="B941">
        <v>1013022501</v>
      </c>
      <c r="C941" t="s">
        <v>956</v>
      </c>
      <c r="D941" t="s">
        <v>31</v>
      </c>
      <c r="E941" s="1">
        <v>0.67291666666666672</v>
      </c>
      <c r="F941" t="s">
        <v>32</v>
      </c>
      <c r="G941" t="s">
        <v>33</v>
      </c>
      <c r="H941" t="s">
        <v>34</v>
      </c>
      <c r="I941" t="s">
        <v>957</v>
      </c>
      <c r="J941">
        <v>24</v>
      </c>
      <c r="K941">
        <v>0</v>
      </c>
      <c r="L941" t="s">
        <v>63</v>
      </c>
      <c r="M941">
        <v>25</v>
      </c>
      <c r="N941">
        <v>20</v>
      </c>
      <c r="O941">
        <v>3</v>
      </c>
      <c r="P941">
        <v>15</v>
      </c>
      <c r="Q941">
        <v>0</v>
      </c>
      <c r="R941">
        <v>0.02</v>
      </c>
      <c r="S941">
        <v>0.89300000000000002</v>
      </c>
      <c r="T941">
        <v>6.0000000000000001E-3</v>
      </c>
      <c r="U941">
        <v>0</v>
      </c>
      <c r="V941">
        <v>2</v>
      </c>
      <c r="W941">
        <v>0</v>
      </c>
      <c r="X941" t="s">
        <v>36</v>
      </c>
      <c r="Y941">
        <v>20</v>
      </c>
      <c r="Z941">
        <v>13</v>
      </c>
      <c r="AA941">
        <v>2</v>
      </c>
      <c r="AB941" t="s">
        <v>760</v>
      </c>
      <c r="AC941" t="str">
        <f t="shared" si="28"/>
        <v>TE</v>
      </c>
      <c r="AD941" t="str">
        <f>_xlfn.XLOOKUP(C941,Mapping!A:A,Mapping!D:D,0,0)</f>
        <v>Remarketing</v>
      </c>
      <c r="AE941" t="str">
        <f t="shared" si="29"/>
        <v>JB</v>
      </c>
    </row>
    <row r="942" spans="1:31" x14ac:dyDescent="0.2">
      <c r="A942" t="s">
        <v>29</v>
      </c>
      <c r="B942">
        <v>1013024831</v>
      </c>
      <c r="C942" t="s">
        <v>958</v>
      </c>
      <c r="D942" t="s">
        <v>31</v>
      </c>
      <c r="E942" s="1">
        <v>0.67291666666666672</v>
      </c>
      <c r="F942" t="s">
        <v>32</v>
      </c>
      <c r="G942" t="s">
        <v>33</v>
      </c>
      <c r="H942" t="s">
        <v>34</v>
      </c>
      <c r="I942" t="s">
        <v>723</v>
      </c>
      <c r="J942">
        <v>7</v>
      </c>
      <c r="K942">
        <v>0</v>
      </c>
      <c r="L942" t="s">
        <v>63</v>
      </c>
      <c r="M942">
        <v>500</v>
      </c>
      <c r="N942">
        <v>20076</v>
      </c>
      <c r="O942">
        <v>716</v>
      </c>
      <c r="P942">
        <v>3.5664500000000001</v>
      </c>
      <c r="Q942">
        <v>0</v>
      </c>
      <c r="R942">
        <v>21.08</v>
      </c>
      <c r="S942">
        <v>1.05</v>
      </c>
      <c r="T942">
        <v>2.9000000000000001E-2</v>
      </c>
      <c r="U942">
        <v>0</v>
      </c>
      <c r="V942">
        <v>2</v>
      </c>
      <c r="W942">
        <v>0</v>
      </c>
      <c r="X942" t="s">
        <v>63</v>
      </c>
      <c r="Y942">
        <v>20076</v>
      </c>
      <c r="Z942">
        <v>15068</v>
      </c>
      <c r="AA942">
        <v>2168</v>
      </c>
      <c r="AB942" t="s">
        <v>38</v>
      </c>
      <c r="AC942" t="str">
        <f t="shared" si="28"/>
        <v>CA</v>
      </c>
      <c r="AD942" t="str">
        <f>_xlfn.XLOOKUP(C942,Mapping!A:A,Mapping!D:D,0,0)</f>
        <v>AI</v>
      </c>
      <c r="AE942" t="str">
        <f t="shared" si="29"/>
        <v>TJ</v>
      </c>
    </row>
    <row r="943" spans="1:31" x14ac:dyDescent="0.2">
      <c r="A943" t="s">
        <v>29</v>
      </c>
      <c r="B943">
        <v>1013024841</v>
      </c>
      <c r="C943" t="s">
        <v>959</v>
      </c>
      <c r="D943" t="s">
        <v>31</v>
      </c>
      <c r="E943" s="1">
        <v>0.67291666666666672</v>
      </c>
      <c r="F943" t="s">
        <v>32</v>
      </c>
      <c r="G943" t="s">
        <v>33</v>
      </c>
      <c r="H943" t="s">
        <v>34</v>
      </c>
      <c r="I943" t="s">
        <v>723</v>
      </c>
      <c r="J943">
        <v>7</v>
      </c>
      <c r="K943">
        <v>0</v>
      </c>
      <c r="L943" t="s">
        <v>63</v>
      </c>
      <c r="M943">
        <v>500</v>
      </c>
      <c r="N943">
        <v>12353</v>
      </c>
      <c r="O943">
        <v>528</v>
      </c>
      <c r="P943">
        <v>4.2742599999999999</v>
      </c>
      <c r="Q943">
        <v>0</v>
      </c>
      <c r="R943">
        <v>17.829999999999998</v>
      </c>
      <c r="S943">
        <v>1.4430000000000001</v>
      </c>
      <c r="T943">
        <v>3.4000000000000002E-2</v>
      </c>
      <c r="U943">
        <v>0</v>
      </c>
      <c r="V943">
        <v>2</v>
      </c>
      <c r="W943">
        <v>0</v>
      </c>
      <c r="X943" t="s">
        <v>63</v>
      </c>
      <c r="Y943">
        <v>12354</v>
      </c>
      <c r="Z943">
        <v>9313</v>
      </c>
      <c r="AA943">
        <v>1444</v>
      </c>
      <c r="AB943" t="s">
        <v>38</v>
      </c>
      <c r="AC943" t="str">
        <f t="shared" si="28"/>
        <v>AU</v>
      </c>
      <c r="AD943" t="str">
        <f>_xlfn.XLOOKUP(C943,Mapping!A:A,Mapping!D:D,0,0)</f>
        <v>AI</v>
      </c>
      <c r="AE943" t="str">
        <f t="shared" si="29"/>
        <v>TJ</v>
      </c>
    </row>
    <row r="944" spans="1:31" x14ac:dyDescent="0.2">
      <c r="A944" t="s">
        <v>29</v>
      </c>
      <c r="B944">
        <v>1013024861</v>
      </c>
      <c r="C944" t="s">
        <v>944</v>
      </c>
      <c r="D944" t="s">
        <v>31</v>
      </c>
      <c r="E944" s="1">
        <v>0.67291666666666672</v>
      </c>
      <c r="F944" t="s">
        <v>32</v>
      </c>
      <c r="G944" t="s">
        <v>33</v>
      </c>
      <c r="H944" t="s">
        <v>34</v>
      </c>
      <c r="I944" t="s">
        <v>723</v>
      </c>
      <c r="J944">
        <v>7</v>
      </c>
      <c r="K944">
        <v>0</v>
      </c>
      <c r="L944" t="s">
        <v>63</v>
      </c>
      <c r="M944">
        <v>500</v>
      </c>
      <c r="N944">
        <v>1478</v>
      </c>
      <c r="O944">
        <v>32</v>
      </c>
      <c r="P944">
        <v>2.1650900000000002</v>
      </c>
      <c r="Q944">
        <v>0</v>
      </c>
      <c r="R944">
        <v>3.65</v>
      </c>
      <c r="S944">
        <v>2.472</v>
      </c>
      <c r="T944">
        <v>0.114</v>
      </c>
      <c r="U944">
        <v>0</v>
      </c>
      <c r="V944">
        <v>2</v>
      </c>
      <c r="W944">
        <v>0</v>
      </c>
      <c r="X944" t="s">
        <v>63</v>
      </c>
      <c r="Y944">
        <v>1479</v>
      </c>
      <c r="Z944">
        <v>958</v>
      </c>
      <c r="AA944">
        <v>169</v>
      </c>
      <c r="AB944" t="s">
        <v>38</v>
      </c>
      <c r="AC944" t="str">
        <f t="shared" si="28"/>
        <v>UK</v>
      </c>
      <c r="AD944" t="str">
        <f>_xlfn.XLOOKUP(C944,Mapping!A:A,Mapping!D:D,0,0)</f>
        <v>AI</v>
      </c>
      <c r="AE944" t="str">
        <f t="shared" si="29"/>
        <v>TJ</v>
      </c>
    </row>
    <row r="945" spans="1:31" x14ac:dyDescent="0.2">
      <c r="A945" t="s">
        <v>29</v>
      </c>
      <c r="B945">
        <v>1013024881</v>
      </c>
      <c r="C945" t="s">
        <v>960</v>
      </c>
      <c r="D945" t="s">
        <v>31</v>
      </c>
      <c r="E945" s="1">
        <v>0.67291666666666672</v>
      </c>
      <c r="F945" t="s">
        <v>32</v>
      </c>
      <c r="G945" t="s">
        <v>33</v>
      </c>
      <c r="H945" t="s">
        <v>34</v>
      </c>
      <c r="I945" t="s">
        <v>723</v>
      </c>
      <c r="J945">
        <v>7</v>
      </c>
      <c r="K945">
        <v>0</v>
      </c>
      <c r="L945" t="s">
        <v>63</v>
      </c>
      <c r="M945">
        <v>500</v>
      </c>
      <c r="N945">
        <v>1133</v>
      </c>
      <c r="O945">
        <v>38</v>
      </c>
      <c r="P945">
        <v>3.3539300000000001</v>
      </c>
      <c r="Q945">
        <v>0</v>
      </c>
      <c r="R945">
        <v>1.04</v>
      </c>
      <c r="S945">
        <v>0.91500000000000004</v>
      </c>
      <c r="T945">
        <v>2.7E-2</v>
      </c>
      <c r="U945">
        <v>0</v>
      </c>
      <c r="V945">
        <v>2</v>
      </c>
      <c r="W945">
        <v>0</v>
      </c>
      <c r="X945" t="s">
        <v>63</v>
      </c>
      <c r="Y945">
        <v>1133</v>
      </c>
      <c r="Z945">
        <v>794</v>
      </c>
      <c r="AA945">
        <v>165</v>
      </c>
      <c r="AB945" t="s">
        <v>38</v>
      </c>
      <c r="AC945" t="str">
        <f t="shared" si="28"/>
        <v>NZ</v>
      </c>
      <c r="AD945" t="str">
        <f>_xlfn.XLOOKUP(C945,Mapping!A:A,Mapping!D:D,0,0)</f>
        <v>AI</v>
      </c>
      <c r="AE945" t="str">
        <f t="shared" si="29"/>
        <v>TJ</v>
      </c>
    </row>
    <row r="946" spans="1:31" x14ac:dyDescent="0.2">
      <c r="A946" t="s">
        <v>29</v>
      </c>
      <c r="B946">
        <v>1013024901</v>
      </c>
      <c r="C946" t="s">
        <v>961</v>
      </c>
      <c r="D946" t="s">
        <v>31</v>
      </c>
      <c r="E946" t="s">
        <v>246</v>
      </c>
      <c r="F946" t="s">
        <v>247</v>
      </c>
      <c r="G946" t="s">
        <v>33</v>
      </c>
      <c r="H946" t="s">
        <v>41</v>
      </c>
      <c r="I946" t="s">
        <v>58</v>
      </c>
      <c r="J946">
        <v>15</v>
      </c>
      <c r="K946">
        <v>3</v>
      </c>
      <c r="L946" t="s">
        <v>36</v>
      </c>
      <c r="M946" t="s">
        <v>37</v>
      </c>
      <c r="N946">
        <v>17623903</v>
      </c>
      <c r="O946">
        <v>21401</v>
      </c>
      <c r="P946">
        <v>0.12143</v>
      </c>
      <c r="Q946">
        <v>47</v>
      </c>
      <c r="R946">
        <v>5741.07</v>
      </c>
      <c r="S946">
        <v>0.32600000000000001</v>
      </c>
      <c r="T946">
        <v>0.26800000000000002</v>
      </c>
      <c r="U946">
        <v>122.15</v>
      </c>
      <c r="V946">
        <v>2</v>
      </c>
      <c r="W946">
        <v>0</v>
      </c>
      <c r="X946" t="s">
        <v>63</v>
      </c>
      <c r="Y946">
        <v>0</v>
      </c>
      <c r="Z946">
        <v>0</v>
      </c>
      <c r="AA946">
        <v>0</v>
      </c>
      <c r="AB946" t="s">
        <v>687</v>
      </c>
      <c r="AC946" t="str">
        <f t="shared" si="28"/>
        <v>US</v>
      </c>
      <c r="AD946" t="str">
        <f>_xlfn.XLOOKUP(C946,Mapping!A:A,Mapping!D:D,0,0)</f>
        <v>Native - Homepage</v>
      </c>
      <c r="AE946" t="str">
        <f t="shared" si="29"/>
        <v>TJ</v>
      </c>
    </row>
    <row r="947" spans="1:31" x14ac:dyDescent="0.2">
      <c r="A947" t="s">
        <v>29</v>
      </c>
      <c r="B947">
        <v>1013025091</v>
      </c>
      <c r="C947" t="s">
        <v>962</v>
      </c>
      <c r="D947" t="s">
        <v>31</v>
      </c>
      <c r="E947" t="s">
        <v>246</v>
      </c>
      <c r="F947" t="s">
        <v>247</v>
      </c>
      <c r="G947" t="s">
        <v>33</v>
      </c>
      <c r="H947" t="s">
        <v>41</v>
      </c>
      <c r="I947" t="s">
        <v>58</v>
      </c>
      <c r="J947">
        <v>18</v>
      </c>
      <c r="K947">
        <v>0</v>
      </c>
      <c r="L947" t="s">
        <v>36</v>
      </c>
      <c r="M947" t="s">
        <v>37</v>
      </c>
      <c r="N947">
        <v>4273872</v>
      </c>
      <c r="O947">
        <v>4381</v>
      </c>
      <c r="P947">
        <v>0.10251</v>
      </c>
      <c r="Q947">
        <v>18</v>
      </c>
      <c r="R947">
        <v>1376.19</v>
      </c>
      <c r="S947">
        <v>0.32200000000000001</v>
      </c>
      <c r="T947">
        <v>0.314</v>
      </c>
      <c r="U947">
        <v>76.454999999999998</v>
      </c>
      <c r="V947">
        <v>2</v>
      </c>
      <c r="W947">
        <v>0</v>
      </c>
      <c r="X947" t="s">
        <v>63</v>
      </c>
      <c r="Y947">
        <v>0</v>
      </c>
      <c r="Z947">
        <v>0</v>
      </c>
      <c r="AA947">
        <v>0</v>
      </c>
      <c r="AB947" t="s">
        <v>687</v>
      </c>
      <c r="AC947" t="str">
        <f t="shared" si="28"/>
        <v>AU</v>
      </c>
      <c r="AD947" t="str">
        <f>_xlfn.XLOOKUP(C947,Mapping!A:A,Mapping!D:D,0,0)</f>
        <v>Native - Homepage</v>
      </c>
      <c r="AE947" t="str">
        <f t="shared" si="29"/>
        <v>TJ</v>
      </c>
    </row>
    <row r="948" spans="1:31" x14ac:dyDescent="0.2">
      <c r="A948" t="s">
        <v>29</v>
      </c>
      <c r="B948">
        <v>1013025101</v>
      </c>
      <c r="C948" t="s">
        <v>963</v>
      </c>
      <c r="D948" t="s">
        <v>31</v>
      </c>
      <c r="E948" t="s">
        <v>246</v>
      </c>
      <c r="F948" t="s">
        <v>247</v>
      </c>
      <c r="G948" t="s">
        <v>33</v>
      </c>
      <c r="H948" t="s">
        <v>41</v>
      </c>
      <c r="I948" t="s">
        <v>58</v>
      </c>
      <c r="J948">
        <v>18</v>
      </c>
      <c r="K948">
        <v>0</v>
      </c>
      <c r="L948" t="s">
        <v>63</v>
      </c>
      <c r="M948">
        <v>500</v>
      </c>
      <c r="N948">
        <v>3340200</v>
      </c>
      <c r="O948">
        <v>4678</v>
      </c>
      <c r="P948">
        <v>0.14005000000000001</v>
      </c>
      <c r="Q948">
        <v>7</v>
      </c>
      <c r="R948">
        <v>1422.93</v>
      </c>
      <c r="S948">
        <v>0.42599999999999999</v>
      </c>
      <c r="T948">
        <v>0.30399999999999999</v>
      </c>
      <c r="U948">
        <v>203.27500000000001</v>
      </c>
      <c r="V948">
        <v>2</v>
      </c>
      <c r="W948">
        <v>0</v>
      </c>
      <c r="X948" t="s">
        <v>63</v>
      </c>
      <c r="Y948">
        <v>0</v>
      </c>
      <c r="Z948">
        <v>0</v>
      </c>
      <c r="AA948">
        <v>0</v>
      </c>
      <c r="AB948" t="s">
        <v>687</v>
      </c>
      <c r="AC948" t="str">
        <f t="shared" si="28"/>
        <v>UK</v>
      </c>
      <c r="AD948" t="str">
        <f>_xlfn.XLOOKUP(C948,Mapping!A:A,Mapping!D:D,0,0)</f>
        <v>Native - Homepage</v>
      </c>
      <c r="AE948" t="str">
        <f t="shared" si="29"/>
        <v>TJ</v>
      </c>
    </row>
    <row r="949" spans="1:31" x14ac:dyDescent="0.2">
      <c r="A949" t="s">
        <v>29</v>
      </c>
      <c r="B949">
        <v>1013025111</v>
      </c>
      <c r="C949" t="s">
        <v>964</v>
      </c>
      <c r="D949" t="s">
        <v>31</v>
      </c>
      <c r="E949" t="s">
        <v>246</v>
      </c>
      <c r="F949" t="s">
        <v>247</v>
      </c>
      <c r="G949" t="s">
        <v>33</v>
      </c>
      <c r="H949" t="s">
        <v>41</v>
      </c>
      <c r="I949" t="s">
        <v>58</v>
      </c>
      <c r="J949">
        <v>4</v>
      </c>
      <c r="K949">
        <v>0</v>
      </c>
      <c r="L949" t="s">
        <v>36</v>
      </c>
      <c r="M949" t="s">
        <v>37</v>
      </c>
      <c r="N949">
        <v>395168</v>
      </c>
      <c r="O949">
        <v>484</v>
      </c>
      <c r="P949">
        <v>0.12248000000000001</v>
      </c>
      <c r="Q949">
        <v>3</v>
      </c>
      <c r="R949">
        <v>63.64</v>
      </c>
      <c r="S949">
        <v>0.161</v>
      </c>
      <c r="T949">
        <v>0.13100000000000001</v>
      </c>
      <c r="U949">
        <v>21.212</v>
      </c>
      <c r="V949">
        <v>2</v>
      </c>
      <c r="W949">
        <v>0</v>
      </c>
      <c r="X949" t="s">
        <v>63</v>
      </c>
      <c r="Y949">
        <v>0</v>
      </c>
      <c r="Z949">
        <v>0</v>
      </c>
      <c r="AA949">
        <v>0</v>
      </c>
      <c r="AB949" t="s">
        <v>687</v>
      </c>
      <c r="AC949" t="str">
        <f t="shared" si="28"/>
        <v>NZ</v>
      </c>
      <c r="AD949" t="str">
        <f>_xlfn.XLOOKUP(C949,Mapping!A:A,Mapping!D:D,0,0)</f>
        <v>Native - Homepage</v>
      </c>
      <c r="AE949" t="str">
        <f t="shared" si="29"/>
        <v>TJ</v>
      </c>
    </row>
    <row r="950" spans="1:31" x14ac:dyDescent="0.2">
      <c r="A950" t="s">
        <v>29</v>
      </c>
      <c r="B950">
        <v>1013025121</v>
      </c>
      <c r="C950" t="s">
        <v>908</v>
      </c>
      <c r="D950" t="s">
        <v>31</v>
      </c>
      <c r="E950" s="1">
        <v>0.67291666666666672</v>
      </c>
      <c r="F950" t="s">
        <v>32</v>
      </c>
      <c r="G950" t="s">
        <v>33</v>
      </c>
      <c r="H950" t="s">
        <v>34</v>
      </c>
      <c r="I950" t="s">
        <v>84</v>
      </c>
      <c r="J950">
        <v>68</v>
      </c>
      <c r="K950">
        <v>0</v>
      </c>
      <c r="L950" t="s">
        <v>63</v>
      </c>
      <c r="M950">
        <v>250</v>
      </c>
      <c r="N950">
        <v>439562</v>
      </c>
      <c r="O950">
        <v>27377</v>
      </c>
      <c r="P950">
        <v>6.2282500000000001</v>
      </c>
      <c r="Q950">
        <v>11</v>
      </c>
      <c r="R950">
        <v>1670.67</v>
      </c>
      <c r="S950">
        <v>3.8010000000000002</v>
      </c>
      <c r="T950">
        <v>6.0999999999999999E-2</v>
      </c>
      <c r="U950">
        <v>151.87899999999999</v>
      </c>
      <c r="V950">
        <v>2</v>
      </c>
      <c r="W950">
        <v>0</v>
      </c>
      <c r="X950" t="s">
        <v>36</v>
      </c>
      <c r="Y950">
        <v>439540</v>
      </c>
      <c r="Z950">
        <v>346695</v>
      </c>
      <c r="AA950">
        <v>44720</v>
      </c>
      <c r="AB950" t="s">
        <v>618</v>
      </c>
      <c r="AC950" t="str">
        <f t="shared" si="28"/>
        <v>US</v>
      </c>
      <c r="AD950" t="str">
        <f>_xlfn.XLOOKUP(C950,Mapping!A:A,Mapping!D:D,0,0)</f>
        <v>Hentai</v>
      </c>
      <c r="AE950" t="str">
        <f t="shared" si="29"/>
        <v>JB</v>
      </c>
    </row>
    <row r="951" spans="1:31" x14ac:dyDescent="0.2">
      <c r="A951" t="s">
        <v>29</v>
      </c>
      <c r="B951">
        <v>1013025171</v>
      </c>
      <c r="C951" t="s">
        <v>905</v>
      </c>
      <c r="D951" t="s">
        <v>31</v>
      </c>
      <c r="E951" s="1">
        <v>0.67291666666666672</v>
      </c>
      <c r="F951" t="s">
        <v>32</v>
      </c>
      <c r="G951" t="s">
        <v>33</v>
      </c>
      <c r="H951" t="s">
        <v>34</v>
      </c>
      <c r="I951" t="s">
        <v>84</v>
      </c>
      <c r="J951">
        <v>68</v>
      </c>
      <c r="K951">
        <v>0</v>
      </c>
      <c r="L951" t="s">
        <v>36</v>
      </c>
      <c r="M951" t="s">
        <v>37</v>
      </c>
      <c r="N951">
        <v>442155</v>
      </c>
      <c r="O951">
        <v>27837</v>
      </c>
      <c r="P951">
        <v>6.2957599999999996</v>
      </c>
      <c r="Q951">
        <v>20</v>
      </c>
      <c r="R951">
        <v>1680.48</v>
      </c>
      <c r="S951">
        <v>3.8010000000000002</v>
      </c>
      <c r="T951">
        <v>0.06</v>
      </c>
      <c r="U951">
        <v>84.024000000000001</v>
      </c>
      <c r="V951">
        <v>2</v>
      </c>
      <c r="W951">
        <v>0</v>
      </c>
      <c r="X951" t="s">
        <v>36</v>
      </c>
      <c r="Y951">
        <v>442131</v>
      </c>
      <c r="Z951">
        <v>348702</v>
      </c>
      <c r="AA951">
        <v>45047</v>
      </c>
      <c r="AB951" t="s">
        <v>618</v>
      </c>
      <c r="AC951" t="str">
        <f t="shared" si="28"/>
        <v>CA</v>
      </c>
      <c r="AD951" t="str">
        <f>_xlfn.XLOOKUP(C951,Mapping!A:A,Mapping!D:D,0,0)</f>
        <v>Hentai</v>
      </c>
      <c r="AE951" t="str">
        <f t="shared" si="29"/>
        <v>JB</v>
      </c>
    </row>
    <row r="952" spans="1:31" x14ac:dyDescent="0.2">
      <c r="A952" t="s">
        <v>29</v>
      </c>
      <c r="B952">
        <v>1013025221</v>
      </c>
      <c r="C952" t="s">
        <v>906</v>
      </c>
      <c r="D952" t="s">
        <v>31</v>
      </c>
      <c r="E952" s="1">
        <v>0.67291666666666672</v>
      </c>
      <c r="F952" t="s">
        <v>32</v>
      </c>
      <c r="G952" t="s">
        <v>33</v>
      </c>
      <c r="H952" t="s">
        <v>41</v>
      </c>
      <c r="I952" t="s">
        <v>62</v>
      </c>
      <c r="J952">
        <v>173</v>
      </c>
      <c r="K952">
        <v>0</v>
      </c>
      <c r="L952" t="s">
        <v>63</v>
      </c>
      <c r="M952">
        <v>250</v>
      </c>
      <c r="N952">
        <v>374149</v>
      </c>
      <c r="O952">
        <v>31242</v>
      </c>
      <c r="P952">
        <v>8.3501399999999997</v>
      </c>
      <c r="Q952">
        <v>4</v>
      </c>
      <c r="R952">
        <v>764.42</v>
      </c>
      <c r="S952">
        <v>2.0430000000000001</v>
      </c>
      <c r="T952">
        <v>2.4E-2</v>
      </c>
      <c r="U952">
        <v>191.10599999999999</v>
      </c>
      <c r="V952">
        <v>2</v>
      </c>
      <c r="W952">
        <v>0</v>
      </c>
      <c r="X952" t="s">
        <v>36</v>
      </c>
      <c r="Y952">
        <v>374133</v>
      </c>
      <c r="Z952">
        <v>335110</v>
      </c>
      <c r="AA952">
        <v>25634</v>
      </c>
      <c r="AB952" t="s">
        <v>618</v>
      </c>
      <c r="AC952" t="str">
        <f t="shared" si="28"/>
        <v>US</v>
      </c>
      <c r="AD952" t="str">
        <f>_xlfn.XLOOKUP(C952,Mapping!A:A,Mapping!D:D,0,0)</f>
        <v>Hentai</v>
      </c>
      <c r="AE952" t="str">
        <f t="shared" si="29"/>
        <v>JB</v>
      </c>
    </row>
    <row r="953" spans="1:31" x14ac:dyDescent="0.2">
      <c r="A953" t="s">
        <v>39</v>
      </c>
      <c r="B953">
        <v>1013025241</v>
      </c>
      <c r="C953" t="s">
        <v>903</v>
      </c>
      <c r="D953" t="s">
        <v>31</v>
      </c>
      <c r="E953" s="1">
        <v>0.67291666666666672</v>
      </c>
      <c r="F953" t="s">
        <v>32</v>
      </c>
      <c r="G953" t="s">
        <v>33</v>
      </c>
      <c r="H953" t="s">
        <v>41</v>
      </c>
      <c r="I953" t="s">
        <v>62</v>
      </c>
      <c r="J953">
        <v>140</v>
      </c>
      <c r="K953">
        <v>0</v>
      </c>
      <c r="L953" t="s">
        <v>63</v>
      </c>
      <c r="M953">
        <v>250</v>
      </c>
      <c r="N953">
        <v>0</v>
      </c>
      <c r="O953">
        <v>0</v>
      </c>
      <c r="P953">
        <v>0</v>
      </c>
      <c r="R953">
        <v>0</v>
      </c>
      <c r="S953">
        <v>0</v>
      </c>
      <c r="T953">
        <v>0</v>
      </c>
      <c r="U953">
        <v>0</v>
      </c>
      <c r="V953">
        <v>2</v>
      </c>
      <c r="W953">
        <v>0</v>
      </c>
      <c r="X953" t="s">
        <v>36</v>
      </c>
      <c r="AB953" t="s">
        <v>618</v>
      </c>
      <c r="AC953" t="str">
        <f t="shared" si="28"/>
        <v>CA</v>
      </c>
      <c r="AD953" t="str">
        <f>_xlfn.XLOOKUP(C953,Mapping!A:A,Mapping!D:D,0,0)</f>
        <v>Hentai</v>
      </c>
      <c r="AE953" t="str">
        <f t="shared" si="29"/>
        <v>JB</v>
      </c>
    </row>
    <row r="954" spans="1:31" x14ac:dyDescent="0.2">
      <c r="A954" t="s">
        <v>39</v>
      </c>
      <c r="B954">
        <v>1013025281</v>
      </c>
      <c r="C954" t="s">
        <v>965</v>
      </c>
      <c r="D954" t="s">
        <v>31</v>
      </c>
      <c r="E954" s="1">
        <v>0.67291666666666672</v>
      </c>
      <c r="F954" t="s">
        <v>32</v>
      </c>
      <c r="G954" t="s">
        <v>33</v>
      </c>
      <c r="H954" t="s">
        <v>41</v>
      </c>
      <c r="I954" t="s">
        <v>62</v>
      </c>
      <c r="J954">
        <v>26</v>
      </c>
      <c r="K954">
        <v>0</v>
      </c>
      <c r="L954" t="s">
        <v>63</v>
      </c>
      <c r="M954">
        <v>250</v>
      </c>
      <c r="N954">
        <v>0</v>
      </c>
      <c r="O954">
        <v>0</v>
      </c>
      <c r="P954">
        <v>0</v>
      </c>
      <c r="R954">
        <v>0</v>
      </c>
      <c r="S954">
        <v>0</v>
      </c>
      <c r="T954">
        <v>0</v>
      </c>
      <c r="U954">
        <v>0</v>
      </c>
      <c r="V954">
        <v>2</v>
      </c>
      <c r="W954">
        <v>0</v>
      </c>
      <c r="X954" t="s">
        <v>36</v>
      </c>
      <c r="AB954" t="s">
        <v>606</v>
      </c>
      <c r="AC954" t="str">
        <f t="shared" si="28"/>
        <v>CA</v>
      </c>
      <c r="AD954" t="str">
        <f>_xlfn.XLOOKUP(C954,Mapping!A:A,Mapping!D:D,0,0)</f>
        <v>Blowjob</v>
      </c>
      <c r="AE954" t="str">
        <f t="shared" si="29"/>
        <v>JB</v>
      </c>
    </row>
    <row r="955" spans="1:31" x14ac:dyDescent="0.2">
      <c r="A955" t="s">
        <v>29</v>
      </c>
      <c r="B955">
        <v>1013028391</v>
      </c>
      <c r="C955" t="s">
        <v>966</v>
      </c>
      <c r="D955" t="s">
        <v>31</v>
      </c>
      <c r="E955" s="1">
        <v>0.67291666666666672</v>
      </c>
      <c r="F955" t="s">
        <v>32</v>
      </c>
      <c r="G955" t="s">
        <v>33</v>
      </c>
      <c r="H955" t="s">
        <v>737</v>
      </c>
      <c r="I955" t="s">
        <v>759</v>
      </c>
      <c r="J955">
        <v>5</v>
      </c>
      <c r="K955">
        <v>0</v>
      </c>
      <c r="L955" t="s">
        <v>63</v>
      </c>
      <c r="M955">
        <v>250</v>
      </c>
      <c r="N955">
        <v>40852755</v>
      </c>
      <c r="O955">
        <v>2316269</v>
      </c>
      <c r="P955">
        <v>5.6698000000000004</v>
      </c>
      <c r="Q955">
        <v>4</v>
      </c>
      <c r="R955">
        <v>2870.98</v>
      </c>
      <c r="S955">
        <v>7.0000000000000007E-2</v>
      </c>
      <c r="T955">
        <v>1E-3</v>
      </c>
      <c r="U955">
        <v>717.74599999999998</v>
      </c>
      <c r="V955">
        <v>2</v>
      </c>
      <c r="W955">
        <v>0</v>
      </c>
      <c r="X955" t="s">
        <v>63</v>
      </c>
      <c r="Y955">
        <v>40851548</v>
      </c>
      <c r="Z955">
        <v>36104929</v>
      </c>
      <c r="AA955">
        <v>2575251</v>
      </c>
      <c r="AB955" t="s">
        <v>687</v>
      </c>
      <c r="AC955" t="str">
        <f t="shared" si="28"/>
        <v>PH</v>
      </c>
      <c r="AD955" t="str">
        <f>_xlfn.XLOOKUP(C955,Mapping!A:A,Mapping!D:D,0,0)</f>
        <v>General - Pre-roll</v>
      </c>
      <c r="AE955" t="str">
        <f t="shared" si="29"/>
        <v>TJ</v>
      </c>
    </row>
    <row r="956" spans="1:31" x14ac:dyDescent="0.2">
      <c r="A956" t="s">
        <v>29</v>
      </c>
      <c r="B956">
        <v>1013028421</v>
      </c>
      <c r="C956" t="s">
        <v>967</v>
      </c>
      <c r="D956" t="s">
        <v>31</v>
      </c>
      <c r="E956" s="1">
        <v>0.67291666666666672</v>
      </c>
      <c r="F956" t="s">
        <v>32</v>
      </c>
      <c r="G956" t="s">
        <v>33</v>
      </c>
      <c r="H956" t="s">
        <v>737</v>
      </c>
      <c r="I956" t="s">
        <v>942</v>
      </c>
      <c r="J956">
        <v>5</v>
      </c>
      <c r="K956">
        <v>0</v>
      </c>
      <c r="L956" t="s">
        <v>36</v>
      </c>
      <c r="M956" t="s">
        <v>37</v>
      </c>
      <c r="N956">
        <v>7571267</v>
      </c>
      <c r="O956">
        <v>530447</v>
      </c>
      <c r="P956">
        <v>7.0060500000000001</v>
      </c>
      <c r="Q956">
        <v>3</v>
      </c>
      <c r="R956">
        <v>757.13</v>
      </c>
      <c r="S956">
        <v>0.1</v>
      </c>
      <c r="T956">
        <v>1E-3</v>
      </c>
      <c r="U956">
        <v>252.376</v>
      </c>
      <c r="V956">
        <v>2</v>
      </c>
      <c r="W956">
        <v>0</v>
      </c>
      <c r="X956" t="s">
        <v>63</v>
      </c>
      <c r="Y956">
        <v>7570981</v>
      </c>
      <c r="Z956">
        <v>6608278</v>
      </c>
      <c r="AA956">
        <v>610121</v>
      </c>
      <c r="AB956" t="s">
        <v>687</v>
      </c>
      <c r="AC956" t="str">
        <f t="shared" si="28"/>
        <v>CO</v>
      </c>
      <c r="AD956" t="str">
        <f>_xlfn.XLOOKUP(C956,Mapping!A:A,Mapping!D:D,0,0)</f>
        <v>General - Pre-roll - T3</v>
      </c>
      <c r="AE956" t="str">
        <f t="shared" si="29"/>
        <v>TJ</v>
      </c>
    </row>
    <row r="957" spans="1:31" x14ac:dyDescent="0.2">
      <c r="A957" t="s">
        <v>29</v>
      </c>
      <c r="B957">
        <v>1013028441</v>
      </c>
      <c r="C957" t="s">
        <v>968</v>
      </c>
      <c r="D957" t="s">
        <v>31</v>
      </c>
      <c r="E957" t="s">
        <v>246</v>
      </c>
      <c r="F957" t="s">
        <v>247</v>
      </c>
      <c r="G957" t="s">
        <v>33</v>
      </c>
      <c r="H957" t="s">
        <v>41</v>
      </c>
      <c r="I957" t="s">
        <v>942</v>
      </c>
      <c r="J957">
        <v>18</v>
      </c>
      <c r="K957">
        <v>0</v>
      </c>
      <c r="L957" t="s">
        <v>36</v>
      </c>
      <c r="M957" t="s">
        <v>37</v>
      </c>
      <c r="N957">
        <v>178043534</v>
      </c>
      <c r="O957">
        <v>191983</v>
      </c>
      <c r="P957">
        <v>0.10783</v>
      </c>
      <c r="Q957">
        <v>4</v>
      </c>
      <c r="R957">
        <v>1780.44</v>
      </c>
      <c r="S957">
        <v>0.01</v>
      </c>
      <c r="T957">
        <v>8.9999999999999993E-3</v>
      </c>
      <c r="U957">
        <v>445.10899999999998</v>
      </c>
      <c r="V957">
        <v>2</v>
      </c>
      <c r="W957">
        <v>0</v>
      </c>
      <c r="X957" t="s">
        <v>63</v>
      </c>
      <c r="Y957">
        <v>0</v>
      </c>
      <c r="Z957">
        <v>0</v>
      </c>
      <c r="AA957">
        <v>0</v>
      </c>
      <c r="AB957" t="s">
        <v>687</v>
      </c>
      <c r="AC957" t="str">
        <f t="shared" si="28"/>
        <v>MX</v>
      </c>
      <c r="AD957" t="str">
        <f>_xlfn.XLOOKUP(C957,Mapping!A:A,Mapping!D:D,0,0)</f>
        <v>Native - Watch</v>
      </c>
      <c r="AE957" t="str">
        <f t="shared" si="29"/>
        <v>TJ</v>
      </c>
    </row>
    <row r="958" spans="1:31" x14ac:dyDescent="0.2">
      <c r="A958" t="s">
        <v>29</v>
      </c>
      <c r="B958">
        <v>1013028451</v>
      </c>
      <c r="C958" t="s">
        <v>969</v>
      </c>
      <c r="D958" t="s">
        <v>31</v>
      </c>
      <c r="E958" t="s">
        <v>246</v>
      </c>
      <c r="F958" t="s">
        <v>247</v>
      </c>
      <c r="G958" t="s">
        <v>33</v>
      </c>
      <c r="H958" t="s">
        <v>41</v>
      </c>
      <c r="I958" t="s">
        <v>942</v>
      </c>
      <c r="J958">
        <v>4</v>
      </c>
      <c r="K958">
        <v>0</v>
      </c>
      <c r="L958" t="s">
        <v>36</v>
      </c>
      <c r="M958" t="s">
        <v>37</v>
      </c>
      <c r="N958">
        <v>86906502</v>
      </c>
      <c r="O958">
        <v>163495</v>
      </c>
      <c r="P958">
        <v>0.18812999999999999</v>
      </c>
      <c r="Q958">
        <v>2</v>
      </c>
      <c r="R958">
        <v>869.07</v>
      </c>
      <c r="S958">
        <v>0.01</v>
      </c>
      <c r="T958">
        <v>5.0000000000000001E-3</v>
      </c>
      <c r="U958">
        <v>434.53300000000002</v>
      </c>
      <c r="V958">
        <v>2</v>
      </c>
      <c r="W958">
        <v>0</v>
      </c>
      <c r="X958" t="s">
        <v>63</v>
      </c>
      <c r="Y958">
        <v>0</v>
      </c>
      <c r="Z958">
        <v>0</v>
      </c>
      <c r="AA958">
        <v>0</v>
      </c>
      <c r="AB958" t="s">
        <v>687</v>
      </c>
      <c r="AC958" t="str">
        <f t="shared" si="28"/>
        <v>PH</v>
      </c>
      <c r="AD958" t="str">
        <f>_xlfn.XLOOKUP(C958,Mapping!A:A,Mapping!D:D,0,0)</f>
        <v>Native - Watch</v>
      </c>
      <c r="AE958" t="str">
        <f t="shared" si="29"/>
        <v>TJ</v>
      </c>
    </row>
    <row r="959" spans="1:31" x14ac:dyDescent="0.2">
      <c r="A959" t="s">
        <v>29</v>
      </c>
      <c r="B959">
        <v>1013028461</v>
      </c>
      <c r="C959" t="s">
        <v>970</v>
      </c>
      <c r="D959" t="s">
        <v>31</v>
      </c>
      <c r="E959" s="1">
        <v>0.67291666666666672</v>
      </c>
      <c r="F959" t="s">
        <v>32</v>
      </c>
      <c r="G959" t="s">
        <v>33</v>
      </c>
      <c r="H959" t="s">
        <v>737</v>
      </c>
      <c r="I959" t="s">
        <v>942</v>
      </c>
      <c r="J959">
        <v>5</v>
      </c>
      <c r="K959">
        <v>0</v>
      </c>
      <c r="L959" t="s">
        <v>63</v>
      </c>
      <c r="M959">
        <v>250</v>
      </c>
      <c r="N959">
        <v>13924321</v>
      </c>
      <c r="O959">
        <v>1049131</v>
      </c>
      <c r="P959">
        <v>7.5345199999999997</v>
      </c>
      <c r="Q959">
        <v>2</v>
      </c>
      <c r="R959">
        <v>1392.43</v>
      </c>
      <c r="S959">
        <v>0.1</v>
      </c>
      <c r="T959">
        <v>1E-3</v>
      </c>
      <c r="U959">
        <v>696.21600000000001</v>
      </c>
      <c r="V959">
        <v>2</v>
      </c>
      <c r="W959">
        <v>0</v>
      </c>
      <c r="X959" t="s">
        <v>63</v>
      </c>
      <c r="Y959">
        <v>13924731</v>
      </c>
      <c r="Z959">
        <v>11924775</v>
      </c>
      <c r="AA959">
        <v>1210849</v>
      </c>
      <c r="AB959" t="s">
        <v>687</v>
      </c>
      <c r="AC959" t="str">
        <f t="shared" si="28"/>
        <v>MA</v>
      </c>
      <c r="AD959" t="str">
        <f>_xlfn.XLOOKUP(C959,Mapping!A:A,Mapping!D:D,0,0)</f>
        <v>General - Pre-roll - T3</v>
      </c>
      <c r="AE959" t="str">
        <f t="shared" si="29"/>
        <v>TJ</v>
      </c>
    </row>
    <row r="960" spans="1:31" x14ac:dyDescent="0.2">
      <c r="A960" t="s">
        <v>29</v>
      </c>
      <c r="B960">
        <v>1013028471</v>
      </c>
      <c r="C960" t="s">
        <v>971</v>
      </c>
      <c r="D960" t="s">
        <v>31</v>
      </c>
      <c r="E960" t="s">
        <v>246</v>
      </c>
      <c r="F960" t="s">
        <v>247</v>
      </c>
      <c r="G960" t="s">
        <v>33</v>
      </c>
      <c r="H960" t="s">
        <v>41</v>
      </c>
      <c r="I960" t="s">
        <v>942</v>
      </c>
      <c r="J960">
        <v>4</v>
      </c>
      <c r="K960">
        <v>0</v>
      </c>
      <c r="L960" t="s">
        <v>36</v>
      </c>
      <c r="M960" t="s">
        <v>37</v>
      </c>
      <c r="N960">
        <v>86885483</v>
      </c>
      <c r="O960">
        <v>163915</v>
      </c>
      <c r="P960">
        <v>0.18865999999999999</v>
      </c>
      <c r="Q960">
        <v>2</v>
      </c>
      <c r="R960">
        <v>868.85</v>
      </c>
      <c r="S960">
        <v>0.01</v>
      </c>
      <c r="T960">
        <v>5.0000000000000001E-3</v>
      </c>
      <c r="U960">
        <v>434.42700000000002</v>
      </c>
      <c r="V960">
        <v>2</v>
      </c>
      <c r="W960">
        <v>0</v>
      </c>
      <c r="X960" t="s">
        <v>63</v>
      </c>
      <c r="Y960">
        <v>0</v>
      </c>
      <c r="Z960">
        <v>0</v>
      </c>
      <c r="AA960">
        <v>0</v>
      </c>
      <c r="AB960" t="s">
        <v>687</v>
      </c>
      <c r="AC960" t="str">
        <f t="shared" si="28"/>
        <v>BR</v>
      </c>
      <c r="AD960" t="str">
        <f>_xlfn.XLOOKUP(C960,Mapping!A:A,Mapping!D:D,0,0)</f>
        <v>Native - Watch</v>
      </c>
      <c r="AE960" t="str">
        <f t="shared" si="29"/>
        <v>TJ</v>
      </c>
    </row>
    <row r="961" spans="1:31" x14ac:dyDescent="0.2">
      <c r="A961" t="s">
        <v>29</v>
      </c>
      <c r="B961">
        <v>1013028481</v>
      </c>
      <c r="C961" t="s">
        <v>972</v>
      </c>
      <c r="D961" t="s">
        <v>31</v>
      </c>
      <c r="E961" s="1">
        <v>0.67291666666666672</v>
      </c>
      <c r="F961" t="s">
        <v>32</v>
      </c>
      <c r="G961" t="s">
        <v>33</v>
      </c>
      <c r="H961" t="s">
        <v>737</v>
      </c>
      <c r="I961" t="s">
        <v>942</v>
      </c>
      <c r="J961">
        <v>5</v>
      </c>
      <c r="K961">
        <v>0</v>
      </c>
      <c r="L961" t="s">
        <v>63</v>
      </c>
      <c r="M961">
        <v>250</v>
      </c>
      <c r="N961">
        <v>14281581</v>
      </c>
      <c r="O961">
        <v>1146933</v>
      </c>
      <c r="P961">
        <v>8.0308399999999995</v>
      </c>
      <c r="Q961">
        <v>2</v>
      </c>
      <c r="R961">
        <v>1428.16</v>
      </c>
      <c r="S961">
        <v>0.1</v>
      </c>
      <c r="T961">
        <v>1E-3</v>
      </c>
      <c r="U961">
        <v>714.07899999999995</v>
      </c>
      <c r="V961">
        <v>2</v>
      </c>
      <c r="W961">
        <v>0</v>
      </c>
      <c r="X961" t="s">
        <v>63</v>
      </c>
      <c r="Y961">
        <v>14282089</v>
      </c>
      <c r="Z961">
        <v>12391997</v>
      </c>
      <c r="AA961">
        <v>1157926</v>
      </c>
      <c r="AB961" t="s">
        <v>687</v>
      </c>
      <c r="AC961" t="str">
        <f t="shared" si="28"/>
        <v>EG</v>
      </c>
      <c r="AD961" t="str">
        <f>_xlfn.XLOOKUP(C961,Mapping!A:A,Mapping!D:D,0,0)</f>
        <v>General - Pre-roll - T3</v>
      </c>
      <c r="AE961" t="str">
        <f t="shared" si="29"/>
        <v>TJ</v>
      </c>
    </row>
    <row r="962" spans="1:31" x14ac:dyDescent="0.2">
      <c r="A962" t="s">
        <v>29</v>
      </c>
      <c r="B962">
        <v>1013028491</v>
      </c>
      <c r="C962" t="s">
        <v>973</v>
      </c>
      <c r="D962" t="s">
        <v>31</v>
      </c>
      <c r="E962" s="1">
        <v>0.67291666666666672</v>
      </c>
      <c r="F962" t="s">
        <v>32</v>
      </c>
      <c r="G962" t="s">
        <v>33</v>
      </c>
      <c r="H962" t="s">
        <v>737</v>
      </c>
      <c r="I962" t="s">
        <v>942</v>
      </c>
      <c r="J962">
        <v>5</v>
      </c>
      <c r="K962">
        <v>0</v>
      </c>
      <c r="L962" t="s">
        <v>63</v>
      </c>
      <c r="M962">
        <v>250</v>
      </c>
      <c r="N962">
        <v>11572781</v>
      </c>
      <c r="O962">
        <v>1017071</v>
      </c>
      <c r="P962">
        <v>8.7884799999999998</v>
      </c>
      <c r="Q962">
        <v>1</v>
      </c>
      <c r="R962">
        <v>1157.28</v>
      </c>
      <c r="S962">
        <v>0.1</v>
      </c>
      <c r="T962">
        <v>1E-3</v>
      </c>
      <c r="U962">
        <v>1157.278</v>
      </c>
      <c r="V962">
        <v>2</v>
      </c>
      <c r="W962">
        <v>0</v>
      </c>
      <c r="X962" t="s">
        <v>63</v>
      </c>
      <c r="Y962">
        <v>11571971</v>
      </c>
      <c r="Z962">
        <v>10188831</v>
      </c>
      <c r="AA962">
        <v>864342</v>
      </c>
      <c r="AB962" t="s">
        <v>687</v>
      </c>
      <c r="AC962" t="str">
        <f t="shared" si="28"/>
        <v>PE</v>
      </c>
      <c r="AD962" t="str">
        <f>_xlfn.XLOOKUP(C962,Mapping!A:A,Mapping!D:D,0,0)</f>
        <v>General - Pre-roll - T3</v>
      </c>
      <c r="AE962" t="str">
        <f t="shared" si="29"/>
        <v>TJ</v>
      </c>
    </row>
    <row r="963" spans="1:31" x14ac:dyDescent="0.2">
      <c r="A963" t="s">
        <v>29</v>
      </c>
      <c r="B963">
        <v>1013028501</v>
      </c>
      <c r="C963" t="s">
        <v>974</v>
      </c>
      <c r="D963" t="s">
        <v>31</v>
      </c>
      <c r="E963" t="s">
        <v>246</v>
      </c>
      <c r="F963" t="s">
        <v>247</v>
      </c>
      <c r="G963" t="s">
        <v>33</v>
      </c>
      <c r="H963" t="s">
        <v>41</v>
      </c>
      <c r="I963" t="s">
        <v>942</v>
      </c>
      <c r="J963">
        <v>17</v>
      </c>
      <c r="K963">
        <v>1</v>
      </c>
      <c r="L963" t="s">
        <v>36</v>
      </c>
      <c r="M963" t="s">
        <v>37</v>
      </c>
      <c r="N963">
        <v>99659466</v>
      </c>
      <c r="O963">
        <v>98092</v>
      </c>
      <c r="P963">
        <v>9.8430000000000004E-2</v>
      </c>
      <c r="Q963">
        <v>27</v>
      </c>
      <c r="R963">
        <v>2989.78</v>
      </c>
      <c r="S963">
        <v>0.03</v>
      </c>
      <c r="T963">
        <v>0.03</v>
      </c>
      <c r="U963">
        <v>110.733</v>
      </c>
      <c r="V963">
        <v>2</v>
      </c>
      <c r="W963">
        <v>0</v>
      </c>
      <c r="X963" t="s">
        <v>36</v>
      </c>
      <c r="Y963">
        <v>0</v>
      </c>
      <c r="Z963">
        <v>0</v>
      </c>
      <c r="AA963">
        <v>0</v>
      </c>
      <c r="AB963" t="s">
        <v>687</v>
      </c>
      <c r="AC963" t="str">
        <f t="shared" ref="AC963:AC1026" si="30">LEFT(C963,2)</f>
        <v>DE</v>
      </c>
      <c r="AD963" t="str">
        <f>_xlfn.XLOOKUP(C963,Mapping!A:A,Mapping!D:D,0,0)</f>
        <v>Native - Watch</v>
      </c>
      <c r="AE963" t="str">
        <f t="shared" ref="AE963:AE1026" si="31">IFERROR(IF(SEARCH("_TJ",C963)&gt;0,"TJ",NA()),IFERROR(IF(SEARCH("_JB",C963)&gt;0,"JB",NA()),"OLD"))</f>
        <v>TJ</v>
      </c>
    </row>
    <row r="964" spans="1:31" x14ac:dyDescent="0.2">
      <c r="A964" t="s">
        <v>29</v>
      </c>
      <c r="B964">
        <v>1013028511</v>
      </c>
      <c r="C964" t="s">
        <v>975</v>
      </c>
      <c r="D964" t="s">
        <v>31</v>
      </c>
      <c r="E964" s="1">
        <v>0.67291666666666672</v>
      </c>
      <c r="F964" t="s">
        <v>32</v>
      </c>
      <c r="G964" t="s">
        <v>33</v>
      </c>
      <c r="H964" t="s">
        <v>737</v>
      </c>
      <c r="I964" t="s">
        <v>942</v>
      </c>
      <c r="J964">
        <v>5</v>
      </c>
      <c r="K964">
        <v>0</v>
      </c>
      <c r="L964" t="s">
        <v>36</v>
      </c>
      <c r="M964" t="s">
        <v>37</v>
      </c>
      <c r="N964">
        <v>3550441</v>
      </c>
      <c r="O964">
        <v>181811</v>
      </c>
      <c r="P964">
        <v>5.1208</v>
      </c>
      <c r="Q964">
        <v>6</v>
      </c>
      <c r="R964">
        <v>355.04</v>
      </c>
      <c r="S964">
        <v>0.1</v>
      </c>
      <c r="T964">
        <v>2E-3</v>
      </c>
      <c r="U964">
        <v>59.173999999999999</v>
      </c>
      <c r="V964">
        <v>2</v>
      </c>
      <c r="W964">
        <v>0</v>
      </c>
      <c r="X964" t="s">
        <v>63</v>
      </c>
      <c r="Y964">
        <v>3550494</v>
      </c>
      <c r="Z964">
        <v>3044014</v>
      </c>
      <c r="AA964">
        <v>324278</v>
      </c>
      <c r="AB964" t="s">
        <v>687</v>
      </c>
      <c r="AC964" t="str">
        <f t="shared" si="30"/>
        <v>NL</v>
      </c>
      <c r="AD964" t="str">
        <f>_xlfn.XLOOKUP(C964,Mapping!A:A,Mapping!D:D,0,0)</f>
        <v>General - Pre-roll - T3</v>
      </c>
      <c r="AE964" t="str">
        <f t="shared" si="31"/>
        <v>TJ</v>
      </c>
    </row>
    <row r="965" spans="1:31" x14ac:dyDescent="0.2">
      <c r="A965" t="s">
        <v>29</v>
      </c>
      <c r="B965">
        <v>1013028521</v>
      </c>
      <c r="C965" t="s">
        <v>976</v>
      </c>
      <c r="D965" t="s">
        <v>31</v>
      </c>
      <c r="E965" t="s">
        <v>246</v>
      </c>
      <c r="F965" t="s">
        <v>247</v>
      </c>
      <c r="G965" t="s">
        <v>33</v>
      </c>
      <c r="H965" t="s">
        <v>41</v>
      </c>
      <c r="I965" t="s">
        <v>942</v>
      </c>
      <c r="J965">
        <v>18</v>
      </c>
      <c r="K965">
        <v>0</v>
      </c>
      <c r="L965" t="s">
        <v>36</v>
      </c>
      <c r="M965" t="s">
        <v>37</v>
      </c>
      <c r="N965">
        <v>133547204</v>
      </c>
      <c r="O965">
        <v>223616</v>
      </c>
      <c r="P965">
        <v>0.16744000000000001</v>
      </c>
      <c r="Q965">
        <v>7</v>
      </c>
      <c r="R965">
        <v>1335.47</v>
      </c>
      <c r="S965">
        <v>0.01</v>
      </c>
      <c r="T965">
        <v>6.0000000000000001E-3</v>
      </c>
      <c r="U965">
        <v>190.78200000000001</v>
      </c>
      <c r="V965">
        <v>2</v>
      </c>
      <c r="W965">
        <v>0</v>
      </c>
      <c r="X965" t="s">
        <v>63</v>
      </c>
      <c r="Y965">
        <v>0</v>
      </c>
      <c r="Z965">
        <v>0</v>
      </c>
      <c r="AA965">
        <v>0</v>
      </c>
      <c r="AB965" t="s">
        <v>687</v>
      </c>
      <c r="AC965" t="str">
        <f t="shared" si="30"/>
        <v>AR</v>
      </c>
      <c r="AD965" t="str">
        <f>_xlfn.XLOOKUP(C965,Mapping!A:A,Mapping!D:D,0,0)</f>
        <v>Native - Watch</v>
      </c>
      <c r="AE965" t="str">
        <f t="shared" si="31"/>
        <v>TJ</v>
      </c>
    </row>
    <row r="966" spans="1:31" x14ac:dyDescent="0.2">
      <c r="A966" t="s">
        <v>29</v>
      </c>
      <c r="B966">
        <v>1013028531</v>
      </c>
      <c r="C966" t="s">
        <v>977</v>
      </c>
      <c r="D966" t="s">
        <v>31</v>
      </c>
      <c r="E966" s="1">
        <v>0.67291666666666672</v>
      </c>
      <c r="F966" t="s">
        <v>32</v>
      </c>
      <c r="G966" t="s">
        <v>33</v>
      </c>
      <c r="H966" t="s">
        <v>737</v>
      </c>
      <c r="I966" t="s">
        <v>942</v>
      </c>
      <c r="J966">
        <v>5</v>
      </c>
      <c r="K966">
        <v>0</v>
      </c>
      <c r="L966" t="s">
        <v>36</v>
      </c>
      <c r="M966" t="s">
        <v>37</v>
      </c>
      <c r="N966">
        <v>7932610</v>
      </c>
      <c r="O966">
        <v>622090</v>
      </c>
      <c r="P966">
        <v>7.8421900000000004</v>
      </c>
      <c r="Q966">
        <v>1</v>
      </c>
      <c r="R966">
        <v>793.26</v>
      </c>
      <c r="S966">
        <v>0.1</v>
      </c>
      <c r="T966">
        <v>1E-3</v>
      </c>
      <c r="U966">
        <v>793.26099999999997</v>
      </c>
      <c r="V966">
        <v>2</v>
      </c>
      <c r="W966">
        <v>0</v>
      </c>
      <c r="X966" t="s">
        <v>63</v>
      </c>
      <c r="Y966">
        <v>7932152</v>
      </c>
      <c r="Z966">
        <v>6946053</v>
      </c>
      <c r="AA966">
        <v>631814</v>
      </c>
      <c r="AB966" t="s">
        <v>687</v>
      </c>
      <c r="AC966" t="str">
        <f t="shared" si="30"/>
        <v>EC</v>
      </c>
      <c r="AD966" t="str">
        <f>_xlfn.XLOOKUP(C966,Mapping!A:A,Mapping!D:D,0,0)</f>
        <v>General - Pre-roll - T3</v>
      </c>
      <c r="AE966" t="str">
        <f t="shared" si="31"/>
        <v>TJ</v>
      </c>
    </row>
    <row r="967" spans="1:31" x14ac:dyDescent="0.2">
      <c r="A967" t="s">
        <v>29</v>
      </c>
      <c r="B967">
        <v>1013028541</v>
      </c>
      <c r="C967" t="s">
        <v>978</v>
      </c>
      <c r="D967" t="s">
        <v>31</v>
      </c>
      <c r="E967" s="1">
        <v>0.67291666666666672</v>
      </c>
      <c r="F967" t="s">
        <v>32</v>
      </c>
      <c r="G967" t="s">
        <v>33</v>
      </c>
      <c r="H967" t="s">
        <v>737</v>
      </c>
      <c r="I967" t="s">
        <v>942</v>
      </c>
      <c r="J967">
        <v>5</v>
      </c>
      <c r="K967">
        <v>0</v>
      </c>
      <c r="L967" t="s">
        <v>36</v>
      </c>
      <c r="M967" t="s">
        <v>37</v>
      </c>
      <c r="N967">
        <v>1458630</v>
      </c>
      <c r="O967">
        <v>83600</v>
      </c>
      <c r="P967">
        <v>5.7314100000000003</v>
      </c>
      <c r="Q967">
        <v>2</v>
      </c>
      <c r="R967">
        <v>145.86000000000001</v>
      </c>
      <c r="S967">
        <v>0.1</v>
      </c>
      <c r="T967">
        <v>2E-3</v>
      </c>
      <c r="U967">
        <v>72.930999999999997</v>
      </c>
      <c r="V967">
        <v>2</v>
      </c>
      <c r="W967">
        <v>0</v>
      </c>
      <c r="X967" t="s">
        <v>63</v>
      </c>
      <c r="Y967">
        <v>1458644</v>
      </c>
      <c r="Z967">
        <v>1295001</v>
      </c>
      <c r="AA967">
        <v>112980</v>
      </c>
      <c r="AB967" t="s">
        <v>687</v>
      </c>
      <c r="AC967" t="str">
        <f t="shared" si="30"/>
        <v>ES</v>
      </c>
      <c r="AD967" t="str">
        <f>_xlfn.XLOOKUP(C967,Mapping!A:A,Mapping!D:D,0,0)</f>
        <v>General</v>
      </c>
      <c r="AE967" t="str">
        <f t="shared" si="31"/>
        <v>TJ</v>
      </c>
    </row>
    <row r="968" spans="1:31" x14ac:dyDescent="0.2">
      <c r="A968" t="s">
        <v>29</v>
      </c>
      <c r="B968">
        <v>1013028551</v>
      </c>
      <c r="C968" t="s">
        <v>979</v>
      </c>
      <c r="D968" t="s">
        <v>31</v>
      </c>
      <c r="E968" t="s">
        <v>246</v>
      </c>
      <c r="F968" t="s">
        <v>247</v>
      </c>
      <c r="G968" t="s">
        <v>33</v>
      </c>
      <c r="H968" t="s">
        <v>41</v>
      </c>
      <c r="I968" t="s">
        <v>942</v>
      </c>
      <c r="J968">
        <v>18</v>
      </c>
      <c r="K968">
        <v>0</v>
      </c>
      <c r="L968" t="s">
        <v>36</v>
      </c>
      <c r="M968" t="s">
        <v>37</v>
      </c>
      <c r="N968">
        <v>109184113</v>
      </c>
      <c r="O968">
        <v>240380</v>
      </c>
      <c r="P968">
        <v>0.22015999999999999</v>
      </c>
      <c r="Q968">
        <v>4</v>
      </c>
      <c r="R968">
        <v>1091.8399999999999</v>
      </c>
      <c r="S968">
        <v>0.01</v>
      </c>
      <c r="T968">
        <v>5.0000000000000001E-3</v>
      </c>
      <c r="U968">
        <v>272.95999999999998</v>
      </c>
      <c r="V968">
        <v>2</v>
      </c>
      <c r="W968">
        <v>0</v>
      </c>
      <c r="X968" t="s">
        <v>63</v>
      </c>
      <c r="Y968">
        <v>0</v>
      </c>
      <c r="Z968">
        <v>0</v>
      </c>
      <c r="AA968">
        <v>0</v>
      </c>
      <c r="AB968" t="s">
        <v>687</v>
      </c>
      <c r="AC968" t="str">
        <f t="shared" si="30"/>
        <v>CO</v>
      </c>
      <c r="AD968" t="str">
        <f>_xlfn.XLOOKUP(C968,Mapping!A:A,Mapping!D:D,0,0)</f>
        <v>Native - Watch</v>
      </c>
      <c r="AE968" t="str">
        <f t="shared" si="31"/>
        <v>TJ</v>
      </c>
    </row>
    <row r="969" spans="1:31" x14ac:dyDescent="0.2">
      <c r="A969" t="s">
        <v>29</v>
      </c>
      <c r="B969">
        <v>1013028561</v>
      </c>
      <c r="C969" t="s">
        <v>980</v>
      </c>
      <c r="D969" t="s">
        <v>31</v>
      </c>
      <c r="E969" s="1">
        <v>0.67291666666666672</v>
      </c>
      <c r="F969" t="s">
        <v>32</v>
      </c>
      <c r="G969" t="s">
        <v>33</v>
      </c>
      <c r="H969" t="s">
        <v>737</v>
      </c>
      <c r="I969" t="s">
        <v>942</v>
      </c>
      <c r="J969">
        <v>5</v>
      </c>
      <c r="K969">
        <v>0</v>
      </c>
      <c r="L969" t="s">
        <v>36</v>
      </c>
      <c r="M969" t="s">
        <v>37</v>
      </c>
      <c r="N969">
        <v>5356044</v>
      </c>
      <c r="O969">
        <v>383126</v>
      </c>
      <c r="P969">
        <v>7.1531500000000001</v>
      </c>
      <c r="Q969">
        <v>1</v>
      </c>
      <c r="R969">
        <v>535.6</v>
      </c>
      <c r="S969">
        <v>0.1</v>
      </c>
      <c r="T969">
        <v>1E-3</v>
      </c>
      <c r="U969">
        <v>535.60400000000004</v>
      </c>
      <c r="V969">
        <v>2</v>
      </c>
      <c r="W969">
        <v>0</v>
      </c>
      <c r="X969" t="s">
        <v>63</v>
      </c>
      <c r="Y969">
        <v>5356144</v>
      </c>
      <c r="Z969">
        <v>4531471</v>
      </c>
      <c r="AA969">
        <v>524631</v>
      </c>
      <c r="AB969" t="s">
        <v>687</v>
      </c>
      <c r="AC969" t="str">
        <f t="shared" si="30"/>
        <v>LK</v>
      </c>
      <c r="AD969" t="str">
        <f>_xlfn.XLOOKUP(C969,Mapping!A:A,Mapping!D:D,0,0)</f>
        <v>General - Pre-roll - T3</v>
      </c>
      <c r="AE969" t="str">
        <f t="shared" si="31"/>
        <v>TJ</v>
      </c>
    </row>
    <row r="970" spans="1:31" x14ac:dyDescent="0.2">
      <c r="A970" t="s">
        <v>29</v>
      </c>
      <c r="B970">
        <v>1013028571</v>
      </c>
      <c r="C970" t="s">
        <v>981</v>
      </c>
      <c r="D970" t="s">
        <v>31</v>
      </c>
      <c r="E970" s="1">
        <v>0.67291666666666672</v>
      </c>
      <c r="F970" t="s">
        <v>32</v>
      </c>
      <c r="G970" t="s">
        <v>33</v>
      </c>
      <c r="H970" t="s">
        <v>737</v>
      </c>
      <c r="I970" t="s">
        <v>942</v>
      </c>
      <c r="J970">
        <v>5</v>
      </c>
      <c r="K970">
        <v>0</v>
      </c>
      <c r="L970" t="s">
        <v>36</v>
      </c>
      <c r="M970" t="s">
        <v>37</v>
      </c>
      <c r="N970">
        <v>4252011</v>
      </c>
      <c r="O970">
        <v>334270</v>
      </c>
      <c r="P970">
        <v>7.8614600000000001</v>
      </c>
      <c r="Q970">
        <v>1</v>
      </c>
      <c r="R970">
        <v>425.2</v>
      </c>
      <c r="S970">
        <v>0.1</v>
      </c>
      <c r="T970">
        <v>1E-3</v>
      </c>
      <c r="U970">
        <v>425.20100000000002</v>
      </c>
      <c r="V970">
        <v>2</v>
      </c>
      <c r="W970">
        <v>0</v>
      </c>
      <c r="X970" t="s">
        <v>63</v>
      </c>
      <c r="Y970">
        <v>4251868</v>
      </c>
      <c r="Z970">
        <v>3671668</v>
      </c>
      <c r="AA970">
        <v>369843</v>
      </c>
      <c r="AB970" t="s">
        <v>687</v>
      </c>
      <c r="AC970" t="str">
        <f t="shared" si="30"/>
        <v>BR</v>
      </c>
      <c r="AD970" t="str">
        <f>_xlfn.XLOOKUP(C970,Mapping!A:A,Mapping!D:D,0,0)</f>
        <v>General - Pre-roll - T3</v>
      </c>
      <c r="AE970" t="str">
        <f t="shared" si="31"/>
        <v>TJ</v>
      </c>
    </row>
    <row r="971" spans="1:31" x14ac:dyDescent="0.2">
      <c r="A971" t="s">
        <v>29</v>
      </c>
      <c r="B971">
        <v>1013028581</v>
      </c>
      <c r="C971" t="s">
        <v>982</v>
      </c>
      <c r="D971" t="s">
        <v>31</v>
      </c>
      <c r="E971" s="1">
        <v>0.67291666666666672</v>
      </c>
      <c r="F971" t="s">
        <v>32</v>
      </c>
      <c r="G971" t="s">
        <v>33</v>
      </c>
      <c r="H971" t="s">
        <v>737</v>
      </c>
      <c r="I971" t="s">
        <v>942</v>
      </c>
      <c r="J971">
        <v>5</v>
      </c>
      <c r="K971">
        <v>0</v>
      </c>
      <c r="L971" t="s">
        <v>36</v>
      </c>
      <c r="M971" t="s">
        <v>37</v>
      </c>
      <c r="N971">
        <v>4620059</v>
      </c>
      <c r="O971">
        <v>381517</v>
      </c>
      <c r="P971">
        <v>8.2578399999999998</v>
      </c>
      <c r="Q971">
        <v>0</v>
      </c>
      <c r="R971">
        <v>462.01</v>
      </c>
      <c r="S971">
        <v>0.1</v>
      </c>
      <c r="T971">
        <v>1E-3</v>
      </c>
      <c r="U971">
        <v>0</v>
      </c>
      <c r="V971">
        <v>2</v>
      </c>
      <c r="W971">
        <v>0</v>
      </c>
      <c r="X971" t="s">
        <v>63</v>
      </c>
      <c r="Y971">
        <v>4619837</v>
      </c>
      <c r="Z971">
        <v>4042235</v>
      </c>
      <c r="AA971">
        <v>355882</v>
      </c>
      <c r="AB971" t="s">
        <v>687</v>
      </c>
      <c r="AC971" t="str">
        <f t="shared" si="30"/>
        <v>BO</v>
      </c>
      <c r="AD971" t="str">
        <f>_xlfn.XLOOKUP(C971,Mapping!A:A,Mapping!D:D,0,0)</f>
        <v>General - Pre-roll - T3</v>
      </c>
      <c r="AE971" t="str">
        <f t="shared" si="31"/>
        <v>TJ</v>
      </c>
    </row>
    <row r="972" spans="1:31" x14ac:dyDescent="0.2">
      <c r="A972" t="s">
        <v>29</v>
      </c>
      <c r="B972">
        <v>1013028591</v>
      </c>
      <c r="C972" t="s">
        <v>983</v>
      </c>
      <c r="D972" t="s">
        <v>31</v>
      </c>
      <c r="E972" t="s">
        <v>246</v>
      </c>
      <c r="F972" t="s">
        <v>247</v>
      </c>
      <c r="G972" t="s">
        <v>33</v>
      </c>
      <c r="H972" t="s">
        <v>41</v>
      </c>
      <c r="I972" t="s">
        <v>942</v>
      </c>
      <c r="J972">
        <v>4</v>
      </c>
      <c r="K972">
        <v>0</v>
      </c>
      <c r="L972" t="s">
        <v>36</v>
      </c>
      <c r="M972" t="s">
        <v>37</v>
      </c>
      <c r="N972">
        <v>72751684</v>
      </c>
      <c r="O972">
        <v>70266</v>
      </c>
      <c r="P972">
        <v>9.6579999999999999E-2</v>
      </c>
      <c r="Q972">
        <v>7</v>
      </c>
      <c r="R972">
        <v>727.52</v>
      </c>
      <c r="S972">
        <v>0.01</v>
      </c>
      <c r="T972">
        <v>0.01</v>
      </c>
      <c r="U972">
        <v>103.931</v>
      </c>
      <c r="V972">
        <v>2</v>
      </c>
      <c r="W972">
        <v>0</v>
      </c>
      <c r="X972" t="s">
        <v>63</v>
      </c>
      <c r="Y972">
        <v>0</v>
      </c>
      <c r="Z972">
        <v>0</v>
      </c>
      <c r="AA972">
        <v>0</v>
      </c>
      <c r="AB972" t="s">
        <v>687</v>
      </c>
      <c r="AC972" t="str">
        <f t="shared" si="30"/>
        <v>NL</v>
      </c>
      <c r="AD972" t="str">
        <f>_xlfn.XLOOKUP(C972,Mapping!A:A,Mapping!D:D,0,0)</f>
        <v>Native - Watch</v>
      </c>
      <c r="AE972" t="str">
        <f t="shared" si="31"/>
        <v>TJ</v>
      </c>
    </row>
    <row r="973" spans="1:31" x14ac:dyDescent="0.2">
      <c r="A973" t="s">
        <v>29</v>
      </c>
      <c r="B973">
        <v>1013028601</v>
      </c>
      <c r="C973" t="s">
        <v>984</v>
      </c>
      <c r="D973" t="s">
        <v>31</v>
      </c>
      <c r="E973" s="1">
        <v>0.67291666666666672</v>
      </c>
      <c r="F973" t="s">
        <v>32</v>
      </c>
      <c r="G973" t="s">
        <v>33</v>
      </c>
      <c r="H973" t="s">
        <v>737</v>
      </c>
      <c r="I973" t="s">
        <v>942</v>
      </c>
      <c r="J973">
        <v>5</v>
      </c>
      <c r="K973">
        <v>0</v>
      </c>
      <c r="L973" t="s">
        <v>36</v>
      </c>
      <c r="M973" t="s">
        <v>37</v>
      </c>
      <c r="N973">
        <v>6182624</v>
      </c>
      <c r="O973">
        <v>504783</v>
      </c>
      <c r="P973">
        <v>8.1645400000000006</v>
      </c>
      <c r="Q973">
        <v>4</v>
      </c>
      <c r="R973">
        <v>618.26</v>
      </c>
      <c r="S973">
        <v>0.1</v>
      </c>
      <c r="T973">
        <v>1E-3</v>
      </c>
      <c r="U973">
        <v>154.566</v>
      </c>
      <c r="V973">
        <v>2</v>
      </c>
      <c r="W973">
        <v>0</v>
      </c>
      <c r="X973" t="s">
        <v>63</v>
      </c>
      <c r="Y973">
        <v>6182602</v>
      </c>
      <c r="Z973">
        <v>5079600</v>
      </c>
      <c r="AA973">
        <v>574300</v>
      </c>
      <c r="AB973" t="s">
        <v>687</v>
      </c>
      <c r="AC973" t="str">
        <f t="shared" si="30"/>
        <v>SG</v>
      </c>
      <c r="AD973" t="str">
        <f>_xlfn.XLOOKUP(C973,Mapping!A:A,Mapping!D:D,0,0)</f>
        <v>General - Pre-roll - T3</v>
      </c>
      <c r="AE973" t="str">
        <f t="shared" si="31"/>
        <v>TJ</v>
      </c>
    </row>
    <row r="974" spans="1:31" x14ac:dyDescent="0.2">
      <c r="A974" t="s">
        <v>29</v>
      </c>
      <c r="B974">
        <v>1013028611</v>
      </c>
      <c r="C974" t="s">
        <v>985</v>
      </c>
      <c r="D974" t="s">
        <v>31</v>
      </c>
      <c r="E974" s="1">
        <v>0.67291666666666672</v>
      </c>
      <c r="F974" t="s">
        <v>32</v>
      </c>
      <c r="G974" t="s">
        <v>33</v>
      </c>
      <c r="H974" t="s">
        <v>737</v>
      </c>
      <c r="I974" t="s">
        <v>942</v>
      </c>
      <c r="J974">
        <v>5</v>
      </c>
      <c r="K974">
        <v>0</v>
      </c>
      <c r="L974" t="s">
        <v>36</v>
      </c>
      <c r="M974" t="s">
        <v>37</v>
      </c>
      <c r="N974">
        <v>4925314</v>
      </c>
      <c r="O974">
        <v>376517</v>
      </c>
      <c r="P974">
        <v>7.6445299999999996</v>
      </c>
      <c r="Q974">
        <v>0</v>
      </c>
      <c r="R974">
        <v>492.53</v>
      </c>
      <c r="S974">
        <v>0.1</v>
      </c>
      <c r="T974">
        <v>1E-3</v>
      </c>
      <c r="U974">
        <v>0</v>
      </c>
      <c r="V974">
        <v>2</v>
      </c>
      <c r="W974">
        <v>0</v>
      </c>
      <c r="X974" t="s">
        <v>63</v>
      </c>
      <c r="Y974">
        <v>4925404</v>
      </c>
      <c r="Z974">
        <v>4257599</v>
      </c>
      <c r="AA974">
        <v>400152</v>
      </c>
      <c r="AB974" t="s">
        <v>687</v>
      </c>
      <c r="AC974" t="str">
        <f t="shared" si="30"/>
        <v>TN</v>
      </c>
      <c r="AD974" t="str">
        <f>_xlfn.XLOOKUP(C974,Mapping!A:A,Mapping!D:D,0,0)</f>
        <v>General - Pre-roll - T3</v>
      </c>
      <c r="AE974" t="str">
        <f t="shared" si="31"/>
        <v>TJ</v>
      </c>
    </row>
    <row r="975" spans="1:31" x14ac:dyDescent="0.2">
      <c r="A975" t="s">
        <v>29</v>
      </c>
      <c r="B975">
        <v>1013028621</v>
      </c>
      <c r="C975" t="s">
        <v>986</v>
      </c>
      <c r="D975" t="s">
        <v>31</v>
      </c>
      <c r="E975" s="1">
        <v>0.67291666666666672</v>
      </c>
      <c r="F975" t="s">
        <v>32</v>
      </c>
      <c r="G975" t="s">
        <v>33</v>
      </c>
      <c r="H975" t="s">
        <v>737</v>
      </c>
      <c r="I975" t="s">
        <v>942</v>
      </c>
      <c r="J975">
        <v>5</v>
      </c>
      <c r="K975">
        <v>0</v>
      </c>
      <c r="L975" t="s">
        <v>36</v>
      </c>
      <c r="M975" t="s">
        <v>37</v>
      </c>
      <c r="N975">
        <v>4935809</v>
      </c>
      <c r="O975">
        <v>306196</v>
      </c>
      <c r="P975">
        <v>6.2035600000000004</v>
      </c>
      <c r="Q975">
        <v>2</v>
      </c>
      <c r="R975">
        <v>493.58</v>
      </c>
      <c r="S975">
        <v>0.1</v>
      </c>
      <c r="T975">
        <v>2E-3</v>
      </c>
      <c r="U975">
        <v>246.79</v>
      </c>
      <c r="V975">
        <v>2</v>
      </c>
      <c r="W975">
        <v>0</v>
      </c>
      <c r="X975" t="s">
        <v>63</v>
      </c>
      <c r="Y975">
        <v>4935843</v>
      </c>
      <c r="Z975">
        <v>4309746</v>
      </c>
      <c r="AA975">
        <v>420948</v>
      </c>
      <c r="AB975" t="s">
        <v>687</v>
      </c>
      <c r="AC975" t="str">
        <f t="shared" si="30"/>
        <v>AZ</v>
      </c>
      <c r="AD975" t="str">
        <f>_xlfn.XLOOKUP(C975,Mapping!A:A,Mapping!D:D,0,0)</f>
        <v>General - Pre-roll - T3</v>
      </c>
      <c r="AE975" t="str">
        <f t="shared" si="31"/>
        <v>TJ</v>
      </c>
    </row>
    <row r="976" spans="1:31" x14ac:dyDescent="0.2">
      <c r="A976" t="s">
        <v>29</v>
      </c>
      <c r="B976">
        <v>1013028631</v>
      </c>
      <c r="C976" t="s">
        <v>987</v>
      </c>
      <c r="D976" t="s">
        <v>31</v>
      </c>
      <c r="E976" s="1">
        <v>0.67291666666666672</v>
      </c>
      <c r="F976" t="s">
        <v>32</v>
      </c>
      <c r="G976" t="s">
        <v>33</v>
      </c>
      <c r="H976" t="s">
        <v>737</v>
      </c>
      <c r="I976" t="s">
        <v>942</v>
      </c>
      <c r="J976">
        <v>5</v>
      </c>
      <c r="K976">
        <v>0</v>
      </c>
      <c r="L976" t="s">
        <v>36</v>
      </c>
      <c r="M976" t="s">
        <v>37</v>
      </c>
      <c r="N976">
        <v>3147428</v>
      </c>
      <c r="O976">
        <v>259890</v>
      </c>
      <c r="P976">
        <v>8.2572200000000002</v>
      </c>
      <c r="Q976">
        <v>1</v>
      </c>
      <c r="R976">
        <v>314.74</v>
      </c>
      <c r="S976">
        <v>0.1</v>
      </c>
      <c r="T976">
        <v>1E-3</v>
      </c>
      <c r="U976">
        <v>314.74299999999999</v>
      </c>
      <c r="V976">
        <v>2</v>
      </c>
      <c r="W976">
        <v>0</v>
      </c>
      <c r="X976" t="s">
        <v>63</v>
      </c>
      <c r="Y976">
        <v>3147232</v>
      </c>
      <c r="Z976">
        <v>2736456</v>
      </c>
      <c r="AA976">
        <v>249515</v>
      </c>
      <c r="AB976" t="s">
        <v>687</v>
      </c>
      <c r="AC976" t="str">
        <f t="shared" si="30"/>
        <v>HN</v>
      </c>
      <c r="AD976" t="str">
        <f>_xlfn.XLOOKUP(C976,Mapping!A:A,Mapping!D:D,0,0)</f>
        <v>General</v>
      </c>
      <c r="AE976" t="str">
        <f t="shared" si="31"/>
        <v>TJ</v>
      </c>
    </row>
    <row r="977" spans="1:31" x14ac:dyDescent="0.2">
      <c r="A977" t="s">
        <v>29</v>
      </c>
      <c r="B977">
        <v>1013028641</v>
      </c>
      <c r="C977" t="s">
        <v>988</v>
      </c>
      <c r="D977" t="s">
        <v>31</v>
      </c>
      <c r="E977" s="1">
        <v>0.67291666666666672</v>
      </c>
      <c r="F977" t="s">
        <v>32</v>
      </c>
      <c r="G977" t="s">
        <v>33</v>
      </c>
      <c r="H977" t="s">
        <v>737</v>
      </c>
      <c r="I977" t="s">
        <v>942</v>
      </c>
      <c r="J977">
        <v>5</v>
      </c>
      <c r="K977">
        <v>0</v>
      </c>
      <c r="L977" t="s">
        <v>36</v>
      </c>
      <c r="M977" t="s">
        <v>37</v>
      </c>
      <c r="N977">
        <v>1431878</v>
      </c>
      <c r="O977">
        <v>109792</v>
      </c>
      <c r="P977">
        <v>7.6676900000000003</v>
      </c>
      <c r="Q977">
        <v>1</v>
      </c>
      <c r="R977">
        <v>143.19</v>
      </c>
      <c r="S977">
        <v>0.1</v>
      </c>
      <c r="T977">
        <v>1E-3</v>
      </c>
      <c r="U977">
        <v>143.18799999999999</v>
      </c>
      <c r="V977">
        <v>2</v>
      </c>
      <c r="W977">
        <v>0</v>
      </c>
      <c r="X977" t="s">
        <v>63</v>
      </c>
      <c r="Y977">
        <v>1431825</v>
      </c>
      <c r="Z977">
        <v>1252969</v>
      </c>
      <c r="AA977">
        <v>113586</v>
      </c>
      <c r="AB977" t="s">
        <v>687</v>
      </c>
      <c r="AC977" t="str">
        <f t="shared" si="30"/>
        <v>PY</v>
      </c>
      <c r="AD977" t="str">
        <f>_xlfn.XLOOKUP(C977,Mapping!A:A,Mapping!D:D,0,0)</f>
        <v>General</v>
      </c>
      <c r="AE977" t="str">
        <f t="shared" si="31"/>
        <v>TJ</v>
      </c>
    </row>
    <row r="978" spans="1:31" x14ac:dyDescent="0.2">
      <c r="A978" t="s">
        <v>29</v>
      </c>
      <c r="B978">
        <v>1013028651</v>
      </c>
      <c r="C978" t="s">
        <v>989</v>
      </c>
      <c r="D978" t="s">
        <v>31</v>
      </c>
      <c r="E978" s="1">
        <v>0.67291666666666672</v>
      </c>
      <c r="F978" t="s">
        <v>32</v>
      </c>
      <c r="G978" t="s">
        <v>33</v>
      </c>
      <c r="H978" t="s">
        <v>737</v>
      </c>
      <c r="I978" t="s">
        <v>942</v>
      </c>
      <c r="J978">
        <v>5</v>
      </c>
      <c r="K978">
        <v>0</v>
      </c>
      <c r="L978" t="s">
        <v>36</v>
      </c>
      <c r="M978" t="s">
        <v>37</v>
      </c>
      <c r="N978">
        <v>3009455</v>
      </c>
      <c r="O978">
        <v>231135</v>
      </c>
      <c r="P978">
        <v>7.6802900000000003</v>
      </c>
      <c r="Q978">
        <v>3</v>
      </c>
      <c r="R978">
        <v>300.95</v>
      </c>
      <c r="S978">
        <v>0.1</v>
      </c>
      <c r="T978">
        <v>1E-3</v>
      </c>
      <c r="U978">
        <v>100.315</v>
      </c>
      <c r="V978">
        <v>2</v>
      </c>
      <c r="W978">
        <v>0</v>
      </c>
      <c r="X978" t="s">
        <v>63</v>
      </c>
      <c r="Y978">
        <v>3009422</v>
      </c>
      <c r="Z978">
        <v>2628075</v>
      </c>
      <c r="AA978">
        <v>244747</v>
      </c>
      <c r="AB978" t="s">
        <v>687</v>
      </c>
      <c r="AC978" t="str">
        <f t="shared" si="30"/>
        <v>SV</v>
      </c>
      <c r="AD978" t="str">
        <f>_xlfn.XLOOKUP(C978,Mapping!A:A,Mapping!D:D,0,0)</f>
        <v>General</v>
      </c>
      <c r="AE978" t="str">
        <f t="shared" si="31"/>
        <v>TJ</v>
      </c>
    </row>
    <row r="979" spans="1:31" x14ac:dyDescent="0.2">
      <c r="A979" t="s">
        <v>29</v>
      </c>
      <c r="B979">
        <v>1013028661</v>
      </c>
      <c r="C979" t="s">
        <v>990</v>
      </c>
      <c r="D979" t="s">
        <v>31</v>
      </c>
      <c r="E979" t="s">
        <v>246</v>
      </c>
      <c r="F979" t="s">
        <v>247</v>
      </c>
      <c r="G979" t="s">
        <v>33</v>
      </c>
      <c r="H979" t="s">
        <v>41</v>
      </c>
      <c r="I979" t="s">
        <v>942</v>
      </c>
      <c r="J979">
        <v>4</v>
      </c>
      <c r="K979">
        <v>0</v>
      </c>
      <c r="L979" t="s">
        <v>36</v>
      </c>
      <c r="M979" t="s">
        <v>37</v>
      </c>
      <c r="N979">
        <v>65980440</v>
      </c>
      <c r="O979">
        <v>162430</v>
      </c>
      <c r="P979">
        <v>0.24618000000000001</v>
      </c>
      <c r="Q979">
        <v>14</v>
      </c>
      <c r="R979">
        <v>659.8</v>
      </c>
      <c r="S979">
        <v>0.01</v>
      </c>
      <c r="T979">
        <v>4.0000000000000001E-3</v>
      </c>
      <c r="U979">
        <v>47.128999999999998</v>
      </c>
      <c r="V979">
        <v>2</v>
      </c>
      <c r="W979">
        <v>0</v>
      </c>
      <c r="X979" t="s">
        <v>63</v>
      </c>
      <c r="Y979">
        <v>0</v>
      </c>
      <c r="Z979">
        <v>0</v>
      </c>
      <c r="AA979">
        <v>0</v>
      </c>
      <c r="AB979" t="s">
        <v>687</v>
      </c>
      <c r="AC979" t="str">
        <f t="shared" si="30"/>
        <v>UA</v>
      </c>
      <c r="AD979" t="str">
        <f>_xlfn.XLOOKUP(C979,Mapping!A:A,Mapping!D:D,0,0)</f>
        <v>Native - Watch</v>
      </c>
      <c r="AE979" t="str">
        <f t="shared" si="31"/>
        <v>TJ</v>
      </c>
    </row>
    <row r="980" spans="1:31" x14ac:dyDescent="0.2">
      <c r="A980" t="s">
        <v>29</v>
      </c>
      <c r="B980">
        <v>1013028681</v>
      </c>
      <c r="C980" t="s">
        <v>991</v>
      </c>
      <c r="D980" t="s">
        <v>31</v>
      </c>
      <c r="E980" t="s">
        <v>246</v>
      </c>
      <c r="F980" t="s">
        <v>247</v>
      </c>
      <c r="G980" t="s">
        <v>33</v>
      </c>
      <c r="H980" t="s">
        <v>41</v>
      </c>
      <c r="I980" t="s">
        <v>942</v>
      </c>
      <c r="J980">
        <v>4</v>
      </c>
      <c r="K980">
        <v>0</v>
      </c>
      <c r="L980" t="s">
        <v>36</v>
      </c>
      <c r="M980" t="s">
        <v>37</v>
      </c>
      <c r="N980">
        <v>36160360</v>
      </c>
      <c r="O980">
        <v>26732</v>
      </c>
      <c r="P980">
        <v>7.3929999999999996E-2</v>
      </c>
      <c r="Q980">
        <v>1</v>
      </c>
      <c r="R980">
        <v>361.6</v>
      </c>
      <c r="S980">
        <v>0.01</v>
      </c>
      <c r="T980">
        <v>1.4E-2</v>
      </c>
      <c r="U980">
        <v>361.60399999999998</v>
      </c>
      <c r="V980">
        <v>2</v>
      </c>
      <c r="W980">
        <v>0</v>
      </c>
      <c r="X980" t="s">
        <v>63</v>
      </c>
      <c r="Y980">
        <v>0</v>
      </c>
      <c r="Z980">
        <v>0</v>
      </c>
      <c r="AA980">
        <v>0</v>
      </c>
      <c r="AB980" t="s">
        <v>687</v>
      </c>
      <c r="AC980" t="str">
        <f t="shared" si="30"/>
        <v>EG</v>
      </c>
      <c r="AD980" t="str">
        <f>_xlfn.XLOOKUP(C980,Mapping!A:A,Mapping!D:D,0,0)</f>
        <v>Native - Watch</v>
      </c>
      <c r="AE980" t="str">
        <f t="shared" si="31"/>
        <v>TJ</v>
      </c>
    </row>
    <row r="981" spans="1:31" x14ac:dyDescent="0.2">
      <c r="A981" t="s">
        <v>29</v>
      </c>
      <c r="B981">
        <v>1013028691</v>
      </c>
      <c r="C981" t="s">
        <v>992</v>
      </c>
      <c r="D981" t="s">
        <v>31</v>
      </c>
      <c r="E981" t="s">
        <v>246</v>
      </c>
      <c r="F981" t="s">
        <v>247</v>
      </c>
      <c r="G981" t="s">
        <v>33</v>
      </c>
      <c r="H981" t="s">
        <v>41</v>
      </c>
      <c r="I981" t="s">
        <v>942</v>
      </c>
      <c r="J981">
        <v>4</v>
      </c>
      <c r="K981">
        <v>0</v>
      </c>
      <c r="L981" t="s">
        <v>36</v>
      </c>
      <c r="M981" t="s">
        <v>37</v>
      </c>
      <c r="N981">
        <v>66747863</v>
      </c>
      <c r="O981">
        <v>84710</v>
      </c>
      <c r="P981">
        <v>0.12691</v>
      </c>
      <c r="Q981">
        <v>2</v>
      </c>
      <c r="R981">
        <v>667.48</v>
      </c>
      <c r="S981">
        <v>0.01</v>
      </c>
      <c r="T981">
        <v>8.0000000000000002E-3</v>
      </c>
      <c r="U981">
        <v>333.73899999999998</v>
      </c>
      <c r="V981">
        <v>2</v>
      </c>
      <c r="W981">
        <v>0</v>
      </c>
      <c r="X981" t="s">
        <v>63</v>
      </c>
      <c r="Y981">
        <v>0</v>
      </c>
      <c r="Z981">
        <v>0</v>
      </c>
      <c r="AA981">
        <v>0</v>
      </c>
      <c r="AB981" t="s">
        <v>687</v>
      </c>
      <c r="AC981" t="str">
        <f t="shared" si="30"/>
        <v>MA</v>
      </c>
      <c r="AD981" t="str">
        <f>_xlfn.XLOOKUP(C981,Mapping!A:A,Mapping!D:D,0,0)</f>
        <v>Native - Watch</v>
      </c>
      <c r="AE981" t="str">
        <f t="shared" si="31"/>
        <v>TJ</v>
      </c>
    </row>
    <row r="982" spans="1:31" x14ac:dyDescent="0.2">
      <c r="A982" t="s">
        <v>29</v>
      </c>
      <c r="B982">
        <v>1013028701</v>
      </c>
      <c r="C982" t="s">
        <v>993</v>
      </c>
      <c r="D982" t="s">
        <v>31</v>
      </c>
      <c r="E982" t="s">
        <v>246</v>
      </c>
      <c r="F982" t="s">
        <v>247</v>
      </c>
      <c r="G982" t="s">
        <v>33</v>
      </c>
      <c r="H982" t="s">
        <v>41</v>
      </c>
      <c r="I982" t="s">
        <v>942</v>
      </c>
      <c r="J982">
        <v>4</v>
      </c>
      <c r="K982">
        <v>0</v>
      </c>
      <c r="L982" t="s">
        <v>36</v>
      </c>
      <c r="M982" t="s">
        <v>37</v>
      </c>
      <c r="N982">
        <v>55622195</v>
      </c>
      <c r="O982">
        <v>90156</v>
      </c>
      <c r="P982">
        <v>0.16209000000000001</v>
      </c>
      <c r="Q982">
        <v>1</v>
      </c>
      <c r="R982">
        <v>556.22</v>
      </c>
      <c r="S982">
        <v>0.01</v>
      </c>
      <c r="T982">
        <v>6.0000000000000001E-3</v>
      </c>
      <c r="U982">
        <v>556.22199999999998</v>
      </c>
      <c r="V982">
        <v>2</v>
      </c>
      <c r="W982">
        <v>0</v>
      </c>
      <c r="X982" t="s">
        <v>63</v>
      </c>
      <c r="Y982">
        <v>0</v>
      </c>
      <c r="Z982">
        <v>0</v>
      </c>
      <c r="AA982">
        <v>0</v>
      </c>
      <c r="AB982" t="s">
        <v>687</v>
      </c>
      <c r="AC982" t="str">
        <f t="shared" si="30"/>
        <v>PE</v>
      </c>
      <c r="AD982" t="str">
        <f>_xlfn.XLOOKUP(C982,Mapping!A:A,Mapping!D:D,0,0)</f>
        <v>Native - Watch</v>
      </c>
      <c r="AE982" t="str">
        <f t="shared" si="31"/>
        <v>TJ</v>
      </c>
    </row>
    <row r="983" spans="1:31" x14ac:dyDescent="0.2">
      <c r="A983" t="s">
        <v>29</v>
      </c>
      <c r="B983">
        <v>1013028711</v>
      </c>
      <c r="C983" t="s">
        <v>994</v>
      </c>
      <c r="D983" t="s">
        <v>31</v>
      </c>
      <c r="E983" t="s">
        <v>246</v>
      </c>
      <c r="F983" t="s">
        <v>247</v>
      </c>
      <c r="G983" t="s">
        <v>33</v>
      </c>
      <c r="H983" t="s">
        <v>41</v>
      </c>
      <c r="I983" t="s">
        <v>942</v>
      </c>
      <c r="J983">
        <v>4</v>
      </c>
      <c r="K983">
        <v>0</v>
      </c>
      <c r="L983" t="s">
        <v>36</v>
      </c>
      <c r="M983" t="s">
        <v>37</v>
      </c>
      <c r="N983">
        <v>62720854</v>
      </c>
      <c r="O983">
        <v>98779</v>
      </c>
      <c r="P983">
        <v>0.15748999999999999</v>
      </c>
      <c r="Q983">
        <v>21</v>
      </c>
      <c r="R983">
        <v>627.21</v>
      </c>
      <c r="S983">
        <v>0.01</v>
      </c>
      <c r="T983">
        <v>6.0000000000000001E-3</v>
      </c>
      <c r="U983">
        <v>29.867000000000001</v>
      </c>
      <c r="V983">
        <v>2</v>
      </c>
      <c r="W983">
        <v>0</v>
      </c>
      <c r="X983" t="s">
        <v>63</v>
      </c>
      <c r="Y983">
        <v>0</v>
      </c>
      <c r="Z983">
        <v>0</v>
      </c>
      <c r="AA983">
        <v>0</v>
      </c>
      <c r="AB983" t="s">
        <v>687</v>
      </c>
      <c r="AC983" t="str">
        <f t="shared" si="30"/>
        <v>PO</v>
      </c>
      <c r="AD983" t="str">
        <f>_xlfn.XLOOKUP(C983,Mapping!A:A,Mapping!D:D,0,0)</f>
        <v>Native - Watch</v>
      </c>
      <c r="AE983" t="str">
        <f t="shared" si="31"/>
        <v>TJ</v>
      </c>
    </row>
    <row r="984" spans="1:31" x14ac:dyDescent="0.2">
      <c r="A984" t="s">
        <v>29</v>
      </c>
      <c r="B984">
        <v>1013028731</v>
      </c>
      <c r="C984" t="s">
        <v>995</v>
      </c>
      <c r="D984" t="s">
        <v>31</v>
      </c>
      <c r="E984" t="s">
        <v>246</v>
      </c>
      <c r="F984" t="s">
        <v>247</v>
      </c>
      <c r="G984" t="s">
        <v>33</v>
      </c>
      <c r="H984" t="s">
        <v>41</v>
      </c>
      <c r="I984" t="s">
        <v>942</v>
      </c>
      <c r="J984">
        <v>4</v>
      </c>
      <c r="K984">
        <v>0</v>
      </c>
      <c r="L984" t="s">
        <v>36</v>
      </c>
      <c r="M984" t="s">
        <v>37</v>
      </c>
      <c r="N984">
        <v>31630645</v>
      </c>
      <c r="O984">
        <v>24952</v>
      </c>
      <c r="P984">
        <v>7.8890000000000002E-2</v>
      </c>
      <c r="Q984">
        <v>20</v>
      </c>
      <c r="R984">
        <v>632.61</v>
      </c>
      <c r="S984">
        <v>0.02</v>
      </c>
      <c r="T984">
        <v>2.5000000000000001E-2</v>
      </c>
      <c r="U984">
        <v>31.631</v>
      </c>
      <c r="V984">
        <v>2</v>
      </c>
      <c r="W984">
        <v>0</v>
      </c>
      <c r="X984" t="s">
        <v>63</v>
      </c>
      <c r="Y984">
        <v>0</v>
      </c>
      <c r="Z984">
        <v>0</v>
      </c>
      <c r="AA984">
        <v>0</v>
      </c>
      <c r="AB984" t="s">
        <v>687</v>
      </c>
      <c r="AC984" t="str">
        <f t="shared" si="30"/>
        <v>AU</v>
      </c>
      <c r="AD984" t="str">
        <f>_xlfn.XLOOKUP(C984,Mapping!A:A,Mapping!D:D,0,0)</f>
        <v>Native - Watch</v>
      </c>
      <c r="AE984" t="str">
        <f t="shared" si="31"/>
        <v>TJ</v>
      </c>
    </row>
    <row r="985" spans="1:31" x14ac:dyDescent="0.2">
      <c r="A985" t="s">
        <v>29</v>
      </c>
      <c r="B985">
        <v>1013028741</v>
      </c>
      <c r="C985" t="s">
        <v>996</v>
      </c>
      <c r="D985" t="s">
        <v>31</v>
      </c>
      <c r="E985" t="s">
        <v>246</v>
      </c>
      <c r="F985" t="s">
        <v>247</v>
      </c>
      <c r="G985" t="s">
        <v>33</v>
      </c>
      <c r="H985" t="s">
        <v>41</v>
      </c>
      <c r="I985" t="s">
        <v>942</v>
      </c>
      <c r="J985">
        <v>4</v>
      </c>
      <c r="K985">
        <v>0</v>
      </c>
      <c r="L985" t="s">
        <v>36</v>
      </c>
      <c r="M985" t="s">
        <v>37</v>
      </c>
      <c r="N985">
        <v>85624226</v>
      </c>
      <c r="O985">
        <v>156974</v>
      </c>
      <c r="P985">
        <v>0.18332999999999999</v>
      </c>
      <c r="Q985">
        <v>9</v>
      </c>
      <c r="R985">
        <v>856.24</v>
      </c>
      <c r="S985">
        <v>0.01</v>
      </c>
      <c r="T985">
        <v>5.0000000000000001E-3</v>
      </c>
      <c r="U985">
        <v>95.138000000000005</v>
      </c>
      <c r="V985">
        <v>2</v>
      </c>
      <c r="W985">
        <v>0</v>
      </c>
      <c r="X985" t="s">
        <v>63</v>
      </c>
      <c r="Y985">
        <v>0</v>
      </c>
      <c r="Z985">
        <v>0</v>
      </c>
      <c r="AA985">
        <v>0</v>
      </c>
      <c r="AB985" t="s">
        <v>687</v>
      </c>
      <c r="AC985" t="str">
        <f t="shared" si="30"/>
        <v>ES</v>
      </c>
      <c r="AD985" t="str">
        <f>_xlfn.XLOOKUP(C985,Mapping!A:A,Mapping!D:D,0,0)</f>
        <v>Native - Watch</v>
      </c>
      <c r="AE985" t="str">
        <f t="shared" si="31"/>
        <v>TJ</v>
      </c>
    </row>
    <row r="986" spans="1:31" x14ac:dyDescent="0.2">
      <c r="A986" t="s">
        <v>29</v>
      </c>
      <c r="B986">
        <v>1013028761</v>
      </c>
      <c r="C986" t="s">
        <v>997</v>
      </c>
      <c r="D986" t="s">
        <v>31</v>
      </c>
      <c r="E986" t="s">
        <v>246</v>
      </c>
      <c r="F986" t="s">
        <v>247</v>
      </c>
      <c r="G986" t="s">
        <v>33</v>
      </c>
      <c r="H986" t="s">
        <v>41</v>
      </c>
      <c r="I986" t="s">
        <v>942</v>
      </c>
      <c r="J986">
        <v>4</v>
      </c>
      <c r="K986">
        <v>0</v>
      </c>
      <c r="L986" t="s">
        <v>36</v>
      </c>
      <c r="M986" t="s">
        <v>37</v>
      </c>
      <c r="N986">
        <v>31792391</v>
      </c>
      <c r="O986">
        <v>80801</v>
      </c>
      <c r="P986">
        <v>0.25414999999999999</v>
      </c>
      <c r="Q986">
        <v>4</v>
      </c>
      <c r="R986">
        <v>317.92</v>
      </c>
      <c r="S986">
        <v>0.01</v>
      </c>
      <c r="T986">
        <v>4.0000000000000001E-3</v>
      </c>
      <c r="U986">
        <v>79.480999999999995</v>
      </c>
      <c r="V986">
        <v>2</v>
      </c>
      <c r="W986">
        <v>0</v>
      </c>
      <c r="X986" t="s">
        <v>63</v>
      </c>
      <c r="Y986">
        <v>0</v>
      </c>
      <c r="Z986">
        <v>0</v>
      </c>
      <c r="AA986">
        <v>0</v>
      </c>
      <c r="AB986" t="s">
        <v>687</v>
      </c>
      <c r="AC986" t="str">
        <f t="shared" si="30"/>
        <v>ZA</v>
      </c>
      <c r="AD986" t="str">
        <f>_xlfn.XLOOKUP(C986,Mapping!A:A,Mapping!D:D,0,0)</f>
        <v>Native - Watch</v>
      </c>
      <c r="AE986" t="str">
        <f t="shared" si="31"/>
        <v>TJ</v>
      </c>
    </row>
    <row r="987" spans="1:31" x14ac:dyDescent="0.2">
      <c r="A987" t="s">
        <v>29</v>
      </c>
      <c r="B987">
        <v>1013028771</v>
      </c>
      <c r="C987" t="s">
        <v>998</v>
      </c>
      <c r="D987" t="s">
        <v>31</v>
      </c>
      <c r="E987" t="s">
        <v>246</v>
      </c>
      <c r="F987" t="s">
        <v>247</v>
      </c>
      <c r="G987" t="s">
        <v>33</v>
      </c>
      <c r="H987" t="s">
        <v>41</v>
      </c>
      <c r="I987" t="s">
        <v>942</v>
      </c>
      <c r="J987">
        <v>4</v>
      </c>
      <c r="K987">
        <v>0</v>
      </c>
      <c r="L987" t="s">
        <v>36</v>
      </c>
      <c r="M987" t="s">
        <v>37</v>
      </c>
      <c r="N987">
        <v>44358841</v>
      </c>
      <c r="O987">
        <v>34684</v>
      </c>
      <c r="P987">
        <v>7.8189999999999996E-2</v>
      </c>
      <c r="Q987">
        <v>1</v>
      </c>
      <c r="R987">
        <v>443.59</v>
      </c>
      <c r="S987">
        <v>0.01</v>
      </c>
      <c r="T987">
        <v>1.2999999999999999E-2</v>
      </c>
      <c r="U987">
        <v>443.58800000000002</v>
      </c>
      <c r="V987">
        <v>2</v>
      </c>
      <c r="W987">
        <v>0</v>
      </c>
      <c r="X987" t="s">
        <v>63</v>
      </c>
      <c r="Y987">
        <v>0</v>
      </c>
      <c r="Z987">
        <v>0</v>
      </c>
      <c r="AA987">
        <v>0</v>
      </c>
      <c r="AB987" t="s">
        <v>687</v>
      </c>
      <c r="AC987" t="str">
        <f t="shared" si="30"/>
        <v>SG</v>
      </c>
      <c r="AD987" t="str">
        <f>_xlfn.XLOOKUP(C987,Mapping!A:A,Mapping!D:D,0,0)</f>
        <v>Native - Watch</v>
      </c>
      <c r="AE987" t="str">
        <f t="shared" si="31"/>
        <v>TJ</v>
      </c>
    </row>
    <row r="988" spans="1:31" x14ac:dyDescent="0.2">
      <c r="A988" t="s">
        <v>29</v>
      </c>
      <c r="B988">
        <v>1013028781</v>
      </c>
      <c r="C988" t="s">
        <v>999</v>
      </c>
      <c r="D988" t="s">
        <v>31</v>
      </c>
      <c r="E988" t="s">
        <v>246</v>
      </c>
      <c r="F988" t="s">
        <v>247</v>
      </c>
      <c r="G988" t="s">
        <v>33</v>
      </c>
      <c r="H988" t="s">
        <v>41</v>
      </c>
      <c r="I988" t="s">
        <v>942</v>
      </c>
      <c r="J988">
        <v>4</v>
      </c>
      <c r="K988">
        <v>0</v>
      </c>
      <c r="L988" t="s">
        <v>36</v>
      </c>
      <c r="M988" t="s">
        <v>37</v>
      </c>
      <c r="N988">
        <v>34729848</v>
      </c>
      <c r="O988">
        <v>46677</v>
      </c>
      <c r="P988">
        <v>0.13439999999999999</v>
      </c>
      <c r="Q988">
        <v>1</v>
      </c>
      <c r="R988">
        <v>347.3</v>
      </c>
      <c r="S988">
        <v>0.01</v>
      </c>
      <c r="T988">
        <v>7.0000000000000001E-3</v>
      </c>
      <c r="U988">
        <v>347.298</v>
      </c>
      <c r="V988">
        <v>2</v>
      </c>
      <c r="W988">
        <v>0</v>
      </c>
      <c r="X988" t="s">
        <v>63</v>
      </c>
      <c r="Y988">
        <v>0</v>
      </c>
      <c r="Z988">
        <v>0</v>
      </c>
      <c r="AA988">
        <v>0</v>
      </c>
      <c r="AB988" t="s">
        <v>687</v>
      </c>
      <c r="AC988" t="str">
        <f t="shared" si="30"/>
        <v>EC</v>
      </c>
      <c r="AD988" t="str">
        <f>_xlfn.XLOOKUP(C988,Mapping!A:A,Mapping!D:D,0,0)</f>
        <v>Native - Watch</v>
      </c>
      <c r="AE988" t="str">
        <f t="shared" si="31"/>
        <v>TJ</v>
      </c>
    </row>
    <row r="989" spans="1:31" x14ac:dyDescent="0.2">
      <c r="A989" t="s">
        <v>29</v>
      </c>
      <c r="B989">
        <v>1013028791</v>
      </c>
      <c r="C989" t="s">
        <v>1000</v>
      </c>
      <c r="D989" t="s">
        <v>31</v>
      </c>
      <c r="E989" t="s">
        <v>246</v>
      </c>
      <c r="F989" t="s">
        <v>247</v>
      </c>
      <c r="G989" t="s">
        <v>33</v>
      </c>
      <c r="H989" t="s">
        <v>41</v>
      </c>
      <c r="I989" t="s">
        <v>942</v>
      </c>
      <c r="J989">
        <v>4</v>
      </c>
      <c r="K989">
        <v>0</v>
      </c>
      <c r="L989" t="s">
        <v>36</v>
      </c>
      <c r="M989" t="s">
        <v>37</v>
      </c>
      <c r="N989">
        <v>24416343</v>
      </c>
      <c r="O989">
        <v>43389</v>
      </c>
      <c r="P989">
        <v>0.1777</v>
      </c>
      <c r="Q989">
        <v>3</v>
      </c>
      <c r="R989">
        <v>244.16</v>
      </c>
      <c r="S989">
        <v>0.01</v>
      </c>
      <c r="T989">
        <v>6.0000000000000001E-3</v>
      </c>
      <c r="U989">
        <v>81.388000000000005</v>
      </c>
      <c r="V989">
        <v>2</v>
      </c>
      <c r="W989">
        <v>0</v>
      </c>
      <c r="X989" t="s">
        <v>63</v>
      </c>
      <c r="Y989">
        <v>0</v>
      </c>
      <c r="Z989">
        <v>0</v>
      </c>
      <c r="AA989">
        <v>0</v>
      </c>
      <c r="AB989" t="s">
        <v>687</v>
      </c>
      <c r="AC989" t="str">
        <f t="shared" si="30"/>
        <v>JP</v>
      </c>
      <c r="AD989" t="str">
        <f>_xlfn.XLOOKUP(C989,Mapping!A:A,Mapping!D:D,0,0)</f>
        <v>Native - Watch</v>
      </c>
      <c r="AE989" t="str">
        <f t="shared" si="31"/>
        <v>TJ</v>
      </c>
    </row>
    <row r="990" spans="1:31" x14ac:dyDescent="0.2">
      <c r="A990" t="s">
        <v>29</v>
      </c>
      <c r="B990">
        <v>1013028801</v>
      </c>
      <c r="C990" t="s">
        <v>1001</v>
      </c>
      <c r="D990" t="s">
        <v>31</v>
      </c>
      <c r="E990" s="1">
        <v>0.67291666666666672</v>
      </c>
      <c r="F990" t="s">
        <v>32</v>
      </c>
      <c r="G990" t="s">
        <v>33</v>
      </c>
      <c r="H990" t="s">
        <v>737</v>
      </c>
      <c r="I990" t="s">
        <v>942</v>
      </c>
      <c r="J990">
        <v>8</v>
      </c>
      <c r="K990">
        <v>0</v>
      </c>
      <c r="L990" t="s">
        <v>36</v>
      </c>
      <c r="M990" t="s">
        <v>37</v>
      </c>
      <c r="N990">
        <v>524575</v>
      </c>
      <c r="O990">
        <v>18517</v>
      </c>
      <c r="P990">
        <v>3.5299100000000001</v>
      </c>
      <c r="Q990">
        <v>0</v>
      </c>
      <c r="R990">
        <v>52.46</v>
      </c>
      <c r="S990">
        <v>0.1</v>
      </c>
      <c r="T990">
        <v>3.0000000000000001E-3</v>
      </c>
      <c r="U990">
        <v>0</v>
      </c>
      <c r="V990">
        <v>2</v>
      </c>
      <c r="W990">
        <v>0</v>
      </c>
      <c r="X990" t="s">
        <v>63</v>
      </c>
      <c r="Y990">
        <v>524590</v>
      </c>
      <c r="Z990">
        <v>384265</v>
      </c>
      <c r="AA990">
        <v>73196</v>
      </c>
      <c r="AB990" t="s">
        <v>687</v>
      </c>
      <c r="AC990" t="str">
        <f t="shared" si="30"/>
        <v>ES</v>
      </c>
      <c r="AD990" t="str">
        <f>_xlfn.XLOOKUP(C990,Mapping!A:A,Mapping!D:D,0,0)</f>
        <v>General</v>
      </c>
      <c r="AE990" t="str">
        <f t="shared" si="31"/>
        <v>TJ</v>
      </c>
    </row>
    <row r="991" spans="1:31" x14ac:dyDescent="0.2">
      <c r="A991" t="s">
        <v>29</v>
      </c>
      <c r="B991">
        <v>1013028811</v>
      </c>
      <c r="C991" t="s">
        <v>1002</v>
      </c>
      <c r="D991" t="s">
        <v>31</v>
      </c>
      <c r="E991" t="s">
        <v>246</v>
      </c>
      <c r="F991" t="s">
        <v>247</v>
      </c>
      <c r="G991" t="s">
        <v>33</v>
      </c>
      <c r="H991" t="s">
        <v>41</v>
      </c>
      <c r="I991" t="s">
        <v>942</v>
      </c>
      <c r="J991">
        <v>4</v>
      </c>
      <c r="K991">
        <v>0</v>
      </c>
      <c r="L991" t="s">
        <v>36</v>
      </c>
      <c r="M991" t="s">
        <v>37</v>
      </c>
      <c r="N991">
        <v>36579916</v>
      </c>
      <c r="O991">
        <v>71727</v>
      </c>
      <c r="P991">
        <v>0.19608</v>
      </c>
      <c r="Q991">
        <v>0</v>
      </c>
      <c r="R991">
        <v>365.8</v>
      </c>
      <c r="S991">
        <v>0.01</v>
      </c>
      <c r="T991">
        <v>5.0000000000000001E-3</v>
      </c>
      <c r="U991">
        <v>0</v>
      </c>
      <c r="V991">
        <v>2</v>
      </c>
      <c r="W991">
        <v>0</v>
      </c>
      <c r="X991" t="s">
        <v>63</v>
      </c>
      <c r="Y991">
        <v>0</v>
      </c>
      <c r="Z991">
        <v>0</v>
      </c>
      <c r="AA991">
        <v>0</v>
      </c>
      <c r="AB991" t="s">
        <v>687</v>
      </c>
      <c r="AC991" t="str">
        <f t="shared" si="30"/>
        <v>LK</v>
      </c>
      <c r="AD991" t="str">
        <f>_xlfn.XLOOKUP(C991,Mapping!A:A,Mapping!D:D,0,0)</f>
        <v>Native - Watch</v>
      </c>
      <c r="AE991" t="str">
        <f t="shared" si="31"/>
        <v>TJ</v>
      </c>
    </row>
    <row r="992" spans="1:31" x14ac:dyDescent="0.2">
      <c r="A992" t="s">
        <v>29</v>
      </c>
      <c r="B992">
        <v>1013028831</v>
      </c>
      <c r="C992" t="s">
        <v>1003</v>
      </c>
      <c r="D992" t="s">
        <v>31</v>
      </c>
      <c r="E992" t="s">
        <v>246</v>
      </c>
      <c r="F992" t="s">
        <v>247</v>
      </c>
      <c r="G992" t="s">
        <v>33</v>
      </c>
      <c r="H992" t="s">
        <v>41</v>
      </c>
      <c r="I992" t="s">
        <v>942</v>
      </c>
      <c r="J992">
        <v>4</v>
      </c>
      <c r="K992">
        <v>0</v>
      </c>
      <c r="L992" t="s">
        <v>36</v>
      </c>
      <c r="M992" t="s">
        <v>37</v>
      </c>
      <c r="N992">
        <v>30009915</v>
      </c>
      <c r="O992">
        <v>44384</v>
      </c>
      <c r="P992">
        <v>0.1479</v>
      </c>
      <c r="Q992">
        <v>3</v>
      </c>
      <c r="R992">
        <v>300.10000000000002</v>
      </c>
      <c r="S992">
        <v>0.01</v>
      </c>
      <c r="T992">
        <v>7.0000000000000001E-3</v>
      </c>
      <c r="U992">
        <v>100.033</v>
      </c>
      <c r="V992">
        <v>2</v>
      </c>
      <c r="W992">
        <v>0</v>
      </c>
      <c r="X992" t="s">
        <v>63</v>
      </c>
      <c r="Y992">
        <v>0</v>
      </c>
      <c r="Z992">
        <v>0</v>
      </c>
      <c r="AA992">
        <v>0</v>
      </c>
      <c r="AB992" t="s">
        <v>687</v>
      </c>
      <c r="AC992" t="str">
        <f t="shared" si="30"/>
        <v>GT</v>
      </c>
      <c r="AD992" t="str">
        <f>_xlfn.XLOOKUP(C992,Mapping!A:A,Mapping!D:D,0,0)</f>
        <v>Native - Watch</v>
      </c>
      <c r="AE992" t="str">
        <f t="shared" si="31"/>
        <v>TJ</v>
      </c>
    </row>
    <row r="993" spans="1:31" x14ac:dyDescent="0.2">
      <c r="A993" t="s">
        <v>29</v>
      </c>
      <c r="B993">
        <v>1013028841</v>
      </c>
      <c r="C993" t="s">
        <v>1004</v>
      </c>
      <c r="D993" t="s">
        <v>31</v>
      </c>
      <c r="E993" s="1">
        <v>0.67291666666666672</v>
      </c>
      <c r="F993" t="s">
        <v>32</v>
      </c>
      <c r="G993" t="s">
        <v>33</v>
      </c>
      <c r="H993" t="s">
        <v>737</v>
      </c>
      <c r="I993" t="s">
        <v>942</v>
      </c>
      <c r="J993">
        <v>5</v>
      </c>
      <c r="K993">
        <v>0</v>
      </c>
      <c r="L993" t="s">
        <v>36</v>
      </c>
      <c r="M993" t="s">
        <v>37</v>
      </c>
      <c r="N993">
        <v>468386</v>
      </c>
      <c r="O993">
        <v>24226</v>
      </c>
      <c r="P993">
        <v>5.1722299999999999</v>
      </c>
      <c r="Q993">
        <v>0</v>
      </c>
      <c r="R993">
        <v>46.84</v>
      </c>
      <c r="S993">
        <v>0.1</v>
      </c>
      <c r="T993">
        <v>2E-3</v>
      </c>
      <c r="U993">
        <v>0</v>
      </c>
      <c r="V993">
        <v>2</v>
      </c>
      <c r="W993">
        <v>0</v>
      </c>
      <c r="X993" t="s">
        <v>63</v>
      </c>
      <c r="Y993">
        <v>468393</v>
      </c>
      <c r="Z993">
        <v>337255</v>
      </c>
      <c r="AA993">
        <v>57563</v>
      </c>
      <c r="AB993" t="s">
        <v>687</v>
      </c>
      <c r="AC993" t="str">
        <f t="shared" si="30"/>
        <v>DE</v>
      </c>
      <c r="AD993" t="str">
        <f>_xlfn.XLOOKUP(C993,Mapping!A:A,Mapping!D:D,0,0)</f>
        <v>General</v>
      </c>
      <c r="AE993" t="str">
        <f t="shared" si="31"/>
        <v>TJ</v>
      </c>
    </row>
    <row r="994" spans="1:31" x14ac:dyDescent="0.2">
      <c r="A994" t="s">
        <v>29</v>
      </c>
      <c r="B994">
        <v>1013028851</v>
      </c>
      <c r="C994" t="s">
        <v>1005</v>
      </c>
      <c r="D994" t="s">
        <v>31</v>
      </c>
      <c r="E994" s="1">
        <v>0.67291666666666672</v>
      </c>
      <c r="F994" t="s">
        <v>32</v>
      </c>
      <c r="G994" t="s">
        <v>33</v>
      </c>
      <c r="H994" t="s">
        <v>737</v>
      </c>
      <c r="I994" t="s">
        <v>942</v>
      </c>
      <c r="J994">
        <v>5</v>
      </c>
      <c r="K994">
        <v>0</v>
      </c>
      <c r="L994" t="s">
        <v>36</v>
      </c>
      <c r="M994" t="s">
        <v>37</v>
      </c>
      <c r="N994">
        <v>949974</v>
      </c>
      <c r="O994">
        <v>34718</v>
      </c>
      <c r="P994">
        <v>3.65463</v>
      </c>
      <c r="Q994">
        <v>1</v>
      </c>
      <c r="R994">
        <v>95</v>
      </c>
      <c r="S994">
        <v>0.1</v>
      </c>
      <c r="T994">
        <v>3.0000000000000001E-3</v>
      </c>
      <c r="U994">
        <v>94.997</v>
      </c>
      <c r="V994">
        <v>2</v>
      </c>
      <c r="W994">
        <v>0</v>
      </c>
      <c r="X994" t="s">
        <v>63</v>
      </c>
      <c r="Y994">
        <v>949885</v>
      </c>
      <c r="Z994">
        <v>528965</v>
      </c>
      <c r="AA994">
        <v>322069</v>
      </c>
      <c r="AB994" t="s">
        <v>687</v>
      </c>
      <c r="AC994" t="str">
        <f t="shared" si="30"/>
        <v>CO</v>
      </c>
      <c r="AD994" t="str">
        <f>_xlfn.XLOOKUP(C994,Mapping!A:A,Mapping!D:D,0,0)</f>
        <v>General</v>
      </c>
      <c r="AE994" t="str">
        <f t="shared" si="31"/>
        <v>TJ</v>
      </c>
    </row>
    <row r="995" spans="1:31" x14ac:dyDescent="0.2">
      <c r="A995" t="s">
        <v>29</v>
      </c>
      <c r="B995">
        <v>1013028861</v>
      </c>
      <c r="C995" t="s">
        <v>1006</v>
      </c>
      <c r="D995" t="s">
        <v>31</v>
      </c>
      <c r="E995" s="1">
        <v>0.67291666666666672</v>
      </c>
      <c r="F995" t="s">
        <v>32</v>
      </c>
      <c r="G995" t="s">
        <v>33</v>
      </c>
      <c r="H995" t="s">
        <v>737</v>
      </c>
      <c r="I995" t="s">
        <v>942</v>
      </c>
      <c r="J995">
        <v>5</v>
      </c>
      <c r="K995">
        <v>0</v>
      </c>
      <c r="L995" t="s">
        <v>36</v>
      </c>
      <c r="M995" t="s">
        <v>37</v>
      </c>
      <c r="N995">
        <v>1701096</v>
      </c>
      <c r="O995">
        <v>68017</v>
      </c>
      <c r="P995">
        <v>3.9984199999999999</v>
      </c>
      <c r="Q995">
        <v>10</v>
      </c>
      <c r="R995">
        <v>170.11</v>
      </c>
      <c r="S995">
        <v>0.1</v>
      </c>
      <c r="T995">
        <v>3.0000000000000001E-3</v>
      </c>
      <c r="U995">
        <v>17.010999999999999</v>
      </c>
      <c r="V995">
        <v>2</v>
      </c>
      <c r="W995">
        <v>0</v>
      </c>
      <c r="X995" t="s">
        <v>63</v>
      </c>
      <c r="Y995">
        <v>1701114</v>
      </c>
      <c r="Z995">
        <v>1289074</v>
      </c>
      <c r="AA995">
        <v>186008</v>
      </c>
      <c r="AB995" t="s">
        <v>687</v>
      </c>
      <c r="AC995" t="str">
        <f t="shared" si="30"/>
        <v>IT</v>
      </c>
      <c r="AD995" t="str">
        <f>_xlfn.XLOOKUP(C995,Mapping!A:A,Mapping!D:D,0,0)</f>
        <v>General</v>
      </c>
      <c r="AE995" t="str">
        <f t="shared" si="31"/>
        <v>TJ</v>
      </c>
    </row>
    <row r="996" spans="1:31" x14ac:dyDescent="0.2">
      <c r="A996" t="s">
        <v>29</v>
      </c>
      <c r="B996">
        <v>1013028881</v>
      </c>
      <c r="C996" t="s">
        <v>1007</v>
      </c>
      <c r="D996" t="s">
        <v>31</v>
      </c>
      <c r="E996" t="s">
        <v>246</v>
      </c>
      <c r="F996" t="s">
        <v>247</v>
      </c>
      <c r="G996" t="s">
        <v>33</v>
      </c>
      <c r="H996" t="s">
        <v>41</v>
      </c>
      <c r="I996" t="s">
        <v>942</v>
      </c>
      <c r="J996">
        <v>4</v>
      </c>
      <c r="K996">
        <v>0</v>
      </c>
      <c r="L996" t="s">
        <v>36</v>
      </c>
      <c r="M996" t="s">
        <v>37</v>
      </c>
      <c r="N996">
        <v>86904134</v>
      </c>
      <c r="O996">
        <v>164885</v>
      </c>
      <c r="P996">
        <v>0.18973000000000001</v>
      </c>
      <c r="Q996">
        <v>1</v>
      </c>
      <c r="R996">
        <v>869.04</v>
      </c>
      <c r="S996">
        <v>0.01</v>
      </c>
      <c r="T996">
        <v>5.0000000000000001E-3</v>
      </c>
      <c r="U996">
        <v>869.04100000000005</v>
      </c>
      <c r="V996">
        <v>2</v>
      </c>
      <c r="W996">
        <v>0</v>
      </c>
      <c r="X996" t="s">
        <v>63</v>
      </c>
      <c r="Y996">
        <v>0</v>
      </c>
      <c r="Z996">
        <v>0</v>
      </c>
      <c r="AA996">
        <v>0</v>
      </c>
      <c r="AB996" t="s">
        <v>687</v>
      </c>
      <c r="AC996" t="str">
        <f t="shared" si="30"/>
        <v>PH</v>
      </c>
      <c r="AD996" t="str">
        <f>_xlfn.XLOOKUP(C996,Mapping!A:A,Mapping!D:D,0,0)</f>
        <v>Native - Search</v>
      </c>
      <c r="AE996" t="str">
        <f t="shared" si="31"/>
        <v>TJ</v>
      </c>
    </row>
    <row r="997" spans="1:31" x14ac:dyDescent="0.2">
      <c r="A997" t="s">
        <v>29</v>
      </c>
      <c r="B997">
        <v>1013028891</v>
      </c>
      <c r="C997" t="s">
        <v>1008</v>
      </c>
      <c r="D997" t="s">
        <v>31</v>
      </c>
      <c r="E997" s="1">
        <v>0.67291666666666672</v>
      </c>
      <c r="F997" t="s">
        <v>32</v>
      </c>
      <c r="G997" t="s">
        <v>33</v>
      </c>
      <c r="H997" t="s">
        <v>737</v>
      </c>
      <c r="I997" t="s">
        <v>942</v>
      </c>
      <c r="J997">
        <v>10</v>
      </c>
      <c r="K997">
        <v>0</v>
      </c>
      <c r="L997" t="s">
        <v>36</v>
      </c>
      <c r="M997" t="s">
        <v>37</v>
      </c>
      <c r="N997">
        <v>4038053</v>
      </c>
      <c r="O997">
        <v>284599</v>
      </c>
      <c r="P997">
        <v>7.04793</v>
      </c>
      <c r="Q997">
        <v>0</v>
      </c>
      <c r="R997">
        <v>403.81</v>
      </c>
      <c r="S997">
        <v>0.1</v>
      </c>
      <c r="T997">
        <v>1E-3</v>
      </c>
      <c r="U997">
        <v>0</v>
      </c>
      <c r="V997">
        <v>2</v>
      </c>
      <c r="W997">
        <v>0</v>
      </c>
      <c r="X997" t="s">
        <v>63</v>
      </c>
      <c r="Y997">
        <v>4038104</v>
      </c>
      <c r="Z997">
        <v>3334116</v>
      </c>
      <c r="AA997">
        <v>280660</v>
      </c>
      <c r="AB997" t="s">
        <v>687</v>
      </c>
      <c r="AC997" t="str">
        <f t="shared" si="30"/>
        <v>IN</v>
      </c>
      <c r="AD997" t="str">
        <f>_xlfn.XLOOKUP(C997,Mapping!A:A,Mapping!D:D,0,0)</f>
        <v>General - Pre-roll - T3</v>
      </c>
      <c r="AE997" t="str">
        <f t="shared" si="31"/>
        <v>TJ</v>
      </c>
    </row>
    <row r="998" spans="1:31" x14ac:dyDescent="0.2">
      <c r="A998" t="s">
        <v>29</v>
      </c>
      <c r="B998">
        <v>1013028901</v>
      </c>
      <c r="C998" t="s">
        <v>1009</v>
      </c>
      <c r="D998" t="s">
        <v>31</v>
      </c>
      <c r="E998" t="s">
        <v>246</v>
      </c>
      <c r="F998" t="s">
        <v>247</v>
      </c>
      <c r="G998" t="s">
        <v>33</v>
      </c>
      <c r="H998" t="s">
        <v>41</v>
      </c>
      <c r="I998" t="s">
        <v>942</v>
      </c>
      <c r="J998">
        <v>18</v>
      </c>
      <c r="K998">
        <v>0</v>
      </c>
      <c r="L998" t="s">
        <v>36</v>
      </c>
      <c r="M998" t="s">
        <v>37</v>
      </c>
      <c r="N998">
        <v>178063110</v>
      </c>
      <c r="O998">
        <v>192654</v>
      </c>
      <c r="P998">
        <v>0.10818999999999999</v>
      </c>
      <c r="Q998">
        <v>7</v>
      </c>
      <c r="R998">
        <v>1780.63</v>
      </c>
      <c r="S998">
        <v>0.01</v>
      </c>
      <c r="T998">
        <v>8.9999999999999993E-3</v>
      </c>
      <c r="U998">
        <v>254.376</v>
      </c>
      <c r="V998">
        <v>2</v>
      </c>
      <c r="W998">
        <v>0</v>
      </c>
      <c r="X998" t="s">
        <v>63</v>
      </c>
      <c r="Y998">
        <v>0</v>
      </c>
      <c r="Z998">
        <v>0</v>
      </c>
      <c r="AA998">
        <v>0</v>
      </c>
      <c r="AB998" t="s">
        <v>687</v>
      </c>
      <c r="AC998" t="str">
        <f t="shared" si="30"/>
        <v>MX</v>
      </c>
      <c r="AD998" t="str">
        <f>_xlfn.XLOOKUP(C998,Mapping!A:A,Mapping!D:D,0,0)</f>
        <v>Native - Search</v>
      </c>
      <c r="AE998" t="str">
        <f t="shared" si="31"/>
        <v>TJ</v>
      </c>
    </row>
    <row r="999" spans="1:31" x14ac:dyDescent="0.2">
      <c r="A999" t="s">
        <v>29</v>
      </c>
      <c r="B999">
        <v>1013028921</v>
      </c>
      <c r="C999" t="s">
        <v>1010</v>
      </c>
      <c r="D999" t="s">
        <v>31</v>
      </c>
      <c r="E999" t="s">
        <v>246</v>
      </c>
      <c r="F999" t="s">
        <v>247</v>
      </c>
      <c r="G999" t="s">
        <v>33</v>
      </c>
      <c r="H999" t="s">
        <v>41</v>
      </c>
      <c r="I999" t="s">
        <v>942</v>
      </c>
      <c r="J999">
        <v>4</v>
      </c>
      <c r="K999">
        <v>0</v>
      </c>
      <c r="L999" t="s">
        <v>36</v>
      </c>
      <c r="M999" t="s">
        <v>37</v>
      </c>
      <c r="N999">
        <v>36170807</v>
      </c>
      <c r="O999">
        <v>26730</v>
      </c>
      <c r="P999">
        <v>7.3889999999999997E-2</v>
      </c>
      <c r="Q999">
        <v>0</v>
      </c>
      <c r="R999">
        <v>361.71</v>
      </c>
      <c r="S999">
        <v>0.01</v>
      </c>
      <c r="T999">
        <v>1.4E-2</v>
      </c>
      <c r="U999">
        <v>0</v>
      </c>
      <c r="V999">
        <v>2</v>
      </c>
      <c r="W999">
        <v>0</v>
      </c>
      <c r="X999" t="s">
        <v>63</v>
      </c>
      <c r="Y999">
        <v>0</v>
      </c>
      <c r="Z999">
        <v>0</v>
      </c>
      <c r="AA999">
        <v>0</v>
      </c>
      <c r="AB999" t="s">
        <v>687</v>
      </c>
      <c r="AC999" t="str">
        <f t="shared" si="30"/>
        <v>EG</v>
      </c>
      <c r="AD999" t="str">
        <f>_xlfn.XLOOKUP(C999,Mapping!A:A,Mapping!D:D,0,0)</f>
        <v>Native - Search</v>
      </c>
      <c r="AE999" t="str">
        <f t="shared" si="31"/>
        <v>TJ</v>
      </c>
    </row>
    <row r="1000" spans="1:31" x14ac:dyDescent="0.2">
      <c r="A1000" t="s">
        <v>29</v>
      </c>
      <c r="B1000">
        <v>1013028931</v>
      </c>
      <c r="C1000" t="s">
        <v>1011</v>
      </c>
      <c r="D1000" t="s">
        <v>31</v>
      </c>
      <c r="E1000" t="s">
        <v>246</v>
      </c>
      <c r="F1000" t="s">
        <v>247</v>
      </c>
      <c r="G1000" t="s">
        <v>33</v>
      </c>
      <c r="H1000" t="s">
        <v>41</v>
      </c>
      <c r="I1000" t="s">
        <v>942</v>
      </c>
      <c r="J1000">
        <v>15</v>
      </c>
      <c r="K1000">
        <v>3</v>
      </c>
      <c r="L1000" t="s">
        <v>36</v>
      </c>
      <c r="M1000" t="s">
        <v>37</v>
      </c>
      <c r="N1000">
        <v>99673946</v>
      </c>
      <c r="O1000">
        <v>97940</v>
      </c>
      <c r="P1000">
        <v>9.826E-2</v>
      </c>
      <c r="Q1000">
        <v>24</v>
      </c>
      <c r="R1000">
        <v>2990.22</v>
      </c>
      <c r="S1000">
        <v>0.03</v>
      </c>
      <c r="T1000">
        <v>3.1E-2</v>
      </c>
      <c r="U1000">
        <v>124.592</v>
      </c>
      <c r="V1000">
        <v>2</v>
      </c>
      <c r="W1000">
        <v>0</v>
      </c>
      <c r="X1000" t="s">
        <v>63</v>
      </c>
      <c r="Y1000">
        <v>0</v>
      </c>
      <c r="Z1000">
        <v>0</v>
      </c>
      <c r="AA1000">
        <v>0</v>
      </c>
      <c r="AB1000" t="s">
        <v>687</v>
      </c>
      <c r="AC1000" t="str">
        <f t="shared" si="30"/>
        <v>DE</v>
      </c>
      <c r="AD1000" t="str">
        <f>_xlfn.XLOOKUP(C1000,Mapping!A:A,Mapping!D:D,0,0)</f>
        <v>Native - Search</v>
      </c>
      <c r="AE1000" t="str">
        <f t="shared" si="31"/>
        <v>TJ</v>
      </c>
    </row>
    <row r="1001" spans="1:31" x14ac:dyDescent="0.2">
      <c r="A1001" t="s">
        <v>29</v>
      </c>
      <c r="B1001">
        <v>1013028951</v>
      </c>
      <c r="C1001" t="s">
        <v>1012</v>
      </c>
      <c r="D1001" t="s">
        <v>31</v>
      </c>
      <c r="E1001" s="1">
        <v>0.67291666666666672</v>
      </c>
      <c r="F1001" t="s">
        <v>32</v>
      </c>
      <c r="G1001" t="s">
        <v>33</v>
      </c>
      <c r="H1001" t="s">
        <v>737</v>
      </c>
      <c r="I1001" t="s">
        <v>942</v>
      </c>
      <c r="J1001">
        <v>10</v>
      </c>
      <c r="K1001">
        <v>0</v>
      </c>
      <c r="L1001" t="s">
        <v>36</v>
      </c>
      <c r="M1001" t="s">
        <v>37</v>
      </c>
      <c r="N1001">
        <v>1418567</v>
      </c>
      <c r="O1001">
        <v>137577</v>
      </c>
      <c r="P1001">
        <v>9.6982999999999997</v>
      </c>
      <c r="Q1001">
        <v>0</v>
      </c>
      <c r="R1001">
        <v>141.86000000000001</v>
      </c>
      <c r="S1001">
        <v>0.1</v>
      </c>
      <c r="T1001">
        <v>1E-3</v>
      </c>
      <c r="U1001">
        <v>0</v>
      </c>
      <c r="V1001">
        <v>2</v>
      </c>
      <c r="W1001">
        <v>0</v>
      </c>
      <c r="X1001" t="s">
        <v>63</v>
      </c>
      <c r="Y1001">
        <v>1418569</v>
      </c>
      <c r="Z1001">
        <v>1264052</v>
      </c>
      <c r="AA1001">
        <v>86021</v>
      </c>
      <c r="AB1001" t="s">
        <v>687</v>
      </c>
      <c r="AC1001" t="str">
        <f t="shared" si="30"/>
        <v>PH</v>
      </c>
      <c r="AD1001" t="str">
        <f>_xlfn.XLOOKUP(C1001,Mapping!A:A,Mapping!D:D,0,0)</f>
        <v>General</v>
      </c>
      <c r="AE1001" t="str">
        <f t="shared" si="31"/>
        <v>TJ</v>
      </c>
    </row>
    <row r="1002" spans="1:31" x14ac:dyDescent="0.2">
      <c r="A1002" t="s">
        <v>29</v>
      </c>
      <c r="B1002">
        <v>1013028991</v>
      </c>
      <c r="C1002" t="s">
        <v>1013</v>
      </c>
      <c r="D1002" t="s">
        <v>31</v>
      </c>
      <c r="E1002" t="s">
        <v>246</v>
      </c>
      <c r="F1002" t="s">
        <v>247</v>
      </c>
      <c r="G1002" t="s">
        <v>33</v>
      </c>
      <c r="H1002" t="s">
        <v>41</v>
      </c>
      <c r="I1002" t="s">
        <v>942</v>
      </c>
      <c r="J1002">
        <v>4</v>
      </c>
      <c r="K1002">
        <v>0</v>
      </c>
      <c r="L1002" t="s">
        <v>36</v>
      </c>
      <c r="M1002" t="s">
        <v>37</v>
      </c>
      <c r="N1002">
        <v>86903899</v>
      </c>
      <c r="O1002">
        <v>162823</v>
      </c>
      <c r="P1002">
        <v>0.18736</v>
      </c>
      <c r="Q1002">
        <v>3</v>
      </c>
      <c r="R1002">
        <v>869.04</v>
      </c>
      <c r="S1002">
        <v>0.01</v>
      </c>
      <c r="T1002">
        <v>5.0000000000000001E-3</v>
      </c>
      <c r="U1002">
        <v>289.68</v>
      </c>
      <c r="V1002">
        <v>2</v>
      </c>
      <c r="W1002">
        <v>0</v>
      </c>
      <c r="X1002" t="s">
        <v>63</v>
      </c>
      <c r="Y1002">
        <v>0</v>
      </c>
      <c r="Z1002">
        <v>0</v>
      </c>
      <c r="AA1002">
        <v>0</v>
      </c>
      <c r="AB1002" t="s">
        <v>687</v>
      </c>
      <c r="AC1002" t="str">
        <f t="shared" si="30"/>
        <v>PH</v>
      </c>
      <c r="AD1002" t="str">
        <f>_xlfn.XLOOKUP(C1002,Mapping!A:A,Mapping!D:D,0,0)</f>
        <v>Native - Homepage</v>
      </c>
      <c r="AE1002" t="str">
        <f t="shared" si="31"/>
        <v>TJ</v>
      </c>
    </row>
    <row r="1003" spans="1:31" x14ac:dyDescent="0.2">
      <c r="A1003" t="s">
        <v>29</v>
      </c>
      <c r="B1003">
        <v>1013040421</v>
      </c>
      <c r="C1003" t="s">
        <v>1014</v>
      </c>
      <c r="D1003" t="s">
        <v>31</v>
      </c>
      <c r="E1003" s="1">
        <v>0.67291666666666672</v>
      </c>
      <c r="F1003" t="s">
        <v>32</v>
      </c>
      <c r="G1003" t="s">
        <v>33</v>
      </c>
      <c r="H1003" t="s">
        <v>34</v>
      </c>
      <c r="I1003" t="s">
        <v>1015</v>
      </c>
      <c r="J1003">
        <v>28</v>
      </c>
      <c r="K1003">
        <v>0</v>
      </c>
      <c r="L1003" t="s">
        <v>36</v>
      </c>
      <c r="M1003" t="s">
        <v>37</v>
      </c>
      <c r="N1003">
        <v>73559</v>
      </c>
      <c r="O1003">
        <v>5383</v>
      </c>
      <c r="P1003">
        <v>7.3179400000000001</v>
      </c>
      <c r="Q1003">
        <v>0</v>
      </c>
      <c r="R1003">
        <v>179.9</v>
      </c>
      <c r="S1003">
        <v>2.4460000000000002</v>
      </c>
      <c r="T1003">
        <v>3.3000000000000002E-2</v>
      </c>
      <c r="U1003">
        <v>0</v>
      </c>
      <c r="V1003">
        <v>2</v>
      </c>
      <c r="W1003">
        <v>0</v>
      </c>
      <c r="X1003" t="s">
        <v>63</v>
      </c>
      <c r="Y1003">
        <v>73558</v>
      </c>
      <c r="Z1003">
        <v>57954</v>
      </c>
      <c r="AA1003">
        <v>6952</v>
      </c>
      <c r="AB1003" t="s">
        <v>760</v>
      </c>
      <c r="AC1003" t="str">
        <f t="shared" si="30"/>
        <v>US</v>
      </c>
      <c r="AD1003" t="str">
        <f>_xlfn.XLOOKUP(C1003,Mapping!A:A,Mapping!D:D,0,0)</f>
        <v>Remarketing</v>
      </c>
      <c r="AE1003" t="str">
        <f t="shared" si="31"/>
        <v>TJ</v>
      </c>
    </row>
    <row r="1004" spans="1:31" x14ac:dyDescent="0.2">
      <c r="A1004" t="s">
        <v>29</v>
      </c>
      <c r="B1004">
        <v>1013040451</v>
      </c>
      <c r="C1004" t="s">
        <v>1016</v>
      </c>
      <c r="D1004" t="s">
        <v>31</v>
      </c>
      <c r="E1004" s="1">
        <v>0.67291666666666672</v>
      </c>
      <c r="F1004" t="s">
        <v>32</v>
      </c>
      <c r="G1004" t="s">
        <v>33</v>
      </c>
      <c r="H1004" t="s">
        <v>34</v>
      </c>
      <c r="I1004" t="s">
        <v>1015</v>
      </c>
      <c r="J1004">
        <v>28</v>
      </c>
      <c r="K1004">
        <v>0</v>
      </c>
      <c r="L1004" t="s">
        <v>36</v>
      </c>
      <c r="M1004" t="s">
        <v>37</v>
      </c>
      <c r="N1004">
        <v>3519</v>
      </c>
      <c r="O1004">
        <v>390</v>
      </c>
      <c r="P1004">
        <v>11.082689999999999</v>
      </c>
      <c r="Q1004">
        <v>0</v>
      </c>
      <c r="R1004">
        <v>1.32</v>
      </c>
      <c r="S1004">
        <v>0.375</v>
      </c>
      <c r="T1004">
        <v>3.0000000000000001E-3</v>
      </c>
      <c r="U1004">
        <v>0</v>
      </c>
      <c r="V1004">
        <v>2</v>
      </c>
      <c r="W1004">
        <v>0</v>
      </c>
      <c r="X1004" t="s">
        <v>63</v>
      </c>
      <c r="Y1004">
        <v>3519</v>
      </c>
      <c r="Z1004">
        <v>2574</v>
      </c>
      <c r="AA1004">
        <v>447</v>
      </c>
      <c r="AB1004" t="s">
        <v>760</v>
      </c>
      <c r="AC1004" t="str">
        <f t="shared" si="30"/>
        <v>MX</v>
      </c>
      <c r="AD1004" t="str">
        <f>_xlfn.XLOOKUP(C1004,Mapping!A:A,Mapping!D:D,0,0)</f>
        <v>Remarketing</v>
      </c>
      <c r="AE1004" t="str">
        <f t="shared" si="31"/>
        <v>TJ</v>
      </c>
    </row>
    <row r="1005" spans="1:31" x14ac:dyDescent="0.2">
      <c r="A1005" t="s">
        <v>29</v>
      </c>
      <c r="B1005">
        <v>1013040531</v>
      </c>
      <c r="C1005" t="s">
        <v>1017</v>
      </c>
      <c r="D1005" t="s">
        <v>31</v>
      </c>
      <c r="E1005" s="1">
        <v>0.67291666666666672</v>
      </c>
      <c r="F1005" t="s">
        <v>32</v>
      </c>
      <c r="G1005" t="s">
        <v>33</v>
      </c>
      <c r="H1005" t="s">
        <v>34</v>
      </c>
      <c r="I1005" t="s">
        <v>1015</v>
      </c>
      <c r="J1005">
        <v>28</v>
      </c>
      <c r="K1005">
        <v>0</v>
      </c>
      <c r="L1005" t="s">
        <v>36</v>
      </c>
      <c r="M1005" t="s">
        <v>37</v>
      </c>
      <c r="N1005">
        <v>20775</v>
      </c>
      <c r="O1005">
        <v>1596</v>
      </c>
      <c r="P1005">
        <v>7.6823100000000002</v>
      </c>
      <c r="Q1005">
        <v>1</v>
      </c>
      <c r="R1005">
        <v>21.84</v>
      </c>
      <c r="S1005">
        <v>1.0509999999999999</v>
      </c>
      <c r="T1005">
        <v>1.4E-2</v>
      </c>
      <c r="U1005">
        <v>21.835999999999999</v>
      </c>
      <c r="V1005">
        <v>2</v>
      </c>
      <c r="W1005">
        <v>0</v>
      </c>
      <c r="X1005" t="s">
        <v>63</v>
      </c>
      <c r="Y1005">
        <v>20773</v>
      </c>
      <c r="Z1005">
        <v>16174</v>
      </c>
      <c r="AA1005">
        <v>1991</v>
      </c>
      <c r="AB1005" t="s">
        <v>760</v>
      </c>
      <c r="AC1005" t="str">
        <f t="shared" si="30"/>
        <v>CA</v>
      </c>
      <c r="AD1005" t="str">
        <f>_xlfn.XLOOKUP(C1005,Mapping!A:A,Mapping!D:D,0,0)</f>
        <v>Remarketing</v>
      </c>
      <c r="AE1005" t="str">
        <f t="shared" si="31"/>
        <v>TJ</v>
      </c>
    </row>
    <row r="1006" spans="1:31" x14ac:dyDescent="0.2">
      <c r="A1006" t="s">
        <v>29</v>
      </c>
      <c r="B1006">
        <v>1013040561</v>
      </c>
      <c r="C1006" t="s">
        <v>1018</v>
      </c>
      <c r="D1006" t="s">
        <v>31</v>
      </c>
      <c r="E1006" s="1">
        <v>0.67291666666666672</v>
      </c>
      <c r="F1006" t="s">
        <v>32</v>
      </c>
      <c r="G1006" t="s">
        <v>33</v>
      </c>
      <c r="H1006" t="s">
        <v>34</v>
      </c>
      <c r="I1006" t="s">
        <v>1015</v>
      </c>
      <c r="J1006">
        <v>28</v>
      </c>
      <c r="K1006">
        <v>0</v>
      </c>
      <c r="L1006" t="s">
        <v>36</v>
      </c>
      <c r="M1006" t="s">
        <v>37</v>
      </c>
      <c r="N1006">
        <v>6811</v>
      </c>
      <c r="O1006">
        <v>494</v>
      </c>
      <c r="P1006">
        <v>7.2529700000000004</v>
      </c>
      <c r="Q1006">
        <v>0</v>
      </c>
      <c r="R1006">
        <v>8.5299999999999994</v>
      </c>
      <c r="S1006">
        <v>1.252</v>
      </c>
      <c r="T1006">
        <v>1.7000000000000001E-2</v>
      </c>
      <c r="U1006">
        <v>0</v>
      </c>
      <c r="V1006">
        <v>2</v>
      </c>
      <c r="W1006">
        <v>0</v>
      </c>
      <c r="X1006" t="s">
        <v>63</v>
      </c>
      <c r="Y1006">
        <v>6811</v>
      </c>
      <c r="Z1006">
        <v>5258</v>
      </c>
      <c r="AA1006">
        <v>704</v>
      </c>
      <c r="AB1006" t="s">
        <v>760</v>
      </c>
      <c r="AC1006" t="str">
        <f t="shared" si="30"/>
        <v>AU</v>
      </c>
      <c r="AD1006" t="str">
        <f>_xlfn.XLOOKUP(C1006,Mapping!A:A,Mapping!D:D,0,0)</f>
        <v>Remarketing</v>
      </c>
      <c r="AE1006" t="str">
        <f t="shared" si="31"/>
        <v>TJ</v>
      </c>
    </row>
    <row r="1007" spans="1:31" x14ac:dyDescent="0.2">
      <c r="A1007" t="s">
        <v>29</v>
      </c>
      <c r="B1007">
        <v>1013040581</v>
      </c>
      <c r="C1007" t="s">
        <v>1019</v>
      </c>
      <c r="D1007" t="s">
        <v>31</v>
      </c>
      <c r="E1007" s="1">
        <v>0.67291666666666672</v>
      </c>
      <c r="F1007" t="s">
        <v>32</v>
      </c>
      <c r="G1007" t="s">
        <v>33</v>
      </c>
      <c r="H1007" t="s">
        <v>34</v>
      </c>
      <c r="I1007" t="s">
        <v>1015</v>
      </c>
      <c r="J1007">
        <v>28</v>
      </c>
      <c r="K1007">
        <v>0</v>
      </c>
      <c r="L1007" t="s">
        <v>36</v>
      </c>
      <c r="M1007" t="s">
        <v>37</v>
      </c>
      <c r="N1007">
        <v>4551</v>
      </c>
      <c r="O1007">
        <v>326</v>
      </c>
      <c r="P1007">
        <v>7.1632600000000002</v>
      </c>
      <c r="Q1007">
        <v>1</v>
      </c>
      <c r="R1007">
        <v>11.49</v>
      </c>
      <c r="S1007">
        <v>2.524</v>
      </c>
      <c r="T1007">
        <v>3.5000000000000003E-2</v>
      </c>
      <c r="U1007">
        <v>11.484999999999999</v>
      </c>
      <c r="V1007">
        <v>2</v>
      </c>
      <c r="W1007">
        <v>0</v>
      </c>
      <c r="X1007" t="s">
        <v>63</v>
      </c>
      <c r="Y1007">
        <v>4551</v>
      </c>
      <c r="Z1007">
        <v>3652</v>
      </c>
      <c r="AA1007">
        <v>396</v>
      </c>
      <c r="AB1007" t="s">
        <v>760</v>
      </c>
      <c r="AC1007" t="str">
        <f t="shared" si="30"/>
        <v>UK</v>
      </c>
      <c r="AD1007" t="str">
        <f>_xlfn.XLOOKUP(C1007,Mapping!A:A,Mapping!D:D,0,0)</f>
        <v>Remarketing</v>
      </c>
      <c r="AE1007" t="str">
        <f t="shared" si="31"/>
        <v>TJ</v>
      </c>
    </row>
    <row r="1008" spans="1:31" x14ac:dyDescent="0.2">
      <c r="A1008" t="s">
        <v>29</v>
      </c>
      <c r="B1008">
        <v>1013040591</v>
      </c>
      <c r="C1008" t="s">
        <v>1020</v>
      </c>
      <c r="D1008" t="s">
        <v>31</v>
      </c>
      <c r="E1008" s="1">
        <v>0.67291666666666672</v>
      </c>
      <c r="F1008" t="s">
        <v>32</v>
      </c>
      <c r="G1008" t="s">
        <v>33</v>
      </c>
      <c r="H1008" t="s">
        <v>34</v>
      </c>
      <c r="I1008" t="s">
        <v>1015</v>
      </c>
      <c r="J1008">
        <v>28</v>
      </c>
      <c r="K1008">
        <v>0</v>
      </c>
      <c r="L1008" t="s">
        <v>36</v>
      </c>
      <c r="M1008" t="s">
        <v>37</v>
      </c>
      <c r="N1008">
        <v>897</v>
      </c>
      <c r="O1008">
        <v>54</v>
      </c>
      <c r="P1008">
        <v>6.0200699999999996</v>
      </c>
      <c r="Q1008">
        <v>1</v>
      </c>
      <c r="R1008">
        <v>0.94</v>
      </c>
      <c r="S1008">
        <v>1.0469999999999999</v>
      </c>
      <c r="T1008">
        <v>1.7000000000000001E-2</v>
      </c>
      <c r="U1008">
        <v>0.93899999999999995</v>
      </c>
      <c r="V1008">
        <v>2</v>
      </c>
      <c r="W1008">
        <v>0</v>
      </c>
      <c r="X1008" t="s">
        <v>63</v>
      </c>
      <c r="Y1008">
        <v>897</v>
      </c>
      <c r="Z1008">
        <v>694</v>
      </c>
      <c r="AA1008">
        <v>91</v>
      </c>
      <c r="AB1008" t="s">
        <v>760</v>
      </c>
      <c r="AC1008" t="str">
        <f t="shared" si="30"/>
        <v>NZ</v>
      </c>
      <c r="AD1008" t="str">
        <f>_xlfn.XLOOKUP(C1008,Mapping!A:A,Mapping!D:D,0,0)</f>
        <v>Remarketing</v>
      </c>
      <c r="AE1008" t="str">
        <f t="shared" si="31"/>
        <v>TJ</v>
      </c>
    </row>
    <row r="1009" spans="1:31" x14ac:dyDescent="0.2">
      <c r="A1009" t="s">
        <v>29</v>
      </c>
      <c r="B1009">
        <v>1013046201</v>
      </c>
      <c r="C1009" t="s">
        <v>1021</v>
      </c>
      <c r="D1009" t="s">
        <v>31</v>
      </c>
      <c r="E1009" s="1">
        <v>0.67291666666666672</v>
      </c>
      <c r="F1009" t="s">
        <v>32</v>
      </c>
      <c r="G1009" t="s">
        <v>33</v>
      </c>
      <c r="H1009" t="s">
        <v>41</v>
      </c>
      <c r="I1009" t="s">
        <v>1015</v>
      </c>
      <c r="J1009">
        <v>28</v>
      </c>
      <c r="K1009">
        <v>0</v>
      </c>
      <c r="L1009" t="s">
        <v>36</v>
      </c>
      <c r="M1009" t="s">
        <v>37</v>
      </c>
      <c r="N1009">
        <v>3887990</v>
      </c>
      <c r="O1009">
        <v>163487</v>
      </c>
      <c r="P1009">
        <v>4.2049200000000004</v>
      </c>
      <c r="Q1009">
        <v>33</v>
      </c>
      <c r="R1009">
        <v>8209.7999999999993</v>
      </c>
      <c r="S1009">
        <v>2.1120000000000001</v>
      </c>
      <c r="T1009">
        <v>0.05</v>
      </c>
      <c r="U1009">
        <v>248.78200000000001</v>
      </c>
      <c r="V1009">
        <v>2</v>
      </c>
      <c r="W1009">
        <v>0</v>
      </c>
      <c r="X1009" t="s">
        <v>36</v>
      </c>
      <c r="Y1009">
        <v>3887931</v>
      </c>
      <c r="Z1009">
        <v>3421837</v>
      </c>
      <c r="AA1009">
        <v>325746</v>
      </c>
      <c r="AB1009" t="s">
        <v>760</v>
      </c>
      <c r="AC1009" t="str">
        <f t="shared" si="30"/>
        <v>US</v>
      </c>
      <c r="AD1009" t="str">
        <f>_xlfn.XLOOKUP(C1009,Mapping!A:A,Mapping!D:D,0,0)</f>
        <v>Remarketing</v>
      </c>
      <c r="AE1009" t="str">
        <f t="shared" si="31"/>
        <v>TJ</v>
      </c>
    </row>
    <row r="1010" spans="1:31" x14ac:dyDescent="0.2">
      <c r="A1010" t="s">
        <v>29</v>
      </c>
      <c r="B1010">
        <v>1013046221</v>
      </c>
      <c r="C1010" t="s">
        <v>1022</v>
      </c>
      <c r="D1010" t="s">
        <v>31</v>
      </c>
      <c r="E1010" s="1">
        <v>0.67291666666666672</v>
      </c>
      <c r="F1010" t="s">
        <v>32</v>
      </c>
      <c r="G1010" t="s">
        <v>33</v>
      </c>
      <c r="H1010" t="s">
        <v>41</v>
      </c>
      <c r="I1010" t="s">
        <v>1023</v>
      </c>
      <c r="J1010">
        <v>28</v>
      </c>
      <c r="K1010">
        <v>0</v>
      </c>
      <c r="L1010" t="s">
        <v>36</v>
      </c>
      <c r="M1010" t="s">
        <v>37</v>
      </c>
      <c r="N1010">
        <v>107574</v>
      </c>
      <c r="O1010">
        <v>5388</v>
      </c>
      <c r="P1010">
        <v>5.0086500000000003</v>
      </c>
      <c r="Q1010">
        <v>1</v>
      </c>
      <c r="R1010">
        <v>120.2</v>
      </c>
      <c r="S1010">
        <v>1.117</v>
      </c>
      <c r="T1010">
        <v>2.1999999999999999E-2</v>
      </c>
      <c r="U1010">
        <v>120.202</v>
      </c>
      <c r="V1010">
        <v>2</v>
      </c>
      <c r="W1010">
        <v>0</v>
      </c>
      <c r="X1010" t="s">
        <v>63</v>
      </c>
      <c r="Y1010">
        <v>107568</v>
      </c>
      <c r="Z1010">
        <v>95683</v>
      </c>
      <c r="AA1010">
        <v>7245</v>
      </c>
      <c r="AB1010" t="s">
        <v>760</v>
      </c>
      <c r="AC1010" t="str">
        <f t="shared" si="30"/>
        <v>CA</v>
      </c>
      <c r="AD1010" t="str">
        <f>_xlfn.XLOOKUP(C1010,Mapping!A:A,Mapping!D:D,0,0)</f>
        <v>Remarketing</v>
      </c>
      <c r="AE1010" t="str">
        <f t="shared" si="31"/>
        <v>TJ</v>
      </c>
    </row>
    <row r="1011" spans="1:31" x14ac:dyDescent="0.2">
      <c r="A1011" t="s">
        <v>29</v>
      </c>
      <c r="B1011">
        <v>1013046231</v>
      </c>
      <c r="C1011" t="s">
        <v>1024</v>
      </c>
      <c r="D1011" t="s">
        <v>31</v>
      </c>
      <c r="E1011" s="1">
        <v>0.67291666666666672</v>
      </c>
      <c r="F1011" t="s">
        <v>32</v>
      </c>
      <c r="G1011" t="s">
        <v>33</v>
      </c>
      <c r="H1011" t="s">
        <v>41</v>
      </c>
      <c r="I1011" t="s">
        <v>1023</v>
      </c>
      <c r="J1011">
        <v>28</v>
      </c>
      <c r="K1011">
        <v>0</v>
      </c>
      <c r="L1011" t="s">
        <v>36</v>
      </c>
      <c r="M1011" t="s">
        <v>37</v>
      </c>
      <c r="N1011">
        <v>63289</v>
      </c>
      <c r="O1011">
        <v>3447</v>
      </c>
      <c r="P1011">
        <v>5.4464399999999999</v>
      </c>
      <c r="Q1011">
        <v>1</v>
      </c>
      <c r="R1011">
        <v>163.59</v>
      </c>
      <c r="S1011">
        <v>2.585</v>
      </c>
      <c r="T1011">
        <v>4.7E-2</v>
      </c>
      <c r="U1011">
        <v>163.59200000000001</v>
      </c>
      <c r="V1011">
        <v>2</v>
      </c>
      <c r="W1011">
        <v>0</v>
      </c>
      <c r="X1011" t="s">
        <v>63</v>
      </c>
      <c r="Y1011">
        <v>63303</v>
      </c>
      <c r="Z1011">
        <v>56298</v>
      </c>
      <c r="AA1011">
        <v>4547</v>
      </c>
      <c r="AB1011" t="s">
        <v>760</v>
      </c>
      <c r="AC1011" t="str">
        <f t="shared" si="30"/>
        <v>UK</v>
      </c>
      <c r="AD1011" t="str">
        <f>_xlfn.XLOOKUP(C1011,Mapping!A:A,Mapping!D:D,0,0)</f>
        <v>Remarketing</v>
      </c>
      <c r="AE1011" t="str">
        <f t="shared" si="31"/>
        <v>TJ</v>
      </c>
    </row>
    <row r="1012" spans="1:31" x14ac:dyDescent="0.2">
      <c r="A1012" t="s">
        <v>29</v>
      </c>
      <c r="B1012">
        <v>1013046251</v>
      </c>
      <c r="C1012" t="s">
        <v>1025</v>
      </c>
      <c r="D1012" t="s">
        <v>31</v>
      </c>
      <c r="E1012" s="1">
        <v>0.67291666666666672</v>
      </c>
      <c r="F1012" t="s">
        <v>32</v>
      </c>
      <c r="G1012" t="s">
        <v>33</v>
      </c>
      <c r="H1012" t="s">
        <v>41</v>
      </c>
      <c r="I1012" t="s">
        <v>1023</v>
      </c>
      <c r="J1012">
        <v>28</v>
      </c>
      <c r="K1012">
        <v>0</v>
      </c>
      <c r="L1012" t="s">
        <v>36</v>
      </c>
      <c r="M1012" t="s">
        <v>37</v>
      </c>
      <c r="N1012">
        <v>114045</v>
      </c>
      <c r="O1012">
        <v>4653</v>
      </c>
      <c r="P1012">
        <v>4.0799700000000003</v>
      </c>
      <c r="Q1012">
        <v>2</v>
      </c>
      <c r="R1012">
        <v>210.46</v>
      </c>
      <c r="S1012">
        <v>1.845</v>
      </c>
      <c r="T1012">
        <v>4.4999999999999998E-2</v>
      </c>
      <c r="U1012">
        <v>105.23099999999999</v>
      </c>
      <c r="V1012">
        <v>2</v>
      </c>
      <c r="W1012">
        <v>0</v>
      </c>
      <c r="X1012" t="s">
        <v>63</v>
      </c>
      <c r="Y1012">
        <v>114045</v>
      </c>
      <c r="Z1012">
        <v>100302</v>
      </c>
      <c r="AA1012">
        <v>9988</v>
      </c>
      <c r="AB1012" t="s">
        <v>760</v>
      </c>
      <c r="AC1012" t="str">
        <f t="shared" si="30"/>
        <v>AU</v>
      </c>
      <c r="AD1012" t="str">
        <f>_xlfn.XLOOKUP(C1012,Mapping!A:A,Mapping!D:D,0,0)</f>
        <v>Remarketing</v>
      </c>
      <c r="AE1012" t="str">
        <f t="shared" si="31"/>
        <v>TJ</v>
      </c>
    </row>
    <row r="1013" spans="1:31" x14ac:dyDescent="0.2">
      <c r="A1013" t="s">
        <v>29</v>
      </c>
      <c r="B1013">
        <v>1013046271</v>
      </c>
      <c r="C1013" t="s">
        <v>1026</v>
      </c>
      <c r="D1013" t="s">
        <v>31</v>
      </c>
      <c r="E1013" s="1">
        <v>0.67291666666666672</v>
      </c>
      <c r="F1013" t="s">
        <v>32</v>
      </c>
      <c r="G1013" t="s">
        <v>33</v>
      </c>
      <c r="H1013" t="s">
        <v>41</v>
      </c>
      <c r="I1013" t="s">
        <v>1023</v>
      </c>
      <c r="J1013">
        <v>28</v>
      </c>
      <c r="K1013">
        <v>0</v>
      </c>
      <c r="L1013" t="s">
        <v>36</v>
      </c>
      <c r="M1013" t="s">
        <v>37</v>
      </c>
      <c r="N1013">
        <v>34411</v>
      </c>
      <c r="O1013">
        <v>2138</v>
      </c>
      <c r="P1013">
        <v>6.2131299999999996</v>
      </c>
      <c r="Q1013">
        <v>1</v>
      </c>
      <c r="R1013">
        <v>40.549999999999997</v>
      </c>
      <c r="S1013">
        <v>1.1779999999999999</v>
      </c>
      <c r="T1013">
        <v>1.9E-2</v>
      </c>
      <c r="U1013">
        <v>40.549999999999997</v>
      </c>
      <c r="V1013">
        <v>2</v>
      </c>
      <c r="W1013">
        <v>0</v>
      </c>
      <c r="X1013" t="s">
        <v>63</v>
      </c>
      <c r="Y1013">
        <v>34412</v>
      </c>
      <c r="Z1013">
        <v>28799</v>
      </c>
      <c r="AA1013">
        <v>2776</v>
      </c>
      <c r="AB1013" t="s">
        <v>760</v>
      </c>
      <c r="AC1013" t="str">
        <f t="shared" si="30"/>
        <v>NZ</v>
      </c>
      <c r="AD1013" t="str">
        <f>_xlfn.XLOOKUP(C1013,Mapping!A:A,Mapping!D:D,0,0)</f>
        <v>Remarketing</v>
      </c>
      <c r="AE1013" t="str">
        <f t="shared" si="31"/>
        <v>TJ</v>
      </c>
    </row>
    <row r="1014" spans="1:31" x14ac:dyDescent="0.2">
      <c r="A1014" t="s">
        <v>29</v>
      </c>
      <c r="B1014">
        <v>1013046321</v>
      </c>
      <c r="C1014" t="s">
        <v>1027</v>
      </c>
      <c r="D1014" t="s">
        <v>31</v>
      </c>
      <c r="E1014" s="1">
        <v>0.67291666666666672</v>
      </c>
      <c r="F1014" t="s">
        <v>32</v>
      </c>
      <c r="G1014" t="s">
        <v>33</v>
      </c>
      <c r="H1014" t="s">
        <v>41</v>
      </c>
      <c r="I1014" t="s">
        <v>1023</v>
      </c>
      <c r="J1014">
        <v>28</v>
      </c>
      <c r="K1014">
        <v>0</v>
      </c>
      <c r="L1014" t="s">
        <v>36</v>
      </c>
      <c r="M1014" t="s">
        <v>37</v>
      </c>
      <c r="N1014">
        <v>485027</v>
      </c>
      <c r="O1014">
        <v>43288</v>
      </c>
      <c r="P1014">
        <v>8.9248600000000007</v>
      </c>
      <c r="Q1014">
        <v>0</v>
      </c>
      <c r="R1014">
        <v>114.52</v>
      </c>
      <c r="S1014">
        <v>0.23599999999999999</v>
      </c>
      <c r="T1014">
        <v>3.0000000000000001E-3</v>
      </c>
      <c r="U1014">
        <v>0</v>
      </c>
      <c r="V1014">
        <v>2</v>
      </c>
      <c r="W1014">
        <v>0</v>
      </c>
      <c r="X1014" t="s">
        <v>63</v>
      </c>
      <c r="Y1014">
        <v>484951</v>
      </c>
      <c r="Z1014">
        <v>405657</v>
      </c>
      <c r="AA1014">
        <v>48843</v>
      </c>
      <c r="AB1014" t="s">
        <v>760</v>
      </c>
      <c r="AC1014" t="str">
        <f t="shared" si="30"/>
        <v>MX</v>
      </c>
      <c r="AD1014" t="str">
        <f>_xlfn.XLOOKUP(C1014,Mapping!A:A,Mapping!D:D,0,0)</f>
        <v>Remarketing</v>
      </c>
      <c r="AE1014" t="str">
        <f t="shared" si="31"/>
        <v>TJ</v>
      </c>
    </row>
    <row r="1015" spans="1:31" x14ac:dyDescent="0.2">
      <c r="A1015" t="s">
        <v>29</v>
      </c>
      <c r="B1015">
        <v>1013046531</v>
      </c>
      <c r="C1015" t="s">
        <v>1028</v>
      </c>
      <c r="D1015" t="s">
        <v>31</v>
      </c>
      <c r="E1015" t="s">
        <v>246</v>
      </c>
      <c r="F1015" t="s">
        <v>247</v>
      </c>
      <c r="G1015" t="s">
        <v>33</v>
      </c>
      <c r="H1015" t="s">
        <v>41</v>
      </c>
      <c r="I1015" t="s">
        <v>759</v>
      </c>
      <c r="J1015">
        <v>60</v>
      </c>
      <c r="K1015">
        <v>0</v>
      </c>
      <c r="L1015" t="s">
        <v>36</v>
      </c>
      <c r="M1015" t="s">
        <v>37</v>
      </c>
      <c r="N1015">
        <v>37214335</v>
      </c>
      <c r="O1015">
        <v>100527</v>
      </c>
      <c r="P1015">
        <v>0.27012000000000003</v>
      </c>
      <c r="Q1015">
        <v>2</v>
      </c>
      <c r="R1015">
        <v>690.21</v>
      </c>
      <c r="S1015">
        <v>1.9E-2</v>
      </c>
      <c r="T1015">
        <v>7.0000000000000001E-3</v>
      </c>
      <c r="U1015">
        <v>345.10300000000001</v>
      </c>
      <c r="V1015">
        <v>2</v>
      </c>
      <c r="W1015">
        <v>0</v>
      </c>
      <c r="X1015" t="s">
        <v>63</v>
      </c>
      <c r="Y1015">
        <v>0</v>
      </c>
      <c r="Z1015">
        <v>0</v>
      </c>
      <c r="AA1015">
        <v>0</v>
      </c>
      <c r="AB1015" t="s">
        <v>687</v>
      </c>
      <c r="AC1015" t="str">
        <f t="shared" si="30"/>
        <v>LA</v>
      </c>
      <c r="AD1015" t="str">
        <f>_xlfn.XLOOKUP(C1015,Mapping!A:A,Mapping!D:D,0,0)</f>
        <v>General - Pre-roll - T3</v>
      </c>
      <c r="AE1015" t="str">
        <f t="shared" si="31"/>
        <v>TJ</v>
      </c>
    </row>
    <row r="1016" spans="1:31" x14ac:dyDescent="0.2">
      <c r="A1016" t="s">
        <v>29</v>
      </c>
      <c r="B1016">
        <v>1013046601</v>
      </c>
      <c r="C1016" t="s">
        <v>1029</v>
      </c>
      <c r="D1016" t="s">
        <v>31</v>
      </c>
      <c r="E1016" t="s">
        <v>246</v>
      </c>
      <c r="F1016" t="s">
        <v>247</v>
      </c>
      <c r="G1016" t="s">
        <v>33</v>
      </c>
      <c r="H1016" t="s">
        <v>34</v>
      </c>
      <c r="I1016" t="s">
        <v>759</v>
      </c>
      <c r="J1016">
        <v>60</v>
      </c>
      <c r="K1016">
        <v>0</v>
      </c>
      <c r="L1016" t="s">
        <v>36</v>
      </c>
      <c r="M1016" t="s">
        <v>37</v>
      </c>
      <c r="N1016">
        <v>2058801</v>
      </c>
      <c r="O1016">
        <v>6536</v>
      </c>
      <c r="P1016">
        <v>0.31746000000000002</v>
      </c>
      <c r="Q1016">
        <v>0</v>
      </c>
      <c r="R1016">
        <v>39.9</v>
      </c>
      <c r="S1016">
        <v>1.9E-2</v>
      </c>
      <c r="T1016">
        <v>6.0000000000000001E-3</v>
      </c>
      <c r="U1016">
        <v>0</v>
      </c>
      <c r="V1016">
        <v>2</v>
      </c>
      <c r="W1016">
        <v>0</v>
      </c>
      <c r="X1016" t="s">
        <v>63</v>
      </c>
      <c r="Y1016">
        <v>0</v>
      </c>
      <c r="Z1016">
        <v>0</v>
      </c>
      <c r="AA1016">
        <v>0</v>
      </c>
      <c r="AB1016" t="s">
        <v>687</v>
      </c>
      <c r="AC1016" t="str">
        <f t="shared" si="30"/>
        <v>LA</v>
      </c>
      <c r="AD1016" t="str">
        <f>_xlfn.XLOOKUP(C1016,Mapping!A:A,Mapping!D:D,0,0)</f>
        <v>General</v>
      </c>
      <c r="AE1016" t="str">
        <f t="shared" si="31"/>
        <v>TJ</v>
      </c>
    </row>
    <row r="1017" spans="1:31" x14ac:dyDescent="0.2">
      <c r="A1017" t="s">
        <v>29</v>
      </c>
      <c r="B1017">
        <v>1013046671</v>
      </c>
      <c r="C1017" t="s">
        <v>1030</v>
      </c>
      <c r="D1017" t="s">
        <v>31</v>
      </c>
      <c r="E1017" t="s">
        <v>246</v>
      </c>
      <c r="F1017" t="s">
        <v>247</v>
      </c>
      <c r="G1017" t="s">
        <v>33</v>
      </c>
      <c r="H1017" t="s">
        <v>41</v>
      </c>
      <c r="I1017" t="s">
        <v>1031</v>
      </c>
      <c r="J1017">
        <v>35</v>
      </c>
      <c r="K1017">
        <v>0</v>
      </c>
      <c r="L1017" t="s">
        <v>36</v>
      </c>
      <c r="M1017" t="s">
        <v>37</v>
      </c>
      <c r="N1017">
        <v>108539</v>
      </c>
      <c r="O1017">
        <v>229</v>
      </c>
      <c r="P1017">
        <v>0.21098</v>
      </c>
      <c r="Q1017">
        <v>1</v>
      </c>
      <c r="R1017">
        <v>24.07</v>
      </c>
      <c r="S1017">
        <v>0.222</v>
      </c>
      <c r="T1017">
        <v>0.105</v>
      </c>
      <c r="U1017">
        <v>24.074999999999999</v>
      </c>
      <c r="V1017">
        <v>2</v>
      </c>
      <c r="W1017">
        <v>0</v>
      </c>
      <c r="X1017" t="s">
        <v>63</v>
      </c>
      <c r="Y1017">
        <v>0</v>
      </c>
      <c r="Z1017">
        <v>0</v>
      </c>
      <c r="AA1017">
        <v>0</v>
      </c>
      <c r="AB1017" t="s">
        <v>760</v>
      </c>
      <c r="AC1017" t="str">
        <f t="shared" si="30"/>
        <v>AU</v>
      </c>
      <c r="AD1017" t="str">
        <f>_xlfn.XLOOKUP(C1017,Mapping!A:A,Mapping!D:D,0,0)</f>
        <v>Remarketing</v>
      </c>
      <c r="AE1017" t="str">
        <f t="shared" si="31"/>
        <v>TJ</v>
      </c>
    </row>
    <row r="1018" spans="1:31" x14ac:dyDescent="0.2">
      <c r="A1018" t="s">
        <v>29</v>
      </c>
      <c r="B1018">
        <v>1013046711</v>
      </c>
      <c r="C1018" t="s">
        <v>1032</v>
      </c>
      <c r="D1018" t="s">
        <v>31</v>
      </c>
      <c r="E1018" t="s">
        <v>246</v>
      </c>
      <c r="F1018" t="s">
        <v>247</v>
      </c>
      <c r="G1018" t="s">
        <v>33</v>
      </c>
      <c r="H1018" t="s">
        <v>41</v>
      </c>
      <c r="I1018" t="s">
        <v>1031</v>
      </c>
      <c r="J1018">
        <v>35</v>
      </c>
      <c r="K1018">
        <v>0</v>
      </c>
      <c r="L1018" t="s">
        <v>36</v>
      </c>
      <c r="M1018" t="s">
        <v>37</v>
      </c>
      <c r="N1018">
        <v>92454</v>
      </c>
      <c r="O1018">
        <v>313</v>
      </c>
      <c r="P1018">
        <v>0.33855000000000002</v>
      </c>
      <c r="Q1018">
        <v>1</v>
      </c>
      <c r="R1018">
        <v>13.62</v>
      </c>
      <c r="S1018">
        <v>0.14699999999999999</v>
      </c>
      <c r="T1018">
        <v>4.3999999999999997E-2</v>
      </c>
      <c r="U1018">
        <v>13.618</v>
      </c>
      <c r="V1018">
        <v>2</v>
      </c>
      <c r="W1018">
        <v>0</v>
      </c>
      <c r="X1018" t="s">
        <v>63</v>
      </c>
      <c r="Y1018">
        <v>0</v>
      </c>
      <c r="Z1018">
        <v>0</v>
      </c>
      <c r="AA1018">
        <v>0</v>
      </c>
      <c r="AB1018" t="s">
        <v>760</v>
      </c>
      <c r="AC1018" t="str">
        <f t="shared" si="30"/>
        <v>CA</v>
      </c>
      <c r="AD1018" t="str">
        <f>_xlfn.XLOOKUP(C1018,Mapping!A:A,Mapping!D:D,0,0)</f>
        <v>Remarketing</v>
      </c>
      <c r="AE1018" t="str">
        <f t="shared" si="31"/>
        <v>TJ</v>
      </c>
    </row>
    <row r="1019" spans="1:31" x14ac:dyDescent="0.2">
      <c r="A1019" t="s">
        <v>29</v>
      </c>
      <c r="B1019">
        <v>1013046731</v>
      </c>
      <c r="C1019" t="s">
        <v>1033</v>
      </c>
      <c r="D1019" t="s">
        <v>31</v>
      </c>
      <c r="E1019" t="s">
        <v>246</v>
      </c>
      <c r="F1019" t="s">
        <v>247</v>
      </c>
      <c r="G1019" t="s">
        <v>33</v>
      </c>
      <c r="H1019" t="s">
        <v>41</v>
      </c>
      <c r="I1019" t="s">
        <v>1031</v>
      </c>
      <c r="J1019">
        <v>35</v>
      </c>
      <c r="K1019">
        <v>0</v>
      </c>
      <c r="L1019" t="s">
        <v>36</v>
      </c>
      <c r="M1019" t="s">
        <v>37</v>
      </c>
      <c r="N1019">
        <v>20538</v>
      </c>
      <c r="O1019">
        <v>96</v>
      </c>
      <c r="P1019">
        <v>0.46743000000000001</v>
      </c>
      <c r="Q1019">
        <v>0</v>
      </c>
      <c r="R1019">
        <v>7.95</v>
      </c>
      <c r="S1019">
        <v>0.38700000000000001</v>
      </c>
      <c r="T1019">
        <v>8.3000000000000004E-2</v>
      </c>
      <c r="U1019">
        <v>0</v>
      </c>
      <c r="V1019">
        <v>2</v>
      </c>
      <c r="W1019">
        <v>0</v>
      </c>
      <c r="X1019" t="s">
        <v>63</v>
      </c>
      <c r="Y1019">
        <v>0</v>
      </c>
      <c r="Z1019">
        <v>0</v>
      </c>
      <c r="AA1019">
        <v>0</v>
      </c>
      <c r="AB1019" t="s">
        <v>760</v>
      </c>
      <c r="AC1019" t="str">
        <f t="shared" si="30"/>
        <v>UK</v>
      </c>
      <c r="AD1019" t="str">
        <f>_xlfn.XLOOKUP(C1019,Mapping!A:A,Mapping!D:D,0,0)</f>
        <v>Remarketing</v>
      </c>
      <c r="AE1019" t="str">
        <f t="shared" si="31"/>
        <v>TJ</v>
      </c>
    </row>
    <row r="1020" spans="1:31" x14ac:dyDescent="0.2">
      <c r="A1020" t="s">
        <v>29</v>
      </c>
      <c r="B1020">
        <v>1013046741</v>
      </c>
      <c r="C1020" t="s">
        <v>1034</v>
      </c>
      <c r="D1020" t="s">
        <v>31</v>
      </c>
      <c r="E1020" t="s">
        <v>246</v>
      </c>
      <c r="F1020" t="s">
        <v>247</v>
      </c>
      <c r="G1020" t="s">
        <v>33</v>
      </c>
      <c r="H1020" t="s">
        <v>41</v>
      </c>
      <c r="I1020" t="s">
        <v>1031</v>
      </c>
      <c r="J1020">
        <v>35</v>
      </c>
      <c r="K1020">
        <v>0</v>
      </c>
      <c r="L1020" t="s">
        <v>36</v>
      </c>
      <c r="M1020" t="s">
        <v>37</v>
      </c>
      <c r="N1020">
        <v>465684</v>
      </c>
      <c r="O1020">
        <v>1531</v>
      </c>
      <c r="P1020">
        <v>0.32876</v>
      </c>
      <c r="Q1020">
        <v>9</v>
      </c>
      <c r="R1020">
        <v>121.07</v>
      </c>
      <c r="S1020">
        <v>0.26</v>
      </c>
      <c r="T1020">
        <v>7.9000000000000001E-2</v>
      </c>
      <c r="U1020">
        <v>13.452999999999999</v>
      </c>
      <c r="V1020">
        <v>2</v>
      </c>
      <c r="W1020">
        <v>0</v>
      </c>
      <c r="X1020" t="s">
        <v>63</v>
      </c>
      <c r="Y1020">
        <v>0</v>
      </c>
      <c r="Z1020">
        <v>0</v>
      </c>
      <c r="AA1020">
        <v>0</v>
      </c>
      <c r="AB1020" t="s">
        <v>760</v>
      </c>
      <c r="AC1020" t="str">
        <f t="shared" si="30"/>
        <v>US</v>
      </c>
      <c r="AD1020" t="str">
        <f>_xlfn.XLOOKUP(C1020,Mapping!A:A,Mapping!D:D,0,0)</f>
        <v>Remarketing</v>
      </c>
      <c r="AE1020" t="str">
        <f t="shared" si="31"/>
        <v>TJ</v>
      </c>
    </row>
    <row r="1021" spans="1:31" x14ac:dyDescent="0.2">
      <c r="A1021" t="s">
        <v>29</v>
      </c>
      <c r="B1021">
        <v>1013046751</v>
      </c>
      <c r="C1021" t="s">
        <v>1035</v>
      </c>
      <c r="D1021" t="s">
        <v>31</v>
      </c>
      <c r="E1021" t="s">
        <v>246</v>
      </c>
      <c r="F1021" t="s">
        <v>247</v>
      </c>
      <c r="G1021" t="s">
        <v>33</v>
      </c>
      <c r="H1021" t="s">
        <v>41</v>
      </c>
      <c r="I1021" t="s">
        <v>1031</v>
      </c>
      <c r="J1021">
        <v>35</v>
      </c>
      <c r="K1021">
        <v>0</v>
      </c>
      <c r="L1021" t="s">
        <v>36</v>
      </c>
      <c r="M1021" t="s">
        <v>37</v>
      </c>
      <c r="N1021">
        <v>4962</v>
      </c>
      <c r="O1021">
        <v>10</v>
      </c>
      <c r="P1021">
        <v>0.20152999999999999</v>
      </c>
      <c r="Q1021">
        <v>1</v>
      </c>
      <c r="R1021">
        <v>0.08</v>
      </c>
      <c r="S1021">
        <v>1.7000000000000001E-2</v>
      </c>
      <c r="T1021">
        <v>8.0000000000000002E-3</v>
      </c>
      <c r="U1021">
        <v>8.4000000000000005E-2</v>
      </c>
      <c r="V1021">
        <v>2</v>
      </c>
      <c r="W1021">
        <v>0</v>
      </c>
      <c r="X1021" t="s">
        <v>63</v>
      </c>
      <c r="Y1021">
        <v>0</v>
      </c>
      <c r="Z1021">
        <v>0</v>
      </c>
      <c r="AA1021">
        <v>0</v>
      </c>
      <c r="AB1021" t="s">
        <v>760</v>
      </c>
      <c r="AC1021" t="str">
        <f t="shared" si="30"/>
        <v>MX</v>
      </c>
      <c r="AD1021" t="str">
        <f>_xlfn.XLOOKUP(C1021,Mapping!A:A,Mapping!D:D,0,0)</f>
        <v>Remarketing</v>
      </c>
      <c r="AE1021" t="str">
        <f t="shared" si="31"/>
        <v>TJ</v>
      </c>
    </row>
    <row r="1022" spans="1:31" x14ac:dyDescent="0.2">
      <c r="A1022" t="s">
        <v>29</v>
      </c>
      <c r="B1022">
        <v>1013046761</v>
      </c>
      <c r="C1022" t="s">
        <v>1036</v>
      </c>
      <c r="D1022" t="s">
        <v>31</v>
      </c>
      <c r="E1022" t="s">
        <v>246</v>
      </c>
      <c r="F1022" t="s">
        <v>247</v>
      </c>
      <c r="G1022" t="s">
        <v>33</v>
      </c>
      <c r="H1022" t="s">
        <v>41</v>
      </c>
      <c r="I1022" t="s">
        <v>1031</v>
      </c>
      <c r="J1022">
        <v>35</v>
      </c>
      <c r="K1022">
        <v>0</v>
      </c>
      <c r="L1022" t="s">
        <v>36</v>
      </c>
      <c r="M1022" t="s">
        <v>37</v>
      </c>
      <c r="N1022">
        <v>4623</v>
      </c>
      <c r="O1022">
        <v>31</v>
      </c>
      <c r="P1022">
        <v>0.67056000000000004</v>
      </c>
      <c r="Q1022">
        <v>0</v>
      </c>
      <c r="R1022">
        <v>0.47</v>
      </c>
      <c r="S1022">
        <v>0.10299999999999999</v>
      </c>
      <c r="T1022">
        <v>1.4999999999999999E-2</v>
      </c>
      <c r="U1022">
        <v>0</v>
      </c>
      <c r="V1022">
        <v>2</v>
      </c>
      <c r="W1022">
        <v>0</v>
      </c>
      <c r="X1022" t="s">
        <v>63</v>
      </c>
      <c r="Y1022">
        <v>0</v>
      </c>
      <c r="Z1022">
        <v>0</v>
      </c>
      <c r="AA1022">
        <v>0</v>
      </c>
      <c r="AB1022" t="s">
        <v>760</v>
      </c>
      <c r="AC1022" t="str">
        <f t="shared" si="30"/>
        <v>NZ</v>
      </c>
      <c r="AD1022" t="str">
        <f>_xlfn.XLOOKUP(C1022,Mapping!A:A,Mapping!D:D,0,0)</f>
        <v>Remarketing</v>
      </c>
      <c r="AE1022" t="str">
        <f t="shared" si="31"/>
        <v>TJ</v>
      </c>
    </row>
    <row r="1023" spans="1:31" x14ac:dyDescent="0.2">
      <c r="A1023" t="s">
        <v>39</v>
      </c>
      <c r="B1023">
        <v>1013047181</v>
      </c>
      <c r="C1023" t="s">
        <v>1037</v>
      </c>
      <c r="D1023" t="s">
        <v>31</v>
      </c>
      <c r="E1023" t="s">
        <v>246</v>
      </c>
      <c r="F1023" t="s">
        <v>247</v>
      </c>
      <c r="G1023" t="s">
        <v>33</v>
      </c>
      <c r="H1023" t="s">
        <v>41</v>
      </c>
      <c r="I1023" t="s">
        <v>1031</v>
      </c>
      <c r="J1023">
        <v>45</v>
      </c>
      <c r="K1023">
        <v>0</v>
      </c>
      <c r="L1023" t="s">
        <v>63</v>
      </c>
      <c r="M1023">
        <v>25</v>
      </c>
      <c r="N1023">
        <v>85</v>
      </c>
      <c r="O1023">
        <v>0</v>
      </c>
      <c r="P1023">
        <v>0</v>
      </c>
      <c r="Q1023">
        <v>0</v>
      </c>
      <c r="R1023">
        <v>0.01</v>
      </c>
      <c r="S1023">
        <v>0.105</v>
      </c>
      <c r="T1023">
        <v>0</v>
      </c>
      <c r="U1023">
        <v>0</v>
      </c>
      <c r="V1023">
        <v>2</v>
      </c>
      <c r="W1023">
        <v>0</v>
      </c>
      <c r="X1023" t="s">
        <v>63</v>
      </c>
      <c r="Y1023">
        <v>0</v>
      </c>
      <c r="Z1023">
        <v>0</v>
      </c>
      <c r="AA1023">
        <v>0</v>
      </c>
      <c r="AB1023" t="s">
        <v>760</v>
      </c>
      <c r="AC1023" t="str">
        <f t="shared" si="30"/>
        <v>JB</v>
      </c>
      <c r="AD1023" t="str">
        <f>_xlfn.XLOOKUP(C1023,Mapping!A:A,Mapping!D:D,0,0)</f>
        <v>Remarketing</v>
      </c>
      <c r="AE1023" t="str">
        <f t="shared" si="31"/>
        <v>OLD</v>
      </c>
    </row>
    <row r="1024" spans="1:31" x14ac:dyDescent="0.2">
      <c r="A1024" t="s">
        <v>29</v>
      </c>
      <c r="B1024">
        <v>1013050271</v>
      </c>
      <c r="C1024" t="s">
        <v>1038</v>
      </c>
      <c r="D1024" t="s">
        <v>31</v>
      </c>
      <c r="E1024" s="1">
        <v>0.38611111111111113</v>
      </c>
      <c r="F1024" t="s">
        <v>32</v>
      </c>
      <c r="G1024" t="s">
        <v>33</v>
      </c>
      <c r="H1024" t="s">
        <v>41</v>
      </c>
      <c r="I1024" t="s">
        <v>942</v>
      </c>
      <c r="J1024">
        <v>5</v>
      </c>
      <c r="K1024">
        <v>0</v>
      </c>
      <c r="L1024" t="s">
        <v>36</v>
      </c>
      <c r="M1024" t="s">
        <v>37</v>
      </c>
      <c r="N1024">
        <v>160345</v>
      </c>
      <c r="O1024">
        <v>1900</v>
      </c>
      <c r="P1024">
        <v>1.1849400000000001</v>
      </c>
      <c r="Q1024">
        <v>2</v>
      </c>
      <c r="R1024">
        <v>17.64</v>
      </c>
      <c r="S1024">
        <v>0.11</v>
      </c>
      <c r="T1024">
        <v>8.9999999999999993E-3</v>
      </c>
      <c r="U1024">
        <v>8.8190000000000008</v>
      </c>
      <c r="V1024">
        <v>2</v>
      </c>
      <c r="W1024">
        <v>0</v>
      </c>
      <c r="X1024" t="s">
        <v>63</v>
      </c>
      <c r="Y1024">
        <v>160347</v>
      </c>
      <c r="Z1024">
        <v>0</v>
      </c>
      <c r="AA1024">
        <v>1260</v>
      </c>
      <c r="AB1024" t="s">
        <v>60</v>
      </c>
      <c r="AC1024" t="str">
        <f t="shared" si="30"/>
        <v>UA</v>
      </c>
      <c r="AD1024" t="str">
        <f>_xlfn.XLOOKUP(C1024,Mapping!A:A,Mapping!D:D,0,0)</f>
        <v>Shorties</v>
      </c>
      <c r="AE1024" t="str">
        <f t="shared" si="31"/>
        <v>TJ</v>
      </c>
    </row>
    <row r="1025" spans="1:31" x14ac:dyDescent="0.2">
      <c r="A1025" t="s">
        <v>29</v>
      </c>
      <c r="B1025">
        <v>1013050281</v>
      </c>
      <c r="C1025" t="s">
        <v>1039</v>
      </c>
      <c r="D1025" t="s">
        <v>31</v>
      </c>
      <c r="E1025" s="1">
        <v>0.38611111111111113</v>
      </c>
      <c r="F1025" t="s">
        <v>32</v>
      </c>
      <c r="G1025" t="s">
        <v>33</v>
      </c>
      <c r="H1025" t="s">
        <v>41</v>
      </c>
      <c r="I1025" t="s">
        <v>942</v>
      </c>
      <c r="J1025">
        <v>5</v>
      </c>
      <c r="K1025">
        <v>0</v>
      </c>
      <c r="L1025" t="s">
        <v>36</v>
      </c>
      <c r="M1025" t="s">
        <v>37</v>
      </c>
      <c r="N1025">
        <v>179162</v>
      </c>
      <c r="O1025">
        <v>1573</v>
      </c>
      <c r="P1025">
        <v>0.87797999999999998</v>
      </c>
      <c r="Q1025">
        <v>1</v>
      </c>
      <c r="R1025">
        <v>19.71</v>
      </c>
      <c r="S1025">
        <v>0.11</v>
      </c>
      <c r="T1025">
        <v>1.2999999999999999E-2</v>
      </c>
      <c r="U1025">
        <v>19.707999999999998</v>
      </c>
      <c r="V1025">
        <v>2</v>
      </c>
      <c r="W1025">
        <v>0</v>
      </c>
      <c r="X1025" t="s">
        <v>63</v>
      </c>
      <c r="Y1025">
        <v>179169</v>
      </c>
      <c r="Z1025">
        <v>0</v>
      </c>
      <c r="AA1025">
        <v>934</v>
      </c>
      <c r="AB1025" t="s">
        <v>60</v>
      </c>
      <c r="AC1025" t="str">
        <f t="shared" si="30"/>
        <v>PL</v>
      </c>
      <c r="AD1025" t="str">
        <f>_xlfn.XLOOKUP(C1025,Mapping!A:A,Mapping!D:D,0,0)</f>
        <v>Shorties</v>
      </c>
      <c r="AE1025" t="str">
        <f t="shared" si="31"/>
        <v>TJ</v>
      </c>
    </row>
    <row r="1026" spans="1:31" x14ac:dyDescent="0.2">
      <c r="A1026" t="s">
        <v>29</v>
      </c>
      <c r="B1026">
        <v>1013050291</v>
      </c>
      <c r="C1026" t="s">
        <v>1040</v>
      </c>
      <c r="D1026" t="s">
        <v>31</v>
      </c>
      <c r="E1026" s="1">
        <v>0.38611111111111113</v>
      </c>
      <c r="F1026" t="s">
        <v>32</v>
      </c>
      <c r="G1026" t="s">
        <v>33</v>
      </c>
      <c r="H1026" t="s">
        <v>41</v>
      </c>
      <c r="I1026" t="s">
        <v>942</v>
      </c>
      <c r="J1026">
        <v>5</v>
      </c>
      <c r="K1026">
        <v>0</v>
      </c>
      <c r="L1026" t="s">
        <v>36</v>
      </c>
      <c r="M1026" t="s">
        <v>37</v>
      </c>
      <c r="N1026">
        <v>278497</v>
      </c>
      <c r="O1026">
        <v>2094</v>
      </c>
      <c r="P1026">
        <v>0.75188999999999995</v>
      </c>
      <c r="Q1026">
        <v>0</v>
      </c>
      <c r="R1026">
        <v>30.63</v>
      </c>
      <c r="S1026">
        <v>0.11</v>
      </c>
      <c r="T1026">
        <v>1.4999999999999999E-2</v>
      </c>
      <c r="U1026">
        <v>0</v>
      </c>
      <c r="V1026">
        <v>2</v>
      </c>
      <c r="W1026">
        <v>0</v>
      </c>
      <c r="X1026" t="s">
        <v>63</v>
      </c>
      <c r="Y1026">
        <v>278447</v>
      </c>
      <c r="Z1026">
        <v>0</v>
      </c>
      <c r="AA1026">
        <v>981</v>
      </c>
      <c r="AB1026" t="s">
        <v>60</v>
      </c>
      <c r="AC1026" t="str">
        <f t="shared" si="30"/>
        <v>MX</v>
      </c>
      <c r="AD1026" t="str">
        <f>_xlfn.XLOOKUP(C1026,Mapping!A:A,Mapping!D:D,0,0)</f>
        <v>Shorties</v>
      </c>
      <c r="AE1026" t="str">
        <f t="shared" si="31"/>
        <v>TJ</v>
      </c>
    </row>
    <row r="1027" spans="1:31" x14ac:dyDescent="0.2">
      <c r="A1027" t="s">
        <v>29</v>
      </c>
      <c r="B1027">
        <v>1013050301</v>
      </c>
      <c r="C1027" t="s">
        <v>1041</v>
      </c>
      <c r="D1027" t="s">
        <v>31</v>
      </c>
      <c r="E1027" s="1">
        <v>0.38611111111111113</v>
      </c>
      <c r="F1027" t="s">
        <v>32</v>
      </c>
      <c r="G1027" t="s">
        <v>33</v>
      </c>
      <c r="H1027" t="s">
        <v>41</v>
      </c>
      <c r="I1027" t="s">
        <v>942</v>
      </c>
      <c r="J1027">
        <v>5</v>
      </c>
      <c r="K1027">
        <v>0</v>
      </c>
      <c r="L1027" t="s">
        <v>36</v>
      </c>
      <c r="M1027" t="s">
        <v>37</v>
      </c>
      <c r="N1027">
        <v>180920</v>
      </c>
      <c r="O1027">
        <v>1682</v>
      </c>
      <c r="P1027">
        <v>0.92969000000000002</v>
      </c>
      <c r="Q1027">
        <v>0</v>
      </c>
      <c r="R1027">
        <v>19.899999999999999</v>
      </c>
      <c r="S1027">
        <v>0.11</v>
      </c>
      <c r="T1027">
        <v>1.2E-2</v>
      </c>
      <c r="U1027">
        <v>0</v>
      </c>
      <c r="V1027">
        <v>2</v>
      </c>
      <c r="W1027">
        <v>0</v>
      </c>
      <c r="X1027" t="s">
        <v>63</v>
      </c>
      <c r="Y1027">
        <v>180895</v>
      </c>
      <c r="Z1027">
        <v>0</v>
      </c>
      <c r="AA1027">
        <v>1345</v>
      </c>
      <c r="AB1027" t="s">
        <v>60</v>
      </c>
      <c r="AC1027" t="str">
        <f t="shared" ref="AC1027:AC1044" si="32">LEFT(C1027,2)</f>
        <v>PH</v>
      </c>
      <c r="AD1027" t="str">
        <f>_xlfn.XLOOKUP(C1027,Mapping!A:A,Mapping!D:D,0,0)</f>
        <v>Shorties</v>
      </c>
      <c r="AE1027" t="str">
        <f t="shared" ref="AE1027:AE1044" si="33">IFERROR(IF(SEARCH("_TJ",C1027)&gt;0,"TJ",NA()),IFERROR(IF(SEARCH("_JB",C1027)&gt;0,"JB",NA()),"OLD"))</f>
        <v>TJ</v>
      </c>
    </row>
    <row r="1028" spans="1:31" x14ac:dyDescent="0.2">
      <c r="A1028" t="s">
        <v>29</v>
      </c>
      <c r="B1028">
        <v>1013050311</v>
      </c>
      <c r="C1028" t="s">
        <v>1042</v>
      </c>
      <c r="D1028" t="s">
        <v>31</v>
      </c>
      <c r="E1028" s="1">
        <v>0.38611111111111113</v>
      </c>
      <c r="F1028" t="s">
        <v>32</v>
      </c>
      <c r="G1028" t="s">
        <v>33</v>
      </c>
      <c r="H1028" t="s">
        <v>41</v>
      </c>
      <c r="I1028" t="s">
        <v>942</v>
      </c>
      <c r="J1028">
        <v>5</v>
      </c>
      <c r="K1028">
        <v>0</v>
      </c>
      <c r="L1028" t="s">
        <v>36</v>
      </c>
      <c r="M1028" t="s">
        <v>37</v>
      </c>
      <c r="N1028">
        <v>129747</v>
      </c>
      <c r="O1028">
        <v>1150</v>
      </c>
      <c r="P1028">
        <v>0.88634000000000002</v>
      </c>
      <c r="Q1028">
        <v>1</v>
      </c>
      <c r="R1028">
        <v>14.27</v>
      </c>
      <c r="S1028">
        <v>0.11</v>
      </c>
      <c r="T1028">
        <v>1.2E-2</v>
      </c>
      <c r="U1028">
        <v>14.272</v>
      </c>
      <c r="V1028">
        <v>2</v>
      </c>
      <c r="W1028">
        <v>0</v>
      </c>
      <c r="X1028" t="s">
        <v>63</v>
      </c>
      <c r="Y1028">
        <v>129748</v>
      </c>
      <c r="Z1028">
        <v>0</v>
      </c>
      <c r="AA1028">
        <v>593</v>
      </c>
      <c r="AB1028" t="s">
        <v>60</v>
      </c>
      <c r="AC1028" t="str">
        <f t="shared" si="32"/>
        <v>AR</v>
      </c>
      <c r="AD1028" t="str">
        <f>_xlfn.XLOOKUP(C1028,Mapping!A:A,Mapping!D:D,0,0)</f>
        <v>Shorties</v>
      </c>
      <c r="AE1028" t="str">
        <f t="shared" si="33"/>
        <v>TJ</v>
      </c>
    </row>
    <row r="1029" spans="1:31" x14ac:dyDescent="0.2">
      <c r="A1029" t="s">
        <v>29</v>
      </c>
      <c r="B1029">
        <v>1013050321</v>
      </c>
      <c r="C1029" t="s">
        <v>1043</v>
      </c>
      <c r="D1029" t="s">
        <v>31</v>
      </c>
      <c r="E1029" s="1">
        <v>0.38611111111111113</v>
      </c>
      <c r="F1029" t="s">
        <v>32</v>
      </c>
      <c r="G1029" t="s">
        <v>33</v>
      </c>
      <c r="H1029" t="s">
        <v>41</v>
      </c>
      <c r="I1029" t="s">
        <v>942</v>
      </c>
      <c r="J1029">
        <v>5</v>
      </c>
      <c r="K1029">
        <v>0</v>
      </c>
      <c r="L1029" t="s">
        <v>36</v>
      </c>
      <c r="M1029" t="s">
        <v>37</v>
      </c>
      <c r="N1029">
        <v>139873</v>
      </c>
      <c r="O1029">
        <v>1265</v>
      </c>
      <c r="P1029">
        <v>0.90439000000000003</v>
      </c>
      <c r="Q1029">
        <v>3</v>
      </c>
      <c r="R1029">
        <v>15.39</v>
      </c>
      <c r="S1029">
        <v>0.11</v>
      </c>
      <c r="T1029">
        <v>1.2E-2</v>
      </c>
      <c r="U1029">
        <v>5.1289999999999996</v>
      </c>
      <c r="V1029">
        <v>2</v>
      </c>
      <c r="W1029">
        <v>0</v>
      </c>
      <c r="X1029" t="s">
        <v>63</v>
      </c>
      <c r="Y1029">
        <v>139879</v>
      </c>
      <c r="Z1029">
        <v>0</v>
      </c>
      <c r="AA1029">
        <v>856</v>
      </c>
      <c r="AB1029" t="s">
        <v>60</v>
      </c>
      <c r="AC1029" t="str">
        <f t="shared" si="32"/>
        <v>DE</v>
      </c>
      <c r="AD1029" t="str">
        <f>_xlfn.XLOOKUP(C1029,Mapping!A:A,Mapping!D:D,0,0)</f>
        <v>Shorties</v>
      </c>
      <c r="AE1029" t="str">
        <f t="shared" si="33"/>
        <v>TJ</v>
      </c>
    </row>
    <row r="1030" spans="1:31" x14ac:dyDescent="0.2">
      <c r="A1030" t="s">
        <v>29</v>
      </c>
      <c r="B1030">
        <v>1013050331</v>
      </c>
      <c r="C1030" t="s">
        <v>1044</v>
      </c>
      <c r="D1030" t="s">
        <v>31</v>
      </c>
      <c r="E1030" s="1">
        <v>0.38611111111111113</v>
      </c>
      <c r="F1030" t="s">
        <v>32</v>
      </c>
      <c r="G1030" t="s">
        <v>33</v>
      </c>
      <c r="H1030" t="s">
        <v>41</v>
      </c>
      <c r="I1030" t="s">
        <v>942</v>
      </c>
      <c r="J1030">
        <v>5</v>
      </c>
      <c r="K1030">
        <v>0</v>
      </c>
      <c r="L1030" t="s">
        <v>36</v>
      </c>
      <c r="M1030" t="s">
        <v>37</v>
      </c>
      <c r="N1030">
        <v>126127</v>
      </c>
      <c r="O1030">
        <v>1187</v>
      </c>
      <c r="P1030">
        <v>0.94111</v>
      </c>
      <c r="Q1030">
        <v>0</v>
      </c>
      <c r="R1030">
        <v>13.87</v>
      </c>
      <c r="S1030">
        <v>0.11</v>
      </c>
      <c r="T1030">
        <v>1.2E-2</v>
      </c>
      <c r="U1030">
        <v>0</v>
      </c>
      <c r="V1030">
        <v>2</v>
      </c>
      <c r="W1030">
        <v>0</v>
      </c>
      <c r="X1030" t="s">
        <v>63</v>
      </c>
      <c r="Y1030">
        <v>126097</v>
      </c>
      <c r="Z1030">
        <v>0</v>
      </c>
      <c r="AA1030">
        <v>650</v>
      </c>
      <c r="AB1030" t="s">
        <v>60</v>
      </c>
      <c r="AC1030" t="str">
        <f t="shared" si="32"/>
        <v>CO</v>
      </c>
      <c r="AD1030" t="str">
        <f>_xlfn.XLOOKUP(C1030,Mapping!A:A,Mapping!D:D,0,0)</f>
        <v>Shorties</v>
      </c>
      <c r="AE1030" t="str">
        <f t="shared" si="33"/>
        <v>TJ</v>
      </c>
    </row>
    <row r="1031" spans="1:31" x14ac:dyDescent="0.2">
      <c r="A1031" t="s">
        <v>29</v>
      </c>
      <c r="B1031">
        <v>1013050341</v>
      </c>
      <c r="C1031" t="s">
        <v>1045</v>
      </c>
      <c r="D1031" t="s">
        <v>31</v>
      </c>
      <c r="E1031" s="1">
        <v>0.38611111111111113</v>
      </c>
      <c r="F1031" t="s">
        <v>32</v>
      </c>
      <c r="G1031" t="s">
        <v>33</v>
      </c>
      <c r="H1031" t="s">
        <v>41</v>
      </c>
      <c r="I1031" t="s">
        <v>942</v>
      </c>
      <c r="J1031">
        <v>5</v>
      </c>
      <c r="K1031">
        <v>0</v>
      </c>
      <c r="L1031" t="s">
        <v>36</v>
      </c>
      <c r="M1031" t="s">
        <v>37</v>
      </c>
      <c r="N1031">
        <v>100652</v>
      </c>
      <c r="O1031">
        <v>869</v>
      </c>
      <c r="P1031">
        <v>0.86336999999999997</v>
      </c>
      <c r="Q1031">
        <v>0</v>
      </c>
      <c r="R1031">
        <v>11.07</v>
      </c>
      <c r="S1031">
        <v>0.11</v>
      </c>
      <c r="T1031">
        <v>1.2999999999999999E-2</v>
      </c>
      <c r="U1031">
        <v>0</v>
      </c>
      <c r="V1031">
        <v>2</v>
      </c>
      <c r="W1031">
        <v>0</v>
      </c>
      <c r="X1031" t="s">
        <v>63</v>
      </c>
      <c r="Y1031">
        <v>100625</v>
      </c>
      <c r="Z1031">
        <v>0</v>
      </c>
      <c r="AA1031">
        <v>493</v>
      </c>
      <c r="AB1031" t="s">
        <v>60</v>
      </c>
      <c r="AC1031" t="str">
        <f t="shared" si="32"/>
        <v>CL</v>
      </c>
      <c r="AD1031" t="str">
        <f>_xlfn.XLOOKUP(C1031,Mapping!A:A,Mapping!D:D,0,0)</f>
        <v>Shorties</v>
      </c>
      <c r="AE1031" t="str">
        <f t="shared" si="33"/>
        <v>TJ</v>
      </c>
    </row>
    <row r="1032" spans="1:31" x14ac:dyDescent="0.2">
      <c r="A1032" t="s">
        <v>29</v>
      </c>
      <c r="B1032">
        <v>1013050371</v>
      </c>
      <c r="C1032" t="s">
        <v>1046</v>
      </c>
      <c r="D1032" t="s">
        <v>31</v>
      </c>
      <c r="E1032" s="1">
        <v>0.38611111111111113</v>
      </c>
      <c r="F1032" t="s">
        <v>32</v>
      </c>
      <c r="G1032" t="s">
        <v>33</v>
      </c>
      <c r="H1032" t="s">
        <v>41</v>
      </c>
      <c r="I1032" t="s">
        <v>942</v>
      </c>
      <c r="J1032">
        <v>5</v>
      </c>
      <c r="K1032">
        <v>0</v>
      </c>
      <c r="L1032" t="s">
        <v>36</v>
      </c>
      <c r="M1032" t="s">
        <v>37</v>
      </c>
      <c r="N1032">
        <v>94670</v>
      </c>
      <c r="O1032">
        <v>443</v>
      </c>
      <c r="P1032">
        <v>0.46794000000000002</v>
      </c>
      <c r="Q1032">
        <v>0</v>
      </c>
      <c r="R1032">
        <v>38.81</v>
      </c>
      <c r="S1032">
        <v>0.41</v>
      </c>
      <c r="T1032">
        <v>8.7999999999999995E-2</v>
      </c>
      <c r="U1032">
        <v>0</v>
      </c>
      <c r="V1032">
        <v>2</v>
      </c>
      <c r="W1032">
        <v>0</v>
      </c>
      <c r="X1032" t="s">
        <v>63</v>
      </c>
      <c r="Y1032">
        <v>94678</v>
      </c>
      <c r="Z1032">
        <v>0</v>
      </c>
      <c r="AA1032">
        <v>237</v>
      </c>
      <c r="AB1032" t="s">
        <v>60</v>
      </c>
      <c r="AC1032" t="str">
        <f t="shared" si="32"/>
        <v>AU</v>
      </c>
      <c r="AD1032" t="str">
        <f>_xlfn.XLOOKUP(C1032,Mapping!A:A,Mapping!D:D,0,0)</f>
        <v>Shorties</v>
      </c>
      <c r="AE1032" t="str">
        <f t="shared" si="33"/>
        <v>TJ</v>
      </c>
    </row>
    <row r="1033" spans="1:31" x14ac:dyDescent="0.2">
      <c r="A1033" t="s">
        <v>29</v>
      </c>
      <c r="B1033">
        <v>1013050381</v>
      </c>
      <c r="C1033" t="s">
        <v>1047</v>
      </c>
      <c r="D1033" t="s">
        <v>31</v>
      </c>
      <c r="E1033" s="1">
        <v>0.38611111111111113</v>
      </c>
      <c r="F1033" t="s">
        <v>32</v>
      </c>
      <c r="G1033" t="s">
        <v>33</v>
      </c>
      <c r="H1033" t="s">
        <v>41</v>
      </c>
      <c r="I1033" t="s">
        <v>942</v>
      </c>
      <c r="J1033">
        <v>5</v>
      </c>
      <c r="K1033">
        <v>0</v>
      </c>
      <c r="L1033" t="s">
        <v>36</v>
      </c>
      <c r="M1033" t="s">
        <v>37</v>
      </c>
      <c r="N1033">
        <v>128646</v>
      </c>
      <c r="O1033">
        <v>1264</v>
      </c>
      <c r="P1033">
        <v>0.98253999999999997</v>
      </c>
      <c r="Q1033">
        <v>0</v>
      </c>
      <c r="R1033">
        <v>16.72</v>
      </c>
      <c r="S1033">
        <v>0.13</v>
      </c>
      <c r="T1033">
        <v>1.2999999999999999E-2</v>
      </c>
      <c r="U1033">
        <v>0</v>
      </c>
      <c r="V1033">
        <v>2</v>
      </c>
      <c r="W1033">
        <v>0</v>
      </c>
      <c r="X1033" t="s">
        <v>63</v>
      </c>
      <c r="Y1033">
        <v>128648</v>
      </c>
      <c r="Z1033">
        <v>0</v>
      </c>
      <c r="AA1033">
        <v>722</v>
      </c>
      <c r="AB1033" t="s">
        <v>60</v>
      </c>
      <c r="AC1033" t="str">
        <f t="shared" si="32"/>
        <v>NL</v>
      </c>
      <c r="AD1033" t="str">
        <f>_xlfn.XLOOKUP(C1033,Mapping!A:A,Mapping!D:D,0,0)</f>
        <v>Shorties</v>
      </c>
      <c r="AE1033" t="str">
        <f t="shared" si="33"/>
        <v>TJ</v>
      </c>
    </row>
    <row r="1034" spans="1:31" x14ac:dyDescent="0.2">
      <c r="A1034" t="s">
        <v>29</v>
      </c>
      <c r="B1034">
        <v>1013054421</v>
      </c>
      <c r="C1034" t="s">
        <v>1048</v>
      </c>
      <c r="D1034" t="s">
        <v>31</v>
      </c>
      <c r="E1034" t="s">
        <v>246</v>
      </c>
      <c r="F1034" t="s">
        <v>247</v>
      </c>
      <c r="G1034" t="s">
        <v>33</v>
      </c>
      <c r="H1034" t="s">
        <v>34</v>
      </c>
      <c r="I1034" t="s">
        <v>1031</v>
      </c>
      <c r="J1034">
        <v>42</v>
      </c>
      <c r="K1034">
        <v>0</v>
      </c>
      <c r="L1034" t="s">
        <v>36</v>
      </c>
      <c r="M1034" t="s">
        <v>37</v>
      </c>
      <c r="N1034">
        <v>26595</v>
      </c>
      <c r="O1034">
        <v>95</v>
      </c>
      <c r="P1034">
        <v>0.35721000000000003</v>
      </c>
      <c r="Q1034">
        <v>0</v>
      </c>
      <c r="R1034">
        <v>2.76</v>
      </c>
      <c r="S1034">
        <v>0.104</v>
      </c>
      <c r="T1034">
        <v>2.9000000000000001E-2</v>
      </c>
      <c r="U1034">
        <v>0</v>
      </c>
      <c r="V1034">
        <v>2</v>
      </c>
      <c r="W1034">
        <v>0</v>
      </c>
      <c r="X1034" t="s">
        <v>63</v>
      </c>
      <c r="Y1034">
        <v>0</v>
      </c>
      <c r="Z1034">
        <v>0</v>
      </c>
      <c r="AA1034">
        <v>0</v>
      </c>
      <c r="AB1034" t="s">
        <v>760</v>
      </c>
      <c r="AC1034" t="str">
        <f t="shared" si="32"/>
        <v>US</v>
      </c>
      <c r="AD1034" t="str">
        <f>_xlfn.XLOOKUP(C1034,Mapping!A:A,Mapping!D:D,0,0)</f>
        <v>Remarketing</v>
      </c>
      <c r="AE1034" t="str">
        <f t="shared" si="33"/>
        <v>TJ</v>
      </c>
    </row>
    <row r="1035" spans="1:31" x14ac:dyDescent="0.2">
      <c r="A1035" t="s">
        <v>29</v>
      </c>
      <c r="B1035">
        <v>1013054431</v>
      </c>
      <c r="C1035" t="s">
        <v>1049</v>
      </c>
      <c r="D1035" t="s">
        <v>31</v>
      </c>
      <c r="E1035" t="s">
        <v>246</v>
      </c>
      <c r="F1035" t="s">
        <v>247</v>
      </c>
      <c r="G1035" t="s">
        <v>33</v>
      </c>
      <c r="H1035" t="s">
        <v>34</v>
      </c>
      <c r="I1035" t="s">
        <v>1031</v>
      </c>
      <c r="J1035">
        <v>42</v>
      </c>
      <c r="K1035">
        <v>0</v>
      </c>
      <c r="L1035" t="s">
        <v>36</v>
      </c>
      <c r="M1035" t="s">
        <v>37</v>
      </c>
      <c r="N1035">
        <v>8873</v>
      </c>
      <c r="O1035">
        <v>20</v>
      </c>
      <c r="P1035">
        <v>0.22539999999999999</v>
      </c>
      <c r="Q1035">
        <v>0</v>
      </c>
      <c r="R1035">
        <v>0.76</v>
      </c>
      <c r="S1035">
        <v>8.5000000000000006E-2</v>
      </c>
      <c r="T1035">
        <v>3.7999999999999999E-2</v>
      </c>
      <c r="U1035">
        <v>0</v>
      </c>
      <c r="V1035">
        <v>2</v>
      </c>
      <c r="W1035">
        <v>0</v>
      </c>
      <c r="X1035" t="s">
        <v>63</v>
      </c>
      <c r="Y1035">
        <v>0</v>
      </c>
      <c r="Z1035">
        <v>0</v>
      </c>
      <c r="AA1035">
        <v>0</v>
      </c>
      <c r="AB1035" t="s">
        <v>760</v>
      </c>
      <c r="AC1035" t="str">
        <f t="shared" si="32"/>
        <v>CA</v>
      </c>
      <c r="AD1035" t="str">
        <f>_xlfn.XLOOKUP(C1035,Mapping!A:A,Mapping!D:D,0,0)</f>
        <v>Remarketing</v>
      </c>
      <c r="AE1035" t="str">
        <f t="shared" si="33"/>
        <v>TJ</v>
      </c>
    </row>
    <row r="1036" spans="1:31" x14ac:dyDescent="0.2">
      <c r="A1036" t="s">
        <v>29</v>
      </c>
      <c r="B1036">
        <v>1013054441</v>
      </c>
      <c r="C1036" t="s">
        <v>1050</v>
      </c>
      <c r="D1036" t="s">
        <v>31</v>
      </c>
      <c r="E1036" t="s">
        <v>246</v>
      </c>
      <c r="F1036" t="s">
        <v>247</v>
      </c>
      <c r="G1036" t="s">
        <v>33</v>
      </c>
      <c r="H1036" t="s">
        <v>34</v>
      </c>
      <c r="I1036" t="s">
        <v>1031</v>
      </c>
      <c r="J1036">
        <v>42</v>
      </c>
      <c r="K1036">
        <v>0</v>
      </c>
      <c r="L1036" t="s">
        <v>36</v>
      </c>
      <c r="M1036" t="s">
        <v>37</v>
      </c>
      <c r="N1036">
        <v>3215</v>
      </c>
      <c r="O1036">
        <v>9</v>
      </c>
      <c r="P1036">
        <v>0.27994000000000002</v>
      </c>
      <c r="Q1036">
        <v>0</v>
      </c>
      <c r="R1036">
        <v>0.56000000000000005</v>
      </c>
      <c r="S1036">
        <v>0.17499999999999999</v>
      </c>
      <c r="T1036">
        <v>6.2E-2</v>
      </c>
      <c r="U1036">
        <v>0</v>
      </c>
      <c r="V1036">
        <v>2</v>
      </c>
      <c r="W1036">
        <v>0</v>
      </c>
      <c r="X1036" t="s">
        <v>63</v>
      </c>
      <c r="Y1036">
        <v>0</v>
      </c>
      <c r="Z1036">
        <v>0</v>
      </c>
      <c r="AA1036">
        <v>0</v>
      </c>
      <c r="AB1036" t="s">
        <v>760</v>
      </c>
      <c r="AC1036" t="str">
        <f t="shared" si="32"/>
        <v>UK</v>
      </c>
      <c r="AD1036" t="str">
        <f>_xlfn.XLOOKUP(C1036,Mapping!A:A,Mapping!D:D,0,0)</f>
        <v>Remarketing</v>
      </c>
      <c r="AE1036" t="str">
        <f t="shared" si="33"/>
        <v>TJ</v>
      </c>
    </row>
    <row r="1037" spans="1:31" x14ac:dyDescent="0.2">
      <c r="A1037" t="s">
        <v>29</v>
      </c>
      <c r="B1037">
        <v>1013054451</v>
      </c>
      <c r="C1037" t="s">
        <v>1051</v>
      </c>
      <c r="D1037" t="s">
        <v>31</v>
      </c>
      <c r="E1037" t="s">
        <v>246</v>
      </c>
      <c r="F1037" t="s">
        <v>247</v>
      </c>
      <c r="G1037" t="s">
        <v>33</v>
      </c>
      <c r="H1037" t="s">
        <v>34</v>
      </c>
      <c r="I1037" t="s">
        <v>1031</v>
      </c>
      <c r="J1037">
        <v>42</v>
      </c>
      <c r="K1037">
        <v>0</v>
      </c>
      <c r="L1037" t="s">
        <v>36</v>
      </c>
      <c r="M1037" t="s">
        <v>37</v>
      </c>
      <c r="N1037">
        <v>3722</v>
      </c>
      <c r="O1037">
        <v>19</v>
      </c>
      <c r="P1037">
        <v>0.51048000000000004</v>
      </c>
      <c r="Q1037">
        <v>0</v>
      </c>
      <c r="R1037">
        <v>0.32</v>
      </c>
      <c r="S1037">
        <v>8.5000000000000006E-2</v>
      </c>
      <c r="T1037">
        <v>1.7000000000000001E-2</v>
      </c>
      <c r="U1037">
        <v>0</v>
      </c>
      <c r="V1037">
        <v>2</v>
      </c>
      <c r="W1037">
        <v>0</v>
      </c>
      <c r="X1037" t="s">
        <v>63</v>
      </c>
      <c r="Y1037">
        <v>0</v>
      </c>
      <c r="Z1037">
        <v>0</v>
      </c>
      <c r="AA1037">
        <v>0</v>
      </c>
      <c r="AB1037" t="s">
        <v>760</v>
      </c>
      <c r="AC1037" t="str">
        <f t="shared" si="32"/>
        <v>AU</v>
      </c>
      <c r="AD1037" t="str">
        <f>_xlfn.XLOOKUP(C1037,Mapping!A:A,Mapping!D:D,0,0)</f>
        <v>Remarketing</v>
      </c>
      <c r="AE1037" t="str">
        <f t="shared" si="33"/>
        <v>TJ</v>
      </c>
    </row>
    <row r="1038" spans="1:31" x14ac:dyDescent="0.2">
      <c r="A1038" t="s">
        <v>29</v>
      </c>
      <c r="B1038">
        <v>1013054461</v>
      </c>
      <c r="C1038" t="s">
        <v>1052</v>
      </c>
      <c r="D1038" t="s">
        <v>31</v>
      </c>
      <c r="E1038" t="s">
        <v>246</v>
      </c>
      <c r="F1038" t="s">
        <v>247</v>
      </c>
      <c r="G1038" t="s">
        <v>33</v>
      </c>
      <c r="H1038" t="s">
        <v>34</v>
      </c>
      <c r="I1038" t="s">
        <v>1031</v>
      </c>
      <c r="J1038">
        <v>42</v>
      </c>
      <c r="K1038">
        <v>0</v>
      </c>
      <c r="L1038" t="s">
        <v>36</v>
      </c>
      <c r="M1038" t="s">
        <v>37</v>
      </c>
      <c r="N1038">
        <v>769</v>
      </c>
      <c r="O1038">
        <v>2</v>
      </c>
      <c r="P1038">
        <v>0.26007000000000002</v>
      </c>
      <c r="Q1038">
        <v>0</v>
      </c>
      <c r="R1038">
        <v>0.01</v>
      </c>
      <c r="S1038">
        <v>1.6E-2</v>
      </c>
      <c r="T1038">
        <v>6.0000000000000001E-3</v>
      </c>
      <c r="U1038">
        <v>0</v>
      </c>
      <c r="V1038">
        <v>2</v>
      </c>
      <c r="W1038">
        <v>0</v>
      </c>
      <c r="X1038" t="s">
        <v>63</v>
      </c>
      <c r="Y1038">
        <v>0</v>
      </c>
      <c r="Z1038">
        <v>0</v>
      </c>
      <c r="AA1038">
        <v>0</v>
      </c>
      <c r="AB1038" t="s">
        <v>760</v>
      </c>
      <c r="AC1038" t="str">
        <f t="shared" si="32"/>
        <v>MX</v>
      </c>
      <c r="AD1038" t="str">
        <f>_xlfn.XLOOKUP(C1038,Mapping!A:A,Mapping!D:D,0,0)</f>
        <v>Remarketing</v>
      </c>
      <c r="AE1038" t="str">
        <f t="shared" si="33"/>
        <v>TJ</v>
      </c>
    </row>
    <row r="1039" spans="1:31" x14ac:dyDescent="0.2">
      <c r="A1039" t="s">
        <v>29</v>
      </c>
      <c r="B1039">
        <v>1013054471</v>
      </c>
      <c r="C1039" t="s">
        <v>1053</v>
      </c>
      <c r="D1039" t="s">
        <v>31</v>
      </c>
      <c r="E1039" t="s">
        <v>246</v>
      </c>
      <c r="F1039" t="s">
        <v>247</v>
      </c>
      <c r="G1039" t="s">
        <v>33</v>
      </c>
      <c r="H1039" t="s">
        <v>34</v>
      </c>
      <c r="I1039" t="s">
        <v>1031</v>
      </c>
      <c r="J1039">
        <v>42</v>
      </c>
      <c r="K1039">
        <v>0</v>
      </c>
      <c r="L1039" t="s">
        <v>36</v>
      </c>
      <c r="M1039" t="s">
        <v>37</v>
      </c>
      <c r="N1039">
        <v>676</v>
      </c>
      <c r="O1039">
        <v>2</v>
      </c>
      <c r="P1039">
        <v>0.29586000000000001</v>
      </c>
      <c r="Q1039">
        <v>0</v>
      </c>
      <c r="R1039">
        <v>0.04</v>
      </c>
      <c r="S1039">
        <v>6.5000000000000002E-2</v>
      </c>
      <c r="T1039">
        <v>2.1999999999999999E-2</v>
      </c>
      <c r="U1039">
        <v>0</v>
      </c>
      <c r="V1039">
        <v>2</v>
      </c>
      <c r="W1039">
        <v>0</v>
      </c>
      <c r="X1039" t="s">
        <v>63</v>
      </c>
      <c r="Y1039">
        <v>0</v>
      </c>
      <c r="Z1039">
        <v>0</v>
      </c>
      <c r="AA1039">
        <v>0</v>
      </c>
      <c r="AB1039" t="s">
        <v>760</v>
      </c>
      <c r="AC1039" t="str">
        <f t="shared" si="32"/>
        <v>NZ</v>
      </c>
      <c r="AD1039" t="str">
        <f>_xlfn.XLOOKUP(C1039,Mapping!A:A,Mapping!D:D,0,0)</f>
        <v>Remarketing</v>
      </c>
      <c r="AE1039" t="str">
        <f t="shared" si="33"/>
        <v>TJ</v>
      </c>
    </row>
    <row r="1040" spans="1:31" x14ac:dyDescent="0.2">
      <c r="A1040" t="s">
        <v>29</v>
      </c>
      <c r="B1040">
        <v>1013054541</v>
      </c>
      <c r="C1040" t="s">
        <v>1054</v>
      </c>
      <c r="D1040" t="s">
        <v>31</v>
      </c>
      <c r="E1040" s="1">
        <v>0.67291666666666672</v>
      </c>
      <c r="F1040" t="s">
        <v>32</v>
      </c>
      <c r="G1040" t="s">
        <v>33</v>
      </c>
      <c r="H1040" t="s">
        <v>737</v>
      </c>
      <c r="I1040" t="s">
        <v>84</v>
      </c>
      <c r="J1040">
        <v>126</v>
      </c>
      <c r="K1040">
        <v>0</v>
      </c>
      <c r="L1040" t="s">
        <v>36</v>
      </c>
      <c r="M1040" t="s">
        <v>37</v>
      </c>
      <c r="N1040">
        <v>6500</v>
      </c>
      <c r="O1040">
        <v>507</v>
      </c>
      <c r="P1040">
        <v>7.8</v>
      </c>
      <c r="Q1040">
        <v>0</v>
      </c>
      <c r="R1040">
        <v>14.6</v>
      </c>
      <c r="S1040">
        <v>2.246</v>
      </c>
      <c r="T1040">
        <v>2.9000000000000001E-2</v>
      </c>
      <c r="U1040">
        <v>0</v>
      </c>
      <c r="V1040">
        <v>2</v>
      </c>
      <c r="W1040">
        <v>0</v>
      </c>
      <c r="X1040" t="s">
        <v>63</v>
      </c>
      <c r="Y1040">
        <v>6500</v>
      </c>
      <c r="Z1040">
        <v>5791</v>
      </c>
      <c r="AA1040">
        <v>406</v>
      </c>
      <c r="AB1040" t="s">
        <v>760</v>
      </c>
      <c r="AC1040" t="str">
        <f t="shared" si="32"/>
        <v>US</v>
      </c>
      <c r="AD1040" t="str">
        <f>_xlfn.XLOOKUP(C1040,Mapping!A:A,Mapping!D:D,0,0)</f>
        <v>Remarketing</v>
      </c>
      <c r="AE1040" t="str">
        <f t="shared" si="33"/>
        <v>TJ</v>
      </c>
    </row>
    <row r="1041" spans="1:31" x14ac:dyDescent="0.2">
      <c r="A1041" t="s">
        <v>29</v>
      </c>
      <c r="B1041">
        <v>1013054571</v>
      </c>
      <c r="C1041" t="s">
        <v>1055</v>
      </c>
      <c r="D1041" t="s">
        <v>31</v>
      </c>
      <c r="E1041" t="s">
        <v>246</v>
      </c>
      <c r="F1041" t="s">
        <v>247</v>
      </c>
      <c r="G1041" t="s">
        <v>33</v>
      </c>
      <c r="H1041" t="s">
        <v>41</v>
      </c>
      <c r="I1041" t="s">
        <v>58</v>
      </c>
      <c r="J1041">
        <v>23</v>
      </c>
      <c r="K1041">
        <v>0</v>
      </c>
      <c r="L1041" t="s">
        <v>36</v>
      </c>
      <c r="M1041" t="s">
        <v>37</v>
      </c>
      <c r="N1041">
        <v>8036</v>
      </c>
      <c r="O1041">
        <v>77</v>
      </c>
      <c r="P1041">
        <v>0.95818999999999999</v>
      </c>
      <c r="Q1041">
        <v>0</v>
      </c>
      <c r="R1041">
        <v>2.56</v>
      </c>
      <c r="S1041">
        <v>0.318</v>
      </c>
      <c r="T1041">
        <v>3.3000000000000002E-2</v>
      </c>
      <c r="U1041">
        <v>0</v>
      </c>
      <c r="V1041">
        <v>1</v>
      </c>
      <c r="W1041">
        <v>0</v>
      </c>
      <c r="X1041" t="s">
        <v>36</v>
      </c>
      <c r="Y1041">
        <v>0</v>
      </c>
      <c r="Z1041">
        <v>0</v>
      </c>
      <c r="AA1041">
        <v>0</v>
      </c>
      <c r="AB1041" t="s">
        <v>760</v>
      </c>
      <c r="AC1041" t="str">
        <f t="shared" si="32"/>
        <v>US</v>
      </c>
      <c r="AD1041" t="str">
        <f>_xlfn.XLOOKUP(C1041,Mapping!A:A,Mapping!D:D,0,0)</f>
        <v>Remarketing</v>
      </c>
      <c r="AE1041" t="str">
        <f t="shared" si="33"/>
        <v>TJ</v>
      </c>
    </row>
    <row r="1042" spans="1:31" x14ac:dyDescent="0.2">
      <c r="A1042" t="s">
        <v>39</v>
      </c>
      <c r="B1042">
        <v>1013059081</v>
      </c>
      <c r="C1042" t="s">
        <v>1056</v>
      </c>
      <c r="D1042" t="s">
        <v>31</v>
      </c>
      <c r="E1042" t="s">
        <v>671</v>
      </c>
      <c r="F1042" t="s">
        <v>247</v>
      </c>
      <c r="G1042" t="s">
        <v>33</v>
      </c>
      <c r="H1042" t="s">
        <v>34</v>
      </c>
      <c r="I1042" t="s">
        <v>942</v>
      </c>
      <c r="J1042">
        <v>30</v>
      </c>
      <c r="K1042">
        <v>0</v>
      </c>
      <c r="L1042" t="s">
        <v>36</v>
      </c>
      <c r="M1042" t="s">
        <v>37</v>
      </c>
      <c r="N1042">
        <v>0</v>
      </c>
      <c r="O1042">
        <v>0</v>
      </c>
      <c r="P1042">
        <v>0</v>
      </c>
      <c r="R1042">
        <v>0</v>
      </c>
      <c r="S1042">
        <v>0</v>
      </c>
      <c r="T1042">
        <v>0</v>
      </c>
      <c r="U1042">
        <v>0</v>
      </c>
      <c r="V1042">
        <v>2</v>
      </c>
      <c r="W1042">
        <v>0</v>
      </c>
      <c r="X1042" t="s">
        <v>63</v>
      </c>
      <c r="AB1042" t="s">
        <v>687</v>
      </c>
      <c r="AC1042" t="str">
        <f t="shared" si="32"/>
        <v>US</v>
      </c>
      <c r="AD1042" t="str">
        <f>_xlfn.XLOOKUP(C1042,Mapping!A:A,Mapping!D:D,0,0)</f>
        <v>General</v>
      </c>
      <c r="AE1042" t="str">
        <f t="shared" si="33"/>
        <v>TJ</v>
      </c>
    </row>
    <row r="1043" spans="1:31" x14ac:dyDescent="0.2">
      <c r="A1043" t="s">
        <v>39</v>
      </c>
      <c r="B1043">
        <v>1013059101</v>
      </c>
      <c r="C1043" t="s">
        <v>1057</v>
      </c>
      <c r="D1043" t="s">
        <v>31</v>
      </c>
      <c r="E1043" t="s">
        <v>671</v>
      </c>
      <c r="F1043" t="s">
        <v>247</v>
      </c>
      <c r="G1043" t="s">
        <v>33</v>
      </c>
      <c r="H1043" t="s">
        <v>41</v>
      </c>
      <c r="I1043" t="s">
        <v>942</v>
      </c>
      <c r="J1043">
        <v>6</v>
      </c>
      <c r="K1043">
        <v>0</v>
      </c>
      <c r="L1043" t="s">
        <v>36</v>
      </c>
      <c r="M1043" t="s">
        <v>37</v>
      </c>
      <c r="N1043">
        <v>0</v>
      </c>
      <c r="O1043">
        <v>0</v>
      </c>
      <c r="P1043">
        <v>0</v>
      </c>
      <c r="R1043">
        <v>0</v>
      </c>
      <c r="S1043">
        <v>0</v>
      </c>
      <c r="T1043">
        <v>0</v>
      </c>
      <c r="U1043">
        <v>0</v>
      </c>
      <c r="V1043">
        <v>2</v>
      </c>
      <c r="W1043">
        <v>0</v>
      </c>
      <c r="X1043" t="s">
        <v>63</v>
      </c>
      <c r="AB1043" t="s">
        <v>687</v>
      </c>
      <c r="AC1043" t="str">
        <f t="shared" si="32"/>
        <v>MX</v>
      </c>
      <c r="AD1043" t="str">
        <f>_xlfn.XLOOKUP(C1043,Mapping!A:A,Mapping!D:D,0,0)</f>
        <v>General</v>
      </c>
      <c r="AE1043" t="str">
        <f t="shared" si="33"/>
        <v>TJ</v>
      </c>
    </row>
    <row r="1044" spans="1:31" x14ac:dyDescent="0.2">
      <c r="A1044" t="s">
        <v>39</v>
      </c>
      <c r="B1044">
        <v>1013059151</v>
      </c>
      <c r="C1044" t="s">
        <v>1058</v>
      </c>
      <c r="D1044" t="s">
        <v>31</v>
      </c>
      <c r="E1044" t="s">
        <v>671</v>
      </c>
      <c r="F1044" t="s">
        <v>247</v>
      </c>
      <c r="G1044" t="s">
        <v>33</v>
      </c>
      <c r="H1044" t="s">
        <v>41</v>
      </c>
      <c r="I1044" t="s">
        <v>942</v>
      </c>
      <c r="J1044">
        <v>6</v>
      </c>
      <c r="K1044">
        <v>0</v>
      </c>
      <c r="L1044" t="s">
        <v>36</v>
      </c>
      <c r="M1044" t="s">
        <v>37</v>
      </c>
      <c r="N1044">
        <v>0</v>
      </c>
      <c r="O1044">
        <v>0</v>
      </c>
      <c r="P1044">
        <v>0</v>
      </c>
      <c r="R1044">
        <v>0</v>
      </c>
      <c r="S1044">
        <v>0</v>
      </c>
      <c r="T1044">
        <v>0</v>
      </c>
      <c r="U1044">
        <v>0</v>
      </c>
      <c r="V1044">
        <v>2</v>
      </c>
      <c r="W1044">
        <v>0</v>
      </c>
      <c r="X1044" t="s">
        <v>63</v>
      </c>
      <c r="AB1044" t="s">
        <v>687</v>
      </c>
      <c r="AC1044" t="str">
        <f t="shared" si="32"/>
        <v>BR</v>
      </c>
      <c r="AD1044" t="str">
        <f>_xlfn.XLOOKUP(C1044,Mapping!A:A,Mapping!D:D,0,0)</f>
        <v>General</v>
      </c>
      <c r="AE1044" t="str">
        <f t="shared" si="33"/>
        <v>TJ</v>
      </c>
    </row>
  </sheetData>
  <autoFilter ref="A1:AD1044" xr:uid="{09E68F86-FC54-5742-B80E-9101F39552E9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FFDD-70EE-FE46-BC8E-2FEBB2ACD5D1}">
  <dimension ref="A1:D1044"/>
  <sheetViews>
    <sheetView workbookViewId="0">
      <selection activeCell="D951" sqref="D951"/>
    </sheetView>
  </sheetViews>
  <sheetFormatPr baseColWidth="10" defaultRowHeight="16" x14ac:dyDescent="0.2"/>
  <cols>
    <col min="1" max="1" width="50" customWidth="1"/>
    <col min="2" max="2" width="10.83203125" style="6"/>
    <col min="3" max="3" width="10.6640625" customWidth="1"/>
  </cols>
  <sheetData>
    <row r="1" spans="1:4" x14ac:dyDescent="0.2">
      <c r="A1" t="s">
        <v>2</v>
      </c>
      <c r="B1" s="6" t="s">
        <v>17</v>
      </c>
      <c r="C1" t="s">
        <v>27</v>
      </c>
      <c r="D1" t="s">
        <v>1063</v>
      </c>
    </row>
    <row r="2" spans="1:4" x14ac:dyDescent="0.2">
      <c r="A2" t="s">
        <v>1021</v>
      </c>
      <c r="B2" s="6">
        <v>8209.7999999999993</v>
      </c>
      <c r="C2" t="s">
        <v>760</v>
      </c>
      <c r="D2" t="s">
        <v>760</v>
      </c>
    </row>
    <row r="3" spans="1:4" x14ac:dyDescent="0.2">
      <c r="A3" t="s">
        <v>896</v>
      </c>
      <c r="B3" s="6">
        <v>6626.33</v>
      </c>
      <c r="C3" t="s">
        <v>687</v>
      </c>
      <c r="D3" t="s">
        <v>1064</v>
      </c>
    </row>
    <row r="4" spans="1:4" x14ac:dyDescent="0.2">
      <c r="A4" t="s">
        <v>877</v>
      </c>
      <c r="B4" s="6">
        <v>6028.95</v>
      </c>
      <c r="C4" t="s">
        <v>849</v>
      </c>
      <c r="D4" t="s">
        <v>849</v>
      </c>
    </row>
    <row r="5" spans="1:4" x14ac:dyDescent="0.2">
      <c r="A5" t="s">
        <v>931</v>
      </c>
      <c r="B5" s="6">
        <v>5794.67</v>
      </c>
      <c r="C5" t="s">
        <v>348</v>
      </c>
      <c r="D5" t="s">
        <v>1068</v>
      </c>
    </row>
    <row r="6" spans="1:4" x14ac:dyDescent="0.2">
      <c r="A6" t="s">
        <v>961</v>
      </c>
      <c r="B6" s="6">
        <v>5741.07</v>
      </c>
      <c r="C6" t="s">
        <v>687</v>
      </c>
      <c r="D6" t="s">
        <v>1064</v>
      </c>
    </row>
    <row r="7" spans="1:4" x14ac:dyDescent="0.2">
      <c r="A7" t="s">
        <v>739</v>
      </c>
      <c r="B7" s="6">
        <v>4254.79</v>
      </c>
      <c r="C7" t="s">
        <v>303</v>
      </c>
      <c r="D7" t="s">
        <v>1068</v>
      </c>
    </row>
    <row r="8" spans="1:4" x14ac:dyDescent="0.2">
      <c r="A8" t="s">
        <v>950</v>
      </c>
      <c r="B8" s="6">
        <v>3294.01</v>
      </c>
      <c r="C8" t="s">
        <v>946</v>
      </c>
      <c r="D8" t="s">
        <v>946</v>
      </c>
    </row>
    <row r="9" spans="1:4" x14ac:dyDescent="0.2">
      <c r="A9" t="s">
        <v>921</v>
      </c>
      <c r="B9" s="6">
        <v>3227.23</v>
      </c>
      <c r="C9" t="s">
        <v>919</v>
      </c>
      <c r="D9" t="s">
        <v>1069</v>
      </c>
    </row>
    <row r="10" spans="1:4" x14ac:dyDescent="0.2">
      <c r="A10" t="s">
        <v>881</v>
      </c>
      <c r="B10" s="6">
        <v>3003.46</v>
      </c>
      <c r="C10" t="s">
        <v>687</v>
      </c>
      <c r="D10" t="s">
        <v>1064</v>
      </c>
    </row>
    <row r="11" spans="1:4" x14ac:dyDescent="0.2">
      <c r="A11" t="s">
        <v>1011</v>
      </c>
      <c r="B11" s="6">
        <v>2990.22</v>
      </c>
      <c r="C11" t="s">
        <v>687</v>
      </c>
      <c r="D11" t="s">
        <v>1065</v>
      </c>
    </row>
    <row r="12" spans="1:4" x14ac:dyDescent="0.2">
      <c r="A12" t="s">
        <v>974</v>
      </c>
      <c r="B12" s="6">
        <v>2989.78</v>
      </c>
      <c r="C12" t="s">
        <v>687</v>
      </c>
      <c r="D12" t="s">
        <v>1066</v>
      </c>
    </row>
    <row r="13" spans="1:4" x14ac:dyDescent="0.2">
      <c r="A13" t="s">
        <v>966</v>
      </c>
      <c r="B13" s="6">
        <v>2870.98</v>
      </c>
      <c r="C13" t="s">
        <v>687</v>
      </c>
      <c r="D13" t="s">
        <v>1069</v>
      </c>
    </row>
    <row r="14" spans="1:4" x14ac:dyDescent="0.2">
      <c r="A14" t="s">
        <v>869</v>
      </c>
      <c r="B14" s="6">
        <v>2684.56</v>
      </c>
      <c r="C14" t="s">
        <v>849</v>
      </c>
      <c r="D14" t="s">
        <v>849</v>
      </c>
    </row>
    <row r="15" spans="1:4" x14ac:dyDescent="0.2">
      <c r="A15" t="s">
        <v>947</v>
      </c>
      <c r="B15" s="6">
        <v>2482.63</v>
      </c>
      <c r="C15" t="s">
        <v>789</v>
      </c>
      <c r="D15" t="s">
        <v>789</v>
      </c>
    </row>
    <row r="16" spans="1:4" x14ac:dyDescent="0.2">
      <c r="A16" t="s">
        <v>895</v>
      </c>
      <c r="B16" s="6">
        <v>2475.5500000000002</v>
      </c>
      <c r="C16" t="s">
        <v>618</v>
      </c>
      <c r="D16" t="s">
        <v>618</v>
      </c>
    </row>
    <row r="17" spans="1:4" x14ac:dyDescent="0.2">
      <c r="A17" t="s">
        <v>920</v>
      </c>
      <c r="B17" s="6">
        <v>2433.5700000000002</v>
      </c>
      <c r="C17" t="s">
        <v>919</v>
      </c>
      <c r="D17" t="s">
        <v>1070</v>
      </c>
    </row>
    <row r="18" spans="1:4" x14ac:dyDescent="0.2">
      <c r="A18" t="s">
        <v>907</v>
      </c>
      <c r="B18" s="6">
        <v>2396.11</v>
      </c>
      <c r="C18" t="s">
        <v>618</v>
      </c>
      <c r="D18" t="s">
        <v>618</v>
      </c>
    </row>
    <row r="19" spans="1:4" x14ac:dyDescent="0.2">
      <c r="A19" t="s">
        <v>882</v>
      </c>
      <c r="B19" s="6">
        <v>1985.27</v>
      </c>
      <c r="C19" t="s">
        <v>687</v>
      </c>
      <c r="D19" t="s">
        <v>1064</v>
      </c>
    </row>
    <row r="20" spans="1:4" x14ac:dyDescent="0.2">
      <c r="A20" t="s">
        <v>932</v>
      </c>
      <c r="B20" s="6">
        <v>1983.37</v>
      </c>
      <c r="C20" t="s">
        <v>933</v>
      </c>
      <c r="D20" t="s">
        <v>1068</v>
      </c>
    </row>
    <row r="21" spans="1:4" x14ac:dyDescent="0.2">
      <c r="A21" t="s">
        <v>926</v>
      </c>
      <c r="B21" s="6">
        <v>1906.98</v>
      </c>
      <c r="C21" t="s">
        <v>783</v>
      </c>
      <c r="D21" t="s">
        <v>1068</v>
      </c>
    </row>
    <row r="22" spans="1:4" x14ac:dyDescent="0.2">
      <c r="A22" t="s">
        <v>897</v>
      </c>
      <c r="B22" s="6">
        <v>1838.67</v>
      </c>
      <c r="C22" t="s">
        <v>687</v>
      </c>
      <c r="D22" t="s">
        <v>1064</v>
      </c>
    </row>
    <row r="23" spans="1:4" x14ac:dyDescent="0.2">
      <c r="A23" t="s">
        <v>945</v>
      </c>
      <c r="B23" s="6">
        <v>1821.94</v>
      </c>
      <c r="C23" t="s">
        <v>946</v>
      </c>
      <c r="D23" t="s">
        <v>946</v>
      </c>
    </row>
    <row r="24" spans="1:4" x14ac:dyDescent="0.2">
      <c r="A24" t="s">
        <v>774</v>
      </c>
      <c r="B24" s="6">
        <v>1818.17</v>
      </c>
      <c r="C24" t="s">
        <v>60</v>
      </c>
      <c r="D24" t="s">
        <v>60</v>
      </c>
    </row>
    <row r="25" spans="1:4" x14ac:dyDescent="0.2">
      <c r="A25" t="s">
        <v>904</v>
      </c>
      <c r="B25" s="6">
        <v>1804.2</v>
      </c>
      <c r="C25" t="s">
        <v>618</v>
      </c>
      <c r="D25" t="s">
        <v>618</v>
      </c>
    </row>
    <row r="26" spans="1:4" x14ac:dyDescent="0.2">
      <c r="A26" t="s">
        <v>1009</v>
      </c>
      <c r="B26" s="6">
        <v>1780.63</v>
      </c>
      <c r="C26" t="s">
        <v>687</v>
      </c>
      <c r="D26" t="s">
        <v>1065</v>
      </c>
    </row>
    <row r="27" spans="1:4" x14ac:dyDescent="0.2">
      <c r="A27" t="s">
        <v>968</v>
      </c>
      <c r="B27" s="6">
        <v>1780.44</v>
      </c>
      <c r="C27" t="s">
        <v>687</v>
      </c>
      <c r="D27" t="s">
        <v>1066</v>
      </c>
    </row>
    <row r="28" spans="1:4" x14ac:dyDescent="0.2">
      <c r="A28" t="s">
        <v>905</v>
      </c>
      <c r="B28" s="6">
        <v>1680.48</v>
      </c>
      <c r="C28" t="s">
        <v>618</v>
      </c>
      <c r="D28" t="s">
        <v>618</v>
      </c>
    </row>
    <row r="29" spans="1:4" x14ac:dyDescent="0.2">
      <c r="A29" t="s">
        <v>941</v>
      </c>
      <c r="B29" s="6">
        <v>1676.54</v>
      </c>
      <c r="C29" t="s">
        <v>60</v>
      </c>
      <c r="D29" t="s">
        <v>60</v>
      </c>
    </row>
    <row r="30" spans="1:4" x14ac:dyDescent="0.2">
      <c r="A30" t="s">
        <v>908</v>
      </c>
      <c r="B30" s="6">
        <v>1670.67</v>
      </c>
      <c r="C30" t="s">
        <v>618</v>
      </c>
      <c r="D30" t="s">
        <v>618</v>
      </c>
    </row>
    <row r="31" spans="1:4" x14ac:dyDescent="0.2">
      <c r="A31" t="s">
        <v>899</v>
      </c>
      <c r="B31" s="6">
        <v>1629.76</v>
      </c>
      <c r="C31" t="s">
        <v>900</v>
      </c>
      <c r="D31" t="s">
        <v>1068</v>
      </c>
    </row>
    <row r="32" spans="1:4" x14ac:dyDescent="0.2">
      <c r="A32" t="s">
        <v>927</v>
      </c>
      <c r="B32" s="6">
        <v>1591.8</v>
      </c>
      <c r="C32" t="s">
        <v>783</v>
      </c>
      <c r="D32" t="s">
        <v>1068</v>
      </c>
    </row>
    <row r="33" spans="1:4" x14ac:dyDescent="0.2">
      <c r="A33" t="s">
        <v>848</v>
      </c>
      <c r="B33" s="6">
        <v>1559.05</v>
      </c>
      <c r="C33" t="s">
        <v>849</v>
      </c>
      <c r="D33" t="s">
        <v>849</v>
      </c>
    </row>
    <row r="34" spans="1:4" x14ac:dyDescent="0.2">
      <c r="A34" t="s">
        <v>906</v>
      </c>
      <c r="B34" s="6">
        <v>1535.48</v>
      </c>
      <c r="C34" t="s">
        <v>618</v>
      </c>
      <c r="D34" t="s">
        <v>618</v>
      </c>
    </row>
    <row r="35" spans="1:4" x14ac:dyDescent="0.2">
      <c r="A35" t="s">
        <v>866</v>
      </c>
      <c r="B35" s="6">
        <v>1493.51</v>
      </c>
      <c r="C35" t="s">
        <v>849</v>
      </c>
      <c r="D35" t="s">
        <v>849</v>
      </c>
    </row>
    <row r="36" spans="1:4" x14ac:dyDescent="0.2">
      <c r="A36" t="s">
        <v>972</v>
      </c>
      <c r="B36" s="6">
        <v>1428.16</v>
      </c>
      <c r="C36" t="s">
        <v>687</v>
      </c>
      <c r="D36" t="s">
        <v>1070</v>
      </c>
    </row>
    <row r="37" spans="1:4" x14ac:dyDescent="0.2">
      <c r="A37" t="s">
        <v>963</v>
      </c>
      <c r="B37" s="6">
        <v>1422.93</v>
      </c>
      <c r="C37" t="s">
        <v>687</v>
      </c>
      <c r="D37" t="s">
        <v>1064</v>
      </c>
    </row>
    <row r="38" spans="1:4" x14ac:dyDescent="0.2">
      <c r="A38" t="s">
        <v>970</v>
      </c>
      <c r="B38" s="6">
        <v>1392.43</v>
      </c>
      <c r="C38" t="s">
        <v>687</v>
      </c>
      <c r="D38" t="s">
        <v>1070</v>
      </c>
    </row>
    <row r="39" spans="1:4" x14ac:dyDescent="0.2">
      <c r="A39" t="s">
        <v>962</v>
      </c>
      <c r="B39" s="6">
        <v>1376.19</v>
      </c>
      <c r="C39" t="s">
        <v>687</v>
      </c>
      <c r="D39" t="s">
        <v>1064</v>
      </c>
    </row>
    <row r="40" spans="1:4" x14ac:dyDescent="0.2">
      <c r="A40" t="s">
        <v>976</v>
      </c>
      <c r="B40" s="6">
        <v>1335.47</v>
      </c>
      <c r="C40" t="s">
        <v>687</v>
      </c>
      <c r="D40" t="s">
        <v>1066</v>
      </c>
    </row>
    <row r="41" spans="1:4" x14ac:dyDescent="0.2">
      <c r="A41" t="s">
        <v>157</v>
      </c>
      <c r="B41" s="6">
        <v>1320.1</v>
      </c>
      <c r="C41" t="s">
        <v>158</v>
      </c>
      <c r="D41" t="s">
        <v>1068</v>
      </c>
    </row>
    <row r="42" spans="1:4" x14ac:dyDescent="0.2">
      <c r="A42" t="s">
        <v>973</v>
      </c>
      <c r="B42" s="6">
        <v>1157.28</v>
      </c>
      <c r="C42" t="s">
        <v>687</v>
      </c>
      <c r="D42" t="s">
        <v>1070</v>
      </c>
    </row>
    <row r="43" spans="1:4" x14ac:dyDescent="0.2">
      <c r="A43" t="s">
        <v>934</v>
      </c>
      <c r="B43" s="6">
        <v>1129.73</v>
      </c>
      <c r="C43" t="s">
        <v>933</v>
      </c>
      <c r="D43" t="s">
        <v>1068</v>
      </c>
    </row>
    <row r="44" spans="1:4" x14ac:dyDescent="0.2">
      <c r="A44" t="s">
        <v>979</v>
      </c>
      <c r="B44" s="6">
        <v>1091.8399999999999</v>
      </c>
      <c r="C44" t="s">
        <v>687</v>
      </c>
      <c r="D44" t="s">
        <v>1066</v>
      </c>
    </row>
    <row r="45" spans="1:4" x14ac:dyDescent="0.2">
      <c r="A45" t="s">
        <v>903</v>
      </c>
      <c r="B45" s="6">
        <v>1068.28</v>
      </c>
      <c r="C45" t="s">
        <v>618</v>
      </c>
      <c r="D45" t="s">
        <v>618</v>
      </c>
    </row>
    <row r="46" spans="1:4" x14ac:dyDescent="0.2">
      <c r="A46" t="s">
        <v>876</v>
      </c>
      <c r="B46" s="6">
        <v>946.55</v>
      </c>
      <c r="C46" t="s">
        <v>849</v>
      </c>
      <c r="D46" t="s">
        <v>849</v>
      </c>
    </row>
    <row r="47" spans="1:4" x14ac:dyDescent="0.2">
      <c r="A47" t="s">
        <v>655</v>
      </c>
      <c r="B47" s="6">
        <v>909.68</v>
      </c>
      <c r="C47" t="s">
        <v>618</v>
      </c>
      <c r="D47" t="s">
        <v>618</v>
      </c>
    </row>
    <row r="48" spans="1:4" x14ac:dyDescent="0.2">
      <c r="A48" t="s">
        <v>901</v>
      </c>
      <c r="B48" s="6">
        <v>896.52</v>
      </c>
      <c r="C48" t="s">
        <v>900</v>
      </c>
      <c r="D48" t="s">
        <v>1068</v>
      </c>
    </row>
    <row r="49" spans="1:4" x14ac:dyDescent="0.2">
      <c r="A49" t="s">
        <v>902</v>
      </c>
      <c r="B49" s="6">
        <v>869.13</v>
      </c>
      <c r="C49" t="s">
        <v>900</v>
      </c>
      <c r="D49" t="s">
        <v>1068</v>
      </c>
    </row>
    <row r="50" spans="1:4" x14ac:dyDescent="0.2">
      <c r="A50" t="s">
        <v>969</v>
      </c>
      <c r="B50" s="6">
        <v>869.07</v>
      </c>
      <c r="C50" t="s">
        <v>687</v>
      </c>
      <c r="D50" t="s">
        <v>1066</v>
      </c>
    </row>
    <row r="51" spans="1:4" x14ac:dyDescent="0.2">
      <c r="A51" t="s">
        <v>1007</v>
      </c>
      <c r="B51" s="6">
        <v>869.04</v>
      </c>
      <c r="C51" t="s">
        <v>687</v>
      </c>
      <c r="D51" t="s">
        <v>1065</v>
      </c>
    </row>
    <row r="52" spans="1:4" x14ac:dyDescent="0.2">
      <c r="A52" t="s">
        <v>1013</v>
      </c>
      <c r="B52" s="6">
        <v>869.04</v>
      </c>
      <c r="C52" t="s">
        <v>687</v>
      </c>
      <c r="D52" t="s">
        <v>1064</v>
      </c>
    </row>
    <row r="53" spans="1:4" x14ac:dyDescent="0.2">
      <c r="A53" t="s">
        <v>971</v>
      </c>
      <c r="B53" s="6">
        <v>868.85</v>
      </c>
      <c r="C53" t="s">
        <v>687</v>
      </c>
      <c r="D53" t="s">
        <v>1066</v>
      </c>
    </row>
    <row r="54" spans="1:4" x14ac:dyDescent="0.2">
      <c r="A54" t="s">
        <v>996</v>
      </c>
      <c r="B54" s="6">
        <v>856.24</v>
      </c>
      <c r="C54" t="s">
        <v>687</v>
      </c>
      <c r="D54" t="s">
        <v>1066</v>
      </c>
    </row>
    <row r="55" spans="1:4" x14ac:dyDescent="0.2">
      <c r="A55" t="s">
        <v>647</v>
      </c>
      <c r="B55" s="6">
        <v>835.61</v>
      </c>
      <c r="C55" t="s">
        <v>618</v>
      </c>
      <c r="D55" t="s">
        <v>618</v>
      </c>
    </row>
    <row r="56" spans="1:4" x14ac:dyDescent="0.2">
      <c r="A56" t="s">
        <v>873</v>
      </c>
      <c r="B56" s="6">
        <v>820.24</v>
      </c>
      <c r="C56" t="s">
        <v>849</v>
      </c>
      <c r="D56" t="s">
        <v>849</v>
      </c>
    </row>
    <row r="57" spans="1:4" x14ac:dyDescent="0.2">
      <c r="A57" t="s">
        <v>595</v>
      </c>
      <c r="B57" s="6">
        <v>810.1</v>
      </c>
      <c r="C57" t="s">
        <v>348</v>
      </c>
      <c r="D57" t="s">
        <v>1068</v>
      </c>
    </row>
    <row r="58" spans="1:4" x14ac:dyDescent="0.2">
      <c r="A58" t="s">
        <v>977</v>
      </c>
      <c r="B58" s="6">
        <v>793.26</v>
      </c>
      <c r="C58" t="s">
        <v>687</v>
      </c>
      <c r="D58" t="s">
        <v>1070</v>
      </c>
    </row>
    <row r="59" spans="1:4" x14ac:dyDescent="0.2">
      <c r="A59" t="s">
        <v>648</v>
      </c>
      <c r="B59" s="6">
        <v>778.91</v>
      </c>
      <c r="C59" t="s">
        <v>618</v>
      </c>
      <c r="D59" t="s">
        <v>618</v>
      </c>
    </row>
    <row r="60" spans="1:4" x14ac:dyDescent="0.2">
      <c r="A60" t="s">
        <v>906</v>
      </c>
      <c r="B60" s="6">
        <v>764.42</v>
      </c>
      <c r="C60" t="s">
        <v>618</v>
      </c>
      <c r="D60" t="s">
        <v>618</v>
      </c>
    </row>
    <row r="61" spans="1:4" x14ac:dyDescent="0.2">
      <c r="A61" t="s">
        <v>898</v>
      </c>
      <c r="B61" s="6">
        <v>764.22</v>
      </c>
      <c r="C61" t="s">
        <v>884</v>
      </c>
      <c r="D61" t="s">
        <v>1068</v>
      </c>
    </row>
    <row r="62" spans="1:4" x14ac:dyDescent="0.2">
      <c r="A62" t="s">
        <v>967</v>
      </c>
      <c r="B62" s="6">
        <v>757.13</v>
      </c>
      <c r="C62" t="s">
        <v>687</v>
      </c>
      <c r="D62" t="s">
        <v>1070</v>
      </c>
    </row>
    <row r="63" spans="1:4" x14ac:dyDescent="0.2">
      <c r="A63" t="s">
        <v>983</v>
      </c>
      <c r="B63" s="6">
        <v>727.52</v>
      </c>
      <c r="C63" t="s">
        <v>687</v>
      </c>
      <c r="D63" t="s">
        <v>1066</v>
      </c>
    </row>
    <row r="64" spans="1:4" x14ac:dyDescent="0.2">
      <c r="A64" t="s">
        <v>758</v>
      </c>
      <c r="B64" s="6">
        <v>709.35</v>
      </c>
      <c r="C64" t="s">
        <v>760</v>
      </c>
      <c r="D64" t="s">
        <v>760</v>
      </c>
    </row>
    <row r="65" spans="1:4" x14ac:dyDescent="0.2">
      <c r="A65" t="s">
        <v>935</v>
      </c>
      <c r="B65" s="6">
        <v>693.57</v>
      </c>
      <c r="C65" t="s">
        <v>933</v>
      </c>
      <c r="D65" t="s">
        <v>1068</v>
      </c>
    </row>
    <row r="66" spans="1:4" x14ac:dyDescent="0.2">
      <c r="A66" t="s">
        <v>943</v>
      </c>
      <c r="B66" s="6">
        <v>690.45</v>
      </c>
      <c r="C66" t="s">
        <v>38</v>
      </c>
      <c r="D66" t="s">
        <v>38</v>
      </c>
    </row>
    <row r="67" spans="1:4" x14ac:dyDescent="0.2">
      <c r="A67" t="s">
        <v>1028</v>
      </c>
      <c r="B67" s="6">
        <v>690.21</v>
      </c>
      <c r="C67" t="s">
        <v>687</v>
      </c>
      <c r="D67" t="s">
        <v>1070</v>
      </c>
    </row>
    <row r="68" spans="1:4" x14ac:dyDescent="0.2">
      <c r="A68" t="s">
        <v>354</v>
      </c>
      <c r="B68" s="6">
        <v>688.9</v>
      </c>
      <c r="C68" t="s">
        <v>348</v>
      </c>
      <c r="D68" t="s">
        <v>1068</v>
      </c>
    </row>
    <row r="69" spans="1:4" x14ac:dyDescent="0.2">
      <c r="A69" t="s">
        <v>992</v>
      </c>
      <c r="B69" s="6">
        <v>667.48</v>
      </c>
      <c r="C69" t="s">
        <v>687</v>
      </c>
      <c r="D69" t="s">
        <v>1066</v>
      </c>
    </row>
    <row r="70" spans="1:4" x14ac:dyDescent="0.2">
      <c r="A70" t="s">
        <v>948</v>
      </c>
      <c r="B70" s="6">
        <v>663.51</v>
      </c>
      <c r="C70" t="s">
        <v>789</v>
      </c>
      <c r="D70" t="s">
        <v>789</v>
      </c>
    </row>
    <row r="71" spans="1:4" x14ac:dyDescent="0.2">
      <c r="A71" t="s">
        <v>990</v>
      </c>
      <c r="B71" s="6">
        <v>659.8</v>
      </c>
      <c r="C71" t="s">
        <v>687</v>
      </c>
      <c r="D71" t="s">
        <v>1066</v>
      </c>
    </row>
    <row r="72" spans="1:4" x14ac:dyDescent="0.2">
      <c r="A72" t="s">
        <v>123</v>
      </c>
      <c r="B72" s="6">
        <v>654.46</v>
      </c>
      <c r="C72" t="s">
        <v>789</v>
      </c>
      <c r="D72" t="s">
        <v>789</v>
      </c>
    </row>
    <row r="73" spans="1:4" x14ac:dyDescent="0.2">
      <c r="A73" t="s">
        <v>995</v>
      </c>
      <c r="B73" s="6">
        <v>632.61</v>
      </c>
      <c r="C73" t="s">
        <v>687</v>
      </c>
      <c r="D73" t="s">
        <v>1066</v>
      </c>
    </row>
    <row r="74" spans="1:4" x14ac:dyDescent="0.2">
      <c r="A74" t="s">
        <v>994</v>
      </c>
      <c r="B74" s="6">
        <v>627.21</v>
      </c>
      <c r="C74" t="s">
        <v>687</v>
      </c>
      <c r="D74" t="s">
        <v>1066</v>
      </c>
    </row>
    <row r="75" spans="1:4" x14ac:dyDescent="0.2">
      <c r="A75" t="s">
        <v>644</v>
      </c>
      <c r="B75" s="6">
        <v>625.13</v>
      </c>
      <c r="C75" t="s">
        <v>618</v>
      </c>
      <c r="D75" t="s">
        <v>618</v>
      </c>
    </row>
    <row r="76" spans="1:4" x14ac:dyDescent="0.2">
      <c r="A76" t="s">
        <v>984</v>
      </c>
      <c r="B76" s="6">
        <v>618.26</v>
      </c>
      <c r="C76" t="s">
        <v>687</v>
      </c>
      <c r="D76" t="s">
        <v>1070</v>
      </c>
    </row>
    <row r="77" spans="1:4" x14ac:dyDescent="0.2">
      <c r="A77" t="s">
        <v>407</v>
      </c>
      <c r="B77" s="6">
        <v>600.91999999999996</v>
      </c>
      <c r="C77" t="s">
        <v>401</v>
      </c>
      <c r="D77" t="s">
        <v>1068</v>
      </c>
    </row>
    <row r="78" spans="1:4" x14ac:dyDescent="0.2">
      <c r="A78" t="s">
        <v>993</v>
      </c>
      <c r="B78" s="6">
        <v>556.22</v>
      </c>
      <c r="C78" t="s">
        <v>687</v>
      </c>
      <c r="D78" t="s">
        <v>1066</v>
      </c>
    </row>
    <row r="79" spans="1:4" x14ac:dyDescent="0.2">
      <c r="A79" t="s">
        <v>980</v>
      </c>
      <c r="B79" s="6">
        <v>535.6</v>
      </c>
      <c r="C79" t="s">
        <v>687</v>
      </c>
      <c r="D79" t="s">
        <v>1070</v>
      </c>
    </row>
    <row r="80" spans="1:4" x14ac:dyDescent="0.2">
      <c r="A80" t="s">
        <v>351</v>
      </c>
      <c r="B80" s="6">
        <v>530.15</v>
      </c>
      <c r="C80" t="s">
        <v>348</v>
      </c>
      <c r="D80" t="s">
        <v>1068</v>
      </c>
    </row>
    <row r="81" spans="1:4" x14ac:dyDescent="0.2">
      <c r="A81" t="s">
        <v>431</v>
      </c>
      <c r="B81" s="6">
        <v>498.37</v>
      </c>
      <c r="C81" t="s">
        <v>423</v>
      </c>
      <c r="D81" t="s">
        <v>789</v>
      </c>
    </row>
    <row r="82" spans="1:4" x14ac:dyDescent="0.2">
      <c r="A82" t="s">
        <v>986</v>
      </c>
      <c r="B82" s="6">
        <v>493.58</v>
      </c>
      <c r="C82" t="s">
        <v>687</v>
      </c>
      <c r="D82" t="s">
        <v>1070</v>
      </c>
    </row>
    <row r="83" spans="1:4" x14ac:dyDescent="0.2">
      <c r="A83" t="s">
        <v>508</v>
      </c>
      <c r="B83" s="6">
        <v>493.52</v>
      </c>
      <c r="C83" t="s">
        <v>484</v>
      </c>
      <c r="D83" t="s">
        <v>1068</v>
      </c>
    </row>
    <row r="84" spans="1:4" x14ac:dyDescent="0.2">
      <c r="A84" t="s">
        <v>985</v>
      </c>
      <c r="B84" s="6">
        <v>492.53</v>
      </c>
      <c r="C84" t="s">
        <v>687</v>
      </c>
      <c r="D84" t="s">
        <v>1070</v>
      </c>
    </row>
    <row r="85" spans="1:4" x14ac:dyDescent="0.2">
      <c r="A85" t="s">
        <v>929</v>
      </c>
      <c r="B85" s="6">
        <v>485.6</v>
      </c>
      <c r="C85" t="s">
        <v>348</v>
      </c>
      <c r="D85" t="s">
        <v>1068</v>
      </c>
    </row>
    <row r="86" spans="1:4" x14ac:dyDescent="0.2">
      <c r="A86" t="s">
        <v>656</v>
      </c>
      <c r="B86" s="6">
        <v>483.06</v>
      </c>
      <c r="C86" t="s">
        <v>618</v>
      </c>
      <c r="D86" t="s">
        <v>618</v>
      </c>
    </row>
    <row r="87" spans="1:4" x14ac:dyDescent="0.2">
      <c r="A87" t="s">
        <v>928</v>
      </c>
      <c r="B87" s="6">
        <v>478.45</v>
      </c>
      <c r="C87" t="s">
        <v>348</v>
      </c>
      <c r="D87" t="s">
        <v>1068</v>
      </c>
    </row>
    <row r="88" spans="1:4" x14ac:dyDescent="0.2">
      <c r="A88" t="s">
        <v>918</v>
      </c>
      <c r="B88" s="6">
        <v>471.67</v>
      </c>
      <c r="C88" t="s">
        <v>919</v>
      </c>
      <c r="D88" t="s">
        <v>1069</v>
      </c>
    </row>
    <row r="89" spans="1:4" x14ac:dyDescent="0.2">
      <c r="A89" t="s">
        <v>925</v>
      </c>
      <c r="B89" s="6">
        <v>466.44</v>
      </c>
      <c r="C89" t="s">
        <v>783</v>
      </c>
      <c r="D89" t="s">
        <v>1068</v>
      </c>
    </row>
    <row r="90" spans="1:4" x14ac:dyDescent="0.2">
      <c r="A90" t="s">
        <v>982</v>
      </c>
      <c r="B90" s="6">
        <v>462.01</v>
      </c>
      <c r="C90" t="s">
        <v>687</v>
      </c>
      <c r="D90" t="s">
        <v>1070</v>
      </c>
    </row>
    <row r="91" spans="1:4" x14ac:dyDescent="0.2">
      <c r="A91" t="s">
        <v>662</v>
      </c>
      <c r="B91" s="6">
        <v>456.61</v>
      </c>
      <c r="C91" t="s">
        <v>618</v>
      </c>
      <c r="D91" t="s">
        <v>618</v>
      </c>
    </row>
    <row r="92" spans="1:4" x14ac:dyDescent="0.2">
      <c r="A92" t="s">
        <v>998</v>
      </c>
      <c r="B92" s="6">
        <v>443.59</v>
      </c>
      <c r="C92" t="s">
        <v>687</v>
      </c>
      <c r="D92" t="s">
        <v>1066</v>
      </c>
    </row>
    <row r="93" spans="1:4" x14ac:dyDescent="0.2">
      <c r="A93" t="s">
        <v>624</v>
      </c>
      <c r="B93" s="6">
        <v>443.17</v>
      </c>
      <c r="C93" t="s">
        <v>96</v>
      </c>
      <c r="D93" t="s">
        <v>1068</v>
      </c>
    </row>
    <row r="94" spans="1:4" x14ac:dyDescent="0.2">
      <c r="A94" t="s">
        <v>673</v>
      </c>
      <c r="B94" s="6">
        <v>440.88</v>
      </c>
      <c r="C94" t="s">
        <v>618</v>
      </c>
      <c r="D94" t="s">
        <v>618</v>
      </c>
    </row>
    <row r="95" spans="1:4" x14ac:dyDescent="0.2">
      <c r="A95" t="s">
        <v>868</v>
      </c>
      <c r="B95" s="6">
        <v>433.98</v>
      </c>
      <c r="C95" t="s">
        <v>849</v>
      </c>
      <c r="D95" t="s">
        <v>849</v>
      </c>
    </row>
    <row r="96" spans="1:4" x14ac:dyDescent="0.2">
      <c r="A96" t="s">
        <v>981</v>
      </c>
      <c r="B96" s="6">
        <v>425.2</v>
      </c>
      <c r="C96" t="s">
        <v>687</v>
      </c>
      <c r="D96" t="s">
        <v>1070</v>
      </c>
    </row>
    <row r="97" spans="1:4" x14ac:dyDescent="0.2">
      <c r="A97" t="s">
        <v>432</v>
      </c>
      <c r="B97" s="6">
        <v>424.85</v>
      </c>
      <c r="C97" t="s">
        <v>423</v>
      </c>
      <c r="D97" t="s">
        <v>789</v>
      </c>
    </row>
    <row r="98" spans="1:4" x14ac:dyDescent="0.2">
      <c r="A98" t="s">
        <v>1008</v>
      </c>
      <c r="B98" s="6">
        <v>403.81</v>
      </c>
      <c r="C98" t="s">
        <v>687</v>
      </c>
      <c r="D98" t="s">
        <v>1070</v>
      </c>
    </row>
    <row r="99" spans="1:4" x14ac:dyDescent="0.2">
      <c r="A99" t="s">
        <v>939</v>
      </c>
      <c r="B99" s="6">
        <v>370.85</v>
      </c>
      <c r="C99" t="s">
        <v>937</v>
      </c>
      <c r="D99" t="s">
        <v>1068</v>
      </c>
    </row>
    <row r="100" spans="1:4" x14ac:dyDescent="0.2">
      <c r="A100" t="s">
        <v>397</v>
      </c>
      <c r="B100" s="6">
        <v>365.88</v>
      </c>
      <c r="C100" t="s">
        <v>401</v>
      </c>
      <c r="D100" t="s">
        <v>1068</v>
      </c>
    </row>
    <row r="101" spans="1:4" x14ac:dyDescent="0.2">
      <c r="A101" t="s">
        <v>1002</v>
      </c>
      <c r="B101" s="6">
        <v>365.8</v>
      </c>
      <c r="C101" t="s">
        <v>687</v>
      </c>
      <c r="D101" t="s">
        <v>1066</v>
      </c>
    </row>
    <row r="102" spans="1:4" x14ac:dyDescent="0.2">
      <c r="A102" t="s">
        <v>1010</v>
      </c>
      <c r="B102" s="6">
        <v>361.71</v>
      </c>
      <c r="C102" t="s">
        <v>687</v>
      </c>
      <c r="D102" t="s">
        <v>1065</v>
      </c>
    </row>
    <row r="103" spans="1:4" x14ac:dyDescent="0.2">
      <c r="A103" t="s">
        <v>991</v>
      </c>
      <c r="B103" s="6">
        <v>361.6</v>
      </c>
      <c r="C103" t="s">
        <v>687</v>
      </c>
      <c r="D103" t="s">
        <v>1066</v>
      </c>
    </row>
    <row r="104" spans="1:4" x14ac:dyDescent="0.2">
      <c r="A104" t="s">
        <v>975</v>
      </c>
      <c r="B104" s="6">
        <v>355.04</v>
      </c>
      <c r="C104" t="s">
        <v>687</v>
      </c>
      <c r="D104" t="s">
        <v>1070</v>
      </c>
    </row>
    <row r="105" spans="1:4" x14ac:dyDescent="0.2">
      <c r="A105" t="s">
        <v>400</v>
      </c>
      <c r="B105" s="6">
        <v>353.83</v>
      </c>
      <c r="C105" t="s">
        <v>401</v>
      </c>
      <c r="D105" t="s">
        <v>1068</v>
      </c>
    </row>
    <row r="106" spans="1:4" x14ac:dyDescent="0.2">
      <c r="A106" t="s">
        <v>911</v>
      </c>
      <c r="B106" s="6">
        <v>348.76</v>
      </c>
      <c r="C106" t="s">
        <v>618</v>
      </c>
      <c r="D106" t="s">
        <v>1068</v>
      </c>
    </row>
    <row r="107" spans="1:4" x14ac:dyDescent="0.2">
      <c r="A107" t="s">
        <v>999</v>
      </c>
      <c r="B107" s="6">
        <v>347.3</v>
      </c>
      <c r="C107" t="s">
        <v>687</v>
      </c>
      <c r="D107" t="s">
        <v>1066</v>
      </c>
    </row>
    <row r="108" spans="1:4" x14ac:dyDescent="0.2">
      <c r="A108" t="s">
        <v>880</v>
      </c>
      <c r="B108" s="6">
        <v>342.88</v>
      </c>
      <c r="C108" t="s">
        <v>849</v>
      </c>
      <c r="D108" t="s">
        <v>849</v>
      </c>
    </row>
    <row r="109" spans="1:4" x14ac:dyDescent="0.2">
      <c r="A109" t="s">
        <v>661</v>
      </c>
      <c r="B109" s="6">
        <v>339.59</v>
      </c>
      <c r="C109" t="s">
        <v>618</v>
      </c>
      <c r="D109" t="s">
        <v>618</v>
      </c>
    </row>
    <row r="110" spans="1:4" x14ac:dyDescent="0.2">
      <c r="A110" t="s">
        <v>949</v>
      </c>
      <c r="B110" s="6">
        <v>325.19</v>
      </c>
      <c r="C110" t="s">
        <v>946</v>
      </c>
      <c r="D110" t="s">
        <v>946</v>
      </c>
    </row>
    <row r="111" spans="1:4" x14ac:dyDescent="0.2">
      <c r="A111" t="s">
        <v>426</v>
      </c>
      <c r="B111" s="6">
        <v>322.89999999999998</v>
      </c>
      <c r="C111" t="s">
        <v>423</v>
      </c>
      <c r="D111" t="s">
        <v>789</v>
      </c>
    </row>
    <row r="112" spans="1:4" x14ac:dyDescent="0.2">
      <c r="A112" t="s">
        <v>997</v>
      </c>
      <c r="B112" s="6">
        <v>317.92</v>
      </c>
      <c r="C112" t="s">
        <v>687</v>
      </c>
      <c r="D112" t="s">
        <v>1066</v>
      </c>
    </row>
    <row r="113" spans="1:4" x14ac:dyDescent="0.2">
      <c r="A113" t="s">
        <v>347</v>
      </c>
      <c r="B113" s="6">
        <v>315.27</v>
      </c>
      <c r="C113" t="s">
        <v>348</v>
      </c>
      <c r="D113" t="s">
        <v>1068</v>
      </c>
    </row>
    <row r="114" spans="1:4" x14ac:dyDescent="0.2">
      <c r="A114" t="s">
        <v>987</v>
      </c>
      <c r="B114" s="6">
        <v>314.74</v>
      </c>
      <c r="C114" t="s">
        <v>687</v>
      </c>
      <c r="D114" t="s">
        <v>687</v>
      </c>
    </row>
    <row r="115" spans="1:4" x14ac:dyDescent="0.2">
      <c r="A115" t="s">
        <v>989</v>
      </c>
      <c r="B115" s="6">
        <v>300.95</v>
      </c>
      <c r="C115" t="s">
        <v>687</v>
      </c>
      <c r="D115" t="s">
        <v>687</v>
      </c>
    </row>
    <row r="116" spans="1:4" x14ac:dyDescent="0.2">
      <c r="A116" t="s">
        <v>1003</v>
      </c>
      <c r="B116" s="6">
        <v>300.10000000000002</v>
      </c>
      <c r="C116" t="s">
        <v>687</v>
      </c>
      <c r="D116" t="s">
        <v>1066</v>
      </c>
    </row>
    <row r="117" spans="1:4" x14ac:dyDescent="0.2">
      <c r="A117" t="s">
        <v>781</v>
      </c>
      <c r="B117" s="6">
        <v>295.35000000000002</v>
      </c>
      <c r="C117" t="s">
        <v>60</v>
      </c>
      <c r="D117" t="s">
        <v>60</v>
      </c>
    </row>
    <row r="118" spans="1:4" x14ac:dyDescent="0.2">
      <c r="A118" t="s">
        <v>626</v>
      </c>
      <c r="B118" s="6">
        <v>293.60000000000002</v>
      </c>
      <c r="C118" t="s">
        <v>38</v>
      </c>
      <c r="D118" t="s">
        <v>38</v>
      </c>
    </row>
    <row r="119" spans="1:4" x14ac:dyDescent="0.2">
      <c r="A119" t="s">
        <v>643</v>
      </c>
      <c r="B119" s="6">
        <v>288.16000000000003</v>
      </c>
      <c r="C119" t="s">
        <v>618</v>
      </c>
      <c r="D119" t="s">
        <v>618</v>
      </c>
    </row>
    <row r="120" spans="1:4" x14ac:dyDescent="0.2">
      <c r="A120" t="s">
        <v>404</v>
      </c>
      <c r="B120" s="6">
        <v>278.20999999999998</v>
      </c>
      <c r="C120" t="s">
        <v>401</v>
      </c>
      <c r="D120" t="s">
        <v>1068</v>
      </c>
    </row>
    <row r="121" spans="1:4" x14ac:dyDescent="0.2">
      <c r="A121" t="s">
        <v>625</v>
      </c>
      <c r="B121" s="6">
        <v>277.82</v>
      </c>
      <c r="C121" t="s">
        <v>38</v>
      </c>
      <c r="D121" t="s">
        <v>38</v>
      </c>
    </row>
    <row r="122" spans="1:4" x14ac:dyDescent="0.2">
      <c r="A122" t="s">
        <v>952</v>
      </c>
      <c r="B122" s="6">
        <v>273.26</v>
      </c>
      <c r="C122" t="s">
        <v>946</v>
      </c>
      <c r="D122" t="s">
        <v>946</v>
      </c>
    </row>
    <row r="123" spans="1:4" x14ac:dyDescent="0.2">
      <c r="A123" t="s">
        <v>940</v>
      </c>
      <c r="B123" s="6">
        <v>271.92</v>
      </c>
      <c r="C123" t="s">
        <v>937</v>
      </c>
      <c r="D123" t="s">
        <v>1068</v>
      </c>
    </row>
    <row r="124" spans="1:4" x14ac:dyDescent="0.2">
      <c r="A124" t="s">
        <v>878</v>
      </c>
      <c r="B124" s="6">
        <v>262.24</v>
      </c>
      <c r="C124" t="s">
        <v>849</v>
      </c>
      <c r="D124" t="s">
        <v>849</v>
      </c>
    </row>
    <row r="125" spans="1:4" x14ac:dyDescent="0.2">
      <c r="A125" t="s">
        <v>1000</v>
      </c>
      <c r="B125" s="6">
        <v>244.16</v>
      </c>
      <c r="C125" t="s">
        <v>687</v>
      </c>
      <c r="D125" t="s">
        <v>1066</v>
      </c>
    </row>
    <row r="126" spans="1:4" x14ac:dyDescent="0.2">
      <c r="A126" t="s">
        <v>936</v>
      </c>
      <c r="B126" s="6">
        <v>230.7</v>
      </c>
      <c r="C126" t="s">
        <v>937</v>
      </c>
      <c r="D126" t="s">
        <v>1068</v>
      </c>
    </row>
    <row r="127" spans="1:4" x14ac:dyDescent="0.2">
      <c r="A127" t="s">
        <v>571</v>
      </c>
      <c r="B127" s="6">
        <v>229.11</v>
      </c>
      <c r="C127" t="s">
        <v>172</v>
      </c>
      <c r="D127" t="s">
        <v>1068</v>
      </c>
    </row>
    <row r="128" spans="1:4" x14ac:dyDescent="0.2">
      <c r="A128" t="s">
        <v>779</v>
      </c>
      <c r="B128" s="6">
        <v>222.4</v>
      </c>
      <c r="C128" t="s">
        <v>60</v>
      </c>
      <c r="D128" t="s">
        <v>60</v>
      </c>
    </row>
    <row r="129" spans="1:4" x14ac:dyDescent="0.2">
      <c r="A129" t="s">
        <v>905</v>
      </c>
      <c r="B129" s="6">
        <v>216.05</v>
      </c>
      <c r="C129" t="s">
        <v>618</v>
      </c>
      <c r="D129" t="s">
        <v>618</v>
      </c>
    </row>
    <row r="130" spans="1:4" x14ac:dyDescent="0.2">
      <c r="A130" t="s">
        <v>30</v>
      </c>
      <c r="B130" s="6">
        <v>213.56</v>
      </c>
      <c r="C130" t="s">
        <v>38</v>
      </c>
      <c r="D130" t="s">
        <v>38</v>
      </c>
    </row>
    <row r="131" spans="1:4" x14ac:dyDescent="0.2">
      <c r="A131" t="s">
        <v>162</v>
      </c>
      <c r="B131" s="6">
        <v>212.17</v>
      </c>
      <c r="C131" t="s">
        <v>158</v>
      </c>
      <c r="D131" t="s">
        <v>1068</v>
      </c>
    </row>
    <row r="132" spans="1:4" x14ac:dyDescent="0.2">
      <c r="A132" t="s">
        <v>1025</v>
      </c>
      <c r="B132" s="6">
        <v>210.46</v>
      </c>
      <c r="C132" t="s">
        <v>760</v>
      </c>
      <c r="D132" t="s">
        <v>760</v>
      </c>
    </row>
    <row r="133" spans="1:4" x14ac:dyDescent="0.2">
      <c r="A133" t="s">
        <v>938</v>
      </c>
      <c r="B133" s="6">
        <v>186.98</v>
      </c>
      <c r="C133" t="s">
        <v>937</v>
      </c>
      <c r="D133" t="s">
        <v>1068</v>
      </c>
    </row>
    <row r="134" spans="1:4" x14ac:dyDescent="0.2">
      <c r="A134" t="s">
        <v>775</v>
      </c>
      <c r="B134" s="6">
        <v>183.99</v>
      </c>
      <c r="C134" t="s">
        <v>60</v>
      </c>
      <c r="D134" t="s">
        <v>60</v>
      </c>
    </row>
    <row r="135" spans="1:4" x14ac:dyDescent="0.2">
      <c r="A135" t="s">
        <v>923</v>
      </c>
      <c r="B135" s="6">
        <v>181.27</v>
      </c>
      <c r="C135" t="s">
        <v>606</v>
      </c>
      <c r="D135" t="s">
        <v>1068</v>
      </c>
    </row>
    <row r="136" spans="1:4" x14ac:dyDescent="0.2">
      <c r="A136" t="s">
        <v>809</v>
      </c>
      <c r="B136" s="6">
        <v>181.13</v>
      </c>
      <c r="C136" t="s">
        <v>807</v>
      </c>
      <c r="D136" t="s">
        <v>1068</v>
      </c>
    </row>
    <row r="137" spans="1:4" x14ac:dyDescent="0.2">
      <c r="A137" t="s">
        <v>1014</v>
      </c>
      <c r="B137" s="6">
        <v>179.9</v>
      </c>
      <c r="C137" t="s">
        <v>760</v>
      </c>
      <c r="D137" t="s">
        <v>760</v>
      </c>
    </row>
    <row r="138" spans="1:4" x14ac:dyDescent="0.2">
      <c r="A138" t="s">
        <v>514</v>
      </c>
      <c r="B138" s="6">
        <v>175.13</v>
      </c>
      <c r="C138" t="s">
        <v>484</v>
      </c>
      <c r="D138" t="s">
        <v>1068</v>
      </c>
    </row>
    <row r="139" spans="1:4" x14ac:dyDescent="0.2">
      <c r="A139" t="s">
        <v>1006</v>
      </c>
      <c r="B139" s="6">
        <v>170.11</v>
      </c>
      <c r="C139" t="s">
        <v>687</v>
      </c>
      <c r="D139" t="s">
        <v>687</v>
      </c>
    </row>
    <row r="140" spans="1:4" x14ac:dyDescent="0.2">
      <c r="A140" t="s">
        <v>652</v>
      </c>
      <c r="B140" s="6">
        <v>165.41</v>
      </c>
      <c r="C140" t="s">
        <v>618</v>
      </c>
      <c r="D140" t="s">
        <v>618</v>
      </c>
    </row>
    <row r="141" spans="1:4" x14ac:dyDescent="0.2">
      <c r="A141" t="s">
        <v>1024</v>
      </c>
      <c r="B141" s="6">
        <v>163.59</v>
      </c>
      <c r="C141" t="s">
        <v>760</v>
      </c>
      <c r="D141" t="s">
        <v>760</v>
      </c>
    </row>
    <row r="142" spans="1:4" x14ac:dyDescent="0.2">
      <c r="A142" t="s">
        <v>978</v>
      </c>
      <c r="B142" s="6">
        <v>145.86000000000001</v>
      </c>
      <c r="C142" t="s">
        <v>687</v>
      </c>
      <c r="D142" t="s">
        <v>687</v>
      </c>
    </row>
    <row r="143" spans="1:4" x14ac:dyDescent="0.2">
      <c r="A143" t="s">
        <v>988</v>
      </c>
      <c r="B143" s="6">
        <v>143.19</v>
      </c>
      <c r="C143" t="s">
        <v>687</v>
      </c>
      <c r="D143" t="s">
        <v>687</v>
      </c>
    </row>
    <row r="144" spans="1:4" x14ac:dyDescent="0.2">
      <c r="A144" t="s">
        <v>1012</v>
      </c>
      <c r="B144" s="6">
        <v>141.86000000000001</v>
      </c>
      <c r="C144" t="s">
        <v>687</v>
      </c>
      <c r="D144" t="s">
        <v>687</v>
      </c>
    </row>
    <row r="145" spans="1:4" x14ac:dyDescent="0.2">
      <c r="A145" t="s">
        <v>915</v>
      </c>
      <c r="B145" s="6">
        <v>130.09</v>
      </c>
      <c r="C145" t="s">
        <v>618</v>
      </c>
      <c r="D145" t="s">
        <v>618</v>
      </c>
    </row>
    <row r="146" spans="1:4" x14ac:dyDescent="0.2">
      <c r="A146" t="s">
        <v>883</v>
      </c>
      <c r="B146" s="6">
        <v>123.52</v>
      </c>
      <c r="C146" t="s">
        <v>884</v>
      </c>
      <c r="D146" t="s">
        <v>884</v>
      </c>
    </row>
    <row r="147" spans="1:4" x14ac:dyDescent="0.2">
      <c r="A147" t="s">
        <v>893</v>
      </c>
      <c r="B147" s="6">
        <v>123.26</v>
      </c>
      <c r="C147" t="s">
        <v>884</v>
      </c>
      <c r="D147" t="s">
        <v>884</v>
      </c>
    </row>
    <row r="148" spans="1:4" x14ac:dyDescent="0.2">
      <c r="A148" t="s">
        <v>916</v>
      </c>
      <c r="B148" s="6">
        <v>122.16</v>
      </c>
      <c r="C148" t="s">
        <v>618</v>
      </c>
      <c r="D148" t="s">
        <v>618</v>
      </c>
    </row>
    <row r="149" spans="1:4" x14ac:dyDescent="0.2">
      <c r="A149" t="s">
        <v>1034</v>
      </c>
      <c r="B149" s="6">
        <v>121.07</v>
      </c>
      <c r="C149" t="s">
        <v>760</v>
      </c>
      <c r="D149" t="s">
        <v>760</v>
      </c>
    </row>
    <row r="150" spans="1:4" x14ac:dyDescent="0.2">
      <c r="A150" t="s">
        <v>1022</v>
      </c>
      <c r="B150" s="6">
        <v>120.2</v>
      </c>
      <c r="C150" t="s">
        <v>760</v>
      </c>
      <c r="D150" t="s">
        <v>760</v>
      </c>
    </row>
    <row r="151" spans="1:4" x14ac:dyDescent="0.2">
      <c r="A151" t="s">
        <v>930</v>
      </c>
      <c r="B151" s="6">
        <v>115.9</v>
      </c>
      <c r="C151" t="s">
        <v>348</v>
      </c>
      <c r="D151" t="s">
        <v>1068</v>
      </c>
    </row>
    <row r="152" spans="1:4" x14ac:dyDescent="0.2">
      <c r="A152" t="s">
        <v>1027</v>
      </c>
      <c r="B152" s="6">
        <v>114.52</v>
      </c>
      <c r="C152" t="s">
        <v>760</v>
      </c>
      <c r="D152" t="s">
        <v>760</v>
      </c>
    </row>
    <row r="153" spans="1:4" x14ac:dyDescent="0.2">
      <c r="A153" t="s">
        <v>660</v>
      </c>
      <c r="B153" s="6">
        <v>113.27</v>
      </c>
      <c r="C153" t="s">
        <v>618</v>
      </c>
      <c r="D153" t="s">
        <v>618</v>
      </c>
    </row>
    <row r="154" spans="1:4" x14ac:dyDescent="0.2">
      <c r="A154" t="s">
        <v>573</v>
      </c>
      <c r="B154" s="6">
        <v>111.68</v>
      </c>
      <c r="C154" t="s">
        <v>172</v>
      </c>
      <c r="D154" t="s">
        <v>1068</v>
      </c>
    </row>
    <row r="155" spans="1:4" x14ac:dyDescent="0.2">
      <c r="A155" t="s">
        <v>94</v>
      </c>
      <c r="B155" s="6">
        <v>111.01</v>
      </c>
      <c r="C155" t="s">
        <v>96</v>
      </c>
      <c r="D155" t="s">
        <v>1068</v>
      </c>
    </row>
    <row r="156" spans="1:4" x14ac:dyDescent="0.2">
      <c r="A156" t="s">
        <v>751</v>
      </c>
      <c r="B156" s="6">
        <v>110.39</v>
      </c>
      <c r="C156" t="s">
        <v>96</v>
      </c>
      <c r="D156" t="s">
        <v>1068</v>
      </c>
    </row>
    <row r="157" spans="1:4" x14ac:dyDescent="0.2">
      <c r="A157" t="s">
        <v>659</v>
      </c>
      <c r="B157" s="6">
        <v>106.32</v>
      </c>
      <c r="C157" t="s">
        <v>618</v>
      </c>
      <c r="D157" t="s">
        <v>618</v>
      </c>
    </row>
    <row r="158" spans="1:4" x14ac:dyDescent="0.2">
      <c r="A158" t="s">
        <v>917</v>
      </c>
      <c r="B158" s="6">
        <v>102.12</v>
      </c>
      <c r="C158" t="s">
        <v>618</v>
      </c>
      <c r="D158" t="s">
        <v>618</v>
      </c>
    </row>
    <row r="159" spans="1:4" x14ac:dyDescent="0.2">
      <c r="A159" t="s">
        <v>845</v>
      </c>
      <c r="B159" s="6">
        <v>99.37</v>
      </c>
      <c r="C159" t="s">
        <v>618</v>
      </c>
      <c r="D159" t="s">
        <v>618</v>
      </c>
    </row>
    <row r="160" spans="1:4" x14ac:dyDescent="0.2">
      <c r="A160" t="s">
        <v>365</v>
      </c>
      <c r="B160" s="6">
        <v>97.98</v>
      </c>
      <c r="C160" t="s">
        <v>172</v>
      </c>
      <c r="D160" t="s">
        <v>1068</v>
      </c>
    </row>
    <row r="161" spans="1:4" x14ac:dyDescent="0.2">
      <c r="A161" t="s">
        <v>1005</v>
      </c>
      <c r="B161" s="6">
        <v>95</v>
      </c>
      <c r="C161" t="s">
        <v>687</v>
      </c>
      <c r="D161" t="s">
        <v>687</v>
      </c>
    </row>
    <row r="162" spans="1:4" x14ac:dyDescent="0.2">
      <c r="A162" t="s">
        <v>846</v>
      </c>
      <c r="B162" s="6">
        <v>90.44</v>
      </c>
      <c r="C162" t="s">
        <v>618</v>
      </c>
      <c r="D162" t="s">
        <v>618</v>
      </c>
    </row>
    <row r="163" spans="1:4" x14ac:dyDescent="0.2">
      <c r="A163" t="s">
        <v>922</v>
      </c>
      <c r="B163" s="6">
        <v>86.65</v>
      </c>
      <c r="C163" t="s">
        <v>606</v>
      </c>
      <c r="D163" t="s">
        <v>1068</v>
      </c>
    </row>
    <row r="164" spans="1:4" x14ac:dyDescent="0.2">
      <c r="A164" t="s">
        <v>663</v>
      </c>
      <c r="B164" s="6">
        <v>83.24</v>
      </c>
      <c r="C164" t="s">
        <v>618</v>
      </c>
      <c r="D164" t="s">
        <v>618</v>
      </c>
    </row>
    <row r="165" spans="1:4" x14ac:dyDescent="0.2">
      <c r="A165" t="s">
        <v>951</v>
      </c>
      <c r="B165" s="6">
        <v>82.89</v>
      </c>
      <c r="C165" t="s">
        <v>946</v>
      </c>
      <c r="D165" t="s">
        <v>946</v>
      </c>
    </row>
    <row r="166" spans="1:4" x14ac:dyDescent="0.2">
      <c r="A166" t="s">
        <v>642</v>
      </c>
      <c r="B166" s="6">
        <v>77.319999999999993</v>
      </c>
      <c r="C166" t="s">
        <v>618</v>
      </c>
      <c r="D166" t="s">
        <v>618</v>
      </c>
    </row>
    <row r="167" spans="1:4" x14ac:dyDescent="0.2">
      <c r="A167" t="s">
        <v>721</v>
      </c>
      <c r="B167" s="6">
        <v>76.62</v>
      </c>
      <c r="C167" t="s">
        <v>484</v>
      </c>
      <c r="D167" t="s">
        <v>1068</v>
      </c>
    </row>
    <row r="168" spans="1:4" x14ac:dyDescent="0.2">
      <c r="A168" t="s">
        <v>768</v>
      </c>
      <c r="B168" s="6">
        <v>73.23</v>
      </c>
      <c r="C168" t="s">
        <v>606</v>
      </c>
      <c r="D168" t="s">
        <v>1068</v>
      </c>
    </row>
    <row r="169" spans="1:4" x14ac:dyDescent="0.2">
      <c r="A169" t="s">
        <v>847</v>
      </c>
      <c r="B169" s="6">
        <v>70.95</v>
      </c>
      <c r="C169" t="s">
        <v>618</v>
      </c>
      <c r="D169" t="s">
        <v>618</v>
      </c>
    </row>
    <row r="170" spans="1:4" x14ac:dyDescent="0.2">
      <c r="A170" t="s">
        <v>48</v>
      </c>
      <c r="B170" s="6">
        <v>69.8</v>
      </c>
      <c r="C170" t="s">
        <v>38</v>
      </c>
      <c r="D170" t="s">
        <v>38</v>
      </c>
    </row>
    <row r="171" spans="1:4" x14ac:dyDescent="0.2">
      <c r="A171" t="s">
        <v>762</v>
      </c>
      <c r="B171" s="6">
        <v>66.44</v>
      </c>
      <c r="C171" t="s">
        <v>760</v>
      </c>
      <c r="D171" t="s">
        <v>760</v>
      </c>
    </row>
    <row r="172" spans="1:4" x14ac:dyDescent="0.2">
      <c r="A172" t="s">
        <v>964</v>
      </c>
      <c r="B172" s="6">
        <v>63.64</v>
      </c>
      <c r="C172" t="s">
        <v>687</v>
      </c>
      <c r="D172" t="s">
        <v>1064</v>
      </c>
    </row>
    <row r="173" spans="1:4" x14ac:dyDescent="0.2">
      <c r="A173" t="s">
        <v>676</v>
      </c>
      <c r="B173" s="6">
        <v>62.39</v>
      </c>
      <c r="C173" t="s">
        <v>618</v>
      </c>
      <c r="D173" t="s">
        <v>618</v>
      </c>
    </row>
    <row r="174" spans="1:4" x14ac:dyDescent="0.2">
      <c r="A174" t="s">
        <v>674</v>
      </c>
      <c r="B174" s="6">
        <v>60.42</v>
      </c>
      <c r="C174" t="s">
        <v>618</v>
      </c>
      <c r="D174" t="s">
        <v>618</v>
      </c>
    </row>
    <row r="175" spans="1:4" x14ac:dyDescent="0.2">
      <c r="A175" t="s">
        <v>422</v>
      </c>
      <c r="B175" s="6">
        <v>56.01</v>
      </c>
      <c r="C175" t="s">
        <v>423</v>
      </c>
      <c r="D175" t="s">
        <v>789</v>
      </c>
    </row>
    <row r="176" spans="1:4" x14ac:dyDescent="0.2">
      <c r="A176" t="s">
        <v>793</v>
      </c>
      <c r="B176" s="6">
        <v>53.88</v>
      </c>
      <c r="C176" t="s">
        <v>791</v>
      </c>
      <c r="D176" t="s">
        <v>1068</v>
      </c>
    </row>
    <row r="177" spans="1:4" x14ac:dyDescent="0.2">
      <c r="A177" t="s">
        <v>511</v>
      </c>
      <c r="B177" s="6">
        <v>53.46</v>
      </c>
      <c r="C177" t="s">
        <v>484</v>
      </c>
      <c r="D177" t="s">
        <v>1068</v>
      </c>
    </row>
    <row r="178" spans="1:4" x14ac:dyDescent="0.2">
      <c r="A178" t="s">
        <v>97</v>
      </c>
      <c r="B178" s="6">
        <v>52.78</v>
      </c>
      <c r="C178" t="s">
        <v>96</v>
      </c>
      <c r="D178" t="s">
        <v>1068</v>
      </c>
    </row>
    <row r="179" spans="1:4" x14ac:dyDescent="0.2">
      <c r="A179" t="s">
        <v>1001</v>
      </c>
      <c r="B179" s="6">
        <v>52.46</v>
      </c>
      <c r="C179" t="s">
        <v>687</v>
      </c>
      <c r="D179" t="s">
        <v>687</v>
      </c>
    </row>
    <row r="180" spans="1:4" x14ac:dyDescent="0.2">
      <c r="A180" t="s">
        <v>799</v>
      </c>
      <c r="B180" s="6">
        <v>51.16</v>
      </c>
      <c r="C180" t="s">
        <v>791</v>
      </c>
      <c r="D180" t="s">
        <v>1068</v>
      </c>
    </row>
    <row r="181" spans="1:4" x14ac:dyDescent="0.2">
      <c r="A181" t="s">
        <v>837</v>
      </c>
      <c r="B181" s="6">
        <v>50.62</v>
      </c>
      <c r="C181" t="s">
        <v>823</v>
      </c>
      <c r="D181" t="s">
        <v>1068</v>
      </c>
    </row>
    <row r="182" spans="1:4" x14ac:dyDescent="0.2">
      <c r="A182" t="s">
        <v>658</v>
      </c>
      <c r="B182" s="6">
        <v>49.67</v>
      </c>
      <c r="C182" t="s">
        <v>618</v>
      </c>
      <c r="D182" t="s">
        <v>618</v>
      </c>
    </row>
    <row r="183" spans="1:4" x14ac:dyDescent="0.2">
      <c r="A183" t="s">
        <v>130</v>
      </c>
      <c r="B183" s="6">
        <v>49.48</v>
      </c>
      <c r="C183" t="s">
        <v>789</v>
      </c>
      <c r="D183" t="s">
        <v>789</v>
      </c>
    </row>
    <row r="184" spans="1:4" x14ac:dyDescent="0.2">
      <c r="A184" t="s">
        <v>566</v>
      </c>
      <c r="B184" s="6">
        <v>49.38</v>
      </c>
      <c r="C184" t="s">
        <v>172</v>
      </c>
      <c r="D184" t="s">
        <v>1068</v>
      </c>
    </row>
    <row r="185" spans="1:4" x14ac:dyDescent="0.2">
      <c r="A185" t="s">
        <v>738</v>
      </c>
      <c r="B185" s="6">
        <v>49.35</v>
      </c>
      <c r="C185" t="s">
        <v>303</v>
      </c>
      <c r="D185" t="s">
        <v>1068</v>
      </c>
    </row>
    <row r="186" spans="1:4" x14ac:dyDescent="0.2">
      <c r="A186" t="s">
        <v>816</v>
      </c>
      <c r="B186" s="6">
        <v>46.97</v>
      </c>
      <c r="C186" t="s">
        <v>807</v>
      </c>
      <c r="D186" t="s">
        <v>1068</v>
      </c>
    </row>
    <row r="187" spans="1:4" x14ac:dyDescent="0.2">
      <c r="A187" t="s">
        <v>95</v>
      </c>
      <c r="B187" s="6">
        <v>46.87</v>
      </c>
      <c r="C187" t="s">
        <v>96</v>
      </c>
      <c r="D187" t="s">
        <v>96</v>
      </c>
    </row>
    <row r="188" spans="1:4" x14ac:dyDescent="0.2">
      <c r="A188" t="s">
        <v>1004</v>
      </c>
      <c r="B188" s="6">
        <v>46.84</v>
      </c>
      <c r="C188" t="s">
        <v>687</v>
      </c>
      <c r="D188" t="s">
        <v>687</v>
      </c>
    </row>
    <row r="189" spans="1:4" x14ac:dyDescent="0.2">
      <c r="A189" t="s">
        <v>831</v>
      </c>
      <c r="B189" s="6">
        <v>46.4</v>
      </c>
      <c r="C189" t="s">
        <v>823</v>
      </c>
      <c r="D189" t="s">
        <v>1068</v>
      </c>
    </row>
    <row r="190" spans="1:4" x14ac:dyDescent="0.2">
      <c r="A190" t="s">
        <v>47</v>
      </c>
      <c r="B190" s="6">
        <v>45.48</v>
      </c>
      <c r="C190" t="s">
        <v>38</v>
      </c>
      <c r="D190" t="s">
        <v>38</v>
      </c>
    </row>
    <row r="191" spans="1:4" x14ac:dyDescent="0.2">
      <c r="A191" t="s">
        <v>766</v>
      </c>
      <c r="B191" s="6">
        <v>42.73</v>
      </c>
      <c r="C191" t="s">
        <v>760</v>
      </c>
      <c r="D191" t="s">
        <v>760</v>
      </c>
    </row>
    <row r="192" spans="1:4" x14ac:dyDescent="0.2">
      <c r="A192" t="s">
        <v>667</v>
      </c>
      <c r="B192" s="6">
        <v>42.06</v>
      </c>
      <c r="C192" t="s">
        <v>618</v>
      </c>
      <c r="D192" t="s">
        <v>618</v>
      </c>
    </row>
    <row r="193" spans="1:4" x14ac:dyDescent="0.2">
      <c r="A193" t="s">
        <v>889</v>
      </c>
      <c r="B193" s="6">
        <v>41.43</v>
      </c>
      <c r="C193" t="s">
        <v>888</v>
      </c>
      <c r="D193" t="s">
        <v>1068</v>
      </c>
    </row>
    <row r="194" spans="1:4" x14ac:dyDescent="0.2">
      <c r="A194" t="s">
        <v>776</v>
      </c>
      <c r="B194" s="6">
        <v>40.78</v>
      </c>
      <c r="C194" t="s">
        <v>60</v>
      </c>
      <c r="D194" t="s">
        <v>60</v>
      </c>
    </row>
    <row r="195" spans="1:4" x14ac:dyDescent="0.2">
      <c r="A195" t="s">
        <v>1026</v>
      </c>
      <c r="B195" s="6">
        <v>40.549999999999997</v>
      </c>
      <c r="C195" t="s">
        <v>760</v>
      </c>
      <c r="D195" t="s">
        <v>760</v>
      </c>
    </row>
    <row r="196" spans="1:4" x14ac:dyDescent="0.2">
      <c r="A196" t="s">
        <v>1029</v>
      </c>
      <c r="B196" s="6">
        <v>39.9</v>
      </c>
      <c r="C196" t="s">
        <v>687</v>
      </c>
      <c r="D196" t="s">
        <v>687</v>
      </c>
    </row>
    <row r="197" spans="1:4" x14ac:dyDescent="0.2">
      <c r="A197" t="s">
        <v>46</v>
      </c>
      <c r="B197" s="6">
        <v>39.159999999999997</v>
      </c>
      <c r="C197" t="s">
        <v>38</v>
      </c>
      <c r="D197" t="s">
        <v>38</v>
      </c>
    </row>
    <row r="198" spans="1:4" x14ac:dyDescent="0.2">
      <c r="A198" t="s">
        <v>1046</v>
      </c>
      <c r="B198" s="6">
        <v>38.81</v>
      </c>
      <c r="C198" t="s">
        <v>60</v>
      </c>
      <c r="D198" t="s">
        <v>60</v>
      </c>
    </row>
    <row r="199" spans="1:4" x14ac:dyDescent="0.2">
      <c r="A199" t="s">
        <v>668</v>
      </c>
      <c r="B199" s="6">
        <v>37.96</v>
      </c>
      <c r="C199" t="s">
        <v>618</v>
      </c>
      <c r="D199" t="s">
        <v>618</v>
      </c>
    </row>
    <row r="200" spans="1:4" x14ac:dyDescent="0.2">
      <c r="A200" t="s">
        <v>761</v>
      </c>
      <c r="B200" s="6">
        <v>36.1</v>
      </c>
      <c r="C200" t="s">
        <v>760</v>
      </c>
      <c r="D200" t="s">
        <v>760</v>
      </c>
    </row>
    <row r="201" spans="1:4" x14ac:dyDescent="0.2">
      <c r="A201" t="s">
        <v>803</v>
      </c>
      <c r="B201" s="6">
        <v>35.78</v>
      </c>
      <c r="C201" t="s">
        <v>791</v>
      </c>
      <c r="D201" t="s">
        <v>1068</v>
      </c>
    </row>
    <row r="202" spans="1:4" x14ac:dyDescent="0.2">
      <c r="A202" t="s">
        <v>523</v>
      </c>
      <c r="B202" s="6">
        <v>32.200000000000003</v>
      </c>
      <c r="C202" t="s">
        <v>172</v>
      </c>
      <c r="D202" t="s">
        <v>1068</v>
      </c>
    </row>
    <row r="203" spans="1:4" x14ac:dyDescent="0.2">
      <c r="A203" t="s">
        <v>665</v>
      </c>
      <c r="B203" s="6">
        <v>31.77</v>
      </c>
      <c r="C203" t="s">
        <v>618</v>
      </c>
      <c r="D203" t="s">
        <v>618</v>
      </c>
    </row>
    <row r="204" spans="1:4" x14ac:dyDescent="0.2">
      <c r="A204" t="s">
        <v>678</v>
      </c>
      <c r="B204" s="6">
        <v>31.6</v>
      </c>
      <c r="C204" t="s">
        <v>618</v>
      </c>
      <c r="D204" t="s">
        <v>618</v>
      </c>
    </row>
    <row r="205" spans="1:4" x14ac:dyDescent="0.2">
      <c r="A205" t="s">
        <v>742</v>
      </c>
      <c r="B205" s="6">
        <v>31.58</v>
      </c>
      <c r="C205" t="s">
        <v>303</v>
      </c>
      <c r="D205" t="s">
        <v>1068</v>
      </c>
    </row>
    <row r="206" spans="1:4" x14ac:dyDescent="0.2">
      <c r="A206" t="s">
        <v>167</v>
      </c>
      <c r="B206" s="6">
        <v>31.54</v>
      </c>
      <c r="C206" t="s">
        <v>158</v>
      </c>
      <c r="D206" t="s">
        <v>1068</v>
      </c>
    </row>
    <row r="207" spans="1:4" x14ac:dyDescent="0.2">
      <c r="A207" t="s">
        <v>1040</v>
      </c>
      <c r="B207" s="6">
        <v>30.63</v>
      </c>
      <c r="C207" t="s">
        <v>60</v>
      </c>
      <c r="D207" t="s">
        <v>60</v>
      </c>
    </row>
    <row r="208" spans="1:4" x14ac:dyDescent="0.2">
      <c r="A208" t="s">
        <v>620</v>
      </c>
      <c r="B208" s="6">
        <v>30.39</v>
      </c>
      <c r="C208" t="s">
        <v>618</v>
      </c>
      <c r="D208" t="s">
        <v>618</v>
      </c>
    </row>
    <row r="209" spans="1:4" x14ac:dyDescent="0.2">
      <c r="A209" t="s">
        <v>53</v>
      </c>
      <c r="B209" s="6">
        <v>29.31</v>
      </c>
      <c r="C209" t="s">
        <v>38</v>
      </c>
      <c r="D209" t="s">
        <v>38</v>
      </c>
    </row>
    <row r="210" spans="1:4" x14ac:dyDescent="0.2">
      <c r="A210" t="s">
        <v>806</v>
      </c>
      <c r="B210" s="6">
        <v>28.37</v>
      </c>
      <c r="C210" t="s">
        <v>807</v>
      </c>
      <c r="D210" t="s">
        <v>1068</v>
      </c>
    </row>
    <row r="211" spans="1:4" x14ac:dyDescent="0.2">
      <c r="A211" t="s">
        <v>363</v>
      </c>
      <c r="B211" s="6">
        <v>27.47</v>
      </c>
      <c r="C211" t="s">
        <v>172</v>
      </c>
      <c r="D211" t="s">
        <v>172</v>
      </c>
    </row>
    <row r="212" spans="1:4" x14ac:dyDescent="0.2">
      <c r="A212" t="s">
        <v>160</v>
      </c>
      <c r="B212" s="6">
        <v>26.67</v>
      </c>
      <c r="C212" t="s">
        <v>158</v>
      </c>
      <c r="D212" t="s">
        <v>1068</v>
      </c>
    </row>
    <row r="213" spans="1:4" x14ac:dyDescent="0.2">
      <c r="A213" t="s">
        <v>679</v>
      </c>
      <c r="B213" s="6">
        <v>26.59</v>
      </c>
      <c r="C213" t="s">
        <v>618</v>
      </c>
      <c r="D213" t="s">
        <v>618</v>
      </c>
    </row>
    <row r="214" spans="1:4" x14ac:dyDescent="0.2">
      <c r="A214" t="s">
        <v>677</v>
      </c>
      <c r="B214" s="6">
        <v>25.96</v>
      </c>
      <c r="C214" t="s">
        <v>618</v>
      </c>
      <c r="D214" t="s">
        <v>618</v>
      </c>
    </row>
    <row r="215" spans="1:4" x14ac:dyDescent="0.2">
      <c r="A215" t="s">
        <v>129</v>
      </c>
      <c r="B215" s="6">
        <v>25.95</v>
      </c>
      <c r="C215" t="s">
        <v>789</v>
      </c>
      <c r="D215" t="s">
        <v>789</v>
      </c>
    </row>
    <row r="216" spans="1:4" x14ac:dyDescent="0.2">
      <c r="A216" t="s">
        <v>819</v>
      </c>
      <c r="B216" s="6">
        <v>25.86</v>
      </c>
      <c r="C216" t="s">
        <v>807</v>
      </c>
      <c r="D216" t="s">
        <v>1068</v>
      </c>
    </row>
    <row r="217" spans="1:4" x14ac:dyDescent="0.2">
      <c r="A217" t="s">
        <v>1030</v>
      </c>
      <c r="B217" s="6">
        <v>24.07</v>
      </c>
      <c r="C217" t="s">
        <v>760</v>
      </c>
      <c r="D217" t="s">
        <v>760</v>
      </c>
    </row>
    <row r="218" spans="1:4" x14ac:dyDescent="0.2">
      <c r="A218" t="s">
        <v>685</v>
      </c>
      <c r="B218" s="6">
        <v>23.27</v>
      </c>
      <c r="C218" t="s">
        <v>618</v>
      </c>
      <c r="D218" t="s">
        <v>618</v>
      </c>
    </row>
    <row r="219" spans="1:4" x14ac:dyDescent="0.2">
      <c r="A219" t="s">
        <v>666</v>
      </c>
      <c r="B219" s="6">
        <v>21.97</v>
      </c>
      <c r="C219" t="s">
        <v>618</v>
      </c>
      <c r="D219" t="s">
        <v>618</v>
      </c>
    </row>
    <row r="220" spans="1:4" x14ac:dyDescent="0.2">
      <c r="A220" t="s">
        <v>1017</v>
      </c>
      <c r="B220" s="6">
        <v>21.84</v>
      </c>
      <c r="C220" t="s">
        <v>760</v>
      </c>
      <c r="D220" t="s">
        <v>760</v>
      </c>
    </row>
    <row r="221" spans="1:4" x14ac:dyDescent="0.2">
      <c r="A221" t="s">
        <v>887</v>
      </c>
      <c r="B221" s="6">
        <v>21.61</v>
      </c>
      <c r="C221" t="s">
        <v>888</v>
      </c>
      <c r="D221" t="s">
        <v>1068</v>
      </c>
    </row>
    <row r="222" spans="1:4" x14ac:dyDescent="0.2">
      <c r="A222" t="s">
        <v>958</v>
      </c>
      <c r="B222" s="6">
        <v>21.08</v>
      </c>
      <c r="C222" t="s">
        <v>38</v>
      </c>
      <c r="D222" t="s">
        <v>38</v>
      </c>
    </row>
    <row r="223" spans="1:4" x14ac:dyDescent="0.2">
      <c r="A223" t="s">
        <v>796</v>
      </c>
      <c r="B223" s="6">
        <v>20.66</v>
      </c>
      <c r="C223" t="s">
        <v>791</v>
      </c>
      <c r="D223" t="s">
        <v>1068</v>
      </c>
    </row>
    <row r="224" spans="1:4" x14ac:dyDescent="0.2">
      <c r="A224" t="s">
        <v>924</v>
      </c>
      <c r="B224" s="6">
        <v>19.91</v>
      </c>
      <c r="C224" t="s">
        <v>606</v>
      </c>
      <c r="D224" t="s">
        <v>1068</v>
      </c>
    </row>
    <row r="225" spans="1:4" x14ac:dyDescent="0.2">
      <c r="A225" t="s">
        <v>1041</v>
      </c>
      <c r="B225" s="6">
        <v>19.899999999999999</v>
      </c>
      <c r="C225" t="s">
        <v>60</v>
      </c>
      <c r="D225" t="s">
        <v>60</v>
      </c>
    </row>
    <row r="226" spans="1:4" x14ac:dyDescent="0.2">
      <c r="A226" t="s">
        <v>1039</v>
      </c>
      <c r="B226" s="6">
        <v>19.71</v>
      </c>
      <c r="C226" t="s">
        <v>60</v>
      </c>
      <c r="D226" t="s">
        <v>60</v>
      </c>
    </row>
    <row r="227" spans="1:4" x14ac:dyDescent="0.2">
      <c r="A227" t="s">
        <v>767</v>
      </c>
      <c r="B227" s="6">
        <v>19.25</v>
      </c>
      <c r="C227" t="s">
        <v>606</v>
      </c>
      <c r="D227" t="s">
        <v>1068</v>
      </c>
    </row>
    <row r="228" spans="1:4" x14ac:dyDescent="0.2">
      <c r="A228" t="s">
        <v>914</v>
      </c>
      <c r="B228" s="6">
        <v>19.239999999999998</v>
      </c>
      <c r="C228" t="s">
        <v>618</v>
      </c>
      <c r="D228" t="s">
        <v>618</v>
      </c>
    </row>
    <row r="229" spans="1:4" x14ac:dyDescent="0.2">
      <c r="A229" t="s">
        <v>828</v>
      </c>
      <c r="B229" s="6">
        <v>18.59</v>
      </c>
      <c r="C229" t="s">
        <v>823</v>
      </c>
      <c r="D229" t="s">
        <v>1068</v>
      </c>
    </row>
    <row r="230" spans="1:4" x14ac:dyDescent="0.2">
      <c r="A230" t="s">
        <v>683</v>
      </c>
      <c r="B230" s="6">
        <v>18.32</v>
      </c>
      <c r="C230" t="s">
        <v>618</v>
      </c>
      <c r="D230" t="s">
        <v>618</v>
      </c>
    </row>
    <row r="231" spans="1:4" x14ac:dyDescent="0.2">
      <c r="A231" t="s">
        <v>515</v>
      </c>
      <c r="B231" s="6">
        <v>17.91</v>
      </c>
      <c r="C231" t="s">
        <v>484</v>
      </c>
      <c r="D231" t="s">
        <v>1068</v>
      </c>
    </row>
    <row r="232" spans="1:4" x14ac:dyDescent="0.2">
      <c r="A232" t="s">
        <v>959</v>
      </c>
      <c r="B232" s="6">
        <v>17.829999999999998</v>
      </c>
      <c r="C232" t="s">
        <v>38</v>
      </c>
      <c r="D232" t="s">
        <v>38</v>
      </c>
    </row>
    <row r="233" spans="1:4" x14ac:dyDescent="0.2">
      <c r="A233" t="s">
        <v>1038</v>
      </c>
      <c r="B233" s="6">
        <v>17.64</v>
      </c>
      <c r="C233" t="s">
        <v>60</v>
      </c>
      <c r="D233" t="s">
        <v>60</v>
      </c>
    </row>
    <row r="234" spans="1:4" x14ac:dyDescent="0.2">
      <c r="A234" t="s">
        <v>1047</v>
      </c>
      <c r="B234" s="6">
        <v>16.72</v>
      </c>
      <c r="C234" t="s">
        <v>60</v>
      </c>
      <c r="D234" t="s">
        <v>60</v>
      </c>
    </row>
    <row r="235" spans="1:4" x14ac:dyDescent="0.2">
      <c r="A235" t="s">
        <v>669</v>
      </c>
      <c r="B235" s="6">
        <v>16.36</v>
      </c>
      <c r="C235" t="s">
        <v>618</v>
      </c>
      <c r="D235" t="s">
        <v>618</v>
      </c>
    </row>
    <row r="236" spans="1:4" x14ac:dyDescent="0.2">
      <c r="A236" t="s">
        <v>542</v>
      </c>
      <c r="B236" s="6">
        <v>15.84</v>
      </c>
      <c r="C236" t="s">
        <v>172</v>
      </c>
      <c r="D236" t="s">
        <v>172</v>
      </c>
    </row>
    <row r="237" spans="1:4" x14ac:dyDescent="0.2">
      <c r="A237" t="s">
        <v>1043</v>
      </c>
      <c r="B237" s="6">
        <v>15.39</v>
      </c>
      <c r="C237" t="s">
        <v>60</v>
      </c>
      <c r="D237" t="s">
        <v>60</v>
      </c>
    </row>
    <row r="238" spans="1:4" x14ac:dyDescent="0.2">
      <c r="A238" t="s">
        <v>45</v>
      </c>
      <c r="B238" s="6">
        <v>15.32</v>
      </c>
      <c r="C238" t="s">
        <v>38</v>
      </c>
      <c r="D238" t="s">
        <v>38</v>
      </c>
    </row>
    <row r="239" spans="1:4" x14ac:dyDescent="0.2">
      <c r="A239" t="s">
        <v>1054</v>
      </c>
      <c r="B239" s="6">
        <v>14.6</v>
      </c>
      <c r="C239" t="s">
        <v>760</v>
      </c>
      <c r="D239" t="s">
        <v>760</v>
      </c>
    </row>
    <row r="240" spans="1:4" x14ac:dyDescent="0.2">
      <c r="A240" t="s">
        <v>1042</v>
      </c>
      <c r="B240" s="6">
        <v>14.27</v>
      </c>
      <c r="C240" t="s">
        <v>60</v>
      </c>
      <c r="D240" t="s">
        <v>60</v>
      </c>
    </row>
    <row r="241" spans="1:4" x14ac:dyDescent="0.2">
      <c r="A241" t="s">
        <v>664</v>
      </c>
      <c r="B241" s="6">
        <v>14.06</v>
      </c>
      <c r="C241" t="s">
        <v>618</v>
      </c>
      <c r="D241" t="s">
        <v>618</v>
      </c>
    </row>
    <row r="242" spans="1:4" x14ac:dyDescent="0.2">
      <c r="A242" t="s">
        <v>1044</v>
      </c>
      <c r="B242" s="6">
        <v>13.87</v>
      </c>
      <c r="C242" t="s">
        <v>60</v>
      </c>
      <c r="D242" t="s">
        <v>60</v>
      </c>
    </row>
    <row r="243" spans="1:4" x14ac:dyDescent="0.2">
      <c r="A243" t="s">
        <v>1032</v>
      </c>
      <c r="B243" s="6">
        <v>13.62</v>
      </c>
      <c r="C243" t="s">
        <v>760</v>
      </c>
      <c r="D243" t="s">
        <v>760</v>
      </c>
    </row>
    <row r="244" spans="1:4" x14ac:dyDescent="0.2">
      <c r="A244" t="s">
        <v>684</v>
      </c>
      <c r="B244" s="6">
        <v>12.96</v>
      </c>
      <c r="C244" t="s">
        <v>618</v>
      </c>
      <c r="D244" t="s">
        <v>618</v>
      </c>
    </row>
    <row r="245" spans="1:4" x14ac:dyDescent="0.2">
      <c r="A245" t="s">
        <v>827</v>
      </c>
      <c r="B245" s="6">
        <v>12.77</v>
      </c>
      <c r="C245" t="s">
        <v>823</v>
      </c>
      <c r="D245" t="s">
        <v>1068</v>
      </c>
    </row>
    <row r="246" spans="1:4" x14ac:dyDescent="0.2">
      <c r="A246" t="s">
        <v>653</v>
      </c>
      <c r="B246" s="6">
        <v>12.5</v>
      </c>
      <c r="C246" t="s">
        <v>618</v>
      </c>
      <c r="D246" t="s">
        <v>618</v>
      </c>
    </row>
    <row r="247" spans="1:4" x14ac:dyDescent="0.2">
      <c r="A247" t="s">
        <v>794</v>
      </c>
      <c r="B247" s="6">
        <v>12.09</v>
      </c>
      <c r="C247" t="s">
        <v>791</v>
      </c>
      <c r="D247" t="s">
        <v>1068</v>
      </c>
    </row>
    <row r="248" spans="1:4" x14ac:dyDescent="0.2">
      <c r="A248" t="s">
        <v>765</v>
      </c>
      <c r="B248" s="6">
        <v>12.07</v>
      </c>
      <c r="C248" t="s">
        <v>760</v>
      </c>
      <c r="D248" t="s">
        <v>760</v>
      </c>
    </row>
    <row r="249" spans="1:4" x14ac:dyDescent="0.2">
      <c r="A249" t="s">
        <v>1019</v>
      </c>
      <c r="B249" s="6">
        <v>11.49</v>
      </c>
      <c r="C249" t="s">
        <v>760</v>
      </c>
      <c r="D249" t="s">
        <v>760</v>
      </c>
    </row>
    <row r="250" spans="1:4" x14ac:dyDescent="0.2">
      <c r="A250" t="s">
        <v>528</v>
      </c>
      <c r="B250" s="6">
        <v>11.39</v>
      </c>
      <c r="C250" t="s">
        <v>172</v>
      </c>
      <c r="D250" t="s">
        <v>1068</v>
      </c>
    </row>
    <row r="251" spans="1:4" x14ac:dyDescent="0.2">
      <c r="A251" t="s">
        <v>51</v>
      </c>
      <c r="B251" s="6">
        <v>11.28</v>
      </c>
      <c r="C251" t="s">
        <v>38</v>
      </c>
      <c r="D251" t="s">
        <v>38</v>
      </c>
    </row>
    <row r="252" spans="1:4" x14ac:dyDescent="0.2">
      <c r="A252" t="s">
        <v>550</v>
      </c>
      <c r="B252" s="6">
        <v>11.19</v>
      </c>
      <c r="C252" t="s">
        <v>172</v>
      </c>
      <c r="D252" t="s">
        <v>1068</v>
      </c>
    </row>
    <row r="253" spans="1:4" x14ac:dyDescent="0.2">
      <c r="A253" t="s">
        <v>788</v>
      </c>
      <c r="B253" s="6">
        <v>11.1</v>
      </c>
      <c r="C253" t="s">
        <v>783</v>
      </c>
      <c r="D253" t="s">
        <v>1068</v>
      </c>
    </row>
    <row r="254" spans="1:4" x14ac:dyDescent="0.2">
      <c r="A254" t="s">
        <v>1045</v>
      </c>
      <c r="B254" s="6">
        <v>11.07</v>
      </c>
      <c r="C254" t="s">
        <v>60</v>
      </c>
      <c r="D254" t="s">
        <v>60</v>
      </c>
    </row>
    <row r="255" spans="1:4" x14ac:dyDescent="0.2">
      <c r="A255" t="s">
        <v>510</v>
      </c>
      <c r="B255" s="6">
        <v>11.03</v>
      </c>
      <c r="C255" t="s">
        <v>484</v>
      </c>
      <c r="D255" t="s">
        <v>1068</v>
      </c>
    </row>
    <row r="256" spans="1:4" x14ac:dyDescent="0.2">
      <c r="A256" t="s">
        <v>724</v>
      </c>
      <c r="B256" s="6">
        <v>10.81</v>
      </c>
      <c r="C256" t="s">
        <v>348</v>
      </c>
      <c r="D256" t="s">
        <v>1068</v>
      </c>
    </row>
    <row r="257" spans="1:4" x14ac:dyDescent="0.2">
      <c r="A257" t="s">
        <v>908</v>
      </c>
      <c r="B257" s="6">
        <v>10.72</v>
      </c>
      <c r="C257" t="s">
        <v>618</v>
      </c>
      <c r="D257" t="s">
        <v>618</v>
      </c>
    </row>
    <row r="258" spans="1:4" x14ac:dyDescent="0.2">
      <c r="A258" t="s">
        <v>944</v>
      </c>
      <c r="B258" s="6">
        <v>10.7</v>
      </c>
      <c r="C258" t="s">
        <v>38</v>
      </c>
      <c r="D258" t="s">
        <v>38</v>
      </c>
    </row>
    <row r="259" spans="1:4" x14ac:dyDescent="0.2">
      <c r="A259" t="s">
        <v>567</v>
      </c>
      <c r="B259" s="6">
        <v>10.199999999999999</v>
      </c>
      <c r="C259" t="s">
        <v>172</v>
      </c>
      <c r="D259" t="s">
        <v>1068</v>
      </c>
    </row>
    <row r="260" spans="1:4" x14ac:dyDescent="0.2">
      <c r="A260" t="s">
        <v>859</v>
      </c>
      <c r="B260" s="6">
        <v>9.41</v>
      </c>
      <c r="C260" t="s">
        <v>401</v>
      </c>
      <c r="D260" t="s">
        <v>1068</v>
      </c>
    </row>
    <row r="261" spans="1:4" x14ac:dyDescent="0.2">
      <c r="A261" t="s">
        <v>735</v>
      </c>
      <c r="B261" s="6">
        <v>9.17</v>
      </c>
      <c r="C261" t="s">
        <v>423</v>
      </c>
      <c r="D261" t="s">
        <v>789</v>
      </c>
    </row>
    <row r="262" spans="1:4" x14ac:dyDescent="0.2">
      <c r="A262" t="s">
        <v>1018</v>
      </c>
      <c r="B262" s="6">
        <v>8.5299999999999994</v>
      </c>
      <c r="C262" t="s">
        <v>760</v>
      </c>
      <c r="D262" t="s">
        <v>760</v>
      </c>
    </row>
    <row r="263" spans="1:4" x14ac:dyDescent="0.2">
      <c r="A263" t="s">
        <v>1033</v>
      </c>
      <c r="B263" s="6">
        <v>7.95</v>
      </c>
      <c r="C263" t="s">
        <v>760</v>
      </c>
      <c r="D263" t="s">
        <v>760</v>
      </c>
    </row>
    <row r="264" spans="1:4" x14ac:dyDescent="0.2">
      <c r="A264" t="s">
        <v>492</v>
      </c>
      <c r="B264" s="6">
        <v>7.25</v>
      </c>
      <c r="C264" t="s">
        <v>303</v>
      </c>
      <c r="D264" t="s">
        <v>1068</v>
      </c>
    </row>
    <row r="265" spans="1:4" x14ac:dyDescent="0.2">
      <c r="A265" t="s">
        <v>864</v>
      </c>
      <c r="B265" s="6">
        <v>7.11</v>
      </c>
      <c r="C265" t="s">
        <v>401</v>
      </c>
      <c r="D265" t="s">
        <v>1068</v>
      </c>
    </row>
    <row r="266" spans="1:4" x14ac:dyDescent="0.2">
      <c r="A266" t="s">
        <v>654</v>
      </c>
      <c r="B266" s="6">
        <v>6.71</v>
      </c>
      <c r="C266" t="s">
        <v>618</v>
      </c>
      <c r="D266" t="s">
        <v>618</v>
      </c>
    </row>
    <row r="267" spans="1:4" x14ac:dyDescent="0.2">
      <c r="A267" t="s">
        <v>436</v>
      </c>
      <c r="B267" s="6">
        <v>6.15</v>
      </c>
      <c r="C267" t="s">
        <v>303</v>
      </c>
      <c r="D267" t="s">
        <v>1068</v>
      </c>
    </row>
    <row r="268" spans="1:4" x14ac:dyDescent="0.2">
      <c r="A268" t="s">
        <v>734</v>
      </c>
      <c r="B268" s="6">
        <v>6.02</v>
      </c>
      <c r="C268" t="s">
        <v>423</v>
      </c>
      <c r="D268" t="s">
        <v>789</v>
      </c>
    </row>
    <row r="269" spans="1:4" x14ac:dyDescent="0.2">
      <c r="A269" t="s">
        <v>862</v>
      </c>
      <c r="B269" s="6">
        <v>5.93</v>
      </c>
      <c r="C269" t="s">
        <v>401</v>
      </c>
      <c r="D269" t="s">
        <v>1068</v>
      </c>
    </row>
    <row r="270" spans="1:4" x14ac:dyDescent="0.2">
      <c r="A270" t="s">
        <v>103</v>
      </c>
      <c r="B270" s="6">
        <v>4.71</v>
      </c>
      <c r="C270" t="s">
        <v>96</v>
      </c>
      <c r="D270" t="s">
        <v>1068</v>
      </c>
    </row>
    <row r="271" spans="1:4" x14ac:dyDescent="0.2">
      <c r="A271" t="s">
        <v>730</v>
      </c>
      <c r="B271" s="6">
        <v>4.5</v>
      </c>
      <c r="C271" t="s">
        <v>423</v>
      </c>
      <c r="D271" t="s">
        <v>789</v>
      </c>
    </row>
    <row r="272" spans="1:4" x14ac:dyDescent="0.2">
      <c r="A272" t="s">
        <v>126</v>
      </c>
      <c r="B272" s="6">
        <v>4.49</v>
      </c>
      <c r="C272" t="s">
        <v>789</v>
      </c>
      <c r="D272" t="s">
        <v>789</v>
      </c>
    </row>
    <row r="273" spans="1:4" x14ac:dyDescent="0.2">
      <c r="A273" t="s">
        <v>860</v>
      </c>
      <c r="B273" s="6">
        <v>4.45</v>
      </c>
      <c r="C273" t="s">
        <v>401</v>
      </c>
      <c r="D273" t="s">
        <v>1068</v>
      </c>
    </row>
    <row r="274" spans="1:4" x14ac:dyDescent="0.2">
      <c r="A274" t="s">
        <v>72</v>
      </c>
      <c r="B274" s="6">
        <v>4.04</v>
      </c>
      <c r="C274" t="s">
        <v>43</v>
      </c>
      <c r="D274" t="s">
        <v>38</v>
      </c>
    </row>
    <row r="275" spans="1:4" x14ac:dyDescent="0.2">
      <c r="A275" t="s">
        <v>778</v>
      </c>
      <c r="B275" s="6">
        <v>3.9</v>
      </c>
      <c r="C275" t="s">
        <v>60</v>
      </c>
      <c r="D275" t="s">
        <v>60</v>
      </c>
    </row>
    <row r="276" spans="1:4" x14ac:dyDescent="0.2">
      <c r="A276" t="s">
        <v>944</v>
      </c>
      <c r="B276" s="6">
        <v>3.65</v>
      </c>
      <c r="C276" t="s">
        <v>38</v>
      </c>
      <c r="D276" t="s">
        <v>38</v>
      </c>
    </row>
    <row r="277" spans="1:4" x14ac:dyDescent="0.2">
      <c r="A277" t="s">
        <v>733</v>
      </c>
      <c r="B277" s="6">
        <v>3.61</v>
      </c>
      <c r="C277" t="s">
        <v>423</v>
      </c>
      <c r="D277" t="s">
        <v>789</v>
      </c>
    </row>
    <row r="278" spans="1:4" x14ac:dyDescent="0.2">
      <c r="A278" t="s">
        <v>795</v>
      </c>
      <c r="B278" s="6">
        <v>3.58</v>
      </c>
      <c r="C278" t="s">
        <v>791</v>
      </c>
      <c r="D278" t="s">
        <v>1068</v>
      </c>
    </row>
    <row r="279" spans="1:4" x14ac:dyDescent="0.2">
      <c r="A279" t="s">
        <v>813</v>
      </c>
      <c r="B279" s="6">
        <v>3.56</v>
      </c>
      <c r="C279" t="s">
        <v>807</v>
      </c>
      <c r="D279" t="s">
        <v>1068</v>
      </c>
    </row>
    <row r="280" spans="1:4" x14ac:dyDescent="0.2">
      <c r="A280" t="s">
        <v>764</v>
      </c>
      <c r="B280" s="6">
        <v>3.3</v>
      </c>
      <c r="C280" t="s">
        <v>760</v>
      </c>
      <c r="D280" t="s">
        <v>760</v>
      </c>
    </row>
    <row r="281" spans="1:4" x14ac:dyDescent="0.2">
      <c r="A281" t="s">
        <v>73</v>
      </c>
      <c r="B281" s="6">
        <v>3.24</v>
      </c>
      <c r="C281" t="s">
        <v>43</v>
      </c>
      <c r="D281" t="s">
        <v>1068</v>
      </c>
    </row>
    <row r="282" spans="1:4" x14ac:dyDescent="0.2">
      <c r="A282" t="s">
        <v>782</v>
      </c>
      <c r="B282" s="6">
        <v>3.07</v>
      </c>
      <c r="C282" t="s">
        <v>60</v>
      </c>
      <c r="D282" t="s">
        <v>60</v>
      </c>
    </row>
    <row r="283" spans="1:4" x14ac:dyDescent="0.2">
      <c r="A283" t="s">
        <v>910</v>
      </c>
      <c r="B283" s="6">
        <v>3.01</v>
      </c>
      <c r="C283" t="s">
        <v>618</v>
      </c>
      <c r="D283" t="s">
        <v>618</v>
      </c>
    </row>
    <row r="284" spans="1:4" x14ac:dyDescent="0.2">
      <c r="A284" t="s">
        <v>1048</v>
      </c>
      <c r="B284" s="6">
        <v>2.76</v>
      </c>
      <c r="C284" t="s">
        <v>760</v>
      </c>
      <c r="D284" t="s">
        <v>760</v>
      </c>
    </row>
    <row r="285" spans="1:4" x14ac:dyDescent="0.2">
      <c r="A285" t="s">
        <v>722</v>
      </c>
      <c r="B285" s="6">
        <v>2.72</v>
      </c>
      <c r="C285" t="s">
        <v>484</v>
      </c>
      <c r="D285" t="s">
        <v>1068</v>
      </c>
    </row>
    <row r="286" spans="1:4" x14ac:dyDescent="0.2">
      <c r="A286" t="s">
        <v>1055</v>
      </c>
      <c r="B286" s="6">
        <v>2.56</v>
      </c>
      <c r="C286" t="s">
        <v>760</v>
      </c>
      <c r="D286" t="s">
        <v>760</v>
      </c>
    </row>
    <row r="287" spans="1:4" x14ac:dyDescent="0.2">
      <c r="A287" t="s">
        <v>909</v>
      </c>
      <c r="B287" s="6">
        <v>2.3199999999999998</v>
      </c>
      <c r="C287" t="s">
        <v>618</v>
      </c>
      <c r="D287" t="s">
        <v>618</v>
      </c>
    </row>
    <row r="288" spans="1:4" x14ac:dyDescent="0.2">
      <c r="A288" t="s">
        <v>840</v>
      </c>
      <c r="B288" s="6">
        <v>1.96</v>
      </c>
      <c r="C288" t="s">
        <v>789</v>
      </c>
      <c r="D288" t="s">
        <v>789</v>
      </c>
    </row>
    <row r="289" spans="1:4" x14ac:dyDescent="0.2">
      <c r="A289" t="s">
        <v>731</v>
      </c>
      <c r="B289" s="6">
        <v>1.76</v>
      </c>
      <c r="C289" t="s">
        <v>423</v>
      </c>
      <c r="D289" t="s">
        <v>789</v>
      </c>
    </row>
    <row r="290" spans="1:4" x14ac:dyDescent="0.2">
      <c r="A290" t="s">
        <v>516</v>
      </c>
      <c r="B290" s="6">
        <v>1.62</v>
      </c>
      <c r="C290" t="s">
        <v>484</v>
      </c>
      <c r="D290" t="s">
        <v>1068</v>
      </c>
    </row>
    <row r="291" spans="1:4" x14ac:dyDescent="0.2">
      <c r="A291" t="s">
        <v>810</v>
      </c>
      <c r="B291" s="6">
        <v>1.55</v>
      </c>
      <c r="C291" t="s">
        <v>807</v>
      </c>
      <c r="D291" t="s">
        <v>1068</v>
      </c>
    </row>
    <row r="292" spans="1:4" x14ac:dyDescent="0.2">
      <c r="A292" t="s">
        <v>829</v>
      </c>
      <c r="B292" s="6">
        <v>1.44</v>
      </c>
      <c r="C292" t="s">
        <v>823</v>
      </c>
      <c r="D292" t="s">
        <v>1068</v>
      </c>
    </row>
    <row r="293" spans="1:4" x14ac:dyDescent="0.2">
      <c r="A293" t="s">
        <v>720</v>
      </c>
      <c r="B293" s="6">
        <v>1.34</v>
      </c>
      <c r="C293" t="s">
        <v>484</v>
      </c>
      <c r="D293" t="s">
        <v>1068</v>
      </c>
    </row>
    <row r="294" spans="1:4" x14ac:dyDescent="0.2">
      <c r="A294" t="s">
        <v>1016</v>
      </c>
      <c r="B294" s="6">
        <v>1.32</v>
      </c>
      <c r="C294" t="s">
        <v>760</v>
      </c>
      <c r="D294" t="s">
        <v>760</v>
      </c>
    </row>
    <row r="295" spans="1:4" x14ac:dyDescent="0.2">
      <c r="A295" t="s">
        <v>757</v>
      </c>
      <c r="B295" s="6">
        <v>1.26</v>
      </c>
      <c r="C295" t="s">
        <v>96</v>
      </c>
      <c r="D295" t="s">
        <v>1068</v>
      </c>
    </row>
    <row r="296" spans="1:4" x14ac:dyDescent="0.2">
      <c r="A296" t="s">
        <v>811</v>
      </c>
      <c r="B296" s="6">
        <v>1.08</v>
      </c>
      <c r="C296" t="s">
        <v>807</v>
      </c>
      <c r="D296" t="s">
        <v>1068</v>
      </c>
    </row>
    <row r="297" spans="1:4" x14ac:dyDescent="0.2">
      <c r="A297" t="s">
        <v>960</v>
      </c>
      <c r="B297" s="6">
        <v>1.04</v>
      </c>
      <c r="C297" t="s">
        <v>38</v>
      </c>
      <c r="D297" t="s">
        <v>38</v>
      </c>
    </row>
    <row r="298" spans="1:4" x14ac:dyDescent="0.2">
      <c r="A298" t="s">
        <v>842</v>
      </c>
      <c r="B298" s="6">
        <v>0.97</v>
      </c>
      <c r="C298" t="s">
        <v>789</v>
      </c>
      <c r="D298" t="s">
        <v>789</v>
      </c>
    </row>
    <row r="299" spans="1:4" x14ac:dyDescent="0.2">
      <c r="A299" t="s">
        <v>1020</v>
      </c>
      <c r="B299" s="6">
        <v>0.94</v>
      </c>
      <c r="C299" t="s">
        <v>760</v>
      </c>
      <c r="D299" t="s">
        <v>760</v>
      </c>
    </row>
    <row r="300" spans="1:4" x14ac:dyDescent="0.2">
      <c r="A300" t="s">
        <v>752</v>
      </c>
      <c r="B300" s="6">
        <v>0.78</v>
      </c>
      <c r="C300" t="s">
        <v>96</v>
      </c>
      <c r="D300" t="s">
        <v>1068</v>
      </c>
    </row>
    <row r="301" spans="1:4" x14ac:dyDescent="0.2">
      <c r="A301" t="s">
        <v>839</v>
      </c>
      <c r="B301" s="6">
        <v>0.77</v>
      </c>
      <c r="C301" t="s">
        <v>789</v>
      </c>
      <c r="D301" t="s">
        <v>789</v>
      </c>
    </row>
    <row r="302" spans="1:4" x14ac:dyDescent="0.2">
      <c r="A302" t="s">
        <v>159</v>
      </c>
      <c r="B302" s="6">
        <v>0.76</v>
      </c>
      <c r="C302" t="s">
        <v>158</v>
      </c>
      <c r="D302" t="s">
        <v>1068</v>
      </c>
    </row>
    <row r="303" spans="1:4" x14ac:dyDescent="0.2">
      <c r="A303" t="s">
        <v>1049</v>
      </c>
      <c r="B303" s="6">
        <v>0.76</v>
      </c>
      <c r="C303" t="s">
        <v>760</v>
      </c>
      <c r="D303" t="s">
        <v>760</v>
      </c>
    </row>
    <row r="304" spans="1:4" x14ac:dyDescent="0.2">
      <c r="A304" t="s">
        <v>857</v>
      </c>
      <c r="B304" s="6">
        <v>0.73</v>
      </c>
      <c r="C304" t="s">
        <v>158</v>
      </c>
      <c r="D304" t="s">
        <v>1068</v>
      </c>
    </row>
    <row r="305" spans="1:4" x14ac:dyDescent="0.2">
      <c r="A305" t="s">
        <v>852</v>
      </c>
      <c r="B305" s="6">
        <v>0.68</v>
      </c>
      <c r="C305" t="s">
        <v>158</v>
      </c>
      <c r="D305" t="s">
        <v>1068</v>
      </c>
    </row>
    <row r="306" spans="1:4" x14ac:dyDescent="0.2">
      <c r="A306" t="s">
        <v>1050</v>
      </c>
      <c r="B306" s="6">
        <v>0.56000000000000005</v>
      </c>
      <c r="C306" t="s">
        <v>760</v>
      </c>
      <c r="D306" t="s">
        <v>760</v>
      </c>
    </row>
    <row r="307" spans="1:4" x14ac:dyDescent="0.2">
      <c r="A307" t="s">
        <v>763</v>
      </c>
      <c r="B307" s="6">
        <v>0.51</v>
      </c>
      <c r="C307" t="s">
        <v>760</v>
      </c>
      <c r="D307" t="s">
        <v>760</v>
      </c>
    </row>
    <row r="308" spans="1:4" x14ac:dyDescent="0.2">
      <c r="A308" t="s">
        <v>1036</v>
      </c>
      <c r="B308" s="6">
        <v>0.47</v>
      </c>
      <c r="C308" t="s">
        <v>760</v>
      </c>
      <c r="D308" t="s">
        <v>760</v>
      </c>
    </row>
    <row r="309" spans="1:4" x14ac:dyDescent="0.2">
      <c r="A309" t="s">
        <v>856</v>
      </c>
      <c r="B309" s="6">
        <v>0.42</v>
      </c>
      <c r="C309" t="s">
        <v>158</v>
      </c>
      <c r="D309" t="s">
        <v>1068</v>
      </c>
    </row>
    <row r="310" spans="1:4" x14ac:dyDescent="0.2">
      <c r="A310" t="s">
        <v>1051</v>
      </c>
      <c r="B310" s="6">
        <v>0.32</v>
      </c>
      <c r="C310" t="s">
        <v>760</v>
      </c>
      <c r="D310" t="s">
        <v>760</v>
      </c>
    </row>
    <row r="311" spans="1:4" x14ac:dyDescent="0.2">
      <c r="A311" t="s">
        <v>756</v>
      </c>
      <c r="B311" s="6">
        <v>0.28000000000000003</v>
      </c>
      <c r="C311" t="s">
        <v>96</v>
      </c>
      <c r="D311" t="s">
        <v>1068</v>
      </c>
    </row>
    <row r="312" spans="1:4" x14ac:dyDescent="0.2">
      <c r="A312" t="s">
        <v>101</v>
      </c>
      <c r="B312" s="6">
        <v>0.21</v>
      </c>
      <c r="C312" t="s">
        <v>96</v>
      </c>
      <c r="D312" t="s">
        <v>1068</v>
      </c>
    </row>
    <row r="313" spans="1:4" x14ac:dyDescent="0.2">
      <c r="A313" t="s">
        <v>855</v>
      </c>
      <c r="B313" s="6">
        <v>0.19</v>
      </c>
      <c r="C313" t="s">
        <v>158</v>
      </c>
      <c r="D313" t="s">
        <v>1068</v>
      </c>
    </row>
    <row r="314" spans="1:4" x14ac:dyDescent="0.2">
      <c r="A314" t="s">
        <v>836</v>
      </c>
      <c r="B314" s="6">
        <v>0.17</v>
      </c>
      <c r="C314" t="s">
        <v>823</v>
      </c>
      <c r="D314" t="s">
        <v>1068</v>
      </c>
    </row>
    <row r="315" spans="1:4" x14ac:dyDescent="0.2">
      <c r="A315" t="s">
        <v>826</v>
      </c>
      <c r="B315" s="6">
        <v>0.16</v>
      </c>
      <c r="C315" t="s">
        <v>823</v>
      </c>
      <c r="D315" t="s">
        <v>1068</v>
      </c>
    </row>
    <row r="316" spans="1:4" x14ac:dyDescent="0.2">
      <c r="A316" t="s">
        <v>833</v>
      </c>
      <c r="B316" s="6">
        <v>0.16</v>
      </c>
      <c r="C316" t="s">
        <v>823</v>
      </c>
      <c r="D316" t="s">
        <v>1068</v>
      </c>
    </row>
    <row r="317" spans="1:4" x14ac:dyDescent="0.2">
      <c r="A317" t="s">
        <v>700</v>
      </c>
      <c r="B317" s="6">
        <v>0.15</v>
      </c>
      <c r="C317" t="s">
        <v>38</v>
      </c>
      <c r="D317" t="s">
        <v>38</v>
      </c>
    </row>
    <row r="318" spans="1:4" x14ac:dyDescent="0.2">
      <c r="A318" t="s">
        <v>801</v>
      </c>
      <c r="B318" s="6">
        <v>0.14000000000000001</v>
      </c>
      <c r="C318" t="s">
        <v>791</v>
      </c>
      <c r="D318" t="s">
        <v>1068</v>
      </c>
    </row>
    <row r="319" spans="1:4" x14ac:dyDescent="0.2">
      <c r="A319" t="s">
        <v>797</v>
      </c>
      <c r="B319" s="6">
        <v>0.12</v>
      </c>
      <c r="C319" t="s">
        <v>791</v>
      </c>
      <c r="D319" t="s">
        <v>1068</v>
      </c>
    </row>
    <row r="320" spans="1:4" x14ac:dyDescent="0.2">
      <c r="A320" t="s">
        <v>704</v>
      </c>
      <c r="B320" s="6">
        <v>0.11</v>
      </c>
      <c r="C320" t="s">
        <v>38</v>
      </c>
      <c r="D320" t="s">
        <v>38</v>
      </c>
    </row>
    <row r="321" spans="1:4" x14ac:dyDescent="0.2">
      <c r="A321" t="s">
        <v>132</v>
      </c>
      <c r="B321" s="6">
        <v>0.1</v>
      </c>
      <c r="C321" t="s">
        <v>789</v>
      </c>
      <c r="D321" t="s">
        <v>789</v>
      </c>
    </row>
    <row r="322" spans="1:4" x14ac:dyDescent="0.2">
      <c r="A322" t="s">
        <v>912</v>
      </c>
      <c r="B322" s="6">
        <v>0.1</v>
      </c>
      <c r="C322" t="s">
        <v>618</v>
      </c>
      <c r="D322" t="s">
        <v>618</v>
      </c>
    </row>
    <row r="323" spans="1:4" x14ac:dyDescent="0.2">
      <c r="A323" t="s">
        <v>702</v>
      </c>
      <c r="B323" s="6">
        <v>0.09</v>
      </c>
      <c r="C323" t="s">
        <v>38</v>
      </c>
      <c r="D323" t="s">
        <v>38</v>
      </c>
    </row>
    <row r="324" spans="1:4" x14ac:dyDescent="0.2">
      <c r="A324" t="s">
        <v>800</v>
      </c>
      <c r="B324" s="6">
        <v>0.09</v>
      </c>
      <c r="C324" t="s">
        <v>791</v>
      </c>
      <c r="D324" t="s">
        <v>1068</v>
      </c>
    </row>
    <row r="325" spans="1:4" x14ac:dyDescent="0.2">
      <c r="A325" t="s">
        <v>805</v>
      </c>
      <c r="B325" s="6">
        <v>0.08</v>
      </c>
      <c r="C325" t="s">
        <v>791</v>
      </c>
      <c r="D325" t="s">
        <v>1068</v>
      </c>
    </row>
    <row r="326" spans="1:4" x14ac:dyDescent="0.2">
      <c r="A326" t="s">
        <v>1035</v>
      </c>
      <c r="B326" s="6">
        <v>0.08</v>
      </c>
      <c r="C326" t="s">
        <v>760</v>
      </c>
      <c r="D326" t="s">
        <v>760</v>
      </c>
    </row>
    <row r="327" spans="1:4" x14ac:dyDescent="0.2">
      <c r="A327" t="s">
        <v>753</v>
      </c>
      <c r="B327" s="6">
        <v>7.0000000000000007E-2</v>
      </c>
      <c r="C327" t="s">
        <v>96</v>
      </c>
      <c r="D327" t="s">
        <v>1068</v>
      </c>
    </row>
    <row r="328" spans="1:4" x14ac:dyDescent="0.2">
      <c r="A328" t="s">
        <v>804</v>
      </c>
      <c r="B328" s="6">
        <v>0.04</v>
      </c>
      <c r="C328" t="s">
        <v>791</v>
      </c>
      <c r="D328" t="s">
        <v>1068</v>
      </c>
    </row>
    <row r="329" spans="1:4" x14ac:dyDescent="0.2">
      <c r="A329" t="s">
        <v>1053</v>
      </c>
      <c r="B329" s="6">
        <v>0.04</v>
      </c>
      <c r="C329" t="s">
        <v>760</v>
      </c>
      <c r="D329" t="s">
        <v>760</v>
      </c>
    </row>
    <row r="330" spans="1:4" x14ac:dyDescent="0.2">
      <c r="A330" t="s">
        <v>820</v>
      </c>
      <c r="B330" s="6">
        <v>0.03</v>
      </c>
      <c r="C330" t="s">
        <v>807</v>
      </c>
      <c r="D330" t="s">
        <v>1068</v>
      </c>
    </row>
    <row r="331" spans="1:4" x14ac:dyDescent="0.2">
      <c r="A331" t="s">
        <v>821</v>
      </c>
      <c r="B331" s="6">
        <v>0.03</v>
      </c>
      <c r="C331" t="s">
        <v>807</v>
      </c>
      <c r="D331" t="s">
        <v>1068</v>
      </c>
    </row>
    <row r="332" spans="1:4" x14ac:dyDescent="0.2">
      <c r="A332" t="s">
        <v>754</v>
      </c>
      <c r="B332" s="6">
        <v>0.02</v>
      </c>
      <c r="C332" t="s">
        <v>96</v>
      </c>
      <c r="D332" t="s">
        <v>1068</v>
      </c>
    </row>
    <row r="333" spans="1:4" x14ac:dyDescent="0.2">
      <c r="A333" t="s">
        <v>814</v>
      </c>
      <c r="B333" s="6">
        <v>0.02</v>
      </c>
      <c r="C333" t="s">
        <v>807</v>
      </c>
      <c r="D333" t="s">
        <v>1068</v>
      </c>
    </row>
    <row r="334" spans="1:4" x14ac:dyDescent="0.2">
      <c r="A334" t="s">
        <v>817</v>
      </c>
      <c r="B334" s="6">
        <v>0.02</v>
      </c>
      <c r="C334" t="s">
        <v>807</v>
      </c>
      <c r="D334" t="s">
        <v>1068</v>
      </c>
    </row>
    <row r="335" spans="1:4" x14ac:dyDescent="0.2">
      <c r="A335" t="s">
        <v>822</v>
      </c>
      <c r="B335" s="6">
        <v>0.02</v>
      </c>
      <c r="C335" t="s">
        <v>823</v>
      </c>
      <c r="D335" t="s">
        <v>1068</v>
      </c>
    </row>
    <row r="336" spans="1:4" x14ac:dyDescent="0.2">
      <c r="A336" t="s">
        <v>830</v>
      </c>
      <c r="B336" s="6">
        <v>0.02</v>
      </c>
      <c r="C336" t="s">
        <v>823</v>
      </c>
      <c r="D336" t="s">
        <v>1068</v>
      </c>
    </row>
    <row r="337" spans="1:4" x14ac:dyDescent="0.2">
      <c r="A337" t="s">
        <v>953</v>
      </c>
      <c r="B337" s="6">
        <v>0.02</v>
      </c>
      <c r="C337" t="s">
        <v>954</v>
      </c>
      <c r="D337" t="s">
        <v>954</v>
      </c>
    </row>
    <row r="338" spans="1:4" x14ac:dyDescent="0.2">
      <c r="A338" t="s">
        <v>956</v>
      </c>
      <c r="B338" s="6">
        <v>0.02</v>
      </c>
      <c r="C338" t="s">
        <v>760</v>
      </c>
      <c r="D338" t="s">
        <v>760</v>
      </c>
    </row>
    <row r="339" spans="1:4" x14ac:dyDescent="0.2">
      <c r="A339" t="s">
        <v>605</v>
      </c>
      <c r="B339" s="6">
        <v>0.01</v>
      </c>
      <c r="C339" t="s">
        <v>606</v>
      </c>
      <c r="D339" t="s">
        <v>1068</v>
      </c>
    </row>
    <row r="340" spans="1:4" x14ac:dyDescent="0.2">
      <c r="A340" t="s">
        <v>598</v>
      </c>
      <c r="B340" s="6">
        <v>0.01</v>
      </c>
      <c r="C340" t="s">
        <v>783</v>
      </c>
      <c r="D340" t="s">
        <v>1068</v>
      </c>
    </row>
    <row r="341" spans="1:4" x14ac:dyDescent="0.2">
      <c r="A341" t="s">
        <v>802</v>
      </c>
      <c r="B341" s="6">
        <v>0.01</v>
      </c>
      <c r="C341" t="s">
        <v>791</v>
      </c>
      <c r="D341" t="s">
        <v>1068</v>
      </c>
    </row>
    <row r="342" spans="1:4" x14ac:dyDescent="0.2">
      <c r="A342" t="s">
        <v>812</v>
      </c>
      <c r="B342" s="6">
        <v>0.01</v>
      </c>
      <c r="C342" t="s">
        <v>807</v>
      </c>
      <c r="D342" t="s">
        <v>1068</v>
      </c>
    </row>
    <row r="343" spans="1:4" x14ac:dyDescent="0.2">
      <c r="A343" t="s">
        <v>818</v>
      </c>
      <c r="B343" s="6">
        <v>0.01</v>
      </c>
      <c r="C343" t="s">
        <v>807</v>
      </c>
      <c r="D343" t="s">
        <v>1068</v>
      </c>
    </row>
    <row r="344" spans="1:4" x14ac:dyDescent="0.2">
      <c r="A344" t="s">
        <v>1037</v>
      </c>
      <c r="B344" s="6">
        <v>0.01</v>
      </c>
      <c r="C344" t="s">
        <v>760</v>
      </c>
      <c r="D344" t="s">
        <v>760</v>
      </c>
    </row>
    <row r="345" spans="1:4" x14ac:dyDescent="0.2">
      <c r="A345" t="s">
        <v>1052</v>
      </c>
      <c r="B345" s="6">
        <v>0.01</v>
      </c>
      <c r="C345" t="s">
        <v>760</v>
      </c>
      <c r="D345" t="s">
        <v>760</v>
      </c>
    </row>
    <row r="346" spans="1:4" x14ac:dyDescent="0.2">
      <c r="A346" t="s">
        <v>40</v>
      </c>
      <c r="B346" s="6">
        <v>0</v>
      </c>
      <c r="C346" t="s">
        <v>43</v>
      </c>
      <c r="D346" t="s">
        <v>43</v>
      </c>
    </row>
    <row r="347" spans="1:4" x14ac:dyDescent="0.2">
      <c r="A347" t="s">
        <v>44</v>
      </c>
      <c r="B347" s="6">
        <v>0</v>
      </c>
      <c r="C347" t="s">
        <v>43</v>
      </c>
      <c r="D347" t="s">
        <v>43</v>
      </c>
    </row>
    <row r="348" spans="1:4" x14ac:dyDescent="0.2">
      <c r="A348" t="s">
        <v>49</v>
      </c>
      <c r="B348" s="6">
        <v>0</v>
      </c>
      <c r="C348" t="s">
        <v>43</v>
      </c>
      <c r="D348" t="s">
        <v>43</v>
      </c>
    </row>
    <row r="349" spans="1:4" x14ac:dyDescent="0.2">
      <c r="A349" t="s">
        <v>50</v>
      </c>
      <c r="B349" s="6">
        <v>0</v>
      </c>
      <c r="C349" t="s">
        <v>38</v>
      </c>
      <c r="D349" t="s">
        <v>38</v>
      </c>
    </row>
    <row r="350" spans="1:4" x14ac:dyDescent="0.2">
      <c r="A350" t="s">
        <v>52</v>
      </c>
      <c r="B350" s="6">
        <v>0</v>
      </c>
      <c r="C350" t="s">
        <v>43</v>
      </c>
      <c r="D350" t="s">
        <v>43</v>
      </c>
    </row>
    <row r="351" spans="1:4" x14ac:dyDescent="0.2">
      <c r="A351" t="s">
        <v>54</v>
      </c>
      <c r="B351" s="6">
        <v>0</v>
      </c>
      <c r="C351" t="s">
        <v>43</v>
      </c>
      <c r="D351" t="s">
        <v>43</v>
      </c>
    </row>
    <row r="352" spans="1:4" x14ac:dyDescent="0.2">
      <c r="A352" t="s">
        <v>55</v>
      </c>
      <c r="B352" s="6">
        <v>0</v>
      </c>
      <c r="C352" t="s">
        <v>43</v>
      </c>
      <c r="D352" t="s">
        <v>43</v>
      </c>
    </row>
    <row r="353" spans="1:4" x14ac:dyDescent="0.2">
      <c r="A353" t="s">
        <v>56</v>
      </c>
      <c r="B353" s="6">
        <v>0</v>
      </c>
      <c r="C353" t="s">
        <v>43</v>
      </c>
      <c r="D353" t="s">
        <v>43</v>
      </c>
    </row>
    <row r="354" spans="1:4" x14ac:dyDescent="0.2">
      <c r="A354" t="s">
        <v>57</v>
      </c>
      <c r="B354" s="6">
        <v>0</v>
      </c>
      <c r="C354" t="s">
        <v>43</v>
      </c>
      <c r="D354" t="s">
        <v>43</v>
      </c>
    </row>
    <row r="355" spans="1:4" x14ac:dyDescent="0.2">
      <c r="A355" t="s">
        <v>59</v>
      </c>
      <c r="B355" s="6">
        <v>0</v>
      </c>
      <c r="C355" t="s">
        <v>60</v>
      </c>
      <c r="D355" t="s">
        <v>60</v>
      </c>
    </row>
    <row r="356" spans="1:4" x14ac:dyDescent="0.2">
      <c r="A356" t="s">
        <v>61</v>
      </c>
      <c r="B356" s="6">
        <v>0</v>
      </c>
      <c r="C356" t="s">
        <v>43</v>
      </c>
      <c r="D356" t="s">
        <v>43</v>
      </c>
    </row>
    <row r="357" spans="1:4" x14ac:dyDescent="0.2">
      <c r="A357" t="s">
        <v>64</v>
      </c>
      <c r="B357" s="6">
        <v>0</v>
      </c>
      <c r="C357" t="s">
        <v>43</v>
      </c>
      <c r="D357" t="s">
        <v>43</v>
      </c>
    </row>
    <row r="358" spans="1:4" x14ac:dyDescent="0.2">
      <c r="A358" t="s">
        <v>65</v>
      </c>
      <c r="B358" s="6">
        <v>0</v>
      </c>
      <c r="C358" t="s">
        <v>43</v>
      </c>
      <c r="D358" t="s">
        <v>43</v>
      </c>
    </row>
    <row r="359" spans="1:4" x14ac:dyDescent="0.2">
      <c r="A359" t="s">
        <v>66</v>
      </c>
      <c r="B359" s="6">
        <v>0</v>
      </c>
      <c r="C359" t="s">
        <v>43</v>
      </c>
      <c r="D359" t="s">
        <v>43</v>
      </c>
    </row>
    <row r="360" spans="1:4" x14ac:dyDescent="0.2">
      <c r="A360" t="s">
        <v>67</v>
      </c>
      <c r="B360" s="6">
        <v>0</v>
      </c>
      <c r="C360" t="s">
        <v>43</v>
      </c>
      <c r="D360" t="s">
        <v>43</v>
      </c>
    </row>
    <row r="361" spans="1:4" x14ac:dyDescent="0.2">
      <c r="A361" t="s">
        <v>68</v>
      </c>
      <c r="B361" s="6">
        <v>0</v>
      </c>
      <c r="C361" t="s">
        <v>43</v>
      </c>
      <c r="D361" t="s">
        <v>43</v>
      </c>
    </row>
    <row r="362" spans="1:4" x14ac:dyDescent="0.2">
      <c r="A362" t="s">
        <v>69</v>
      </c>
      <c r="B362" s="6">
        <v>0</v>
      </c>
      <c r="C362" t="s">
        <v>43</v>
      </c>
      <c r="D362" t="s">
        <v>43</v>
      </c>
    </row>
    <row r="363" spans="1:4" x14ac:dyDescent="0.2">
      <c r="A363" t="s">
        <v>70</v>
      </c>
      <c r="B363" s="6">
        <v>0</v>
      </c>
      <c r="C363" t="s">
        <v>43</v>
      </c>
      <c r="D363" t="s">
        <v>43</v>
      </c>
    </row>
    <row r="364" spans="1:4" x14ac:dyDescent="0.2">
      <c r="A364" t="s">
        <v>71</v>
      </c>
      <c r="B364" s="6">
        <v>0</v>
      </c>
      <c r="C364" t="s">
        <v>43</v>
      </c>
      <c r="D364" t="s">
        <v>43</v>
      </c>
    </row>
    <row r="365" spans="1:4" x14ac:dyDescent="0.2">
      <c r="A365" t="s">
        <v>74</v>
      </c>
      <c r="B365" s="6">
        <v>0</v>
      </c>
      <c r="C365" t="s">
        <v>43</v>
      </c>
      <c r="D365" t="s">
        <v>43</v>
      </c>
    </row>
    <row r="366" spans="1:4" x14ac:dyDescent="0.2">
      <c r="A366" t="s">
        <v>75</v>
      </c>
      <c r="B366" s="6">
        <v>0</v>
      </c>
      <c r="C366" t="s">
        <v>43</v>
      </c>
      <c r="D366" t="s">
        <v>43</v>
      </c>
    </row>
    <row r="367" spans="1:4" x14ac:dyDescent="0.2">
      <c r="A367" t="s">
        <v>76</v>
      </c>
      <c r="B367" s="6">
        <v>0</v>
      </c>
      <c r="C367" t="s">
        <v>43</v>
      </c>
      <c r="D367" t="s">
        <v>43</v>
      </c>
    </row>
    <row r="368" spans="1:4" x14ac:dyDescent="0.2">
      <c r="A368" t="s">
        <v>77</v>
      </c>
      <c r="B368" s="6">
        <v>0</v>
      </c>
      <c r="C368" t="s">
        <v>43</v>
      </c>
      <c r="D368" t="s">
        <v>43</v>
      </c>
    </row>
    <row r="369" spans="1:4" x14ac:dyDescent="0.2">
      <c r="A369" t="s">
        <v>78</v>
      </c>
      <c r="B369" s="6">
        <v>0</v>
      </c>
      <c r="C369" t="s">
        <v>43</v>
      </c>
      <c r="D369" t="s">
        <v>43</v>
      </c>
    </row>
    <row r="370" spans="1:4" x14ac:dyDescent="0.2">
      <c r="A370" t="s">
        <v>79</v>
      </c>
      <c r="B370" s="6">
        <v>0</v>
      </c>
      <c r="C370" t="s">
        <v>43</v>
      </c>
      <c r="D370" t="s">
        <v>43</v>
      </c>
    </row>
    <row r="371" spans="1:4" x14ac:dyDescent="0.2">
      <c r="A371" t="s">
        <v>80</v>
      </c>
      <c r="B371" s="6">
        <v>0</v>
      </c>
      <c r="C371" t="s">
        <v>43</v>
      </c>
      <c r="D371" t="s">
        <v>43</v>
      </c>
    </row>
    <row r="372" spans="1:4" x14ac:dyDescent="0.2">
      <c r="A372" t="s">
        <v>81</v>
      </c>
      <c r="B372" s="6">
        <v>0</v>
      </c>
      <c r="C372" t="s">
        <v>43</v>
      </c>
      <c r="D372" t="s">
        <v>43</v>
      </c>
    </row>
    <row r="373" spans="1:4" x14ac:dyDescent="0.2">
      <c r="A373" t="s">
        <v>82</v>
      </c>
      <c r="B373" s="6">
        <v>0</v>
      </c>
      <c r="C373" t="s">
        <v>43</v>
      </c>
      <c r="D373" t="s">
        <v>43</v>
      </c>
    </row>
    <row r="374" spans="1:4" x14ac:dyDescent="0.2">
      <c r="A374" t="s">
        <v>83</v>
      </c>
      <c r="B374" s="6">
        <v>0</v>
      </c>
      <c r="C374" t="s">
        <v>43</v>
      </c>
      <c r="D374" t="s">
        <v>43</v>
      </c>
    </row>
    <row r="375" spans="1:4" x14ac:dyDescent="0.2">
      <c r="A375" t="s">
        <v>85</v>
      </c>
      <c r="B375" s="6">
        <v>0</v>
      </c>
      <c r="C375" t="s">
        <v>43</v>
      </c>
      <c r="D375" t="s">
        <v>43</v>
      </c>
    </row>
    <row r="376" spans="1:4" x14ac:dyDescent="0.2">
      <c r="A376" t="s">
        <v>86</v>
      </c>
      <c r="B376" s="6">
        <v>0</v>
      </c>
      <c r="C376" t="s">
        <v>43</v>
      </c>
      <c r="D376" t="s">
        <v>43</v>
      </c>
    </row>
    <row r="377" spans="1:4" x14ac:dyDescent="0.2">
      <c r="A377" t="s">
        <v>87</v>
      </c>
      <c r="B377" s="6">
        <v>0</v>
      </c>
      <c r="C377" t="s">
        <v>43</v>
      </c>
      <c r="D377" t="s">
        <v>43</v>
      </c>
    </row>
    <row r="378" spans="1:4" x14ac:dyDescent="0.2">
      <c r="A378" t="s">
        <v>88</v>
      </c>
      <c r="B378" s="6">
        <v>0</v>
      </c>
      <c r="C378" t="s">
        <v>43</v>
      </c>
      <c r="D378" t="s">
        <v>43</v>
      </c>
    </row>
    <row r="379" spans="1:4" x14ac:dyDescent="0.2">
      <c r="A379" t="s">
        <v>89</v>
      </c>
      <c r="B379" s="6">
        <v>0</v>
      </c>
      <c r="C379" t="s">
        <v>43</v>
      </c>
      <c r="D379" t="s">
        <v>43</v>
      </c>
    </row>
    <row r="380" spans="1:4" x14ac:dyDescent="0.2">
      <c r="A380" t="s">
        <v>90</v>
      </c>
      <c r="B380" s="6">
        <v>0</v>
      </c>
      <c r="C380" t="s">
        <v>43</v>
      </c>
      <c r="D380" t="s">
        <v>43</v>
      </c>
    </row>
    <row r="381" spans="1:4" x14ac:dyDescent="0.2">
      <c r="A381" t="s">
        <v>91</v>
      </c>
      <c r="B381" s="6">
        <v>0</v>
      </c>
      <c r="C381" t="s">
        <v>43</v>
      </c>
      <c r="D381" t="s">
        <v>43</v>
      </c>
    </row>
    <row r="382" spans="1:4" x14ac:dyDescent="0.2">
      <c r="A382" t="s">
        <v>92</v>
      </c>
      <c r="B382" s="6">
        <v>0</v>
      </c>
      <c r="C382" t="s">
        <v>43</v>
      </c>
      <c r="D382" t="s">
        <v>43</v>
      </c>
    </row>
    <row r="383" spans="1:4" x14ac:dyDescent="0.2">
      <c r="A383" t="s">
        <v>93</v>
      </c>
      <c r="B383" s="6">
        <v>0</v>
      </c>
      <c r="C383" t="s">
        <v>43</v>
      </c>
      <c r="D383" t="s">
        <v>43</v>
      </c>
    </row>
    <row r="384" spans="1:4" x14ac:dyDescent="0.2">
      <c r="A384" t="s">
        <v>94</v>
      </c>
      <c r="B384" s="6">
        <v>0</v>
      </c>
      <c r="C384" t="s">
        <v>43</v>
      </c>
      <c r="D384" t="s">
        <v>43</v>
      </c>
    </row>
    <row r="385" spans="1:4" x14ac:dyDescent="0.2">
      <c r="A385" t="s">
        <v>97</v>
      </c>
      <c r="B385" s="6">
        <v>0</v>
      </c>
      <c r="C385" t="s">
        <v>43</v>
      </c>
      <c r="D385" t="s">
        <v>43</v>
      </c>
    </row>
    <row r="386" spans="1:4" x14ac:dyDescent="0.2">
      <c r="A386" t="s">
        <v>98</v>
      </c>
      <c r="B386" s="6">
        <v>0</v>
      </c>
      <c r="C386" t="s">
        <v>43</v>
      </c>
      <c r="D386" t="s">
        <v>43</v>
      </c>
    </row>
    <row r="387" spans="1:4" x14ac:dyDescent="0.2">
      <c r="A387" t="s">
        <v>99</v>
      </c>
      <c r="B387" s="6">
        <v>0</v>
      </c>
      <c r="C387" t="s">
        <v>43</v>
      </c>
      <c r="D387" t="s">
        <v>43</v>
      </c>
    </row>
    <row r="388" spans="1:4" x14ac:dyDescent="0.2">
      <c r="A388" t="s">
        <v>100</v>
      </c>
      <c r="B388" s="6">
        <v>0</v>
      </c>
      <c r="C388" t="s">
        <v>43</v>
      </c>
      <c r="D388" t="s">
        <v>43</v>
      </c>
    </row>
    <row r="389" spans="1:4" x14ac:dyDescent="0.2">
      <c r="A389" t="s">
        <v>101</v>
      </c>
      <c r="B389" s="6">
        <v>0</v>
      </c>
      <c r="C389" t="s">
        <v>43</v>
      </c>
      <c r="D389" t="s">
        <v>43</v>
      </c>
    </row>
    <row r="390" spans="1:4" x14ac:dyDescent="0.2">
      <c r="A390" t="s">
        <v>102</v>
      </c>
      <c r="B390" s="6">
        <v>0</v>
      </c>
      <c r="C390" t="s">
        <v>43</v>
      </c>
      <c r="D390" t="s">
        <v>43</v>
      </c>
    </row>
    <row r="391" spans="1:4" x14ac:dyDescent="0.2">
      <c r="A391" t="s">
        <v>103</v>
      </c>
      <c r="B391" s="6">
        <v>0</v>
      </c>
      <c r="C391" t="s">
        <v>43</v>
      </c>
      <c r="D391" t="s">
        <v>43</v>
      </c>
    </row>
    <row r="392" spans="1:4" x14ac:dyDescent="0.2">
      <c r="A392" t="s">
        <v>104</v>
      </c>
      <c r="B392" s="6">
        <v>0</v>
      </c>
      <c r="C392" t="s">
        <v>43</v>
      </c>
      <c r="D392" t="s">
        <v>43</v>
      </c>
    </row>
    <row r="393" spans="1:4" x14ac:dyDescent="0.2">
      <c r="A393" t="s">
        <v>105</v>
      </c>
      <c r="B393" s="6">
        <v>0</v>
      </c>
      <c r="C393" t="s">
        <v>43</v>
      </c>
      <c r="D393" t="s">
        <v>43</v>
      </c>
    </row>
    <row r="394" spans="1:4" x14ac:dyDescent="0.2">
      <c r="A394" t="s">
        <v>106</v>
      </c>
      <c r="B394" s="6">
        <v>0</v>
      </c>
      <c r="C394" t="s">
        <v>43</v>
      </c>
      <c r="D394" t="s">
        <v>43</v>
      </c>
    </row>
    <row r="395" spans="1:4" x14ac:dyDescent="0.2">
      <c r="A395" t="s">
        <v>107</v>
      </c>
      <c r="B395" s="6">
        <v>0</v>
      </c>
      <c r="C395" t="s">
        <v>43</v>
      </c>
      <c r="D395" t="s">
        <v>43</v>
      </c>
    </row>
    <row r="396" spans="1:4" x14ac:dyDescent="0.2">
      <c r="A396" t="s">
        <v>108</v>
      </c>
      <c r="B396" s="6">
        <v>0</v>
      </c>
      <c r="C396" t="s">
        <v>43</v>
      </c>
      <c r="D396" t="s">
        <v>43</v>
      </c>
    </row>
    <row r="397" spans="1:4" x14ac:dyDescent="0.2">
      <c r="A397" t="s">
        <v>109</v>
      </c>
      <c r="B397" s="6">
        <v>0</v>
      </c>
      <c r="C397" t="s">
        <v>43</v>
      </c>
      <c r="D397" t="s">
        <v>43</v>
      </c>
    </row>
    <row r="398" spans="1:4" x14ac:dyDescent="0.2">
      <c r="A398" t="s">
        <v>110</v>
      </c>
      <c r="B398" s="6">
        <v>0</v>
      </c>
      <c r="C398" t="s">
        <v>43</v>
      </c>
      <c r="D398" t="s">
        <v>43</v>
      </c>
    </row>
    <row r="399" spans="1:4" x14ac:dyDescent="0.2">
      <c r="A399" t="s">
        <v>111</v>
      </c>
      <c r="B399" s="6">
        <v>0</v>
      </c>
      <c r="C399" t="s">
        <v>43</v>
      </c>
      <c r="D399" t="s">
        <v>43</v>
      </c>
    </row>
    <row r="400" spans="1:4" x14ac:dyDescent="0.2">
      <c r="A400" t="s">
        <v>112</v>
      </c>
      <c r="B400" s="6">
        <v>0</v>
      </c>
      <c r="C400" t="s">
        <v>43</v>
      </c>
      <c r="D400" t="s">
        <v>43</v>
      </c>
    </row>
    <row r="401" spans="1:4" x14ac:dyDescent="0.2">
      <c r="A401" t="s">
        <v>113</v>
      </c>
      <c r="B401" s="6">
        <v>0</v>
      </c>
      <c r="C401" t="s">
        <v>43</v>
      </c>
      <c r="D401" t="s">
        <v>43</v>
      </c>
    </row>
    <row r="402" spans="1:4" x14ac:dyDescent="0.2">
      <c r="A402" t="s">
        <v>114</v>
      </c>
      <c r="B402" s="6">
        <v>0</v>
      </c>
      <c r="C402" t="s">
        <v>43</v>
      </c>
      <c r="D402" t="s">
        <v>43</v>
      </c>
    </row>
    <row r="403" spans="1:4" x14ac:dyDescent="0.2">
      <c r="A403" t="s">
        <v>115</v>
      </c>
      <c r="B403" s="6">
        <v>0</v>
      </c>
      <c r="C403" t="s">
        <v>43</v>
      </c>
      <c r="D403" t="s">
        <v>43</v>
      </c>
    </row>
    <row r="404" spans="1:4" x14ac:dyDescent="0.2">
      <c r="A404" t="s">
        <v>116</v>
      </c>
      <c r="B404" s="6">
        <v>0</v>
      </c>
      <c r="C404" t="s">
        <v>43</v>
      </c>
      <c r="D404" t="s">
        <v>43</v>
      </c>
    </row>
    <row r="405" spans="1:4" x14ac:dyDescent="0.2">
      <c r="A405" t="s">
        <v>117</v>
      </c>
      <c r="B405" s="6">
        <v>0</v>
      </c>
      <c r="C405" t="s">
        <v>43</v>
      </c>
      <c r="D405" t="s">
        <v>43</v>
      </c>
    </row>
    <row r="406" spans="1:4" x14ac:dyDescent="0.2">
      <c r="A406" t="s">
        <v>118</v>
      </c>
      <c r="B406" s="6">
        <v>0</v>
      </c>
      <c r="C406" t="s">
        <v>119</v>
      </c>
      <c r="D406" t="s">
        <v>119</v>
      </c>
    </row>
    <row r="407" spans="1:4" x14ac:dyDescent="0.2">
      <c r="A407" t="s">
        <v>120</v>
      </c>
      <c r="B407" s="6">
        <v>0</v>
      </c>
      <c r="C407" t="s">
        <v>43</v>
      </c>
      <c r="D407" t="s">
        <v>43</v>
      </c>
    </row>
    <row r="408" spans="1:4" x14ac:dyDescent="0.2">
      <c r="A408" t="s">
        <v>121</v>
      </c>
      <c r="B408" s="6">
        <v>0</v>
      </c>
      <c r="C408" t="s">
        <v>43</v>
      </c>
      <c r="D408" t="s">
        <v>43</v>
      </c>
    </row>
    <row r="409" spans="1:4" x14ac:dyDescent="0.2">
      <c r="A409" t="s">
        <v>122</v>
      </c>
      <c r="B409" s="6">
        <v>0</v>
      </c>
      <c r="C409" t="s">
        <v>43</v>
      </c>
      <c r="D409" t="s">
        <v>43</v>
      </c>
    </row>
    <row r="410" spans="1:4" x14ac:dyDescent="0.2">
      <c r="A410" t="s">
        <v>123</v>
      </c>
      <c r="B410" s="6">
        <v>0</v>
      </c>
      <c r="C410" t="s">
        <v>43</v>
      </c>
      <c r="D410" t="s">
        <v>43</v>
      </c>
    </row>
    <row r="411" spans="1:4" x14ac:dyDescent="0.2">
      <c r="A411" t="s">
        <v>125</v>
      </c>
      <c r="B411" s="6">
        <v>0</v>
      </c>
      <c r="C411" t="s">
        <v>43</v>
      </c>
      <c r="D411" t="s">
        <v>43</v>
      </c>
    </row>
    <row r="412" spans="1:4" x14ac:dyDescent="0.2">
      <c r="A412" t="s">
        <v>126</v>
      </c>
      <c r="B412" s="6">
        <v>0</v>
      </c>
      <c r="C412" t="s">
        <v>43</v>
      </c>
      <c r="D412" t="s">
        <v>43</v>
      </c>
    </row>
    <row r="413" spans="1:4" x14ac:dyDescent="0.2">
      <c r="A413" t="s">
        <v>127</v>
      </c>
      <c r="B413" s="6">
        <v>0</v>
      </c>
      <c r="C413" t="s">
        <v>43</v>
      </c>
      <c r="D413" t="s">
        <v>43</v>
      </c>
    </row>
    <row r="414" spans="1:4" x14ac:dyDescent="0.2">
      <c r="A414" t="s">
        <v>128</v>
      </c>
      <c r="B414" s="6">
        <v>0</v>
      </c>
      <c r="C414" t="s">
        <v>43</v>
      </c>
      <c r="D414" t="s">
        <v>43</v>
      </c>
    </row>
    <row r="415" spans="1:4" x14ac:dyDescent="0.2">
      <c r="A415" t="s">
        <v>129</v>
      </c>
      <c r="B415" s="6">
        <v>0</v>
      </c>
      <c r="C415" t="s">
        <v>43</v>
      </c>
      <c r="D415" t="s">
        <v>43</v>
      </c>
    </row>
    <row r="416" spans="1:4" x14ac:dyDescent="0.2">
      <c r="A416" t="s">
        <v>130</v>
      </c>
      <c r="B416" s="6">
        <v>0</v>
      </c>
      <c r="C416" t="s">
        <v>43</v>
      </c>
      <c r="D416" t="s">
        <v>43</v>
      </c>
    </row>
    <row r="417" spans="1:4" x14ac:dyDescent="0.2">
      <c r="A417" t="s">
        <v>131</v>
      </c>
      <c r="B417" s="6">
        <v>0</v>
      </c>
      <c r="C417" t="s">
        <v>43</v>
      </c>
      <c r="D417" t="s">
        <v>43</v>
      </c>
    </row>
    <row r="418" spans="1:4" x14ac:dyDescent="0.2">
      <c r="A418" t="s">
        <v>132</v>
      </c>
      <c r="B418" s="6">
        <v>0</v>
      </c>
      <c r="C418" t="s">
        <v>43</v>
      </c>
      <c r="D418" t="s">
        <v>43</v>
      </c>
    </row>
    <row r="419" spans="1:4" x14ac:dyDescent="0.2">
      <c r="A419" t="s">
        <v>133</v>
      </c>
      <c r="B419" s="6">
        <v>0</v>
      </c>
      <c r="C419" t="s">
        <v>43</v>
      </c>
      <c r="D419" t="s">
        <v>43</v>
      </c>
    </row>
    <row r="420" spans="1:4" x14ac:dyDescent="0.2">
      <c r="A420" t="s">
        <v>134</v>
      </c>
      <c r="B420" s="6">
        <v>0</v>
      </c>
      <c r="C420" t="s">
        <v>43</v>
      </c>
      <c r="D420" t="s">
        <v>43</v>
      </c>
    </row>
    <row r="421" spans="1:4" x14ac:dyDescent="0.2">
      <c r="A421" t="s">
        <v>135</v>
      </c>
      <c r="B421" s="6">
        <v>0</v>
      </c>
      <c r="C421" t="s">
        <v>43</v>
      </c>
      <c r="D421" t="s">
        <v>43</v>
      </c>
    </row>
    <row r="422" spans="1:4" x14ac:dyDescent="0.2">
      <c r="A422" t="s">
        <v>136</v>
      </c>
      <c r="B422" s="6">
        <v>0</v>
      </c>
      <c r="C422" t="s">
        <v>43</v>
      </c>
      <c r="D422" t="s">
        <v>43</v>
      </c>
    </row>
    <row r="423" spans="1:4" x14ac:dyDescent="0.2">
      <c r="A423" t="s">
        <v>137</v>
      </c>
      <c r="B423" s="6">
        <v>0</v>
      </c>
      <c r="C423" t="s">
        <v>43</v>
      </c>
      <c r="D423" t="s">
        <v>43</v>
      </c>
    </row>
    <row r="424" spans="1:4" x14ac:dyDescent="0.2">
      <c r="A424" t="s">
        <v>138</v>
      </c>
      <c r="B424" s="6">
        <v>0</v>
      </c>
      <c r="C424" t="s">
        <v>43</v>
      </c>
      <c r="D424" t="s">
        <v>43</v>
      </c>
    </row>
    <row r="425" spans="1:4" x14ac:dyDescent="0.2">
      <c r="A425" t="s">
        <v>139</v>
      </c>
      <c r="B425" s="6">
        <v>0</v>
      </c>
      <c r="C425" t="s">
        <v>43</v>
      </c>
      <c r="D425" t="s">
        <v>43</v>
      </c>
    </row>
    <row r="426" spans="1:4" x14ac:dyDescent="0.2">
      <c r="A426" t="s">
        <v>140</v>
      </c>
      <c r="B426" s="6">
        <v>0</v>
      </c>
      <c r="C426" t="s">
        <v>43</v>
      </c>
      <c r="D426" t="s">
        <v>43</v>
      </c>
    </row>
    <row r="427" spans="1:4" x14ac:dyDescent="0.2">
      <c r="A427" t="s">
        <v>141</v>
      </c>
      <c r="B427" s="6">
        <v>0</v>
      </c>
      <c r="C427" t="s">
        <v>43</v>
      </c>
      <c r="D427" t="s">
        <v>43</v>
      </c>
    </row>
    <row r="428" spans="1:4" x14ac:dyDescent="0.2">
      <c r="A428" t="s">
        <v>142</v>
      </c>
      <c r="B428" s="6">
        <v>0</v>
      </c>
      <c r="C428" t="s">
        <v>43</v>
      </c>
      <c r="D428" t="s">
        <v>43</v>
      </c>
    </row>
    <row r="429" spans="1:4" x14ac:dyDescent="0.2">
      <c r="A429" t="s">
        <v>143</v>
      </c>
      <c r="B429" s="6">
        <v>0</v>
      </c>
      <c r="C429" t="s">
        <v>43</v>
      </c>
      <c r="D429" t="s">
        <v>43</v>
      </c>
    </row>
    <row r="430" spans="1:4" x14ac:dyDescent="0.2">
      <c r="A430" t="s">
        <v>144</v>
      </c>
      <c r="B430" s="6">
        <v>0</v>
      </c>
      <c r="C430" t="s">
        <v>43</v>
      </c>
      <c r="D430" t="s">
        <v>43</v>
      </c>
    </row>
    <row r="431" spans="1:4" x14ac:dyDescent="0.2">
      <c r="A431" t="s">
        <v>145</v>
      </c>
      <c r="B431" s="6">
        <v>0</v>
      </c>
      <c r="C431" t="s">
        <v>43</v>
      </c>
      <c r="D431" t="s">
        <v>43</v>
      </c>
    </row>
    <row r="432" spans="1:4" x14ac:dyDescent="0.2">
      <c r="A432" t="s">
        <v>146</v>
      </c>
      <c r="B432" s="6">
        <v>0</v>
      </c>
      <c r="C432" t="s">
        <v>43</v>
      </c>
      <c r="D432" t="s">
        <v>43</v>
      </c>
    </row>
    <row r="433" spans="1:4" x14ac:dyDescent="0.2">
      <c r="A433" t="s">
        <v>147</v>
      </c>
      <c r="B433" s="6">
        <v>0</v>
      </c>
      <c r="C433" t="s">
        <v>43</v>
      </c>
      <c r="D433" t="s">
        <v>43</v>
      </c>
    </row>
    <row r="434" spans="1:4" x14ac:dyDescent="0.2">
      <c r="A434" t="s">
        <v>148</v>
      </c>
      <c r="B434" s="6">
        <v>0</v>
      </c>
      <c r="C434" t="s">
        <v>43</v>
      </c>
      <c r="D434" t="s">
        <v>43</v>
      </c>
    </row>
    <row r="435" spans="1:4" x14ac:dyDescent="0.2">
      <c r="A435" t="s">
        <v>149</v>
      </c>
      <c r="B435" s="6">
        <v>0</v>
      </c>
      <c r="C435" t="s">
        <v>43</v>
      </c>
      <c r="D435" t="s">
        <v>43</v>
      </c>
    </row>
    <row r="436" spans="1:4" x14ac:dyDescent="0.2">
      <c r="A436" t="s">
        <v>150</v>
      </c>
      <c r="B436" s="6">
        <v>0</v>
      </c>
      <c r="C436" t="s">
        <v>43</v>
      </c>
      <c r="D436" t="s">
        <v>43</v>
      </c>
    </row>
    <row r="437" spans="1:4" x14ac:dyDescent="0.2">
      <c r="A437" t="s">
        <v>151</v>
      </c>
      <c r="B437" s="6">
        <v>0</v>
      </c>
      <c r="C437" t="s">
        <v>43</v>
      </c>
      <c r="D437" t="s">
        <v>43</v>
      </c>
    </row>
    <row r="438" spans="1:4" x14ac:dyDescent="0.2">
      <c r="A438" t="s">
        <v>152</v>
      </c>
      <c r="B438" s="6">
        <v>0</v>
      </c>
      <c r="C438" t="s">
        <v>43</v>
      </c>
      <c r="D438" t="s">
        <v>43</v>
      </c>
    </row>
    <row r="439" spans="1:4" x14ac:dyDescent="0.2">
      <c r="A439" t="s">
        <v>153</v>
      </c>
      <c r="B439" s="6">
        <v>0</v>
      </c>
      <c r="C439" t="s">
        <v>43</v>
      </c>
      <c r="D439" t="s">
        <v>43</v>
      </c>
    </row>
    <row r="440" spans="1:4" x14ac:dyDescent="0.2">
      <c r="A440" t="s">
        <v>154</v>
      </c>
      <c r="B440" s="6">
        <v>0</v>
      </c>
      <c r="C440" t="s">
        <v>43</v>
      </c>
      <c r="D440" t="s">
        <v>43</v>
      </c>
    </row>
    <row r="441" spans="1:4" x14ac:dyDescent="0.2">
      <c r="A441" t="s">
        <v>155</v>
      </c>
      <c r="B441" s="6">
        <v>0</v>
      </c>
      <c r="C441" t="s">
        <v>43</v>
      </c>
      <c r="D441" t="s">
        <v>43</v>
      </c>
    </row>
    <row r="442" spans="1:4" x14ac:dyDescent="0.2">
      <c r="A442" t="s">
        <v>156</v>
      </c>
      <c r="B442" s="6">
        <v>0</v>
      </c>
      <c r="C442" t="s">
        <v>43</v>
      </c>
      <c r="D442" t="s">
        <v>43</v>
      </c>
    </row>
    <row r="443" spans="1:4" x14ac:dyDescent="0.2">
      <c r="A443" t="s">
        <v>159</v>
      </c>
      <c r="B443" s="6">
        <v>0</v>
      </c>
      <c r="C443" t="s">
        <v>43</v>
      </c>
      <c r="D443" t="s">
        <v>43</v>
      </c>
    </row>
    <row r="444" spans="1:4" x14ac:dyDescent="0.2">
      <c r="A444" t="s">
        <v>161</v>
      </c>
      <c r="B444" s="6">
        <v>0</v>
      </c>
      <c r="C444" t="s">
        <v>158</v>
      </c>
      <c r="D444" t="s">
        <v>158</v>
      </c>
    </row>
    <row r="445" spans="1:4" x14ac:dyDescent="0.2">
      <c r="A445" t="s">
        <v>163</v>
      </c>
      <c r="B445" s="6">
        <v>0</v>
      </c>
      <c r="C445" t="s">
        <v>43</v>
      </c>
      <c r="D445" t="s">
        <v>43</v>
      </c>
    </row>
    <row r="446" spans="1:4" x14ac:dyDescent="0.2">
      <c r="A446" t="s">
        <v>164</v>
      </c>
      <c r="B446" s="6">
        <v>0</v>
      </c>
      <c r="C446" t="s">
        <v>43</v>
      </c>
      <c r="D446" t="s">
        <v>43</v>
      </c>
    </row>
    <row r="447" spans="1:4" x14ac:dyDescent="0.2">
      <c r="A447" t="s">
        <v>165</v>
      </c>
      <c r="B447" s="6">
        <v>0</v>
      </c>
      <c r="C447" t="s">
        <v>43</v>
      </c>
      <c r="D447" t="s">
        <v>43</v>
      </c>
    </row>
    <row r="448" spans="1:4" x14ac:dyDescent="0.2">
      <c r="A448" t="s">
        <v>166</v>
      </c>
      <c r="B448" s="6">
        <v>0</v>
      </c>
      <c r="C448" t="s">
        <v>43</v>
      </c>
      <c r="D448" t="s">
        <v>43</v>
      </c>
    </row>
    <row r="449" spans="1:4" x14ac:dyDescent="0.2">
      <c r="A449" t="s">
        <v>167</v>
      </c>
      <c r="B449" s="6">
        <v>0</v>
      </c>
      <c r="C449" t="s">
        <v>43</v>
      </c>
      <c r="D449" t="s">
        <v>43</v>
      </c>
    </row>
    <row r="450" spans="1:4" x14ac:dyDescent="0.2">
      <c r="A450" t="s">
        <v>168</v>
      </c>
      <c r="B450" s="6">
        <v>0</v>
      </c>
      <c r="C450" t="s">
        <v>43</v>
      </c>
      <c r="D450" t="s">
        <v>43</v>
      </c>
    </row>
    <row r="451" spans="1:4" x14ac:dyDescent="0.2">
      <c r="A451" t="s">
        <v>169</v>
      </c>
      <c r="B451" s="6">
        <v>0</v>
      </c>
      <c r="C451" t="s">
        <v>43</v>
      </c>
      <c r="D451" t="s">
        <v>43</v>
      </c>
    </row>
    <row r="452" spans="1:4" x14ac:dyDescent="0.2">
      <c r="A452" t="s">
        <v>170</v>
      </c>
      <c r="B452" s="6">
        <v>0</v>
      </c>
      <c r="C452" t="s">
        <v>43</v>
      </c>
      <c r="D452" t="s">
        <v>43</v>
      </c>
    </row>
    <row r="453" spans="1:4" x14ac:dyDescent="0.2">
      <c r="A453" t="s">
        <v>171</v>
      </c>
      <c r="B453" s="6">
        <v>0</v>
      </c>
      <c r="C453" t="s">
        <v>172</v>
      </c>
      <c r="D453" t="s">
        <v>172</v>
      </c>
    </row>
    <row r="454" spans="1:4" x14ac:dyDescent="0.2">
      <c r="A454" t="s">
        <v>173</v>
      </c>
      <c r="B454" s="6">
        <v>0</v>
      </c>
      <c r="C454" t="s">
        <v>43</v>
      </c>
      <c r="D454" t="s">
        <v>43</v>
      </c>
    </row>
    <row r="455" spans="1:4" x14ac:dyDescent="0.2">
      <c r="A455" t="s">
        <v>174</v>
      </c>
      <c r="B455" s="6">
        <v>0</v>
      </c>
      <c r="C455" t="s">
        <v>43</v>
      </c>
      <c r="D455" t="s">
        <v>43</v>
      </c>
    </row>
    <row r="456" spans="1:4" x14ac:dyDescent="0.2">
      <c r="A456" t="s">
        <v>175</v>
      </c>
      <c r="B456" s="6">
        <v>0</v>
      </c>
      <c r="C456" t="s">
        <v>43</v>
      </c>
      <c r="D456" t="s">
        <v>43</v>
      </c>
    </row>
    <row r="457" spans="1:4" x14ac:dyDescent="0.2">
      <c r="A457" t="s">
        <v>176</v>
      </c>
      <c r="B457" s="6">
        <v>0</v>
      </c>
      <c r="C457" t="s">
        <v>43</v>
      </c>
      <c r="D457" t="s">
        <v>43</v>
      </c>
    </row>
    <row r="458" spans="1:4" x14ac:dyDescent="0.2">
      <c r="A458" t="s">
        <v>177</v>
      </c>
      <c r="B458" s="6">
        <v>0</v>
      </c>
      <c r="C458" t="s">
        <v>43</v>
      </c>
      <c r="D458" t="s">
        <v>43</v>
      </c>
    </row>
    <row r="459" spans="1:4" x14ac:dyDescent="0.2">
      <c r="A459" t="s">
        <v>178</v>
      </c>
      <c r="B459" s="6">
        <v>0</v>
      </c>
      <c r="C459" t="s">
        <v>43</v>
      </c>
      <c r="D459" t="s">
        <v>43</v>
      </c>
    </row>
    <row r="460" spans="1:4" x14ac:dyDescent="0.2">
      <c r="A460" t="s">
        <v>179</v>
      </c>
      <c r="B460" s="6">
        <v>0</v>
      </c>
      <c r="C460" t="s">
        <v>43</v>
      </c>
      <c r="D460" t="s">
        <v>43</v>
      </c>
    </row>
    <row r="461" spans="1:4" x14ac:dyDescent="0.2">
      <c r="A461" t="s">
        <v>180</v>
      </c>
      <c r="B461" s="6">
        <v>0</v>
      </c>
      <c r="C461" t="s">
        <v>43</v>
      </c>
      <c r="D461" t="s">
        <v>43</v>
      </c>
    </row>
    <row r="462" spans="1:4" x14ac:dyDescent="0.2">
      <c r="A462" t="s">
        <v>181</v>
      </c>
      <c r="B462" s="6">
        <v>0</v>
      </c>
      <c r="C462" t="s">
        <v>43</v>
      </c>
      <c r="D462" t="s">
        <v>43</v>
      </c>
    </row>
    <row r="463" spans="1:4" x14ac:dyDescent="0.2">
      <c r="A463" t="s">
        <v>182</v>
      </c>
      <c r="B463" s="6">
        <v>0</v>
      </c>
      <c r="C463" t="s">
        <v>43</v>
      </c>
      <c r="D463" t="s">
        <v>43</v>
      </c>
    </row>
    <row r="464" spans="1:4" x14ac:dyDescent="0.2">
      <c r="A464" t="s">
        <v>183</v>
      </c>
      <c r="B464" s="6">
        <v>0</v>
      </c>
      <c r="C464" t="s">
        <v>43</v>
      </c>
      <c r="D464" t="s">
        <v>43</v>
      </c>
    </row>
    <row r="465" spans="1:4" x14ac:dyDescent="0.2">
      <c r="A465" t="s">
        <v>184</v>
      </c>
      <c r="B465" s="6">
        <v>0</v>
      </c>
      <c r="C465" t="s">
        <v>43</v>
      </c>
      <c r="D465" t="s">
        <v>43</v>
      </c>
    </row>
    <row r="466" spans="1:4" x14ac:dyDescent="0.2">
      <c r="A466" t="s">
        <v>185</v>
      </c>
      <c r="B466" s="6">
        <v>0</v>
      </c>
      <c r="C466" t="s">
        <v>43</v>
      </c>
      <c r="D466" t="s">
        <v>43</v>
      </c>
    </row>
    <row r="467" spans="1:4" x14ac:dyDescent="0.2">
      <c r="A467" t="s">
        <v>186</v>
      </c>
      <c r="B467" s="6">
        <v>0</v>
      </c>
      <c r="C467" t="s">
        <v>43</v>
      </c>
      <c r="D467" t="s">
        <v>43</v>
      </c>
    </row>
    <row r="468" spans="1:4" x14ac:dyDescent="0.2">
      <c r="A468" t="s">
        <v>187</v>
      </c>
      <c r="B468" s="6">
        <v>0</v>
      </c>
      <c r="C468" t="s">
        <v>43</v>
      </c>
      <c r="D468" t="s">
        <v>43</v>
      </c>
    </row>
    <row r="469" spans="1:4" x14ac:dyDescent="0.2">
      <c r="A469" t="s">
        <v>188</v>
      </c>
      <c r="B469" s="6">
        <v>0</v>
      </c>
      <c r="C469" t="s">
        <v>43</v>
      </c>
      <c r="D469" t="s">
        <v>43</v>
      </c>
    </row>
    <row r="470" spans="1:4" x14ac:dyDescent="0.2">
      <c r="A470" t="s">
        <v>189</v>
      </c>
      <c r="B470" s="6">
        <v>0</v>
      </c>
      <c r="C470" t="s">
        <v>43</v>
      </c>
      <c r="D470" t="s">
        <v>43</v>
      </c>
    </row>
    <row r="471" spans="1:4" x14ac:dyDescent="0.2">
      <c r="A471" t="s">
        <v>190</v>
      </c>
      <c r="B471" s="6">
        <v>0</v>
      </c>
      <c r="C471" t="s">
        <v>43</v>
      </c>
      <c r="D471" t="s">
        <v>43</v>
      </c>
    </row>
    <row r="472" spans="1:4" x14ac:dyDescent="0.2">
      <c r="A472" t="s">
        <v>191</v>
      </c>
      <c r="B472" s="6">
        <v>0</v>
      </c>
      <c r="C472" t="s">
        <v>43</v>
      </c>
      <c r="D472" t="s">
        <v>43</v>
      </c>
    </row>
    <row r="473" spans="1:4" x14ac:dyDescent="0.2">
      <c r="A473" t="s">
        <v>192</v>
      </c>
      <c r="B473" s="6">
        <v>0</v>
      </c>
      <c r="C473" t="s">
        <v>43</v>
      </c>
      <c r="D473" t="s">
        <v>43</v>
      </c>
    </row>
    <row r="474" spans="1:4" x14ac:dyDescent="0.2">
      <c r="A474" t="s">
        <v>193</v>
      </c>
      <c r="B474" s="6">
        <v>0</v>
      </c>
      <c r="C474" t="s">
        <v>43</v>
      </c>
      <c r="D474" t="s">
        <v>43</v>
      </c>
    </row>
    <row r="475" spans="1:4" x14ac:dyDescent="0.2">
      <c r="A475" t="s">
        <v>194</v>
      </c>
      <c r="B475" s="6">
        <v>0</v>
      </c>
      <c r="C475" t="s">
        <v>43</v>
      </c>
      <c r="D475" t="s">
        <v>43</v>
      </c>
    </row>
    <row r="476" spans="1:4" x14ac:dyDescent="0.2">
      <c r="A476" t="s">
        <v>195</v>
      </c>
      <c r="B476" s="6">
        <v>0</v>
      </c>
      <c r="C476" t="s">
        <v>43</v>
      </c>
      <c r="D476" t="s">
        <v>43</v>
      </c>
    </row>
    <row r="477" spans="1:4" x14ac:dyDescent="0.2">
      <c r="A477" t="s">
        <v>196</v>
      </c>
      <c r="B477" s="6">
        <v>0</v>
      </c>
      <c r="C477" t="s">
        <v>43</v>
      </c>
      <c r="D477" t="s">
        <v>43</v>
      </c>
    </row>
    <row r="478" spans="1:4" x14ac:dyDescent="0.2">
      <c r="A478" t="s">
        <v>197</v>
      </c>
      <c r="B478" s="6">
        <v>0</v>
      </c>
      <c r="C478" t="s">
        <v>43</v>
      </c>
      <c r="D478" t="s">
        <v>43</v>
      </c>
    </row>
    <row r="479" spans="1:4" x14ac:dyDescent="0.2">
      <c r="A479" t="s">
        <v>198</v>
      </c>
      <c r="B479" s="6">
        <v>0</v>
      </c>
      <c r="C479" t="s">
        <v>43</v>
      </c>
      <c r="D479" t="s">
        <v>43</v>
      </c>
    </row>
    <row r="480" spans="1:4" x14ac:dyDescent="0.2">
      <c r="A480" t="s">
        <v>199</v>
      </c>
      <c r="B480" s="6">
        <v>0</v>
      </c>
      <c r="C480" t="s">
        <v>43</v>
      </c>
      <c r="D480" t="s">
        <v>43</v>
      </c>
    </row>
    <row r="481" spans="1:4" x14ac:dyDescent="0.2">
      <c r="A481" t="s">
        <v>200</v>
      </c>
      <c r="B481" s="6">
        <v>0</v>
      </c>
      <c r="C481" t="s">
        <v>43</v>
      </c>
      <c r="D481" t="s">
        <v>43</v>
      </c>
    </row>
    <row r="482" spans="1:4" x14ac:dyDescent="0.2">
      <c r="A482" t="s">
        <v>201</v>
      </c>
      <c r="B482" s="6">
        <v>0</v>
      </c>
      <c r="C482" t="s">
        <v>43</v>
      </c>
      <c r="D482" t="s">
        <v>43</v>
      </c>
    </row>
    <row r="483" spans="1:4" x14ac:dyDescent="0.2">
      <c r="A483" t="s">
        <v>202</v>
      </c>
      <c r="B483" s="6">
        <v>0</v>
      </c>
      <c r="C483" t="s">
        <v>43</v>
      </c>
      <c r="D483" t="s">
        <v>43</v>
      </c>
    </row>
    <row r="484" spans="1:4" x14ac:dyDescent="0.2">
      <c r="A484" t="s">
        <v>203</v>
      </c>
      <c r="B484" s="6">
        <v>0</v>
      </c>
      <c r="C484" t="s">
        <v>43</v>
      </c>
      <c r="D484" t="s">
        <v>43</v>
      </c>
    </row>
    <row r="485" spans="1:4" x14ac:dyDescent="0.2">
      <c r="A485" t="s">
        <v>204</v>
      </c>
      <c r="B485" s="6">
        <v>0</v>
      </c>
      <c r="C485" t="s">
        <v>43</v>
      </c>
      <c r="D485" t="s">
        <v>43</v>
      </c>
    </row>
    <row r="486" spans="1:4" x14ac:dyDescent="0.2">
      <c r="A486" t="s">
        <v>205</v>
      </c>
      <c r="B486" s="6">
        <v>0</v>
      </c>
      <c r="C486" t="s">
        <v>43</v>
      </c>
      <c r="D486" t="s">
        <v>43</v>
      </c>
    </row>
    <row r="487" spans="1:4" x14ac:dyDescent="0.2">
      <c r="A487" t="s">
        <v>207</v>
      </c>
      <c r="B487" s="6">
        <v>0</v>
      </c>
      <c r="C487" t="s">
        <v>43</v>
      </c>
      <c r="D487" t="s">
        <v>43</v>
      </c>
    </row>
    <row r="488" spans="1:4" x14ac:dyDescent="0.2">
      <c r="A488" t="s">
        <v>208</v>
      </c>
      <c r="B488" s="6">
        <v>0</v>
      </c>
      <c r="C488" t="s">
        <v>43</v>
      </c>
      <c r="D488" t="s">
        <v>43</v>
      </c>
    </row>
    <row r="489" spans="1:4" x14ac:dyDescent="0.2">
      <c r="A489" t="s">
        <v>209</v>
      </c>
      <c r="B489" s="6">
        <v>0</v>
      </c>
      <c r="C489" t="s">
        <v>43</v>
      </c>
      <c r="D489" t="s">
        <v>43</v>
      </c>
    </row>
    <row r="490" spans="1:4" x14ac:dyDescent="0.2">
      <c r="A490" t="s">
        <v>210</v>
      </c>
      <c r="B490" s="6">
        <v>0</v>
      </c>
      <c r="C490" t="s">
        <v>43</v>
      </c>
      <c r="D490" t="s">
        <v>43</v>
      </c>
    </row>
    <row r="491" spans="1:4" x14ac:dyDescent="0.2">
      <c r="A491" t="s">
        <v>211</v>
      </c>
      <c r="B491" s="6">
        <v>0</v>
      </c>
      <c r="C491" t="s">
        <v>43</v>
      </c>
      <c r="D491" t="s">
        <v>43</v>
      </c>
    </row>
    <row r="492" spans="1:4" x14ac:dyDescent="0.2">
      <c r="A492" t="s">
        <v>212</v>
      </c>
      <c r="B492" s="6">
        <v>0</v>
      </c>
      <c r="C492" t="s">
        <v>43</v>
      </c>
      <c r="D492" t="s">
        <v>43</v>
      </c>
    </row>
    <row r="493" spans="1:4" x14ac:dyDescent="0.2">
      <c r="A493" t="s">
        <v>213</v>
      </c>
      <c r="B493" s="6">
        <v>0</v>
      </c>
      <c r="C493" t="s">
        <v>43</v>
      </c>
      <c r="D493" t="s">
        <v>43</v>
      </c>
    </row>
    <row r="494" spans="1:4" x14ac:dyDescent="0.2">
      <c r="A494" t="s">
        <v>214</v>
      </c>
      <c r="B494" s="6">
        <v>0</v>
      </c>
      <c r="C494" t="s">
        <v>43</v>
      </c>
      <c r="D494" t="s">
        <v>43</v>
      </c>
    </row>
    <row r="495" spans="1:4" x14ac:dyDescent="0.2">
      <c r="A495" t="s">
        <v>215</v>
      </c>
      <c r="B495" s="6">
        <v>0</v>
      </c>
      <c r="C495" t="s">
        <v>43</v>
      </c>
      <c r="D495" t="s">
        <v>43</v>
      </c>
    </row>
    <row r="496" spans="1:4" x14ac:dyDescent="0.2">
      <c r="A496" t="s">
        <v>216</v>
      </c>
      <c r="B496" s="6">
        <v>0</v>
      </c>
      <c r="C496" t="s">
        <v>43</v>
      </c>
      <c r="D496" t="s">
        <v>43</v>
      </c>
    </row>
    <row r="497" spans="1:4" x14ac:dyDescent="0.2">
      <c r="A497" t="s">
        <v>217</v>
      </c>
      <c r="B497" s="6">
        <v>0</v>
      </c>
      <c r="C497" t="s">
        <v>43</v>
      </c>
      <c r="D497" t="s">
        <v>43</v>
      </c>
    </row>
    <row r="498" spans="1:4" x14ac:dyDescent="0.2">
      <c r="A498" t="s">
        <v>218</v>
      </c>
      <c r="B498" s="6">
        <v>0</v>
      </c>
      <c r="C498" t="s">
        <v>43</v>
      </c>
      <c r="D498" t="s">
        <v>43</v>
      </c>
    </row>
    <row r="499" spans="1:4" x14ac:dyDescent="0.2">
      <c r="A499" t="s">
        <v>219</v>
      </c>
      <c r="B499" s="6">
        <v>0</v>
      </c>
      <c r="C499" t="s">
        <v>43</v>
      </c>
      <c r="D499" t="s">
        <v>43</v>
      </c>
    </row>
    <row r="500" spans="1:4" x14ac:dyDescent="0.2">
      <c r="A500" t="s">
        <v>220</v>
      </c>
      <c r="B500" s="6">
        <v>0</v>
      </c>
      <c r="C500" t="s">
        <v>43</v>
      </c>
      <c r="D500" t="s">
        <v>43</v>
      </c>
    </row>
    <row r="501" spans="1:4" x14ac:dyDescent="0.2">
      <c r="A501" t="s">
        <v>221</v>
      </c>
      <c r="B501" s="6">
        <v>0</v>
      </c>
      <c r="C501" t="s">
        <v>43</v>
      </c>
      <c r="D501" t="s">
        <v>43</v>
      </c>
    </row>
    <row r="502" spans="1:4" x14ac:dyDescent="0.2">
      <c r="A502" t="s">
        <v>222</v>
      </c>
      <c r="B502" s="6">
        <v>0</v>
      </c>
      <c r="C502" t="s">
        <v>43</v>
      </c>
      <c r="D502" t="s">
        <v>43</v>
      </c>
    </row>
    <row r="503" spans="1:4" x14ac:dyDescent="0.2">
      <c r="A503" t="s">
        <v>223</v>
      </c>
      <c r="B503" s="6">
        <v>0</v>
      </c>
      <c r="C503" t="s">
        <v>43</v>
      </c>
      <c r="D503" t="s">
        <v>43</v>
      </c>
    </row>
    <row r="504" spans="1:4" x14ac:dyDescent="0.2">
      <c r="A504" t="s">
        <v>224</v>
      </c>
      <c r="B504" s="6">
        <v>0</v>
      </c>
      <c r="C504" t="s">
        <v>43</v>
      </c>
      <c r="D504" t="s">
        <v>43</v>
      </c>
    </row>
    <row r="505" spans="1:4" x14ac:dyDescent="0.2">
      <c r="A505" t="s">
        <v>225</v>
      </c>
      <c r="B505" s="6">
        <v>0</v>
      </c>
      <c r="C505" t="s">
        <v>43</v>
      </c>
      <c r="D505" t="s">
        <v>43</v>
      </c>
    </row>
    <row r="506" spans="1:4" x14ac:dyDescent="0.2">
      <c r="A506" t="s">
        <v>226</v>
      </c>
      <c r="B506" s="6">
        <v>0</v>
      </c>
      <c r="C506" t="s">
        <v>43</v>
      </c>
      <c r="D506" t="s">
        <v>43</v>
      </c>
    </row>
    <row r="507" spans="1:4" x14ac:dyDescent="0.2">
      <c r="A507" t="s">
        <v>227</v>
      </c>
      <c r="B507" s="6">
        <v>0</v>
      </c>
      <c r="C507" t="s">
        <v>43</v>
      </c>
      <c r="D507" t="s">
        <v>43</v>
      </c>
    </row>
    <row r="508" spans="1:4" x14ac:dyDescent="0.2">
      <c r="A508" t="s">
        <v>228</v>
      </c>
      <c r="B508" s="6">
        <v>0</v>
      </c>
      <c r="C508" t="s">
        <v>43</v>
      </c>
      <c r="D508" t="s">
        <v>43</v>
      </c>
    </row>
    <row r="509" spans="1:4" x14ac:dyDescent="0.2">
      <c r="A509" t="s">
        <v>229</v>
      </c>
      <c r="B509" s="6">
        <v>0</v>
      </c>
      <c r="C509" t="s">
        <v>43</v>
      </c>
      <c r="D509" t="s">
        <v>43</v>
      </c>
    </row>
    <row r="510" spans="1:4" x14ac:dyDescent="0.2">
      <c r="A510" t="s">
        <v>230</v>
      </c>
      <c r="B510" s="6">
        <v>0</v>
      </c>
      <c r="C510" t="s">
        <v>43</v>
      </c>
      <c r="D510" t="s">
        <v>43</v>
      </c>
    </row>
    <row r="511" spans="1:4" x14ac:dyDescent="0.2">
      <c r="A511" t="s">
        <v>231</v>
      </c>
      <c r="B511" s="6">
        <v>0</v>
      </c>
      <c r="C511" t="s">
        <v>43</v>
      </c>
      <c r="D511" t="s">
        <v>43</v>
      </c>
    </row>
    <row r="512" spans="1:4" x14ac:dyDescent="0.2">
      <c r="A512" t="s">
        <v>232</v>
      </c>
      <c r="B512" s="6">
        <v>0</v>
      </c>
      <c r="C512" t="s">
        <v>43</v>
      </c>
      <c r="D512" t="s">
        <v>43</v>
      </c>
    </row>
    <row r="513" spans="1:4" x14ac:dyDescent="0.2">
      <c r="A513" t="s">
        <v>233</v>
      </c>
      <c r="B513" s="6">
        <v>0</v>
      </c>
      <c r="C513" t="s">
        <v>43</v>
      </c>
      <c r="D513" t="s">
        <v>43</v>
      </c>
    </row>
    <row r="514" spans="1:4" x14ac:dyDescent="0.2">
      <c r="A514" t="s">
        <v>234</v>
      </c>
      <c r="B514" s="6">
        <v>0</v>
      </c>
      <c r="C514" t="s">
        <v>43</v>
      </c>
      <c r="D514" t="s">
        <v>43</v>
      </c>
    </row>
    <row r="515" spans="1:4" x14ac:dyDescent="0.2">
      <c r="A515" t="s">
        <v>235</v>
      </c>
      <c r="B515" s="6">
        <v>0</v>
      </c>
      <c r="C515" t="s">
        <v>43</v>
      </c>
      <c r="D515" t="s">
        <v>43</v>
      </c>
    </row>
    <row r="516" spans="1:4" x14ac:dyDescent="0.2">
      <c r="A516" t="s">
        <v>236</v>
      </c>
      <c r="B516" s="6">
        <v>0</v>
      </c>
      <c r="C516" t="s">
        <v>43</v>
      </c>
      <c r="D516" t="s">
        <v>43</v>
      </c>
    </row>
    <row r="517" spans="1:4" x14ac:dyDescent="0.2">
      <c r="A517" t="s">
        <v>237</v>
      </c>
      <c r="B517" s="6">
        <v>0</v>
      </c>
      <c r="C517" t="s">
        <v>43</v>
      </c>
      <c r="D517" t="s">
        <v>43</v>
      </c>
    </row>
    <row r="518" spans="1:4" x14ac:dyDescent="0.2">
      <c r="A518" t="s">
        <v>238</v>
      </c>
      <c r="B518" s="6">
        <v>0</v>
      </c>
      <c r="C518" t="s">
        <v>43</v>
      </c>
      <c r="D518" t="s">
        <v>43</v>
      </c>
    </row>
    <row r="519" spans="1:4" x14ac:dyDescent="0.2">
      <c r="A519" t="s">
        <v>239</v>
      </c>
      <c r="B519" s="6">
        <v>0</v>
      </c>
      <c r="C519" t="s">
        <v>43</v>
      </c>
      <c r="D519" t="s">
        <v>43</v>
      </c>
    </row>
    <row r="520" spans="1:4" x14ac:dyDescent="0.2">
      <c r="A520" t="s">
        <v>240</v>
      </c>
      <c r="B520" s="6">
        <v>0</v>
      </c>
      <c r="C520" t="s">
        <v>43</v>
      </c>
      <c r="D520" t="s">
        <v>43</v>
      </c>
    </row>
    <row r="521" spans="1:4" x14ac:dyDescent="0.2">
      <c r="A521" t="s">
        <v>241</v>
      </c>
      <c r="B521" s="6">
        <v>0</v>
      </c>
      <c r="C521" t="s">
        <v>43</v>
      </c>
      <c r="D521" t="s">
        <v>43</v>
      </c>
    </row>
    <row r="522" spans="1:4" x14ac:dyDescent="0.2">
      <c r="A522" t="s">
        <v>242</v>
      </c>
      <c r="B522" s="6">
        <v>0</v>
      </c>
      <c r="C522" t="s">
        <v>43</v>
      </c>
      <c r="D522" t="s">
        <v>43</v>
      </c>
    </row>
    <row r="523" spans="1:4" x14ac:dyDescent="0.2">
      <c r="A523" t="s">
        <v>243</v>
      </c>
      <c r="B523" s="6">
        <v>0</v>
      </c>
      <c r="C523" t="s">
        <v>43</v>
      </c>
      <c r="D523" t="s">
        <v>43</v>
      </c>
    </row>
    <row r="524" spans="1:4" x14ac:dyDescent="0.2">
      <c r="A524" t="s">
        <v>244</v>
      </c>
      <c r="B524" s="6">
        <v>0</v>
      </c>
      <c r="C524" t="s">
        <v>43</v>
      </c>
      <c r="D524" t="s">
        <v>43</v>
      </c>
    </row>
    <row r="525" spans="1:4" x14ac:dyDescent="0.2">
      <c r="A525" t="s">
        <v>245</v>
      </c>
      <c r="B525" s="6">
        <v>0</v>
      </c>
      <c r="C525" t="s">
        <v>43</v>
      </c>
      <c r="D525" t="s">
        <v>43</v>
      </c>
    </row>
    <row r="526" spans="1:4" x14ac:dyDescent="0.2">
      <c r="A526" t="s">
        <v>248</v>
      </c>
      <c r="B526" s="6">
        <v>0</v>
      </c>
      <c r="C526" t="s">
        <v>43</v>
      </c>
      <c r="D526" t="s">
        <v>43</v>
      </c>
    </row>
    <row r="527" spans="1:4" x14ac:dyDescent="0.2">
      <c r="A527" t="s">
        <v>249</v>
      </c>
      <c r="B527" s="6">
        <v>0</v>
      </c>
      <c r="C527" t="s">
        <v>43</v>
      </c>
      <c r="D527" t="s">
        <v>43</v>
      </c>
    </row>
    <row r="528" spans="1:4" x14ac:dyDescent="0.2">
      <c r="A528" t="s">
        <v>250</v>
      </c>
      <c r="B528" s="6">
        <v>0</v>
      </c>
      <c r="C528" t="s">
        <v>43</v>
      </c>
      <c r="D528" t="s">
        <v>43</v>
      </c>
    </row>
    <row r="529" spans="1:4" x14ac:dyDescent="0.2">
      <c r="A529" t="s">
        <v>251</v>
      </c>
      <c r="B529" s="6">
        <v>0</v>
      </c>
      <c r="C529" t="s">
        <v>43</v>
      </c>
      <c r="D529" t="s">
        <v>43</v>
      </c>
    </row>
    <row r="530" spans="1:4" x14ac:dyDescent="0.2">
      <c r="A530" t="s">
        <v>252</v>
      </c>
      <c r="B530" s="6">
        <v>0</v>
      </c>
      <c r="C530" t="s">
        <v>43</v>
      </c>
      <c r="D530" t="s">
        <v>43</v>
      </c>
    </row>
    <row r="531" spans="1:4" x14ac:dyDescent="0.2">
      <c r="A531" t="s">
        <v>253</v>
      </c>
      <c r="B531" s="6">
        <v>0</v>
      </c>
      <c r="C531" t="s">
        <v>43</v>
      </c>
      <c r="D531" t="s">
        <v>43</v>
      </c>
    </row>
    <row r="532" spans="1:4" x14ac:dyDescent="0.2">
      <c r="A532" t="s">
        <v>254</v>
      </c>
      <c r="B532" s="6">
        <v>0</v>
      </c>
      <c r="C532" t="s">
        <v>43</v>
      </c>
      <c r="D532" t="s">
        <v>43</v>
      </c>
    </row>
    <row r="533" spans="1:4" x14ac:dyDescent="0.2">
      <c r="A533" t="s">
        <v>256</v>
      </c>
      <c r="B533" s="6">
        <v>0</v>
      </c>
      <c r="C533" t="s">
        <v>43</v>
      </c>
      <c r="D533" t="s">
        <v>43</v>
      </c>
    </row>
    <row r="534" spans="1:4" x14ac:dyDescent="0.2">
      <c r="A534" t="s">
        <v>257</v>
      </c>
      <c r="B534" s="6">
        <v>0</v>
      </c>
      <c r="C534" t="s">
        <v>43</v>
      </c>
      <c r="D534" t="s">
        <v>43</v>
      </c>
    </row>
    <row r="535" spans="1:4" x14ac:dyDescent="0.2">
      <c r="A535" t="s">
        <v>258</v>
      </c>
      <c r="B535" s="6">
        <v>0</v>
      </c>
      <c r="C535" t="s">
        <v>43</v>
      </c>
      <c r="D535" t="s">
        <v>43</v>
      </c>
    </row>
    <row r="536" spans="1:4" x14ac:dyDescent="0.2">
      <c r="A536" t="s">
        <v>259</v>
      </c>
      <c r="B536" s="6">
        <v>0</v>
      </c>
      <c r="C536" t="s">
        <v>43</v>
      </c>
      <c r="D536" t="s">
        <v>43</v>
      </c>
    </row>
    <row r="537" spans="1:4" x14ac:dyDescent="0.2">
      <c r="A537" t="s">
        <v>260</v>
      </c>
      <c r="B537" s="6">
        <v>0</v>
      </c>
      <c r="C537" t="s">
        <v>43</v>
      </c>
      <c r="D537" t="s">
        <v>43</v>
      </c>
    </row>
    <row r="538" spans="1:4" x14ac:dyDescent="0.2">
      <c r="A538" t="s">
        <v>261</v>
      </c>
      <c r="B538" s="6">
        <v>0</v>
      </c>
      <c r="C538" t="s">
        <v>43</v>
      </c>
      <c r="D538" t="s">
        <v>43</v>
      </c>
    </row>
    <row r="539" spans="1:4" x14ac:dyDescent="0.2">
      <c r="A539" t="s">
        <v>262</v>
      </c>
      <c r="B539" s="6">
        <v>0</v>
      </c>
      <c r="C539" t="s">
        <v>43</v>
      </c>
      <c r="D539" t="s">
        <v>43</v>
      </c>
    </row>
    <row r="540" spans="1:4" x14ac:dyDescent="0.2">
      <c r="A540" t="s">
        <v>263</v>
      </c>
      <c r="B540" s="6">
        <v>0</v>
      </c>
      <c r="C540" t="s">
        <v>43</v>
      </c>
      <c r="D540" t="s">
        <v>43</v>
      </c>
    </row>
    <row r="541" spans="1:4" x14ac:dyDescent="0.2">
      <c r="A541" t="s">
        <v>264</v>
      </c>
      <c r="B541" s="6">
        <v>0</v>
      </c>
      <c r="C541" t="s">
        <v>43</v>
      </c>
      <c r="D541" t="s">
        <v>43</v>
      </c>
    </row>
    <row r="542" spans="1:4" x14ac:dyDescent="0.2">
      <c r="A542" t="s">
        <v>265</v>
      </c>
      <c r="B542" s="6">
        <v>0</v>
      </c>
      <c r="C542" t="s">
        <v>43</v>
      </c>
      <c r="D542" t="s">
        <v>43</v>
      </c>
    </row>
    <row r="543" spans="1:4" x14ac:dyDescent="0.2">
      <c r="A543" t="s">
        <v>266</v>
      </c>
      <c r="B543" s="6">
        <v>0</v>
      </c>
      <c r="C543" t="s">
        <v>43</v>
      </c>
      <c r="D543" t="s">
        <v>43</v>
      </c>
    </row>
    <row r="544" spans="1:4" x14ac:dyDescent="0.2">
      <c r="A544" t="s">
        <v>267</v>
      </c>
      <c r="B544" s="6">
        <v>0</v>
      </c>
      <c r="C544" t="s">
        <v>43</v>
      </c>
      <c r="D544" t="s">
        <v>43</v>
      </c>
    </row>
    <row r="545" spans="1:4" x14ac:dyDescent="0.2">
      <c r="A545" t="s">
        <v>268</v>
      </c>
      <c r="B545" s="6">
        <v>0</v>
      </c>
      <c r="C545" t="s">
        <v>43</v>
      </c>
      <c r="D545" t="s">
        <v>43</v>
      </c>
    </row>
    <row r="546" spans="1:4" x14ac:dyDescent="0.2">
      <c r="A546" t="s">
        <v>269</v>
      </c>
      <c r="B546" s="6">
        <v>0</v>
      </c>
      <c r="C546" t="s">
        <v>119</v>
      </c>
      <c r="D546" t="s">
        <v>119</v>
      </c>
    </row>
    <row r="547" spans="1:4" x14ac:dyDescent="0.2">
      <c r="A547" t="s">
        <v>270</v>
      </c>
      <c r="B547" s="6">
        <v>0</v>
      </c>
      <c r="C547" t="s">
        <v>43</v>
      </c>
      <c r="D547" t="s">
        <v>43</v>
      </c>
    </row>
    <row r="548" spans="1:4" x14ac:dyDescent="0.2">
      <c r="A548" t="s">
        <v>271</v>
      </c>
      <c r="B548" s="6">
        <v>0</v>
      </c>
      <c r="C548" t="s">
        <v>43</v>
      </c>
      <c r="D548" t="s">
        <v>43</v>
      </c>
    </row>
    <row r="549" spans="1:4" x14ac:dyDescent="0.2">
      <c r="A549" t="s">
        <v>272</v>
      </c>
      <c r="B549" s="6">
        <v>0</v>
      </c>
      <c r="C549" t="s">
        <v>43</v>
      </c>
      <c r="D549" t="s">
        <v>43</v>
      </c>
    </row>
    <row r="550" spans="1:4" x14ac:dyDescent="0.2">
      <c r="A550" t="s">
        <v>273</v>
      </c>
      <c r="B550" s="6">
        <v>0</v>
      </c>
      <c r="C550" t="s">
        <v>43</v>
      </c>
      <c r="D550" t="s">
        <v>43</v>
      </c>
    </row>
    <row r="551" spans="1:4" x14ac:dyDescent="0.2">
      <c r="A551" t="s">
        <v>274</v>
      </c>
      <c r="B551" s="6">
        <v>0</v>
      </c>
      <c r="C551" t="s">
        <v>43</v>
      </c>
      <c r="D551" t="s">
        <v>43</v>
      </c>
    </row>
    <row r="552" spans="1:4" x14ac:dyDescent="0.2">
      <c r="A552" t="s">
        <v>275</v>
      </c>
      <c r="B552" s="6">
        <v>0</v>
      </c>
      <c r="C552" t="s">
        <v>43</v>
      </c>
      <c r="D552" t="s">
        <v>43</v>
      </c>
    </row>
    <row r="553" spans="1:4" x14ac:dyDescent="0.2">
      <c r="A553" t="s">
        <v>276</v>
      </c>
      <c r="B553" s="6">
        <v>0</v>
      </c>
      <c r="C553" t="s">
        <v>43</v>
      </c>
      <c r="D553" t="s">
        <v>43</v>
      </c>
    </row>
    <row r="554" spans="1:4" x14ac:dyDescent="0.2">
      <c r="A554" t="s">
        <v>277</v>
      </c>
      <c r="B554" s="6">
        <v>0</v>
      </c>
      <c r="C554" t="s">
        <v>43</v>
      </c>
      <c r="D554" t="s">
        <v>43</v>
      </c>
    </row>
    <row r="555" spans="1:4" x14ac:dyDescent="0.2">
      <c r="A555" t="s">
        <v>278</v>
      </c>
      <c r="B555" s="6">
        <v>0</v>
      </c>
      <c r="C555" t="s">
        <v>43</v>
      </c>
      <c r="D555" t="s">
        <v>43</v>
      </c>
    </row>
    <row r="556" spans="1:4" x14ac:dyDescent="0.2">
      <c r="A556" t="s">
        <v>279</v>
      </c>
      <c r="B556" s="6">
        <v>0</v>
      </c>
      <c r="C556" t="s">
        <v>43</v>
      </c>
      <c r="D556" t="s">
        <v>43</v>
      </c>
    </row>
    <row r="557" spans="1:4" x14ac:dyDescent="0.2">
      <c r="A557" t="s">
        <v>280</v>
      </c>
      <c r="B557" s="6">
        <v>0</v>
      </c>
      <c r="C557" t="s">
        <v>43</v>
      </c>
      <c r="D557" t="s">
        <v>43</v>
      </c>
    </row>
    <row r="558" spans="1:4" x14ac:dyDescent="0.2">
      <c r="A558" t="s">
        <v>281</v>
      </c>
      <c r="B558" s="6">
        <v>0</v>
      </c>
      <c r="C558" t="s">
        <v>43</v>
      </c>
      <c r="D558" t="s">
        <v>43</v>
      </c>
    </row>
    <row r="559" spans="1:4" x14ac:dyDescent="0.2">
      <c r="A559" t="s">
        <v>282</v>
      </c>
      <c r="B559" s="6">
        <v>0</v>
      </c>
      <c r="C559" t="s">
        <v>43</v>
      </c>
      <c r="D559" t="s">
        <v>43</v>
      </c>
    </row>
    <row r="560" spans="1:4" x14ac:dyDescent="0.2">
      <c r="A560" t="s">
        <v>283</v>
      </c>
      <c r="B560" s="6">
        <v>0</v>
      </c>
      <c r="C560" t="s">
        <v>43</v>
      </c>
      <c r="D560" t="s">
        <v>43</v>
      </c>
    </row>
    <row r="561" spans="1:4" x14ac:dyDescent="0.2">
      <c r="A561" t="s">
        <v>284</v>
      </c>
      <c r="B561" s="6">
        <v>0</v>
      </c>
      <c r="C561" t="s">
        <v>43</v>
      </c>
      <c r="D561" t="s">
        <v>43</v>
      </c>
    </row>
    <row r="562" spans="1:4" x14ac:dyDescent="0.2">
      <c r="A562" t="s">
        <v>285</v>
      </c>
      <c r="B562" s="6">
        <v>0</v>
      </c>
      <c r="C562" t="s">
        <v>43</v>
      </c>
      <c r="D562" t="s">
        <v>43</v>
      </c>
    </row>
    <row r="563" spans="1:4" x14ac:dyDescent="0.2">
      <c r="A563" t="s">
        <v>286</v>
      </c>
      <c r="B563" s="6">
        <v>0</v>
      </c>
      <c r="C563" t="s">
        <v>43</v>
      </c>
      <c r="D563" t="s">
        <v>43</v>
      </c>
    </row>
    <row r="564" spans="1:4" x14ac:dyDescent="0.2">
      <c r="A564" t="s">
        <v>287</v>
      </c>
      <c r="B564" s="6">
        <v>0</v>
      </c>
      <c r="C564" t="s">
        <v>43</v>
      </c>
      <c r="D564" t="s">
        <v>43</v>
      </c>
    </row>
    <row r="565" spans="1:4" x14ac:dyDescent="0.2">
      <c r="A565" t="s">
        <v>288</v>
      </c>
      <c r="B565" s="6">
        <v>0</v>
      </c>
      <c r="C565" t="s">
        <v>43</v>
      </c>
      <c r="D565" t="s">
        <v>43</v>
      </c>
    </row>
    <row r="566" spans="1:4" x14ac:dyDescent="0.2">
      <c r="A566" t="s">
        <v>289</v>
      </c>
      <c r="B566" s="6">
        <v>0</v>
      </c>
      <c r="C566" t="s">
        <v>43</v>
      </c>
      <c r="D566" t="s">
        <v>43</v>
      </c>
    </row>
    <row r="567" spans="1:4" x14ac:dyDescent="0.2">
      <c r="A567" t="s">
        <v>290</v>
      </c>
      <c r="B567" s="6">
        <v>0</v>
      </c>
      <c r="C567" t="s">
        <v>43</v>
      </c>
      <c r="D567" t="s">
        <v>43</v>
      </c>
    </row>
    <row r="568" spans="1:4" x14ac:dyDescent="0.2">
      <c r="A568" t="s">
        <v>291</v>
      </c>
      <c r="B568" s="6">
        <v>0</v>
      </c>
      <c r="C568" t="s">
        <v>119</v>
      </c>
      <c r="D568" t="s">
        <v>119</v>
      </c>
    </row>
    <row r="569" spans="1:4" x14ac:dyDescent="0.2">
      <c r="A569" t="s">
        <v>292</v>
      </c>
      <c r="B569" s="6">
        <v>0</v>
      </c>
      <c r="C569" t="s">
        <v>43</v>
      </c>
      <c r="D569" t="s">
        <v>43</v>
      </c>
    </row>
    <row r="570" spans="1:4" x14ac:dyDescent="0.2">
      <c r="A570" t="s">
        <v>293</v>
      </c>
      <c r="B570" s="6">
        <v>0</v>
      </c>
      <c r="C570" t="s">
        <v>43</v>
      </c>
      <c r="D570" t="s">
        <v>43</v>
      </c>
    </row>
    <row r="571" spans="1:4" x14ac:dyDescent="0.2">
      <c r="A571" t="s">
        <v>294</v>
      </c>
      <c r="B571" s="6">
        <v>0</v>
      </c>
      <c r="C571" t="s">
        <v>43</v>
      </c>
      <c r="D571" t="s">
        <v>43</v>
      </c>
    </row>
    <row r="572" spans="1:4" x14ac:dyDescent="0.2">
      <c r="A572" t="s">
        <v>295</v>
      </c>
      <c r="B572" s="6">
        <v>0</v>
      </c>
      <c r="C572" t="s">
        <v>43</v>
      </c>
      <c r="D572" t="s">
        <v>43</v>
      </c>
    </row>
    <row r="573" spans="1:4" x14ac:dyDescent="0.2">
      <c r="A573" t="s">
        <v>296</v>
      </c>
      <c r="B573" s="6">
        <v>0</v>
      </c>
      <c r="C573" t="s">
        <v>43</v>
      </c>
      <c r="D573" t="s">
        <v>43</v>
      </c>
    </row>
    <row r="574" spans="1:4" x14ac:dyDescent="0.2">
      <c r="A574" t="s">
        <v>297</v>
      </c>
      <c r="B574" s="6">
        <v>0</v>
      </c>
      <c r="C574" t="s">
        <v>43</v>
      </c>
      <c r="D574" t="s">
        <v>43</v>
      </c>
    </row>
    <row r="575" spans="1:4" x14ac:dyDescent="0.2">
      <c r="A575" t="s">
        <v>298</v>
      </c>
      <c r="B575" s="6">
        <v>0</v>
      </c>
      <c r="C575" t="s">
        <v>43</v>
      </c>
      <c r="D575" t="s">
        <v>43</v>
      </c>
    </row>
    <row r="576" spans="1:4" x14ac:dyDescent="0.2">
      <c r="A576" t="s">
        <v>299</v>
      </c>
      <c r="B576" s="6">
        <v>0</v>
      </c>
      <c r="C576" t="s">
        <v>43</v>
      </c>
      <c r="D576" t="s">
        <v>43</v>
      </c>
    </row>
    <row r="577" spans="1:4" x14ac:dyDescent="0.2">
      <c r="A577" t="s">
        <v>300</v>
      </c>
      <c r="B577" s="6">
        <v>0</v>
      </c>
      <c r="C577" t="s">
        <v>43</v>
      </c>
      <c r="D577" t="s">
        <v>43</v>
      </c>
    </row>
    <row r="578" spans="1:4" x14ac:dyDescent="0.2">
      <c r="A578" t="s">
        <v>301</v>
      </c>
      <c r="B578" s="6">
        <v>0</v>
      </c>
      <c r="C578" t="s">
        <v>43</v>
      </c>
      <c r="D578" t="s">
        <v>43</v>
      </c>
    </row>
    <row r="579" spans="1:4" x14ac:dyDescent="0.2">
      <c r="A579" t="s">
        <v>302</v>
      </c>
      <c r="B579" s="6">
        <v>0</v>
      </c>
      <c r="C579" t="s">
        <v>303</v>
      </c>
      <c r="D579" t="s">
        <v>303</v>
      </c>
    </row>
    <row r="580" spans="1:4" x14ac:dyDescent="0.2">
      <c r="A580" t="s">
        <v>304</v>
      </c>
      <c r="B580" s="6">
        <v>0</v>
      </c>
      <c r="C580" t="s">
        <v>43</v>
      </c>
      <c r="D580" t="s">
        <v>43</v>
      </c>
    </row>
    <row r="581" spans="1:4" x14ac:dyDescent="0.2">
      <c r="A581" t="s">
        <v>305</v>
      </c>
      <c r="B581" s="6">
        <v>0</v>
      </c>
      <c r="C581" t="s">
        <v>43</v>
      </c>
      <c r="D581" t="s">
        <v>43</v>
      </c>
    </row>
    <row r="582" spans="1:4" x14ac:dyDescent="0.2">
      <c r="A582" t="s">
        <v>306</v>
      </c>
      <c r="B582" s="6">
        <v>0</v>
      </c>
      <c r="C582" t="s">
        <v>119</v>
      </c>
      <c r="D582" t="s">
        <v>119</v>
      </c>
    </row>
    <row r="583" spans="1:4" x14ac:dyDescent="0.2">
      <c r="A583" t="s">
        <v>307</v>
      </c>
      <c r="B583" s="6">
        <v>0</v>
      </c>
      <c r="C583" t="s">
        <v>43</v>
      </c>
      <c r="D583" t="s">
        <v>43</v>
      </c>
    </row>
    <row r="584" spans="1:4" x14ac:dyDescent="0.2">
      <c r="A584" t="s">
        <v>308</v>
      </c>
      <c r="B584" s="6">
        <v>0</v>
      </c>
      <c r="C584" t="s">
        <v>43</v>
      </c>
      <c r="D584" t="s">
        <v>43</v>
      </c>
    </row>
    <row r="585" spans="1:4" x14ac:dyDescent="0.2">
      <c r="A585" t="s">
        <v>309</v>
      </c>
      <c r="B585" s="6">
        <v>0</v>
      </c>
      <c r="C585" t="s">
        <v>43</v>
      </c>
      <c r="D585" t="s">
        <v>43</v>
      </c>
    </row>
    <row r="586" spans="1:4" x14ac:dyDescent="0.2">
      <c r="A586" t="s">
        <v>310</v>
      </c>
      <c r="B586" s="6">
        <v>0</v>
      </c>
      <c r="C586" t="s">
        <v>43</v>
      </c>
      <c r="D586" t="s">
        <v>43</v>
      </c>
    </row>
    <row r="587" spans="1:4" x14ac:dyDescent="0.2">
      <c r="A587" t="s">
        <v>311</v>
      </c>
      <c r="B587" s="6">
        <v>0</v>
      </c>
      <c r="C587" t="s">
        <v>43</v>
      </c>
      <c r="D587" t="s">
        <v>43</v>
      </c>
    </row>
    <row r="588" spans="1:4" x14ac:dyDescent="0.2">
      <c r="A588" t="s">
        <v>312</v>
      </c>
      <c r="B588" s="6">
        <v>0</v>
      </c>
      <c r="C588" t="s">
        <v>43</v>
      </c>
      <c r="D588" t="s">
        <v>43</v>
      </c>
    </row>
    <row r="589" spans="1:4" x14ac:dyDescent="0.2">
      <c r="A589" t="s">
        <v>313</v>
      </c>
      <c r="B589" s="6">
        <v>0</v>
      </c>
      <c r="C589" t="s">
        <v>43</v>
      </c>
      <c r="D589" t="s">
        <v>43</v>
      </c>
    </row>
    <row r="590" spans="1:4" x14ac:dyDescent="0.2">
      <c r="A590" t="s">
        <v>314</v>
      </c>
      <c r="B590" s="6">
        <v>0</v>
      </c>
      <c r="C590" t="s">
        <v>43</v>
      </c>
      <c r="D590" t="s">
        <v>43</v>
      </c>
    </row>
    <row r="591" spans="1:4" x14ac:dyDescent="0.2">
      <c r="A591" t="s">
        <v>315</v>
      </c>
      <c r="B591" s="6">
        <v>0</v>
      </c>
      <c r="C591" t="s">
        <v>43</v>
      </c>
      <c r="D591" t="s">
        <v>43</v>
      </c>
    </row>
    <row r="592" spans="1:4" x14ac:dyDescent="0.2">
      <c r="A592" t="s">
        <v>316</v>
      </c>
      <c r="B592" s="6">
        <v>0</v>
      </c>
      <c r="C592" t="s">
        <v>43</v>
      </c>
      <c r="D592" t="s">
        <v>43</v>
      </c>
    </row>
    <row r="593" spans="1:4" x14ac:dyDescent="0.2">
      <c r="A593" t="s">
        <v>317</v>
      </c>
      <c r="B593" s="6">
        <v>0</v>
      </c>
      <c r="C593" t="s">
        <v>43</v>
      </c>
      <c r="D593" t="s">
        <v>43</v>
      </c>
    </row>
    <row r="594" spans="1:4" x14ac:dyDescent="0.2">
      <c r="A594" t="s">
        <v>318</v>
      </c>
      <c r="B594" s="6">
        <v>0</v>
      </c>
      <c r="C594" t="s">
        <v>43</v>
      </c>
      <c r="D594" t="s">
        <v>43</v>
      </c>
    </row>
    <row r="595" spans="1:4" x14ac:dyDescent="0.2">
      <c r="A595" t="s">
        <v>319</v>
      </c>
      <c r="B595" s="6">
        <v>0</v>
      </c>
      <c r="C595" t="s">
        <v>43</v>
      </c>
      <c r="D595" t="s">
        <v>43</v>
      </c>
    </row>
    <row r="596" spans="1:4" x14ac:dyDescent="0.2">
      <c r="A596" t="s">
        <v>320</v>
      </c>
      <c r="B596" s="6">
        <v>0</v>
      </c>
      <c r="C596" t="s">
        <v>43</v>
      </c>
      <c r="D596" t="s">
        <v>43</v>
      </c>
    </row>
    <row r="597" spans="1:4" x14ac:dyDescent="0.2">
      <c r="A597" t="s">
        <v>321</v>
      </c>
      <c r="B597" s="6">
        <v>0</v>
      </c>
      <c r="C597" t="s">
        <v>43</v>
      </c>
      <c r="D597" t="s">
        <v>43</v>
      </c>
    </row>
    <row r="598" spans="1:4" x14ac:dyDescent="0.2">
      <c r="A598" t="s">
        <v>322</v>
      </c>
      <c r="B598" s="6">
        <v>0</v>
      </c>
      <c r="C598" t="s">
        <v>43</v>
      </c>
      <c r="D598" t="s">
        <v>43</v>
      </c>
    </row>
    <row r="599" spans="1:4" x14ac:dyDescent="0.2">
      <c r="A599" t="s">
        <v>323</v>
      </c>
      <c r="B599" s="6">
        <v>0</v>
      </c>
      <c r="C599" t="s">
        <v>43</v>
      </c>
      <c r="D599" t="s">
        <v>43</v>
      </c>
    </row>
    <row r="600" spans="1:4" x14ac:dyDescent="0.2">
      <c r="A600" t="s">
        <v>324</v>
      </c>
      <c r="B600" s="6">
        <v>0</v>
      </c>
      <c r="C600" t="s">
        <v>43</v>
      </c>
      <c r="D600" t="s">
        <v>43</v>
      </c>
    </row>
    <row r="601" spans="1:4" x14ac:dyDescent="0.2">
      <c r="A601" t="s">
        <v>325</v>
      </c>
      <c r="B601" s="6">
        <v>0</v>
      </c>
      <c r="C601" t="s">
        <v>43</v>
      </c>
      <c r="D601" t="s">
        <v>43</v>
      </c>
    </row>
    <row r="602" spans="1:4" x14ac:dyDescent="0.2">
      <c r="A602" t="s">
        <v>326</v>
      </c>
      <c r="B602" s="6">
        <v>0</v>
      </c>
      <c r="C602" t="s">
        <v>43</v>
      </c>
      <c r="D602" t="s">
        <v>43</v>
      </c>
    </row>
    <row r="603" spans="1:4" x14ac:dyDescent="0.2">
      <c r="A603" t="s">
        <v>327</v>
      </c>
      <c r="B603" s="6">
        <v>0</v>
      </c>
      <c r="C603" t="s">
        <v>43</v>
      </c>
      <c r="D603" t="s">
        <v>43</v>
      </c>
    </row>
    <row r="604" spans="1:4" x14ac:dyDescent="0.2">
      <c r="A604" t="s">
        <v>328</v>
      </c>
      <c r="B604" s="6">
        <v>0</v>
      </c>
      <c r="C604" t="s">
        <v>43</v>
      </c>
      <c r="D604" t="s">
        <v>43</v>
      </c>
    </row>
    <row r="605" spans="1:4" x14ac:dyDescent="0.2">
      <c r="A605" t="s">
        <v>254</v>
      </c>
      <c r="B605" s="6">
        <v>0</v>
      </c>
      <c r="C605" t="s">
        <v>43</v>
      </c>
      <c r="D605" t="s">
        <v>43</v>
      </c>
    </row>
    <row r="606" spans="1:4" x14ac:dyDescent="0.2">
      <c r="A606" t="s">
        <v>329</v>
      </c>
      <c r="B606" s="6">
        <v>0</v>
      </c>
      <c r="C606" t="s">
        <v>43</v>
      </c>
      <c r="D606" t="s">
        <v>43</v>
      </c>
    </row>
    <row r="607" spans="1:4" x14ac:dyDescent="0.2">
      <c r="A607" t="s">
        <v>330</v>
      </c>
      <c r="B607" s="6">
        <v>0</v>
      </c>
      <c r="C607" t="s">
        <v>43</v>
      </c>
      <c r="D607" t="s">
        <v>43</v>
      </c>
    </row>
    <row r="608" spans="1:4" x14ac:dyDescent="0.2">
      <c r="A608" t="s">
        <v>331</v>
      </c>
      <c r="B608" s="6">
        <v>0</v>
      </c>
      <c r="C608" t="s">
        <v>43</v>
      </c>
      <c r="D608" t="s">
        <v>43</v>
      </c>
    </row>
    <row r="609" spans="1:4" x14ac:dyDescent="0.2">
      <c r="A609" t="s">
        <v>332</v>
      </c>
      <c r="B609" s="6">
        <v>0</v>
      </c>
      <c r="C609" t="s">
        <v>43</v>
      </c>
      <c r="D609" t="s">
        <v>43</v>
      </c>
    </row>
    <row r="610" spans="1:4" x14ac:dyDescent="0.2">
      <c r="A610" t="s">
        <v>333</v>
      </c>
      <c r="B610" s="6">
        <v>0</v>
      </c>
      <c r="C610" t="s">
        <v>43</v>
      </c>
      <c r="D610" t="s">
        <v>43</v>
      </c>
    </row>
    <row r="611" spans="1:4" x14ac:dyDescent="0.2">
      <c r="A611" t="s">
        <v>334</v>
      </c>
      <c r="B611" s="6">
        <v>0</v>
      </c>
      <c r="C611" t="s">
        <v>43</v>
      </c>
      <c r="D611" t="s">
        <v>43</v>
      </c>
    </row>
    <row r="612" spans="1:4" x14ac:dyDescent="0.2">
      <c r="A612" t="s">
        <v>335</v>
      </c>
      <c r="B612" s="6">
        <v>0</v>
      </c>
      <c r="C612" t="s">
        <v>43</v>
      </c>
      <c r="D612" t="s">
        <v>43</v>
      </c>
    </row>
    <row r="613" spans="1:4" x14ac:dyDescent="0.2">
      <c r="A613" t="s">
        <v>336</v>
      </c>
      <c r="B613" s="6">
        <v>0</v>
      </c>
      <c r="C613" t="s">
        <v>43</v>
      </c>
      <c r="D613" t="s">
        <v>43</v>
      </c>
    </row>
    <row r="614" spans="1:4" x14ac:dyDescent="0.2">
      <c r="A614" t="s">
        <v>337</v>
      </c>
      <c r="B614" s="6">
        <v>0</v>
      </c>
      <c r="C614" t="s">
        <v>43</v>
      </c>
      <c r="D614" t="s">
        <v>43</v>
      </c>
    </row>
    <row r="615" spans="1:4" x14ac:dyDescent="0.2">
      <c r="A615" t="s">
        <v>338</v>
      </c>
      <c r="B615" s="6">
        <v>0</v>
      </c>
      <c r="C615" t="s">
        <v>43</v>
      </c>
      <c r="D615" t="s">
        <v>43</v>
      </c>
    </row>
    <row r="616" spans="1:4" x14ac:dyDescent="0.2">
      <c r="A616" t="s">
        <v>339</v>
      </c>
      <c r="B616" s="6">
        <v>0</v>
      </c>
      <c r="C616" t="s">
        <v>43</v>
      </c>
      <c r="D616" t="s">
        <v>43</v>
      </c>
    </row>
    <row r="617" spans="1:4" x14ac:dyDescent="0.2">
      <c r="A617" t="s">
        <v>340</v>
      </c>
      <c r="B617" s="6">
        <v>0</v>
      </c>
      <c r="C617" t="s">
        <v>43</v>
      </c>
      <c r="D617" t="s">
        <v>43</v>
      </c>
    </row>
    <row r="618" spans="1:4" x14ac:dyDescent="0.2">
      <c r="A618" t="s">
        <v>341</v>
      </c>
      <c r="B618" s="6">
        <v>0</v>
      </c>
      <c r="C618" t="s">
        <v>43</v>
      </c>
      <c r="D618" t="s">
        <v>43</v>
      </c>
    </row>
    <row r="619" spans="1:4" x14ac:dyDescent="0.2">
      <c r="A619" t="s">
        <v>342</v>
      </c>
      <c r="B619" s="6">
        <v>0</v>
      </c>
      <c r="C619" t="s">
        <v>43</v>
      </c>
      <c r="D619" t="s">
        <v>43</v>
      </c>
    </row>
    <row r="620" spans="1:4" x14ac:dyDescent="0.2">
      <c r="A620" t="s">
        <v>343</v>
      </c>
      <c r="B620" s="6">
        <v>0</v>
      </c>
      <c r="C620" t="s">
        <v>119</v>
      </c>
      <c r="D620" t="s">
        <v>119</v>
      </c>
    </row>
    <row r="621" spans="1:4" x14ac:dyDescent="0.2">
      <c r="A621" t="s">
        <v>344</v>
      </c>
      <c r="B621" s="6">
        <v>0</v>
      </c>
      <c r="C621" t="s">
        <v>43</v>
      </c>
      <c r="D621" t="s">
        <v>43</v>
      </c>
    </row>
    <row r="622" spans="1:4" x14ac:dyDescent="0.2">
      <c r="A622" t="s">
        <v>345</v>
      </c>
      <c r="B622" s="6">
        <v>0</v>
      </c>
      <c r="C622" t="s">
        <v>43</v>
      </c>
      <c r="D622" t="s">
        <v>43</v>
      </c>
    </row>
    <row r="623" spans="1:4" x14ac:dyDescent="0.2">
      <c r="A623" t="s">
        <v>346</v>
      </c>
      <c r="B623" s="6">
        <v>0</v>
      </c>
      <c r="C623" t="s">
        <v>43</v>
      </c>
      <c r="D623" t="s">
        <v>43</v>
      </c>
    </row>
    <row r="624" spans="1:4" x14ac:dyDescent="0.2">
      <c r="A624" t="s">
        <v>349</v>
      </c>
      <c r="B624" s="6">
        <v>0</v>
      </c>
      <c r="C624" t="s">
        <v>43</v>
      </c>
      <c r="D624" t="s">
        <v>43</v>
      </c>
    </row>
    <row r="625" spans="1:4" x14ac:dyDescent="0.2">
      <c r="A625" t="s">
        <v>350</v>
      </c>
      <c r="B625" s="6">
        <v>0</v>
      </c>
      <c r="C625" t="s">
        <v>43</v>
      </c>
      <c r="D625" t="s">
        <v>43</v>
      </c>
    </row>
    <row r="626" spans="1:4" x14ac:dyDescent="0.2">
      <c r="A626" t="s">
        <v>351</v>
      </c>
      <c r="B626" s="6">
        <v>0</v>
      </c>
      <c r="C626" t="s">
        <v>43</v>
      </c>
      <c r="D626" t="s">
        <v>43</v>
      </c>
    </row>
    <row r="627" spans="1:4" x14ac:dyDescent="0.2">
      <c r="A627" t="s">
        <v>352</v>
      </c>
      <c r="B627" s="6">
        <v>0</v>
      </c>
      <c r="C627" t="s">
        <v>43</v>
      </c>
      <c r="D627" t="s">
        <v>43</v>
      </c>
    </row>
    <row r="628" spans="1:4" x14ac:dyDescent="0.2">
      <c r="A628" t="s">
        <v>353</v>
      </c>
      <c r="B628" s="6">
        <v>0</v>
      </c>
      <c r="C628" t="s">
        <v>43</v>
      </c>
      <c r="D628" t="s">
        <v>43</v>
      </c>
    </row>
    <row r="629" spans="1:4" x14ac:dyDescent="0.2">
      <c r="A629" t="s">
        <v>354</v>
      </c>
      <c r="B629" s="6">
        <v>0</v>
      </c>
      <c r="C629" t="s">
        <v>43</v>
      </c>
      <c r="D629" t="s">
        <v>43</v>
      </c>
    </row>
    <row r="630" spans="1:4" x14ac:dyDescent="0.2">
      <c r="A630" t="s">
        <v>355</v>
      </c>
      <c r="B630" s="6">
        <v>0</v>
      </c>
      <c r="C630" t="s">
        <v>43</v>
      </c>
      <c r="D630" t="s">
        <v>43</v>
      </c>
    </row>
    <row r="631" spans="1:4" x14ac:dyDescent="0.2">
      <c r="A631" t="s">
        <v>356</v>
      </c>
      <c r="B631" s="6">
        <v>0</v>
      </c>
      <c r="C631" t="s">
        <v>348</v>
      </c>
      <c r="D631" t="s">
        <v>348</v>
      </c>
    </row>
    <row r="632" spans="1:4" x14ac:dyDescent="0.2">
      <c r="A632" t="s">
        <v>357</v>
      </c>
      <c r="B632" s="6">
        <v>0</v>
      </c>
      <c r="C632" t="s">
        <v>43</v>
      </c>
      <c r="D632" t="s">
        <v>43</v>
      </c>
    </row>
    <row r="633" spans="1:4" x14ac:dyDescent="0.2">
      <c r="A633" t="s">
        <v>358</v>
      </c>
      <c r="B633" s="6">
        <v>0</v>
      </c>
      <c r="C633" t="s">
        <v>43</v>
      </c>
      <c r="D633" t="s">
        <v>43</v>
      </c>
    </row>
    <row r="634" spans="1:4" x14ac:dyDescent="0.2">
      <c r="A634" t="s">
        <v>359</v>
      </c>
      <c r="B634" s="6">
        <v>0</v>
      </c>
      <c r="C634" t="s">
        <v>43</v>
      </c>
      <c r="D634" t="s">
        <v>43</v>
      </c>
    </row>
    <row r="635" spans="1:4" x14ac:dyDescent="0.2">
      <c r="A635" t="s">
        <v>360</v>
      </c>
      <c r="B635" s="6">
        <v>0</v>
      </c>
      <c r="C635" t="s">
        <v>172</v>
      </c>
      <c r="D635" t="s">
        <v>172</v>
      </c>
    </row>
    <row r="636" spans="1:4" x14ac:dyDescent="0.2">
      <c r="A636" t="s">
        <v>361</v>
      </c>
      <c r="B636" s="6">
        <v>0</v>
      </c>
      <c r="C636" t="s">
        <v>43</v>
      </c>
      <c r="D636" t="s">
        <v>43</v>
      </c>
    </row>
    <row r="637" spans="1:4" x14ac:dyDescent="0.2">
      <c r="A637" t="s">
        <v>362</v>
      </c>
      <c r="B637" s="6">
        <v>0</v>
      </c>
      <c r="C637" t="s">
        <v>43</v>
      </c>
      <c r="D637" t="s">
        <v>43</v>
      </c>
    </row>
    <row r="638" spans="1:4" x14ac:dyDescent="0.2">
      <c r="A638" t="s">
        <v>364</v>
      </c>
      <c r="B638" s="6">
        <v>0</v>
      </c>
      <c r="C638" t="s">
        <v>43</v>
      </c>
      <c r="D638" t="s">
        <v>43</v>
      </c>
    </row>
    <row r="639" spans="1:4" x14ac:dyDescent="0.2">
      <c r="A639" t="s">
        <v>366</v>
      </c>
      <c r="B639" s="6">
        <v>0</v>
      </c>
      <c r="C639" t="s">
        <v>43</v>
      </c>
      <c r="D639" t="s">
        <v>43</v>
      </c>
    </row>
    <row r="640" spans="1:4" x14ac:dyDescent="0.2">
      <c r="A640" t="s">
        <v>367</v>
      </c>
      <c r="B640" s="6">
        <v>0</v>
      </c>
      <c r="C640" t="s">
        <v>43</v>
      </c>
      <c r="D640" t="s">
        <v>43</v>
      </c>
    </row>
    <row r="641" spans="1:4" x14ac:dyDescent="0.2">
      <c r="A641" t="s">
        <v>368</v>
      </c>
      <c r="B641" s="6">
        <v>0</v>
      </c>
      <c r="C641" t="s">
        <v>43</v>
      </c>
      <c r="D641" t="s">
        <v>43</v>
      </c>
    </row>
    <row r="642" spans="1:4" x14ac:dyDescent="0.2">
      <c r="A642" t="s">
        <v>369</v>
      </c>
      <c r="B642" s="6">
        <v>0</v>
      </c>
      <c r="C642" t="s">
        <v>43</v>
      </c>
      <c r="D642" t="s">
        <v>43</v>
      </c>
    </row>
    <row r="643" spans="1:4" x14ac:dyDescent="0.2">
      <c r="A643" t="s">
        <v>370</v>
      </c>
      <c r="B643" s="6">
        <v>0</v>
      </c>
      <c r="C643" t="s">
        <v>43</v>
      </c>
      <c r="D643" t="s">
        <v>43</v>
      </c>
    </row>
    <row r="644" spans="1:4" x14ac:dyDescent="0.2">
      <c r="A644" t="s">
        <v>371</v>
      </c>
      <c r="B644" s="6">
        <v>0</v>
      </c>
      <c r="C644" t="s">
        <v>43</v>
      </c>
      <c r="D644" t="s">
        <v>43</v>
      </c>
    </row>
    <row r="645" spans="1:4" x14ac:dyDescent="0.2">
      <c r="A645" t="s">
        <v>372</v>
      </c>
      <c r="B645" s="6">
        <v>0</v>
      </c>
      <c r="C645" t="s">
        <v>43</v>
      </c>
      <c r="D645" t="s">
        <v>43</v>
      </c>
    </row>
    <row r="646" spans="1:4" x14ac:dyDescent="0.2">
      <c r="A646" t="s">
        <v>373</v>
      </c>
      <c r="B646" s="6">
        <v>0</v>
      </c>
      <c r="C646" t="s">
        <v>43</v>
      </c>
      <c r="D646" t="s">
        <v>43</v>
      </c>
    </row>
    <row r="647" spans="1:4" x14ac:dyDescent="0.2">
      <c r="A647" t="s">
        <v>374</v>
      </c>
      <c r="B647" s="6">
        <v>0</v>
      </c>
      <c r="C647" t="s">
        <v>43</v>
      </c>
      <c r="D647" t="s">
        <v>43</v>
      </c>
    </row>
    <row r="648" spans="1:4" x14ac:dyDescent="0.2">
      <c r="A648" t="s">
        <v>375</v>
      </c>
      <c r="B648" s="6">
        <v>0</v>
      </c>
      <c r="C648" t="s">
        <v>43</v>
      </c>
      <c r="D648" t="s">
        <v>43</v>
      </c>
    </row>
    <row r="649" spans="1:4" x14ac:dyDescent="0.2">
      <c r="A649" t="s">
        <v>376</v>
      </c>
      <c r="B649" s="6">
        <v>0</v>
      </c>
      <c r="C649" t="s">
        <v>43</v>
      </c>
      <c r="D649" t="s">
        <v>43</v>
      </c>
    </row>
    <row r="650" spans="1:4" x14ac:dyDescent="0.2">
      <c r="A650" t="s">
        <v>377</v>
      </c>
      <c r="B650" s="6">
        <v>0</v>
      </c>
      <c r="C650" t="s">
        <v>43</v>
      </c>
      <c r="D650" t="s">
        <v>43</v>
      </c>
    </row>
    <row r="651" spans="1:4" x14ac:dyDescent="0.2">
      <c r="A651" t="s">
        <v>378</v>
      </c>
      <c r="B651" s="6">
        <v>0</v>
      </c>
      <c r="C651" t="s">
        <v>43</v>
      </c>
      <c r="D651" t="s">
        <v>43</v>
      </c>
    </row>
    <row r="652" spans="1:4" x14ac:dyDescent="0.2">
      <c r="A652" t="s">
        <v>379</v>
      </c>
      <c r="B652" s="6">
        <v>0</v>
      </c>
      <c r="C652" t="s">
        <v>43</v>
      </c>
      <c r="D652" t="s">
        <v>43</v>
      </c>
    </row>
    <row r="653" spans="1:4" x14ac:dyDescent="0.2">
      <c r="A653" t="s">
        <v>380</v>
      </c>
      <c r="B653" s="6">
        <v>0</v>
      </c>
      <c r="C653" t="s">
        <v>43</v>
      </c>
      <c r="D653" t="s">
        <v>43</v>
      </c>
    </row>
    <row r="654" spans="1:4" x14ac:dyDescent="0.2">
      <c r="A654" t="s">
        <v>381</v>
      </c>
      <c r="B654" s="6">
        <v>0</v>
      </c>
      <c r="C654" t="s">
        <v>43</v>
      </c>
      <c r="D654" t="s">
        <v>43</v>
      </c>
    </row>
    <row r="655" spans="1:4" x14ac:dyDescent="0.2">
      <c r="A655" t="s">
        <v>382</v>
      </c>
      <c r="B655" s="6">
        <v>0</v>
      </c>
      <c r="C655" t="s">
        <v>43</v>
      </c>
      <c r="D655" t="s">
        <v>43</v>
      </c>
    </row>
    <row r="656" spans="1:4" x14ac:dyDescent="0.2">
      <c r="A656" t="s">
        <v>383</v>
      </c>
      <c r="B656" s="6">
        <v>0</v>
      </c>
      <c r="C656" t="s">
        <v>43</v>
      </c>
      <c r="D656" t="s">
        <v>43</v>
      </c>
    </row>
    <row r="657" spans="1:4" x14ac:dyDescent="0.2">
      <c r="A657" t="s">
        <v>384</v>
      </c>
      <c r="B657" s="6">
        <v>0</v>
      </c>
      <c r="C657" t="s">
        <v>43</v>
      </c>
      <c r="D657" t="s">
        <v>43</v>
      </c>
    </row>
    <row r="658" spans="1:4" x14ac:dyDescent="0.2">
      <c r="A658" t="s">
        <v>385</v>
      </c>
      <c r="B658" s="6">
        <v>0</v>
      </c>
      <c r="C658" t="s">
        <v>43</v>
      </c>
      <c r="D658" t="s">
        <v>43</v>
      </c>
    </row>
    <row r="659" spans="1:4" x14ac:dyDescent="0.2">
      <c r="A659" t="s">
        <v>386</v>
      </c>
      <c r="B659" s="6">
        <v>0</v>
      </c>
      <c r="C659" t="s">
        <v>43</v>
      </c>
      <c r="D659" t="s">
        <v>43</v>
      </c>
    </row>
    <row r="660" spans="1:4" x14ac:dyDescent="0.2">
      <c r="A660" t="s">
        <v>387</v>
      </c>
      <c r="B660" s="6">
        <v>0</v>
      </c>
      <c r="C660" t="s">
        <v>43</v>
      </c>
      <c r="D660" t="s">
        <v>43</v>
      </c>
    </row>
    <row r="661" spans="1:4" x14ac:dyDescent="0.2">
      <c r="A661" t="s">
        <v>388</v>
      </c>
      <c r="B661" s="6">
        <v>0</v>
      </c>
      <c r="C661" t="s">
        <v>43</v>
      </c>
      <c r="D661" t="s">
        <v>43</v>
      </c>
    </row>
    <row r="662" spans="1:4" x14ac:dyDescent="0.2">
      <c r="A662" t="s">
        <v>389</v>
      </c>
      <c r="B662" s="6">
        <v>0</v>
      </c>
      <c r="C662" t="s">
        <v>43</v>
      </c>
      <c r="D662" t="s">
        <v>43</v>
      </c>
    </row>
    <row r="663" spans="1:4" x14ac:dyDescent="0.2">
      <c r="A663" t="s">
        <v>390</v>
      </c>
      <c r="B663" s="6">
        <v>0</v>
      </c>
      <c r="C663" t="s">
        <v>43</v>
      </c>
      <c r="D663" t="s">
        <v>43</v>
      </c>
    </row>
    <row r="664" spans="1:4" x14ac:dyDescent="0.2">
      <c r="A664" t="s">
        <v>391</v>
      </c>
      <c r="B664" s="6">
        <v>0</v>
      </c>
      <c r="C664" t="s">
        <v>43</v>
      </c>
      <c r="D664" t="s">
        <v>43</v>
      </c>
    </row>
    <row r="665" spans="1:4" x14ac:dyDescent="0.2">
      <c r="A665" t="s">
        <v>392</v>
      </c>
      <c r="B665" s="6">
        <v>0</v>
      </c>
      <c r="C665" t="s">
        <v>43</v>
      </c>
      <c r="D665" t="s">
        <v>43</v>
      </c>
    </row>
    <row r="666" spans="1:4" x14ac:dyDescent="0.2">
      <c r="A666" t="s">
        <v>393</v>
      </c>
      <c r="B666" s="6">
        <v>0</v>
      </c>
      <c r="C666" t="s">
        <v>43</v>
      </c>
      <c r="D666" t="s">
        <v>43</v>
      </c>
    </row>
    <row r="667" spans="1:4" x14ac:dyDescent="0.2">
      <c r="A667" t="s">
        <v>394</v>
      </c>
      <c r="B667" s="6">
        <v>0</v>
      </c>
      <c r="C667" t="s">
        <v>43</v>
      </c>
      <c r="D667" t="s">
        <v>43</v>
      </c>
    </row>
    <row r="668" spans="1:4" x14ac:dyDescent="0.2">
      <c r="A668" t="s">
        <v>395</v>
      </c>
      <c r="B668" s="6">
        <v>0</v>
      </c>
      <c r="C668" t="s">
        <v>43</v>
      </c>
      <c r="D668" t="s">
        <v>43</v>
      </c>
    </row>
    <row r="669" spans="1:4" x14ac:dyDescent="0.2">
      <c r="A669" t="s">
        <v>396</v>
      </c>
      <c r="B669" s="6">
        <v>0</v>
      </c>
      <c r="C669" t="s">
        <v>43</v>
      </c>
      <c r="D669" t="s">
        <v>43</v>
      </c>
    </row>
    <row r="670" spans="1:4" x14ac:dyDescent="0.2">
      <c r="A670" t="s">
        <v>397</v>
      </c>
      <c r="B670" s="6">
        <v>0</v>
      </c>
      <c r="C670" t="s">
        <v>43</v>
      </c>
      <c r="D670" t="s">
        <v>43</v>
      </c>
    </row>
    <row r="671" spans="1:4" x14ac:dyDescent="0.2">
      <c r="A671" t="s">
        <v>398</v>
      </c>
      <c r="B671" s="6">
        <v>0</v>
      </c>
      <c r="C671" t="s">
        <v>43</v>
      </c>
      <c r="D671" t="s">
        <v>43</v>
      </c>
    </row>
    <row r="672" spans="1:4" x14ac:dyDescent="0.2">
      <c r="A672" t="s">
        <v>399</v>
      </c>
      <c r="B672" s="6">
        <v>0</v>
      </c>
      <c r="C672" t="s">
        <v>43</v>
      </c>
      <c r="D672" t="s">
        <v>43</v>
      </c>
    </row>
    <row r="673" spans="1:4" x14ac:dyDescent="0.2">
      <c r="A673" t="s">
        <v>402</v>
      </c>
      <c r="B673" s="6">
        <v>0</v>
      </c>
      <c r="C673" t="s">
        <v>43</v>
      </c>
      <c r="D673" t="s">
        <v>43</v>
      </c>
    </row>
    <row r="674" spans="1:4" x14ac:dyDescent="0.2">
      <c r="A674" t="s">
        <v>403</v>
      </c>
      <c r="B674" s="6">
        <v>0</v>
      </c>
      <c r="C674" t="s">
        <v>43</v>
      </c>
      <c r="D674" t="s">
        <v>43</v>
      </c>
    </row>
    <row r="675" spans="1:4" x14ac:dyDescent="0.2">
      <c r="A675" t="s">
        <v>404</v>
      </c>
      <c r="B675" s="6">
        <v>0</v>
      </c>
      <c r="C675" t="s">
        <v>43</v>
      </c>
      <c r="D675" t="s">
        <v>43</v>
      </c>
    </row>
    <row r="676" spans="1:4" x14ac:dyDescent="0.2">
      <c r="A676" t="s">
        <v>405</v>
      </c>
      <c r="B676" s="6">
        <v>0</v>
      </c>
      <c r="C676" t="s">
        <v>43</v>
      </c>
      <c r="D676" t="s">
        <v>43</v>
      </c>
    </row>
    <row r="677" spans="1:4" x14ac:dyDescent="0.2">
      <c r="A677" t="s">
        <v>406</v>
      </c>
      <c r="B677" s="6">
        <v>0</v>
      </c>
      <c r="C677" t="s">
        <v>43</v>
      </c>
      <c r="D677" t="s">
        <v>43</v>
      </c>
    </row>
    <row r="678" spans="1:4" x14ac:dyDescent="0.2">
      <c r="A678" t="s">
        <v>407</v>
      </c>
      <c r="B678" s="6">
        <v>0</v>
      </c>
      <c r="C678" t="s">
        <v>43</v>
      </c>
      <c r="D678" t="s">
        <v>43</v>
      </c>
    </row>
    <row r="679" spans="1:4" x14ac:dyDescent="0.2">
      <c r="A679" t="s">
        <v>408</v>
      </c>
      <c r="B679" s="6">
        <v>0</v>
      </c>
      <c r="C679" t="s">
        <v>43</v>
      </c>
      <c r="D679" t="s">
        <v>43</v>
      </c>
    </row>
    <row r="680" spans="1:4" x14ac:dyDescent="0.2">
      <c r="A680" t="s">
        <v>409</v>
      </c>
      <c r="B680" s="6">
        <v>0</v>
      </c>
      <c r="C680" t="s">
        <v>43</v>
      </c>
      <c r="D680" t="s">
        <v>43</v>
      </c>
    </row>
    <row r="681" spans="1:4" x14ac:dyDescent="0.2">
      <c r="A681" t="s">
        <v>410</v>
      </c>
      <c r="B681" s="6">
        <v>0</v>
      </c>
      <c r="C681" t="s">
        <v>43</v>
      </c>
      <c r="D681" t="s">
        <v>43</v>
      </c>
    </row>
    <row r="682" spans="1:4" x14ac:dyDescent="0.2">
      <c r="A682" t="s">
        <v>411</v>
      </c>
      <c r="B682" s="6">
        <v>0</v>
      </c>
      <c r="C682" t="s">
        <v>43</v>
      </c>
      <c r="D682" t="s">
        <v>43</v>
      </c>
    </row>
    <row r="683" spans="1:4" x14ac:dyDescent="0.2">
      <c r="A683" t="s">
        <v>412</v>
      </c>
      <c r="B683" s="6">
        <v>0</v>
      </c>
      <c r="C683" t="s">
        <v>43</v>
      </c>
      <c r="D683" t="s">
        <v>43</v>
      </c>
    </row>
    <row r="684" spans="1:4" x14ac:dyDescent="0.2">
      <c r="A684" t="s">
        <v>413</v>
      </c>
      <c r="B684" s="6">
        <v>0</v>
      </c>
      <c r="C684" t="s">
        <v>43</v>
      </c>
      <c r="D684" t="s">
        <v>43</v>
      </c>
    </row>
    <row r="685" spans="1:4" x14ac:dyDescent="0.2">
      <c r="A685" t="s">
        <v>414</v>
      </c>
      <c r="B685" s="6">
        <v>0</v>
      </c>
      <c r="C685" t="s">
        <v>43</v>
      </c>
      <c r="D685" t="s">
        <v>43</v>
      </c>
    </row>
    <row r="686" spans="1:4" x14ac:dyDescent="0.2">
      <c r="A686" t="s">
        <v>415</v>
      </c>
      <c r="B686" s="6">
        <v>0</v>
      </c>
      <c r="C686" t="s">
        <v>43</v>
      </c>
      <c r="D686" t="s">
        <v>43</v>
      </c>
    </row>
    <row r="687" spans="1:4" x14ac:dyDescent="0.2">
      <c r="A687" t="s">
        <v>416</v>
      </c>
      <c r="B687" s="6">
        <v>0</v>
      </c>
      <c r="C687" t="s">
        <v>43</v>
      </c>
      <c r="D687" t="s">
        <v>43</v>
      </c>
    </row>
    <row r="688" spans="1:4" x14ac:dyDescent="0.2">
      <c r="A688" t="s">
        <v>417</v>
      </c>
      <c r="B688" s="6">
        <v>0</v>
      </c>
      <c r="C688" t="s">
        <v>43</v>
      </c>
      <c r="D688" t="s">
        <v>43</v>
      </c>
    </row>
    <row r="689" spans="1:4" x14ac:dyDescent="0.2">
      <c r="A689" t="s">
        <v>418</v>
      </c>
      <c r="B689" s="6">
        <v>0</v>
      </c>
      <c r="C689" t="s">
        <v>43</v>
      </c>
      <c r="D689" t="s">
        <v>43</v>
      </c>
    </row>
    <row r="690" spans="1:4" x14ac:dyDescent="0.2">
      <c r="A690" t="s">
        <v>419</v>
      </c>
      <c r="B690" s="6">
        <v>0</v>
      </c>
      <c r="C690" t="s">
        <v>43</v>
      </c>
      <c r="D690" t="s">
        <v>43</v>
      </c>
    </row>
    <row r="691" spans="1:4" x14ac:dyDescent="0.2">
      <c r="A691" t="s">
        <v>420</v>
      </c>
      <c r="B691" s="6">
        <v>0</v>
      </c>
      <c r="C691" t="s">
        <v>43</v>
      </c>
      <c r="D691" t="s">
        <v>43</v>
      </c>
    </row>
    <row r="692" spans="1:4" x14ac:dyDescent="0.2">
      <c r="A692" t="s">
        <v>421</v>
      </c>
      <c r="B692" s="6">
        <v>0</v>
      </c>
      <c r="C692" t="s">
        <v>43</v>
      </c>
      <c r="D692" t="s">
        <v>43</v>
      </c>
    </row>
    <row r="693" spans="1:4" x14ac:dyDescent="0.2">
      <c r="A693" t="s">
        <v>424</v>
      </c>
      <c r="B693" s="6">
        <v>0</v>
      </c>
      <c r="C693" t="s">
        <v>43</v>
      </c>
      <c r="D693" t="s">
        <v>43</v>
      </c>
    </row>
    <row r="694" spans="1:4" x14ac:dyDescent="0.2">
      <c r="A694" t="s">
        <v>425</v>
      </c>
      <c r="B694" s="6">
        <v>0</v>
      </c>
      <c r="C694" t="s">
        <v>43</v>
      </c>
      <c r="D694" t="s">
        <v>43</v>
      </c>
    </row>
    <row r="695" spans="1:4" x14ac:dyDescent="0.2">
      <c r="A695" t="s">
        <v>427</v>
      </c>
      <c r="B695" s="6">
        <v>0</v>
      </c>
      <c r="C695" t="s">
        <v>43</v>
      </c>
      <c r="D695" t="s">
        <v>43</v>
      </c>
    </row>
    <row r="696" spans="1:4" x14ac:dyDescent="0.2">
      <c r="A696" t="s">
        <v>428</v>
      </c>
      <c r="B696" s="6">
        <v>0</v>
      </c>
      <c r="C696" t="s">
        <v>43</v>
      </c>
      <c r="D696" t="s">
        <v>43</v>
      </c>
    </row>
    <row r="697" spans="1:4" x14ac:dyDescent="0.2">
      <c r="A697" t="s">
        <v>429</v>
      </c>
      <c r="B697" s="6">
        <v>0</v>
      </c>
      <c r="C697" t="s">
        <v>43</v>
      </c>
      <c r="D697" t="s">
        <v>43</v>
      </c>
    </row>
    <row r="698" spans="1:4" x14ac:dyDescent="0.2">
      <c r="A698" t="s">
        <v>430</v>
      </c>
      <c r="B698" s="6">
        <v>0</v>
      </c>
      <c r="C698" t="s">
        <v>43</v>
      </c>
      <c r="D698" t="s">
        <v>43</v>
      </c>
    </row>
    <row r="699" spans="1:4" x14ac:dyDescent="0.2">
      <c r="A699" t="s">
        <v>431</v>
      </c>
      <c r="B699" s="6">
        <v>0</v>
      </c>
      <c r="C699" t="s">
        <v>43</v>
      </c>
      <c r="D699" t="s">
        <v>43</v>
      </c>
    </row>
    <row r="700" spans="1:4" x14ac:dyDescent="0.2">
      <c r="A700" t="s">
        <v>433</v>
      </c>
      <c r="B700" s="6">
        <v>0</v>
      </c>
      <c r="C700" t="s">
        <v>43</v>
      </c>
      <c r="D700" t="s">
        <v>43</v>
      </c>
    </row>
    <row r="701" spans="1:4" x14ac:dyDescent="0.2">
      <c r="A701" t="s">
        <v>434</v>
      </c>
      <c r="B701" s="6">
        <v>0</v>
      </c>
      <c r="C701" t="s">
        <v>43</v>
      </c>
      <c r="D701" t="s">
        <v>43</v>
      </c>
    </row>
    <row r="702" spans="1:4" x14ac:dyDescent="0.2">
      <c r="A702" t="s">
        <v>435</v>
      </c>
      <c r="B702" s="6">
        <v>0</v>
      </c>
      <c r="C702" t="s">
        <v>43</v>
      </c>
      <c r="D702" t="s">
        <v>43</v>
      </c>
    </row>
    <row r="703" spans="1:4" x14ac:dyDescent="0.2">
      <c r="A703" t="s">
        <v>437</v>
      </c>
      <c r="B703" s="6">
        <v>0</v>
      </c>
      <c r="C703" t="s">
        <v>43</v>
      </c>
      <c r="D703" t="s">
        <v>43</v>
      </c>
    </row>
    <row r="704" spans="1:4" x14ac:dyDescent="0.2">
      <c r="A704" t="s">
        <v>438</v>
      </c>
      <c r="B704" s="6">
        <v>0</v>
      </c>
      <c r="C704" t="s">
        <v>43</v>
      </c>
      <c r="D704" t="s">
        <v>43</v>
      </c>
    </row>
    <row r="705" spans="1:4" x14ac:dyDescent="0.2">
      <c r="A705" t="s">
        <v>439</v>
      </c>
      <c r="B705" s="6">
        <v>0</v>
      </c>
      <c r="C705" t="s">
        <v>43</v>
      </c>
      <c r="D705" t="s">
        <v>43</v>
      </c>
    </row>
    <row r="706" spans="1:4" x14ac:dyDescent="0.2">
      <c r="A706" t="s">
        <v>440</v>
      </c>
      <c r="B706" s="6">
        <v>0</v>
      </c>
      <c r="C706" t="s">
        <v>43</v>
      </c>
      <c r="D706" t="s">
        <v>43</v>
      </c>
    </row>
    <row r="707" spans="1:4" x14ac:dyDescent="0.2">
      <c r="A707" t="s">
        <v>441</v>
      </c>
      <c r="B707" s="6">
        <v>0</v>
      </c>
      <c r="C707" t="s">
        <v>43</v>
      </c>
      <c r="D707" t="s">
        <v>43</v>
      </c>
    </row>
    <row r="708" spans="1:4" x14ac:dyDescent="0.2">
      <c r="A708" t="s">
        <v>442</v>
      </c>
      <c r="B708" s="6">
        <v>0</v>
      </c>
      <c r="C708" t="s">
        <v>43</v>
      </c>
      <c r="D708" t="s">
        <v>43</v>
      </c>
    </row>
    <row r="709" spans="1:4" x14ac:dyDescent="0.2">
      <c r="A709" t="s">
        <v>443</v>
      </c>
      <c r="B709" s="6">
        <v>0</v>
      </c>
      <c r="C709" t="s">
        <v>43</v>
      </c>
      <c r="D709" t="s">
        <v>43</v>
      </c>
    </row>
    <row r="710" spans="1:4" x14ac:dyDescent="0.2">
      <c r="A710" t="s">
        <v>444</v>
      </c>
      <c r="B710" s="6">
        <v>0</v>
      </c>
      <c r="C710" t="s">
        <v>43</v>
      </c>
      <c r="D710" t="s">
        <v>43</v>
      </c>
    </row>
    <row r="711" spans="1:4" x14ac:dyDescent="0.2">
      <c r="A711" t="s">
        <v>445</v>
      </c>
      <c r="B711" s="6">
        <v>0</v>
      </c>
      <c r="C711" t="s">
        <v>43</v>
      </c>
      <c r="D711" t="s">
        <v>43</v>
      </c>
    </row>
    <row r="712" spans="1:4" x14ac:dyDescent="0.2">
      <c r="A712" t="s">
        <v>446</v>
      </c>
      <c r="B712" s="6">
        <v>0</v>
      </c>
      <c r="C712" t="s">
        <v>43</v>
      </c>
      <c r="D712" t="s">
        <v>43</v>
      </c>
    </row>
    <row r="713" spans="1:4" x14ac:dyDescent="0.2">
      <c r="A713" t="s">
        <v>447</v>
      </c>
      <c r="B713" s="6">
        <v>0</v>
      </c>
      <c r="C713" t="s">
        <v>43</v>
      </c>
      <c r="D713" t="s">
        <v>43</v>
      </c>
    </row>
    <row r="714" spans="1:4" x14ac:dyDescent="0.2">
      <c r="A714" t="s">
        <v>448</v>
      </c>
      <c r="B714" s="6">
        <v>0</v>
      </c>
      <c r="C714" t="s">
        <v>43</v>
      </c>
      <c r="D714" t="s">
        <v>43</v>
      </c>
    </row>
    <row r="715" spans="1:4" x14ac:dyDescent="0.2">
      <c r="A715" t="s">
        <v>449</v>
      </c>
      <c r="B715" s="6">
        <v>0</v>
      </c>
      <c r="C715" t="s">
        <v>43</v>
      </c>
      <c r="D715" t="s">
        <v>43</v>
      </c>
    </row>
    <row r="716" spans="1:4" x14ac:dyDescent="0.2">
      <c r="A716" t="s">
        <v>450</v>
      </c>
      <c r="B716" s="6">
        <v>0</v>
      </c>
      <c r="C716" t="s">
        <v>43</v>
      </c>
      <c r="D716" t="s">
        <v>43</v>
      </c>
    </row>
    <row r="717" spans="1:4" x14ac:dyDescent="0.2">
      <c r="A717" t="s">
        <v>451</v>
      </c>
      <c r="B717" s="6">
        <v>0</v>
      </c>
      <c r="C717" t="s">
        <v>43</v>
      </c>
      <c r="D717" t="s">
        <v>43</v>
      </c>
    </row>
    <row r="718" spans="1:4" x14ac:dyDescent="0.2">
      <c r="A718" t="s">
        <v>452</v>
      </c>
      <c r="B718" s="6">
        <v>0</v>
      </c>
      <c r="C718" t="s">
        <v>43</v>
      </c>
      <c r="D718" t="s">
        <v>43</v>
      </c>
    </row>
    <row r="719" spans="1:4" x14ac:dyDescent="0.2">
      <c r="A719" t="s">
        <v>453</v>
      </c>
      <c r="B719" s="6">
        <v>0</v>
      </c>
      <c r="C719" t="s">
        <v>43</v>
      </c>
      <c r="D719" t="s">
        <v>43</v>
      </c>
    </row>
    <row r="720" spans="1:4" x14ac:dyDescent="0.2">
      <c r="A720" t="s">
        <v>454</v>
      </c>
      <c r="B720" s="6">
        <v>0</v>
      </c>
      <c r="C720" t="s">
        <v>43</v>
      </c>
      <c r="D720" t="s">
        <v>43</v>
      </c>
    </row>
    <row r="721" spans="1:4" x14ac:dyDescent="0.2">
      <c r="A721" t="s">
        <v>455</v>
      </c>
      <c r="B721" s="6">
        <v>0</v>
      </c>
      <c r="C721" t="s">
        <v>43</v>
      </c>
      <c r="D721" t="s">
        <v>43</v>
      </c>
    </row>
    <row r="722" spans="1:4" x14ac:dyDescent="0.2">
      <c r="A722" t="s">
        <v>456</v>
      </c>
      <c r="B722" s="6">
        <v>0</v>
      </c>
      <c r="C722" t="s">
        <v>43</v>
      </c>
      <c r="D722" t="s">
        <v>43</v>
      </c>
    </row>
    <row r="723" spans="1:4" x14ac:dyDescent="0.2">
      <c r="A723" t="s">
        <v>457</v>
      </c>
      <c r="B723" s="6">
        <v>0</v>
      </c>
      <c r="C723" t="s">
        <v>43</v>
      </c>
      <c r="D723" t="s">
        <v>43</v>
      </c>
    </row>
    <row r="724" spans="1:4" x14ac:dyDescent="0.2">
      <c r="A724" t="s">
        <v>227</v>
      </c>
      <c r="B724" s="6">
        <v>0</v>
      </c>
      <c r="C724" t="s">
        <v>43</v>
      </c>
      <c r="D724" t="s">
        <v>43</v>
      </c>
    </row>
    <row r="725" spans="1:4" x14ac:dyDescent="0.2">
      <c r="A725" t="s">
        <v>458</v>
      </c>
      <c r="B725" s="6">
        <v>0</v>
      </c>
      <c r="C725" t="s">
        <v>43</v>
      </c>
      <c r="D725" t="s">
        <v>43</v>
      </c>
    </row>
    <row r="726" spans="1:4" x14ac:dyDescent="0.2">
      <c r="A726" t="s">
        <v>459</v>
      </c>
      <c r="B726" s="6">
        <v>0</v>
      </c>
      <c r="C726" t="s">
        <v>43</v>
      </c>
      <c r="D726" t="s">
        <v>43</v>
      </c>
    </row>
    <row r="727" spans="1:4" x14ac:dyDescent="0.2">
      <c r="A727" t="s">
        <v>460</v>
      </c>
      <c r="B727" s="6">
        <v>0</v>
      </c>
      <c r="C727" t="s">
        <v>43</v>
      </c>
      <c r="D727" t="s">
        <v>43</v>
      </c>
    </row>
    <row r="728" spans="1:4" x14ac:dyDescent="0.2">
      <c r="A728" t="s">
        <v>461</v>
      </c>
      <c r="B728" s="6">
        <v>0</v>
      </c>
      <c r="C728" t="s">
        <v>43</v>
      </c>
      <c r="D728" t="s">
        <v>43</v>
      </c>
    </row>
    <row r="729" spans="1:4" x14ac:dyDescent="0.2">
      <c r="A729" t="s">
        <v>462</v>
      </c>
      <c r="B729" s="6">
        <v>0</v>
      </c>
      <c r="C729" t="s">
        <v>43</v>
      </c>
      <c r="D729" t="s">
        <v>43</v>
      </c>
    </row>
    <row r="730" spans="1:4" x14ac:dyDescent="0.2">
      <c r="A730" t="s">
        <v>463</v>
      </c>
      <c r="B730" s="6">
        <v>0</v>
      </c>
      <c r="C730" t="s">
        <v>303</v>
      </c>
      <c r="D730" t="s">
        <v>303</v>
      </c>
    </row>
    <row r="731" spans="1:4" x14ac:dyDescent="0.2">
      <c r="A731" t="s">
        <v>464</v>
      </c>
      <c r="B731" s="6">
        <v>0</v>
      </c>
      <c r="C731" t="s">
        <v>43</v>
      </c>
      <c r="D731" t="s">
        <v>43</v>
      </c>
    </row>
    <row r="732" spans="1:4" x14ac:dyDescent="0.2">
      <c r="A732" t="s">
        <v>465</v>
      </c>
      <c r="B732" s="6">
        <v>0</v>
      </c>
      <c r="C732" t="s">
        <v>303</v>
      </c>
      <c r="D732" t="s">
        <v>303</v>
      </c>
    </row>
    <row r="733" spans="1:4" x14ac:dyDescent="0.2">
      <c r="A733" t="s">
        <v>466</v>
      </c>
      <c r="B733" s="6">
        <v>0</v>
      </c>
      <c r="C733" t="s">
        <v>43</v>
      </c>
      <c r="D733" t="s">
        <v>43</v>
      </c>
    </row>
    <row r="734" spans="1:4" x14ac:dyDescent="0.2">
      <c r="A734" t="s">
        <v>467</v>
      </c>
      <c r="B734" s="6">
        <v>0</v>
      </c>
      <c r="C734" t="s">
        <v>43</v>
      </c>
      <c r="D734" t="s">
        <v>43</v>
      </c>
    </row>
    <row r="735" spans="1:4" x14ac:dyDescent="0.2">
      <c r="A735" t="s">
        <v>468</v>
      </c>
      <c r="B735" s="6">
        <v>0</v>
      </c>
      <c r="C735" t="s">
        <v>43</v>
      </c>
      <c r="D735" t="s">
        <v>43</v>
      </c>
    </row>
    <row r="736" spans="1:4" x14ac:dyDescent="0.2">
      <c r="A736" t="s">
        <v>469</v>
      </c>
      <c r="B736" s="6">
        <v>0</v>
      </c>
      <c r="C736" t="s">
        <v>43</v>
      </c>
      <c r="D736" t="s">
        <v>43</v>
      </c>
    </row>
    <row r="737" spans="1:4" x14ac:dyDescent="0.2">
      <c r="A737" t="s">
        <v>470</v>
      </c>
      <c r="B737" s="6">
        <v>0</v>
      </c>
      <c r="C737" t="s">
        <v>43</v>
      </c>
      <c r="D737" t="s">
        <v>43</v>
      </c>
    </row>
    <row r="738" spans="1:4" x14ac:dyDescent="0.2">
      <c r="A738" t="s">
        <v>471</v>
      </c>
      <c r="B738" s="6">
        <v>0</v>
      </c>
      <c r="C738" t="s">
        <v>43</v>
      </c>
      <c r="D738" t="s">
        <v>43</v>
      </c>
    </row>
    <row r="739" spans="1:4" x14ac:dyDescent="0.2">
      <c r="A739" t="s">
        <v>472</v>
      </c>
      <c r="B739" s="6">
        <v>0</v>
      </c>
      <c r="C739" t="s">
        <v>43</v>
      </c>
      <c r="D739" t="s">
        <v>43</v>
      </c>
    </row>
    <row r="740" spans="1:4" x14ac:dyDescent="0.2">
      <c r="A740" t="s">
        <v>473</v>
      </c>
      <c r="B740" s="6">
        <v>0</v>
      </c>
      <c r="C740" t="s">
        <v>303</v>
      </c>
      <c r="D740" t="s">
        <v>303</v>
      </c>
    </row>
    <row r="741" spans="1:4" x14ac:dyDescent="0.2">
      <c r="A741" t="s">
        <v>474</v>
      </c>
      <c r="B741" s="6">
        <v>0</v>
      </c>
      <c r="C741" t="s">
        <v>43</v>
      </c>
      <c r="D741" t="s">
        <v>43</v>
      </c>
    </row>
    <row r="742" spans="1:4" x14ac:dyDescent="0.2">
      <c r="A742" t="s">
        <v>234</v>
      </c>
      <c r="B742" s="6">
        <v>0</v>
      </c>
      <c r="C742" t="s">
        <v>43</v>
      </c>
      <c r="D742" t="s">
        <v>43</v>
      </c>
    </row>
    <row r="743" spans="1:4" x14ac:dyDescent="0.2">
      <c r="A743" t="s">
        <v>475</v>
      </c>
      <c r="B743" s="6">
        <v>0</v>
      </c>
      <c r="C743" t="s">
        <v>43</v>
      </c>
      <c r="D743" t="s">
        <v>43</v>
      </c>
    </row>
    <row r="744" spans="1:4" x14ac:dyDescent="0.2">
      <c r="A744" t="s">
        <v>476</v>
      </c>
      <c r="B744" s="6">
        <v>0</v>
      </c>
      <c r="C744" t="s">
        <v>43</v>
      </c>
      <c r="D744" t="s">
        <v>43</v>
      </c>
    </row>
    <row r="745" spans="1:4" x14ac:dyDescent="0.2">
      <c r="A745" t="s">
        <v>477</v>
      </c>
      <c r="B745" s="6">
        <v>0</v>
      </c>
      <c r="C745" t="s">
        <v>43</v>
      </c>
      <c r="D745" t="s">
        <v>43</v>
      </c>
    </row>
    <row r="746" spans="1:4" x14ac:dyDescent="0.2">
      <c r="A746" t="s">
        <v>478</v>
      </c>
      <c r="B746" s="6">
        <v>0</v>
      </c>
      <c r="C746" t="s">
        <v>43</v>
      </c>
      <c r="D746" t="s">
        <v>43</v>
      </c>
    </row>
    <row r="747" spans="1:4" x14ac:dyDescent="0.2">
      <c r="A747" t="s">
        <v>479</v>
      </c>
      <c r="B747" s="6">
        <v>0</v>
      </c>
      <c r="C747" t="s">
        <v>43</v>
      </c>
      <c r="D747" t="s">
        <v>43</v>
      </c>
    </row>
    <row r="748" spans="1:4" x14ac:dyDescent="0.2">
      <c r="A748" t="s">
        <v>480</v>
      </c>
      <c r="B748" s="6">
        <v>0</v>
      </c>
      <c r="C748" t="s">
        <v>43</v>
      </c>
      <c r="D748" t="s">
        <v>43</v>
      </c>
    </row>
    <row r="749" spans="1:4" x14ac:dyDescent="0.2">
      <c r="A749" t="s">
        <v>481</v>
      </c>
      <c r="B749" s="6">
        <v>0</v>
      </c>
      <c r="C749" t="s">
        <v>43</v>
      </c>
      <c r="D749" t="s">
        <v>43</v>
      </c>
    </row>
    <row r="750" spans="1:4" x14ac:dyDescent="0.2">
      <c r="A750" t="s">
        <v>482</v>
      </c>
      <c r="B750" s="6">
        <v>0</v>
      </c>
      <c r="C750" t="s">
        <v>43</v>
      </c>
      <c r="D750" t="s">
        <v>43</v>
      </c>
    </row>
    <row r="751" spans="1:4" x14ac:dyDescent="0.2">
      <c r="A751" t="s">
        <v>483</v>
      </c>
      <c r="B751" s="6">
        <v>0</v>
      </c>
      <c r="C751" t="s">
        <v>484</v>
      </c>
      <c r="D751" t="s">
        <v>484</v>
      </c>
    </row>
    <row r="752" spans="1:4" x14ac:dyDescent="0.2">
      <c r="A752" t="s">
        <v>485</v>
      </c>
      <c r="B752" s="6">
        <v>0</v>
      </c>
      <c r="C752" t="s">
        <v>43</v>
      </c>
      <c r="D752" t="s">
        <v>43</v>
      </c>
    </row>
    <row r="753" spans="1:4" x14ac:dyDescent="0.2">
      <c r="A753" t="s">
        <v>486</v>
      </c>
      <c r="B753" s="6">
        <v>0</v>
      </c>
      <c r="C753" t="s">
        <v>43</v>
      </c>
      <c r="D753" t="s">
        <v>43</v>
      </c>
    </row>
    <row r="754" spans="1:4" x14ac:dyDescent="0.2">
      <c r="A754" t="s">
        <v>487</v>
      </c>
      <c r="B754" s="6">
        <v>0</v>
      </c>
      <c r="C754" t="s">
        <v>43</v>
      </c>
      <c r="D754" t="s">
        <v>43</v>
      </c>
    </row>
    <row r="755" spans="1:4" x14ac:dyDescent="0.2">
      <c r="A755" t="s">
        <v>488</v>
      </c>
      <c r="B755" s="6">
        <v>0</v>
      </c>
      <c r="C755" t="s">
        <v>43</v>
      </c>
      <c r="D755" t="s">
        <v>43</v>
      </c>
    </row>
    <row r="756" spans="1:4" x14ac:dyDescent="0.2">
      <c r="A756" t="s">
        <v>489</v>
      </c>
      <c r="B756" s="6">
        <v>0</v>
      </c>
      <c r="C756" t="s">
        <v>43</v>
      </c>
      <c r="D756" t="s">
        <v>43</v>
      </c>
    </row>
    <row r="757" spans="1:4" x14ac:dyDescent="0.2">
      <c r="A757" t="s">
        <v>490</v>
      </c>
      <c r="B757" s="6">
        <v>0</v>
      </c>
      <c r="C757" t="s">
        <v>43</v>
      </c>
      <c r="D757" t="s">
        <v>43</v>
      </c>
    </row>
    <row r="758" spans="1:4" x14ac:dyDescent="0.2">
      <c r="A758" t="s">
        <v>491</v>
      </c>
      <c r="B758" s="6">
        <v>0</v>
      </c>
      <c r="C758" t="s">
        <v>43</v>
      </c>
      <c r="D758" t="s">
        <v>43</v>
      </c>
    </row>
    <row r="759" spans="1:4" x14ac:dyDescent="0.2">
      <c r="A759" t="s">
        <v>108</v>
      </c>
      <c r="B759" s="6">
        <v>0</v>
      </c>
      <c r="C759" t="s">
        <v>43</v>
      </c>
      <c r="D759" t="s">
        <v>43</v>
      </c>
    </row>
    <row r="760" spans="1:4" x14ac:dyDescent="0.2">
      <c r="A760" t="s">
        <v>493</v>
      </c>
      <c r="B760" s="6">
        <v>0</v>
      </c>
      <c r="C760" t="s">
        <v>43</v>
      </c>
      <c r="D760" t="s">
        <v>43</v>
      </c>
    </row>
    <row r="761" spans="1:4" x14ac:dyDescent="0.2">
      <c r="A761" t="s">
        <v>494</v>
      </c>
      <c r="B761" s="6">
        <v>0</v>
      </c>
      <c r="C761" t="s">
        <v>43</v>
      </c>
      <c r="D761" t="s">
        <v>43</v>
      </c>
    </row>
    <row r="762" spans="1:4" x14ac:dyDescent="0.2">
      <c r="A762" t="s">
        <v>495</v>
      </c>
      <c r="B762" s="6">
        <v>0</v>
      </c>
      <c r="C762" t="s">
        <v>43</v>
      </c>
      <c r="D762" t="s">
        <v>43</v>
      </c>
    </row>
    <row r="763" spans="1:4" x14ac:dyDescent="0.2">
      <c r="A763" t="s">
        <v>496</v>
      </c>
      <c r="B763" s="6">
        <v>0</v>
      </c>
      <c r="C763" t="s">
        <v>43</v>
      </c>
      <c r="D763" t="s">
        <v>43</v>
      </c>
    </row>
    <row r="764" spans="1:4" x14ac:dyDescent="0.2">
      <c r="A764" t="s">
        <v>497</v>
      </c>
      <c r="B764" s="6">
        <v>0</v>
      </c>
      <c r="C764" t="s">
        <v>43</v>
      </c>
      <c r="D764" t="s">
        <v>43</v>
      </c>
    </row>
    <row r="765" spans="1:4" x14ac:dyDescent="0.2">
      <c r="A765" t="s">
        <v>498</v>
      </c>
      <c r="B765" s="6">
        <v>0</v>
      </c>
      <c r="C765" t="s">
        <v>43</v>
      </c>
      <c r="D765" t="s">
        <v>43</v>
      </c>
    </row>
    <row r="766" spans="1:4" x14ac:dyDescent="0.2">
      <c r="A766" t="s">
        <v>499</v>
      </c>
      <c r="B766" s="6">
        <v>0</v>
      </c>
      <c r="C766" t="s">
        <v>43</v>
      </c>
      <c r="D766" t="s">
        <v>43</v>
      </c>
    </row>
    <row r="767" spans="1:4" x14ac:dyDescent="0.2">
      <c r="A767" t="s">
        <v>500</v>
      </c>
      <c r="B767" s="6">
        <v>0</v>
      </c>
      <c r="C767" t="s">
        <v>43</v>
      </c>
      <c r="D767" t="s">
        <v>43</v>
      </c>
    </row>
    <row r="768" spans="1:4" x14ac:dyDescent="0.2">
      <c r="A768" t="s">
        <v>501</v>
      </c>
      <c r="B768" s="6">
        <v>0</v>
      </c>
      <c r="C768" t="s">
        <v>43</v>
      </c>
      <c r="D768" t="s">
        <v>43</v>
      </c>
    </row>
    <row r="769" spans="1:4" x14ac:dyDescent="0.2">
      <c r="A769" t="s">
        <v>502</v>
      </c>
      <c r="B769" s="6">
        <v>0</v>
      </c>
      <c r="C769" t="s">
        <v>43</v>
      </c>
      <c r="D769" t="s">
        <v>43</v>
      </c>
    </row>
    <row r="770" spans="1:4" x14ac:dyDescent="0.2">
      <c r="A770" t="s">
        <v>503</v>
      </c>
      <c r="B770" s="6">
        <v>0</v>
      </c>
      <c r="C770" t="s">
        <v>43</v>
      </c>
      <c r="D770" t="s">
        <v>43</v>
      </c>
    </row>
    <row r="771" spans="1:4" x14ac:dyDescent="0.2">
      <c r="A771" t="s">
        <v>504</v>
      </c>
      <c r="B771" s="6">
        <v>0</v>
      </c>
      <c r="C771" t="s">
        <v>43</v>
      </c>
      <c r="D771" t="s">
        <v>43</v>
      </c>
    </row>
    <row r="772" spans="1:4" x14ac:dyDescent="0.2">
      <c r="A772" t="s">
        <v>505</v>
      </c>
      <c r="B772" s="6">
        <v>0</v>
      </c>
      <c r="C772" t="s">
        <v>43</v>
      </c>
      <c r="D772" t="s">
        <v>43</v>
      </c>
    </row>
    <row r="773" spans="1:4" x14ac:dyDescent="0.2">
      <c r="A773" t="s">
        <v>506</v>
      </c>
      <c r="B773" s="6">
        <v>0</v>
      </c>
      <c r="C773" t="s">
        <v>43</v>
      </c>
      <c r="D773" t="s">
        <v>43</v>
      </c>
    </row>
    <row r="774" spans="1:4" x14ac:dyDescent="0.2">
      <c r="A774" t="s">
        <v>483</v>
      </c>
      <c r="B774" s="6">
        <v>0</v>
      </c>
      <c r="C774" t="s">
        <v>119</v>
      </c>
      <c r="D774" t="s">
        <v>119</v>
      </c>
    </row>
    <row r="775" spans="1:4" x14ac:dyDescent="0.2">
      <c r="A775" t="s">
        <v>507</v>
      </c>
      <c r="B775" s="6">
        <v>0</v>
      </c>
      <c r="C775" t="s">
        <v>484</v>
      </c>
      <c r="D775" t="s">
        <v>484</v>
      </c>
    </row>
    <row r="776" spans="1:4" x14ac:dyDescent="0.2">
      <c r="A776" t="s">
        <v>509</v>
      </c>
      <c r="B776" s="6">
        <v>0</v>
      </c>
      <c r="C776" t="s">
        <v>484</v>
      </c>
      <c r="D776" t="s">
        <v>484</v>
      </c>
    </row>
    <row r="777" spans="1:4" x14ac:dyDescent="0.2">
      <c r="A777" t="s">
        <v>512</v>
      </c>
      <c r="B777" s="6">
        <v>0</v>
      </c>
      <c r="C777" t="s">
        <v>43</v>
      </c>
      <c r="D777" t="s">
        <v>43</v>
      </c>
    </row>
    <row r="778" spans="1:4" x14ac:dyDescent="0.2">
      <c r="A778" t="s">
        <v>513</v>
      </c>
      <c r="B778" s="6">
        <v>0</v>
      </c>
      <c r="C778" t="s">
        <v>484</v>
      </c>
      <c r="D778" t="s">
        <v>484</v>
      </c>
    </row>
    <row r="779" spans="1:4" x14ac:dyDescent="0.2">
      <c r="A779" t="s">
        <v>517</v>
      </c>
      <c r="B779" s="6">
        <v>0</v>
      </c>
      <c r="C779" t="s">
        <v>43</v>
      </c>
      <c r="D779" t="s">
        <v>43</v>
      </c>
    </row>
    <row r="780" spans="1:4" x14ac:dyDescent="0.2">
      <c r="A780" t="s">
        <v>518</v>
      </c>
      <c r="B780" s="6">
        <v>0</v>
      </c>
      <c r="C780" t="s">
        <v>43</v>
      </c>
      <c r="D780" t="s">
        <v>43</v>
      </c>
    </row>
    <row r="781" spans="1:4" x14ac:dyDescent="0.2">
      <c r="A781" t="s">
        <v>519</v>
      </c>
      <c r="B781" s="6">
        <v>0</v>
      </c>
      <c r="C781" t="s">
        <v>484</v>
      </c>
      <c r="D781" t="s">
        <v>484</v>
      </c>
    </row>
    <row r="782" spans="1:4" x14ac:dyDescent="0.2">
      <c r="A782" t="s">
        <v>520</v>
      </c>
      <c r="B782" s="6">
        <v>0</v>
      </c>
      <c r="C782" t="s">
        <v>484</v>
      </c>
      <c r="D782" t="s">
        <v>484</v>
      </c>
    </row>
    <row r="783" spans="1:4" x14ac:dyDescent="0.2">
      <c r="A783" t="s">
        <v>521</v>
      </c>
      <c r="B783" s="6">
        <v>0</v>
      </c>
      <c r="C783" t="s">
        <v>43</v>
      </c>
      <c r="D783" t="s">
        <v>43</v>
      </c>
    </row>
    <row r="784" spans="1:4" x14ac:dyDescent="0.2">
      <c r="A784" t="s">
        <v>522</v>
      </c>
      <c r="B784" s="6">
        <v>0</v>
      </c>
      <c r="C784" t="s">
        <v>43</v>
      </c>
      <c r="D784" t="s">
        <v>43</v>
      </c>
    </row>
    <row r="785" spans="1:4" x14ac:dyDescent="0.2">
      <c r="A785" t="s">
        <v>524</v>
      </c>
      <c r="B785" s="6">
        <v>0</v>
      </c>
      <c r="C785" t="s">
        <v>172</v>
      </c>
      <c r="D785" t="s">
        <v>172</v>
      </c>
    </row>
    <row r="786" spans="1:4" x14ac:dyDescent="0.2">
      <c r="A786" t="s">
        <v>525</v>
      </c>
      <c r="B786" s="6">
        <v>0</v>
      </c>
      <c r="C786" t="s">
        <v>172</v>
      </c>
      <c r="D786" t="s">
        <v>172</v>
      </c>
    </row>
    <row r="787" spans="1:4" x14ac:dyDescent="0.2">
      <c r="A787" t="s">
        <v>526</v>
      </c>
      <c r="B787" s="6">
        <v>0</v>
      </c>
      <c r="C787" t="s">
        <v>43</v>
      </c>
      <c r="D787" t="s">
        <v>43</v>
      </c>
    </row>
    <row r="788" spans="1:4" x14ac:dyDescent="0.2">
      <c r="A788" t="s">
        <v>527</v>
      </c>
      <c r="B788" s="6">
        <v>0</v>
      </c>
      <c r="C788" t="s">
        <v>172</v>
      </c>
      <c r="D788" t="s">
        <v>172</v>
      </c>
    </row>
    <row r="789" spans="1:4" x14ac:dyDescent="0.2">
      <c r="A789" t="s">
        <v>529</v>
      </c>
      <c r="B789" s="6">
        <v>0</v>
      </c>
      <c r="C789" t="s">
        <v>43</v>
      </c>
      <c r="D789" t="s">
        <v>43</v>
      </c>
    </row>
    <row r="790" spans="1:4" x14ac:dyDescent="0.2">
      <c r="A790" t="s">
        <v>530</v>
      </c>
      <c r="B790" s="6">
        <v>0</v>
      </c>
      <c r="C790" t="s">
        <v>43</v>
      </c>
      <c r="D790" t="s">
        <v>43</v>
      </c>
    </row>
    <row r="791" spans="1:4" x14ac:dyDescent="0.2">
      <c r="A791" t="s">
        <v>531</v>
      </c>
      <c r="B791" s="6">
        <v>0</v>
      </c>
      <c r="C791" t="s">
        <v>43</v>
      </c>
      <c r="D791" t="s">
        <v>43</v>
      </c>
    </row>
    <row r="792" spans="1:4" x14ac:dyDescent="0.2">
      <c r="A792" t="s">
        <v>532</v>
      </c>
      <c r="B792" s="6">
        <v>0</v>
      </c>
      <c r="C792" t="s">
        <v>43</v>
      </c>
      <c r="D792" t="s">
        <v>43</v>
      </c>
    </row>
    <row r="793" spans="1:4" x14ac:dyDescent="0.2">
      <c r="A793" t="s">
        <v>533</v>
      </c>
      <c r="B793" s="6">
        <v>0</v>
      </c>
      <c r="C793" t="s">
        <v>43</v>
      </c>
      <c r="D793" t="s">
        <v>43</v>
      </c>
    </row>
    <row r="794" spans="1:4" x14ac:dyDescent="0.2">
      <c r="A794" t="s">
        <v>534</v>
      </c>
      <c r="B794" s="6">
        <v>0</v>
      </c>
      <c r="C794" t="s">
        <v>43</v>
      </c>
      <c r="D794" t="s">
        <v>43</v>
      </c>
    </row>
    <row r="795" spans="1:4" x14ac:dyDescent="0.2">
      <c r="A795" t="s">
        <v>535</v>
      </c>
      <c r="B795" s="6">
        <v>0</v>
      </c>
      <c r="C795" t="s">
        <v>43</v>
      </c>
      <c r="D795" t="s">
        <v>43</v>
      </c>
    </row>
    <row r="796" spans="1:4" x14ac:dyDescent="0.2">
      <c r="A796" t="s">
        <v>536</v>
      </c>
      <c r="B796" s="6">
        <v>0</v>
      </c>
      <c r="C796" t="s">
        <v>43</v>
      </c>
      <c r="D796" t="s">
        <v>43</v>
      </c>
    </row>
    <row r="797" spans="1:4" x14ac:dyDescent="0.2">
      <c r="A797" t="s">
        <v>537</v>
      </c>
      <c r="B797" s="6">
        <v>0</v>
      </c>
      <c r="C797" t="s">
        <v>43</v>
      </c>
      <c r="D797" t="s">
        <v>43</v>
      </c>
    </row>
    <row r="798" spans="1:4" x14ac:dyDescent="0.2">
      <c r="A798" t="s">
        <v>538</v>
      </c>
      <c r="B798" s="6">
        <v>0</v>
      </c>
      <c r="C798" t="s">
        <v>43</v>
      </c>
      <c r="D798" t="s">
        <v>43</v>
      </c>
    </row>
    <row r="799" spans="1:4" x14ac:dyDescent="0.2">
      <c r="A799" t="s">
        <v>539</v>
      </c>
      <c r="B799" s="6">
        <v>0</v>
      </c>
      <c r="C799" t="s">
        <v>43</v>
      </c>
      <c r="D799" t="s">
        <v>43</v>
      </c>
    </row>
    <row r="800" spans="1:4" x14ac:dyDescent="0.2">
      <c r="A800" t="s">
        <v>540</v>
      </c>
      <c r="B800" s="6">
        <v>0</v>
      </c>
      <c r="C800" t="s">
        <v>43</v>
      </c>
      <c r="D800" t="s">
        <v>43</v>
      </c>
    </row>
    <row r="801" spans="1:4" x14ac:dyDescent="0.2">
      <c r="A801" t="s">
        <v>541</v>
      </c>
      <c r="B801" s="6">
        <v>0</v>
      </c>
      <c r="C801" t="s">
        <v>43</v>
      </c>
      <c r="D801" t="s">
        <v>43</v>
      </c>
    </row>
    <row r="802" spans="1:4" x14ac:dyDescent="0.2">
      <c r="A802" t="s">
        <v>543</v>
      </c>
      <c r="B802" s="6">
        <v>0</v>
      </c>
      <c r="C802" t="s">
        <v>43</v>
      </c>
      <c r="D802" t="s">
        <v>43</v>
      </c>
    </row>
    <row r="803" spans="1:4" x14ac:dyDescent="0.2">
      <c r="A803" t="s">
        <v>544</v>
      </c>
      <c r="B803" s="6">
        <v>0</v>
      </c>
      <c r="C803" t="s">
        <v>172</v>
      </c>
      <c r="D803" t="s">
        <v>172</v>
      </c>
    </row>
    <row r="804" spans="1:4" x14ac:dyDescent="0.2">
      <c r="A804" t="s">
        <v>545</v>
      </c>
      <c r="B804" s="6">
        <v>0</v>
      </c>
      <c r="C804" t="s">
        <v>43</v>
      </c>
      <c r="D804" t="s">
        <v>43</v>
      </c>
    </row>
    <row r="805" spans="1:4" x14ac:dyDescent="0.2">
      <c r="A805" t="s">
        <v>546</v>
      </c>
      <c r="B805" s="6">
        <v>0</v>
      </c>
      <c r="C805" t="s">
        <v>43</v>
      </c>
      <c r="D805" t="s">
        <v>43</v>
      </c>
    </row>
    <row r="806" spans="1:4" x14ac:dyDescent="0.2">
      <c r="A806" t="s">
        <v>547</v>
      </c>
      <c r="B806" s="6">
        <v>0</v>
      </c>
      <c r="C806" t="s">
        <v>43</v>
      </c>
      <c r="D806" t="s">
        <v>43</v>
      </c>
    </row>
    <row r="807" spans="1:4" x14ac:dyDescent="0.2">
      <c r="A807" t="s">
        <v>548</v>
      </c>
      <c r="B807" s="6">
        <v>0</v>
      </c>
      <c r="C807" t="s">
        <v>43</v>
      </c>
      <c r="D807" t="s">
        <v>43</v>
      </c>
    </row>
    <row r="808" spans="1:4" x14ac:dyDescent="0.2">
      <c r="A808" t="s">
        <v>549</v>
      </c>
      <c r="B808" s="6">
        <v>0</v>
      </c>
      <c r="C808" t="s">
        <v>43</v>
      </c>
      <c r="D808" t="s">
        <v>43</v>
      </c>
    </row>
    <row r="809" spans="1:4" x14ac:dyDescent="0.2">
      <c r="A809" t="s">
        <v>551</v>
      </c>
      <c r="B809" s="6">
        <v>0</v>
      </c>
      <c r="C809" t="s">
        <v>43</v>
      </c>
      <c r="D809" t="s">
        <v>43</v>
      </c>
    </row>
    <row r="810" spans="1:4" x14ac:dyDescent="0.2">
      <c r="A810" t="s">
        <v>552</v>
      </c>
      <c r="B810" s="6">
        <v>0</v>
      </c>
      <c r="C810" t="s">
        <v>43</v>
      </c>
      <c r="D810" t="s">
        <v>43</v>
      </c>
    </row>
    <row r="811" spans="1:4" x14ac:dyDescent="0.2">
      <c r="A811" t="s">
        <v>553</v>
      </c>
      <c r="B811" s="6">
        <v>0</v>
      </c>
      <c r="C811" t="s">
        <v>43</v>
      </c>
      <c r="D811" t="s">
        <v>43</v>
      </c>
    </row>
    <row r="812" spans="1:4" x14ac:dyDescent="0.2">
      <c r="A812" t="s">
        <v>554</v>
      </c>
      <c r="B812" s="6">
        <v>0</v>
      </c>
      <c r="C812" t="s">
        <v>43</v>
      </c>
      <c r="D812" t="s">
        <v>43</v>
      </c>
    </row>
    <row r="813" spans="1:4" x14ac:dyDescent="0.2">
      <c r="A813" t="s">
        <v>555</v>
      </c>
      <c r="B813" s="6">
        <v>0</v>
      </c>
      <c r="C813" t="s">
        <v>43</v>
      </c>
      <c r="D813" t="s">
        <v>43</v>
      </c>
    </row>
    <row r="814" spans="1:4" x14ac:dyDescent="0.2">
      <c r="A814" t="s">
        <v>556</v>
      </c>
      <c r="B814" s="6">
        <v>0</v>
      </c>
      <c r="C814" t="s">
        <v>43</v>
      </c>
      <c r="D814" t="s">
        <v>43</v>
      </c>
    </row>
    <row r="815" spans="1:4" x14ac:dyDescent="0.2">
      <c r="A815" t="s">
        <v>557</v>
      </c>
      <c r="B815" s="6">
        <v>0</v>
      </c>
      <c r="C815" t="s">
        <v>43</v>
      </c>
      <c r="D815" t="s">
        <v>43</v>
      </c>
    </row>
    <row r="816" spans="1:4" x14ac:dyDescent="0.2">
      <c r="A816" t="s">
        <v>558</v>
      </c>
      <c r="B816" s="6">
        <v>0</v>
      </c>
      <c r="C816" t="s">
        <v>43</v>
      </c>
      <c r="D816" t="s">
        <v>43</v>
      </c>
    </row>
    <row r="817" spans="1:4" x14ac:dyDescent="0.2">
      <c r="A817" t="s">
        <v>559</v>
      </c>
      <c r="B817" s="6">
        <v>0</v>
      </c>
      <c r="C817" t="s">
        <v>43</v>
      </c>
      <c r="D817" t="s">
        <v>43</v>
      </c>
    </row>
    <row r="818" spans="1:4" x14ac:dyDescent="0.2">
      <c r="A818" t="s">
        <v>560</v>
      </c>
      <c r="B818" s="6">
        <v>0</v>
      </c>
      <c r="C818" t="s">
        <v>43</v>
      </c>
      <c r="D818" t="s">
        <v>43</v>
      </c>
    </row>
    <row r="819" spans="1:4" x14ac:dyDescent="0.2">
      <c r="A819" t="s">
        <v>561</v>
      </c>
      <c r="B819" s="6">
        <v>0</v>
      </c>
      <c r="C819" t="s">
        <v>43</v>
      </c>
      <c r="D819" t="s">
        <v>43</v>
      </c>
    </row>
    <row r="820" spans="1:4" x14ac:dyDescent="0.2">
      <c r="A820" t="s">
        <v>562</v>
      </c>
      <c r="B820" s="6">
        <v>0</v>
      </c>
      <c r="C820" t="s">
        <v>43</v>
      </c>
      <c r="D820" t="s">
        <v>43</v>
      </c>
    </row>
    <row r="821" spans="1:4" x14ac:dyDescent="0.2">
      <c r="A821" t="s">
        <v>563</v>
      </c>
      <c r="B821" s="6">
        <v>0</v>
      </c>
      <c r="C821" t="s">
        <v>43</v>
      </c>
      <c r="D821" t="s">
        <v>43</v>
      </c>
    </row>
    <row r="822" spans="1:4" x14ac:dyDescent="0.2">
      <c r="A822" t="s">
        <v>564</v>
      </c>
      <c r="B822" s="6">
        <v>0</v>
      </c>
      <c r="C822" t="s">
        <v>43</v>
      </c>
      <c r="D822" t="s">
        <v>43</v>
      </c>
    </row>
    <row r="823" spans="1:4" x14ac:dyDescent="0.2">
      <c r="A823" t="s">
        <v>565</v>
      </c>
      <c r="B823" s="6">
        <v>0</v>
      </c>
      <c r="C823" t="s">
        <v>43</v>
      </c>
      <c r="D823" t="s">
        <v>43</v>
      </c>
    </row>
    <row r="824" spans="1:4" x14ac:dyDescent="0.2">
      <c r="A824" t="s">
        <v>568</v>
      </c>
      <c r="B824" s="6">
        <v>0</v>
      </c>
      <c r="C824" t="s">
        <v>43</v>
      </c>
      <c r="D824" t="s">
        <v>43</v>
      </c>
    </row>
    <row r="825" spans="1:4" x14ac:dyDescent="0.2">
      <c r="A825" t="s">
        <v>569</v>
      </c>
      <c r="B825" s="6">
        <v>0</v>
      </c>
      <c r="C825" t="s">
        <v>43</v>
      </c>
      <c r="D825" t="s">
        <v>43</v>
      </c>
    </row>
    <row r="826" spans="1:4" x14ac:dyDescent="0.2">
      <c r="A826" t="s">
        <v>570</v>
      </c>
      <c r="B826" s="6">
        <v>0</v>
      </c>
      <c r="C826" t="s">
        <v>43</v>
      </c>
      <c r="D826" t="s">
        <v>43</v>
      </c>
    </row>
    <row r="827" spans="1:4" x14ac:dyDescent="0.2">
      <c r="A827" t="s">
        <v>572</v>
      </c>
      <c r="B827" s="6">
        <v>0</v>
      </c>
      <c r="C827" t="s">
        <v>43</v>
      </c>
      <c r="D827" t="s">
        <v>43</v>
      </c>
    </row>
    <row r="828" spans="1:4" x14ac:dyDescent="0.2">
      <c r="A828" t="s">
        <v>574</v>
      </c>
      <c r="B828" s="6">
        <v>0</v>
      </c>
      <c r="C828" t="s">
        <v>43</v>
      </c>
      <c r="D828" t="s">
        <v>43</v>
      </c>
    </row>
    <row r="829" spans="1:4" x14ac:dyDescent="0.2">
      <c r="A829" t="s">
        <v>575</v>
      </c>
      <c r="B829" s="6">
        <v>0</v>
      </c>
      <c r="C829" t="s">
        <v>43</v>
      </c>
      <c r="D829" t="s">
        <v>43</v>
      </c>
    </row>
    <row r="830" spans="1:4" x14ac:dyDescent="0.2">
      <c r="A830" t="s">
        <v>576</v>
      </c>
      <c r="B830" s="6">
        <v>0</v>
      </c>
      <c r="C830" t="s">
        <v>43</v>
      </c>
      <c r="D830" t="s">
        <v>43</v>
      </c>
    </row>
    <row r="831" spans="1:4" x14ac:dyDescent="0.2">
      <c r="A831" t="s">
        <v>577</v>
      </c>
      <c r="B831" s="6">
        <v>0</v>
      </c>
      <c r="C831" t="s">
        <v>43</v>
      </c>
      <c r="D831" t="s">
        <v>43</v>
      </c>
    </row>
    <row r="832" spans="1:4" x14ac:dyDescent="0.2">
      <c r="A832" t="s">
        <v>578</v>
      </c>
      <c r="B832" s="6">
        <v>0</v>
      </c>
      <c r="C832" t="s">
        <v>43</v>
      </c>
      <c r="D832" t="s">
        <v>43</v>
      </c>
    </row>
    <row r="833" spans="1:4" x14ac:dyDescent="0.2">
      <c r="A833" t="s">
        <v>579</v>
      </c>
      <c r="B833" s="6">
        <v>0</v>
      </c>
      <c r="C833" t="s">
        <v>43</v>
      </c>
      <c r="D833" t="s">
        <v>43</v>
      </c>
    </row>
    <row r="834" spans="1:4" x14ac:dyDescent="0.2">
      <c r="A834" t="s">
        <v>580</v>
      </c>
      <c r="B834" s="6">
        <v>0</v>
      </c>
      <c r="C834" t="s">
        <v>43</v>
      </c>
      <c r="D834" t="s">
        <v>43</v>
      </c>
    </row>
    <row r="835" spans="1:4" x14ac:dyDescent="0.2">
      <c r="A835" t="s">
        <v>581</v>
      </c>
      <c r="B835" s="6">
        <v>0</v>
      </c>
      <c r="C835" t="s">
        <v>43</v>
      </c>
      <c r="D835" t="s">
        <v>43</v>
      </c>
    </row>
    <row r="836" spans="1:4" x14ac:dyDescent="0.2">
      <c r="A836" t="s">
        <v>582</v>
      </c>
      <c r="B836" s="6">
        <v>0</v>
      </c>
      <c r="C836" t="s">
        <v>119</v>
      </c>
      <c r="D836" t="s">
        <v>119</v>
      </c>
    </row>
    <row r="837" spans="1:4" x14ac:dyDescent="0.2">
      <c r="A837" t="s">
        <v>583</v>
      </c>
      <c r="B837" s="6">
        <v>0</v>
      </c>
      <c r="C837" t="s">
        <v>43</v>
      </c>
      <c r="D837" t="s">
        <v>43</v>
      </c>
    </row>
    <row r="838" spans="1:4" x14ac:dyDescent="0.2">
      <c r="A838" t="s">
        <v>584</v>
      </c>
      <c r="B838" s="6">
        <v>0</v>
      </c>
      <c r="C838" t="s">
        <v>43</v>
      </c>
      <c r="D838" t="s">
        <v>43</v>
      </c>
    </row>
    <row r="839" spans="1:4" x14ac:dyDescent="0.2">
      <c r="A839" t="s">
        <v>245</v>
      </c>
      <c r="B839" s="6">
        <v>0</v>
      </c>
      <c r="C839" t="s">
        <v>43</v>
      </c>
      <c r="D839" t="s">
        <v>43</v>
      </c>
    </row>
    <row r="840" spans="1:4" x14ac:dyDescent="0.2">
      <c r="A840" t="s">
        <v>585</v>
      </c>
      <c r="B840" s="6">
        <v>0</v>
      </c>
      <c r="C840" t="s">
        <v>43</v>
      </c>
      <c r="D840" t="s">
        <v>43</v>
      </c>
    </row>
    <row r="841" spans="1:4" x14ac:dyDescent="0.2">
      <c r="A841" t="s">
        <v>586</v>
      </c>
      <c r="B841" s="6">
        <v>0</v>
      </c>
      <c r="C841" t="s">
        <v>43</v>
      </c>
      <c r="D841" t="s">
        <v>43</v>
      </c>
    </row>
    <row r="842" spans="1:4" x14ac:dyDescent="0.2">
      <c r="A842" t="s">
        <v>587</v>
      </c>
      <c r="B842" s="6">
        <v>0</v>
      </c>
      <c r="C842" t="s">
        <v>43</v>
      </c>
      <c r="D842" t="s">
        <v>43</v>
      </c>
    </row>
    <row r="843" spans="1:4" x14ac:dyDescent="0.2">
      <c r="A843" t="s">
        <v>588</v>
      </c>
      <c r="B843" s="6">
        <v>0</v>
      </c>
      <c r="C843" t="s">
        <v>43</v>
      </c>
      <c r="D843" t="s">
        <v>43</v>
      </c>
    </row>
    <row r="844" spans="1:4" x14ac:dyDescent="0.2">
      <c r="A844" t="s">
        <v>589</v>
      </c>
      <c r="B844" s="6">
        <v>0</v>
      </c>
      <c r="C844" t="s">
        <v>43</v>
      </c>
      <c r="D844" t="s">
        <v>43</v>
      </c>
    </row>
    <row r="845" spans="1:4" x14ac:dyDescent="0.2">
      <c r="A845" t="s">
        <v>590</v>
      </c>
      <c r="B845" s="6">
        <v>0</v>
      </c>
      <c r="C845" t="s">
        <v>423</v>
      </c>
      <c r="D845" t="s">
        <v>789</v>
      </c>
    </row>
    <row r="846" spans="1:4" x14ac:dyDescent="0.2">
      <c r="A846" t="s">
        <v>591</v>
      </c>
      <c r="B846" s="6">
        <v>0</v>
      </c>
      <c r="C846" t="s">
        <v>43</v>
      </c>
      <c r="D846" t="s">
        <v>43</v>
      </c>
    </row>
    <row r="847" spans="1:4" x14ac:dyDescent="0.2">
      <c r="A847" t="s">
        <v>592</v>
      </c>
      <c r="B847" s="6">
        <v>0</v>
      </c>
      <c r="C847" t="s">
        <v>43</v>
      </c>
      <c r="D847" t="s">
        <v>43</v>
      </c>
    </row>
    <row r="848" spans="1:4" x14ac:dyDescent="0.2">
      <c r="A848" t="s">
        <v>593</v>
      </c>
      <c r="B848" s="6">
        <v>0</v>
      </c>
      <c r="C848" t="s">
        <v>43</v>
      </c>
      <c r="D848" t="s">
        <v>43</v>
      </c>
    </row>
    <row r="849" spans="1:4" x14ac:dyDescent="0.2">
      <c r="A849" t="s">
        <v>594</v>
      </c>
      <c r="B849" s="6">
        <v>0</v>
      </c>
      <c r="C849" t="s">
        <v>43</v>
      </c>
      <c r="D849" t="s">
        <v>43</v>
      </c>
    </row>
    <row r="850" spans="1:4" x14ac:dyDescent="0.2">
      <c r="A850" t="s">
        <v>595</v>
      </c>
      <c r="B850" s="6">
        <v>0</v>
      </c>
      <c r="C850" t="s">
        <v>43</v>
      </c>
      <c r="D850" t="s">
        <v>43</v>
      </c>
    </row>
    <row r="851" spans="1:4" x14ac:dyDescent="0.2">
      <c r="A851" t="s">
        <v>596</v>
      </c>
      <c r="B851" s="6">
        <v>0</v>
      </c>
      <c r="C851" t="s">
        <v>43</v>
      </c>
      <c r="D851" t="s">
        <v>43</v>
      </c>
    </row>
    <row r="852" spans="1:4" x14ac:dyDescent="0.2">
      <c r="A852" t="s">
        <v>597</v>
      </c>
      <c r="B852" s="6">
        <v>0</v>
      </c>
      <c r="C852" t="s">
        <v>43</v>
      </c>
      <c r="D852" t="s">
        <v>43</v>
      </c>
    </row>
    <row r="853" spans="1:4" x14ac:dyDescent="0.2">
      <c r="A853" t="s">
        <v>598</v>
      </c>
      <c r="B853" s="6">
        <v>0</v>
      </c>
      <c r="C853" t="s">
        <v>43</v>
      </c>
      <c r="D853" t="s">
        <v>43</v>
      </c>
    </row>
    <row r="854" spans="1:4" x14ac:dyDescent="0.2">
      <c r="A854" t="s">
        <v>599</v>
      </c>
      <c r="B854" s="6">
        <v>0</v>
      </c>
      <c r="C854" t="s">
        <v>43</v>
      </c>
      <c r="D854" t="s">
        <v>43</v>
      </c>
    </row>
    <row r="855" spans="1:4" x14ac:dyDescent="0.2">
      <c r="A855" t="s">
        <v>600</v>
      </c>
      <c r="B855" s="6">
        <v>0</v>
      </c>
      <c r="C855" t="s">
        <v>43</v>
      </c>
      <c r="D855" t="s">
        <v>43</v>
      </c>
    </row>
    <row r="856" spans="1:4" x14ac:dyDescent="0.2">
      <c r="A856" t="s">
        <v>601</v>
      </c>
      <c r="B856" s="6">
        <v>0</v>
      </c>
      <c r="C856" t="s">
        <v>43</v>
      </c>
      <c r="D856" t="s">
        <v>43</v>
      </c>
    </row>
    <row r="857" spans="1:4" x14ac:dyDescent="0.2">
      <c r="A857" t="s">
        <v>602</v>
      </c>
      <c r="B857" s="6">
        <v>0</v>
      </c>
      <c r="C857" t="s">
        <v>43</v>
      </c>
      <c r="D857" t="s">
        <v>43</v>
      </c>
    </row>
    <row r="858" spans="1:4" x14ac:dyDescent="0.2">
      <c r="A858" t="s">
        <v>603</v>
      </c>
      <c r="B858" s="6">
        <v>0</v>
      </c>
      <c r="C858" t="s">
        <v>43</v>
      </c>
      <c r="D858" t="s">
        <v>43</v>
      </c>
    </row>
    <row r="859" spans="1:4" x14ac:dyDescent="0.2">
      <c r="A859" t="s">
        <v>604</v>
      </c>
      <c r="B859" s="6">
        <v>0</v>
      </c>
      <c r="C859" t="s">
        <v>43</v>
      </c>
      <c r="D859" t="s">
        <v>43</v>
      </c>
    </row>
    <row r="860" spans="1:4" x14ac:dyDescent="0.2">
      <c r="A860" t="s">
        <v>607</v>
      </c>
      <c r="B860" s="6">
        <v>0</v>
      </c>
      <c r="C860" t="s">
        <v>119</v>
      </c>
      <c r="D860" t="s">
        <v>119</v>
      </c>
    </row>
    <row r="861" spans="1:4" x14ac:dyDescent="0.2">
      <c r="A861" t="s">
        <v>608</v>
      </c>
      <c r="B861" s="6">
        <v>0</v>
      </c>
      <c r="C861" t="s">
        <v>43</v>
      </c>
      <c r="D861" t="s">
        <v>43</v>
      </c>
    </row>
    <row r="862" spans="1:4" x14ac:dyDescent="0.2">
      <c r="A862" t="s">
        <v>609</v>
      </c>
      <c r="B862" s="6">
        <v>0</v>
      </c>
      <c r="C862" t="s">
        <v>43</v>
      </c>
      <c r="D862" t="s">
        <v>43</v>
      </c>
    </row>
    <row r="863" spans="1:4" x14ac:dyDescent="0.2">
      <c r="A863" t="s">
        <v>610</v>
      </c>
      <c r="B863" s="6">
        <v>0</v>
      </c>
      <c r="C863" t="s">
        <v>43</v>
      </c>
      <c r="D863" t="s">
        <v>43</v>
      </c>
    </row>
    <row r="864" spans="1:4" x14ac:dyDescent="0.2">
      <c r="A864" t="s">
        <v>611</v>
      </c>
      <c r="B864" s="6">
        <v>0</v>
      </c>
      <c r="C864" t="s">
        <v>43</v>
      </c>
      <c r="D864" t="s">
        <v>43</v>
      </c>
    </row>
    <row r="865" spans="1:4" x14ac:dyDescent="0.2">
      <c r="A865" t="s">
        <v>612</v>
      </c>
      <c r="B865" s="6">
        <v>0</v>
      </c>
      <c r="C865" t="s">
        <v>43</v>
      </c>
      <c r="D865" t="s">
        <v>43</v>
      </c>
    </row>
    <row r="866" spans="1:4" x14ac:dyDescent="0.2">
      <c r="A866" t="s">
        <v>613</v>
      </c>
      <c r="B866" s="6">
        <v>0</v>
      </c>
      <c r="C866" t="s">
        <v>43</v>
      </c>
      <c r="D866" t="s">
        <v>43</v>
      </c>
    </row>
    <row r="867" spans="1:4" x14ac:dyDescent="0.2">
      <c r="A867" t="s">
        <v>614</v>
      </c>
      <c r="B867" s="6">
        <v>0</v>
      </c>
      <c r="C867" t="s">
        <v>43</v>
      </c>
      <c r="D867" t="s">
        <v>43</v>
      </c>
    </row>
    <row r="868" spans="1:4" x14ac:dyDescent="0.2">
      <c r="A868" t="s">
        <v>615</v>
      </c>
      <c r="B868" s="6">
        <v>0</v>
      </c>
      <c r="C868" t="s">
        <v>43</v>
      </c>
      <c r="D868" t="s">
        <v>43</v>
      </c>
    </row>
    <row r="869" spans="1:4" x14ac:dyDescent="0.2">
      <c r="A869" t="s">
        <v>616</v>
      </c>
      <c r="B869" s="6">
        <v>0</v>
      </c>
      <c r="C869" t="s">
        <v>43</v>
      </c>
      <c r="D869" t="s">
        <v>43</v>
      </c>
    </row>
    <row r="870" spans="1:4" x14ac:dyDescent="0.2">
      <c r="A870" t="s">
        <v>617</v>
      </c>
      <c r="B870" s="6">
        <v>0</v>
      </c>
      <c r="C870" t="s">
        <v>618</v>
      </c>
      <c r="D870" t="s">
        <v>618</v>
      </c>
    </row>
    <row r="871" spans="1:4" x14ac:dyDescent="0.2">
      <c r="A871" t="s">
        <v>619</v>
      </c>
      <c r="B871" s="6">
        <v>0</v>
      </c>
      <c r="C871" t="s">
        <v>43</v>
      </c>
      <c r="D871" t="s">
        <v>43</v>
      </c>
    </row>
    <row r="872" spans="1:4" x14ac:dyDescent="0.2">
      <c r="A872" t="s">
        <v>621</v>
      </c>
      <c r="B872" s="6">
        <v>0</v>
      </c>
      <c r="C872" t="s">
        <v>43</v>
      </c>
      <c r="D872" t="s">
        <v>43</v>
      </c>
    </row>
    <row r="873" spans="1:4" x14ac:dyDescent="0.2">
      <c r="A873" t="s">
        <v>622</v>
      </c>
      <c r="B873" s="6">
        <v>0</v>
      </c>
      <c r="C873" t="s">
        <v>43</v>
      </c>
      <c r="D873" t="s">
        <v>43</v>
      </c>
    </row>
    <row r="874" spans="1:4" x14ac:dyDescent="0.2">
      <c r="A874" t="s">
        <v>623</v>
      </c>
      <c r="B874" s="6">
        <v>0</v>
      </c>
      <c r="C874" t="s">
        <v>43</v>
      </c>
      <c r="D874" t="s">
        <v>43</v>
      </c>
    </row>
    <row r="875" spans="1:4" x14ac:dyDescent="0.2">
      <c r="A875" t="s">
        <v>627</v>
      </c>
      <c r="B875" s="6">
        <v>0</v>
      </c>
      <c r="C875" t="s">
        <v>43</v>
      </c>
      <c r="D875" t="s">
        <v>43</v>
      </c>
    </row>
    <row r="876" spans="1:4" x14ac:dyDescent="0.2">
      <c r="A876" t="s">
        <v>597</v>
      </c>
      <c r="B876" s="6">
        <v>0</v>
      </c>
      <c r="C876" t="s">
        <v>43</v>
      </c>
      <c r="D876" t="s">
        <v>43</v>
      </c>
    </row>
    <row r="877" spans="1:4" x14ac:dyDescent="0.2">
      <c r="A877" t="s">
        <v>305</v>
      </c>
      <c r="B877" s="6">
        <v>0</v>
      </c>
      <c r="C877" t="s">
        <v>43</v>
      </c>
      <c r="D877" t="s">
        <v>43</v>
      </c>
    </row>
    <row r="878" spans="1:4" x14ac:dyDescent="0.2">
      <c r="A878" t="s">
        <v>628</v>
      </c>
      <c r="B878" s="6">
        <v>0</v>
      </c>
      <c r="C878" t="s">
        <v>43</v>
      </c>
      <c r="D878" t="s">
        <v>43</v>
      </c>
    </row>
    <row r="879" spans="1:4" x14ac:dyDescent="0.2">
      <c r="A879" t="s">
        <v>326</v>
      </c>
      <c r="B879" s="6">
        <v>0</v>
      </c>
      <c r="C879" t="s">
        <v>43</v>
      </c>
      <c r="D879" t="s">
        <v>43</v>
      </c>
    </row>
    <row r="880" spans="1:4" x14ac:dyDescent="0.2">
      <c r="A880" t="s">
        <v>411</v>
      </c>
      <c r="B880" s="6">
        <v>0</v>
      </c>
      <c r="C880" t="s">
        <v>43</v>
      </c>
      <c r="D880" t="s">
        <v>43</v>
      </c>
    </row>
    <row r="881" spans="1:4" x14ac:dyDescent="0.2">
      <c r="A881" t="s">
        <v>629</v>
      </c>
      <c r="B881" s="6">
        <v>0</v>
      </c>
      <c r="C881" t="s">
        <v>119</v>
      </c>
      <c r="D881" t="s">
        <v>119</v>
      </c>
    </row>
    <row r="882" spans="1:4" x14ac:dyDescent="0.2">
      <c r="A882" t="s">
        <v>402</v>
      </c>
      <c r="B882" s="6">
        <v>0</v>
      </c>
      <c r="C882" t="s">
        <v>43</v>
      </c>
      <c r="D882" t="s">
        <v>43</v>
      </c>
    </row>
    <row r="883" spans="1:4" x14ac:dyDescent="0.2">
      <c r="A883" t="s">
        <v>630</v>
      </c>
      <c r="B883" s="6">
        <v>0</v>
      </c>
      <c r="C883" t="s">
        <v>43</v>
      </c>
      <c r="D883" t="s">
        <v>43</v>
      </c>
    </row>
    <row r="884" spans="1:4" x14ac:dyDescent="0.2">
      <c r="A884" t="s">
        <v>631</v>
      </c>
      <c r="B884" s="6">
        <v>0</v>
      </c>
      <c r="C884" t="s">
        <v>172</v>
      </c>
      <c r="D884" t="s">
        <v>172</v>
      </c>
    </row>
    <row r="885" spans="1:4" x14ac:dyDescent="0.2">
      <c r="A885" t="s">
        <v>632</v>
      </c>
      <c r="B885" s="6">
        <v>0</v>
      </c>
      <c r="C885" t="s">
        <v>43</v>
      </c>
      <c r="D885" t="s">
        <v>43</v>
      </c>
    </row>
    <row r="886" spans="1:4" x14ac:dyDescent="0.2">
      <c r="A886" t="s">
        <v>633</v>
      </c>
      <c r="B886" s="6">
        <v>0</v>
      </c>
      <c r="C886" t="s">
        <v>43</v>
      </c>
      <c r="D886" t="s">
        <v>43</v>
      </c>
    </row>
    <row r="887" spans="1:4" x14ac:dyDescent="0.2">
      <c r="A887" t="s">
        <v>634</v>
      </c>
      <c r="B887" s="6">
        <v>0</v>
      </c>
      <c r="C887" t="s">
        <v>43</v>
      </c>
      <c r="D887" t="s">
        <v>43</v>
      </c>
    </row>
    <row r="888" spans="1:4" x14ac:dyDescent="0.2">
      <c r="A888" t="s">
        <v>635</v>
      </c>
      <c r="B888" s="6">
        <v>0</v>
      </c>
      <c r="C888" t="s">
        <v>43</v>
      </c>
      <c r="D888" t="s">
        <v>43</v>
      </c>
    </row>
    <row r="889" spans="1:4" x14ac:dyDescent="0.2">
      <c r="A889" t="s">
        <v>636</v>
      </c>
      <c r="B889" s="6">
        <v>0</v>
      </c>
      <c r="C889" t="s">
        <v>43</v>
      </c>
      <c r="D889" t="s">
        <v>43</v>
      </c>
    </row>
    <row r="890" spans="1:4" x14ac:dyDescent="0.2">
      <c r="A890" t="s">
        <v>637</v>
      </c>
      <c r="B890" s="6">
        <v>0</v>
      </c>
      <c r="C890" t="s">
        <v>43</v>
      </c>
      <c r="D890" t="s">
        <v>43</v>
      </c>
    </row>
    <row r="891" spans="1:4" x14ac:dyDescent="0.2">
      <c r="A891" t="s">
        <v>82</v>
      </c>
      <c r="B891" s="6">
        <v>0</v>
      </c>
      <c r="C891" t="s">
        <v>172</v>
      </c>
      <c r="D891" t="s">
        <v>172</v>
      </c>
    </row>
    <row r="892" spans="1:4" x14ac:dyDescent="0.2">
      <c r="A892" t="s">
        <v>638</v>
      </c>
      <c r="B892" s="6">
        <v>0</v>
      </c>
      <c r="C892" t="s">
        <v>43</v>
      </c>
      <c r="D892" t="s">
        <v>43</v>
      </c>
    </row>
    <row r="893" spans="1:4" x14ac:dyDescent="0.2">
      <c r="A893" t="s">
        <v>639</v>
      </c>
      <c r="B893" s="6">
        <v>0</v>
      </c>
      <c r="C893" t="s">
        <v>43</v>
      </c>
      <c r="D893" t="s">
        <v>43</v>
      </c>
    </row>
    <row r="894" spans="1:4" x14ac:dyDescent="0.2">
      <c r="A894" t="s">
        <v>640</v>
      </c>
      <c r="B894" s="6">
        <v>0</v>
      </c>
      <c r="C894" t="s">
        <v>43</v>
      </c>
      <c r="D894" t="s">
        <v>43</v>
      </c>
    </row>
    <row r="895" spans="1:4" x14ac:dyDescent="0.2">
      <c r="A895" t="s">
        <v>122</v>
      </c>
      <c r="B895" s="6">
        <v>0</v>
      </c>
      <c r="C895" t="s">
        <v>43</v>
      </c>
      <c r="D895" t="s">
        <v>43</v>
      </c>
    </row>
    <row r="896" spans="1:4" x14ac:dyDescent="0.2">
      <c r="A896" t="s">
        <v>641</v>
      </c>
      <c r="B896" s="6">
        <v>0</v>
      </c>
      <c r="C896" t="s">
        <v>43</v>
      </c>
      <c r="D896" t="s">
        <v>43</v>
      </c>
    </row>
    <row r="897" spans="1:4" x14ac:dyDescent="0.2">
      <c r="A897" t="s">
        <v>620</v>
      </c>
      <c r="B897" s="6">
        <v>0</v>
      </c>
      <c r="C897" t="s">
        <v>43</v>
      </c>
      <c r="D897" t="s">
        <v>43</v>
      </c>
    </row>
    <row r="898" spans="1:4" x14ac:dyDescent="0.2">
      <c r="A898" t="s">
        <v>645</v>
      </c>
      <c r="B898" s="6">
        <v>0</v>
      </c>
      <c r="C898" t="s">
        <v>618</v>
      </c>
      <c r="D898" t="s">
        <v>618</v>
      </c>
    </row>
    <row r="899" spans="1:4" x14ac:dyDescent="0.2">
      <c r="A899" t="s">
        <v>646</v>
      </c>
      <c r="B899" s="6">
        <v>0</v>
      </c>
      <c r="C899" t="s">
        <v>618</v>
      </c>
      <c r="D899" t="s">
        <v>618</v>
      </c>
    </row>
    <row r="900" spans="1:4" x14ac:dyDescent="0.2">
      <c r="A900" t="s">
        <v>617</v>
      </c>
      <c r="B900" s="6">
        <v>0</v>
      </c>
      <c r="C900" t="s">
        <v>43</v>
      </c>
      <c r="D900" t="s">
        <v>43</v>
      </c>
    </row>
    <row r="901" spans="1:4" x14ac:dyDescent="0.2">
      <c r="A901" t="s">
        <v>649</v>
      </c>
      <c r="B901" s="6">
        <v>0</v>
      </c>
      <c r="C901" t="s">
        <v>618</v>
      </c>
      <c r="D901" t="s">
        <v>618</v>
      </c>
    </row>
    <row r="902" spans="1:4" x14ac:dyDescent="0.2">
      <c r="A902" t="s">
        <v>650</v>
      </c>
      <c r="B902" s="6">
        <v>0</v>
      </c>
      <c r="C902" t="s">
        <v>618</v>
      </c>
      <c r="D902" t="s">
        <v>618</v>
      </c>
    </row>
    <row r="903" spans="1:4" x14ac:dyDescent="0.2">
      <c r="A903" t="s">
        <v>651</v>
      </c>
      <c r="B903" s="6">
        <v>0</v>
      </c>
      <c r="C903" t="s">
        <v>618</v>
      </c>
      <c r="D903" t="s">
        <v>618</v>
      </c>
    </row>
    <row r="904" spans="1:4" x14ac:dyDescent="0.2">
      <c r="A904" t="s">
        <v>657</v>
      </c>
      <c r="B904" s="6">
        <v>0</v>
      </c>
      <c r="C904" t="s">
        <v>618</v>
      </c>
      <c r="D904" t="s">
        <v>618</v>
      </c>
    </row>
    <row r="905" spans="1:4" x14ac:dyDescent="0.2">
      <c r="A905" t="s">
        <v>670</v>
      </c>
      <c r="B905" s="6">
        <v>0</v>
      </c>
      <c r="C905" t="s">
        <v>618</v>
      </c>
      <c r="D905" t="s">
        <v>618</v>
      </c>
    </row>
    <row r="906" spans="1:4" x14ac:dyDescent="0.2">
      <c r="A906" t="s">
        <v>672</v>
      </c>
      <c r="B906" s="6">
        <v>0</v>
      </c>
      <c r="C906" t="s">
        <v>618</v>
      </c>
      <c r="D906" t="s">
        <v>618</v>
      </c>
    </row>
    <row r="907" spans="1:4" x14ac:dyDescent="0.2">
      <c r="A907" t="s">
        <v>675</v>
      </c>
      <c r="B907" s="6">
        <v>0</v>
      </c>
      <c r="C907" t="s">
        <v>618</v>
      </c>
      <c r="D907" t="s">
        <v>618</v>
      </c>
    </row>
    <row r="908" spans="1:4" x14ac:dyDescent="0.2">
      <c r="A908" t="s">
        <v>680</v>
      </c>
      <c r="B908" s="6">
        <v>0</v>
      </c>
      <c r="C908" t="s">
        <v>618</v>
      </c>
      <c r="D908" t="s">
        <v>618</v>
      </c>
    </row>
    <row r="909" spans="1:4" x14ac:dyDescent="0.2">
      <c r="A909" t="s">
        <v>681</v>
      </c>
      <c r="B909" s="6">
        <v>0</v>
      </c>
      <c r="C909" t="s">
        <v>618</v>
      </c>
      <c r="D909" t="s">
        <v>618</v>
      </c>
    </row>
    <row r="910" spans="1:4" x14ac:dyDescent="0.2">
      <c r="A910" t="s">
        <v>682</v>
      </c>
      <c r="B910" s="6">
        <v>0</v>
      </c>
      <c r="C910" t="s">
        <v>618</v>
      </c>
      <c r="D910" t="s">
        <v>618</v>
      </c>
    </row>
    <row r="911" spans="1:4" x14ac:dyDescent="0.2">
      <c r="A911" t="s">
        <v>686</v>
      </c>
      <c r="B911" s="6">
        <v>0</v>
      </c>
      <c r="C911" t="s">
        <v>687</v>
      </c>
      <c r="D911" t="s">
        <v>687</v>
      </c>
    </row>
    <row r="912" spans="1:4" x14ac:dyDescent="0.2">
      <c r="A912" t="s">
        <v>688</v>
      </c>
      <c r="B912" s="6">
        <v>0</v>
      </c>
      <c r="C912" t="s">
        <v>687</v>
      </c>
      <c r="D912" t="s">
        <v>687</v>
      </c>
    </row>
    <row r="913" spans="1:4" x14ac:dyDescent="0.2">
      <c r="A913" t="s">
        <v>689</v>
      </c>
      <c r="B913" s="6">
        <v>0</v>
      </c>
      <c r="C913" t="s">
        <v>43</v>
      </c>
      <c r="D913" t="s">
        <v>43</v>
      </c>
    </row>
    <row r="914" spans="1:4" x14ac:dyDescent="0.2">
      <c r="A914" t="s">
        <v>52</v>
      </c>
      <c r="B914" s="6">
        <v>0</v>
      </c>
      <c r="C914" t="s">
        <v>38</v>
      </c>
      <c r="D914" t="s">
        <v>38</v>
      </c>
    </row>
    <row r="915" spans="1:4" x14ac:dyDescent="0.2">
      <c r="A915" t="s">
        <v>692</v>
      </c>
      <c r="B915" s="6">
        <v>0</v>
      </c>
      <c r="C915" t="s">
        <v>43</v>
      </c>
      <c r="D915" t="s">
        <v>43</v>
      </c>
    </row>
    <row r="916" spans="1:4" x14ac:dyDescent="0.2">
      <c r="A916" t="s">
        <v>693</v>
      </c>
      <c r="B916" s="6">
        <v>0</v>
      </c>
      <c r="C916" t="s">
        <v>43</v>
      </c>
      <c r="D916" t="s">
        <v>43</v>
      </c>
    </row>
    <row r="917" spans="1:4" x14ac:dyDescent="0.2">
      <c r="A917" t="s">
        <v>694</v>
      </c>
      <c r="B917" s="6">
        <v>0</v>
      </c>
      <c r="C917" t="s">
        <v>43</v>
      </c>
      <c r="D917" t="s">
        <v>43</v>
      </c>
    </row>
    <row r="918" spans="1:4" x14ac:dyDescent="0.2">
      <c r="A918" t="s">
        <v>695</v>
      </c>
      <c r="B918" s="6">
        <v>0</v>
      </c>
      <c r="C918" t="s">
        <v>43</v>
      </c>
      <c r="D918" t="s">
        <v>43</v>
      </c>
    </row>
    <row r="919" spans="1:4" x14ac:dyDescent="0.2">
      <c r="A919" t="s">
        <v>696</v>
      </c>
      <c r="B919" s="6">
        <v>0</v>
      </c>
      <c r="C919" t="s">
        <v>43</v>
      </c>
      <c r="D919" t="s">
        <v>43</v>
      </c>
    </row>
    <row r="920" spans="1:4" x14ac:dyDescent="0.2">
      <c r="A920" t="s">
        <v>697</v>
      </c>
      <c r="B920" s="6">
        <v>0</v>
      </c>
      <c r="C920" t="s">
        <v>43</v>
      </c>
      <c r="D920" t="s">
        <v>43</v>
      </c>
    </row>
    <row r="921" spans="1:4" x14ac:dyDescent="0.2">
      <c r="A921" t="s">
        <v>698</v>
      </c>
      <c r="B921" s="6">
        <v>0</v>
      </c>
      <c r="C921" t="s">
        <v>43</v>
      </c>
      <c r="D921" t="s">
        <v>43</v>
      </c>
    </row>
    <row r="922" spans="1:4" x14ac:dyDescent="0.2">
      <c r="A922" t="s">
        <v>699</v>
      </c>
      <c r="B922" s="6">
        <v>0</v>
      </c>
      <c r="C922" t="s">
        <v>43</v>
      </c>
      <c r="D922" t="s">
        <v>43</v>
      </c>
    </row>
    <row r="923" spans="1:4" x14ac:dyDescent="0.2">
      <c r="A923" t="s">
        <v>701</v>
      </c>
      <c r="B923" s="6">
        <v>0</v>
      </c>
      <c r="C923" t="s">
        <v>43</v>
      </c>
      <c r="D923" t="s">
        <v>43</v>
      </c>
    </row>
    <row r="924" spans="1:4" x14ac:dyDescent="0.2">
      <c r="A924" t="s">
        <v>703</v>
      </c>
      <c r="B924" s="6">
        <v>0</v>
      </c>
      <c r="C924" t="s">
        <v>43</v>
      </c>
      <c r="D924" t="s">
        <v>43</v>
      </c>
    </row>
    <row r="925" spans="1:4" x14ac:dyDescent="0.2">
      <c r="A925" t="s">
        <v>705</v>
      </c>
      <c r="B925" s="6">
        <v>0</v>
      </c>
      <c r="C925" t="s">
        <v>43</v>
      </c>
      <c r="D925" t="s">
        <v>43</v>
      </c>
    </row>
    <row r="926" spans="1:4" x14ac:dyDescent="0.2">
      <c r="A926" t="s">
        <v>706</v>
      </c>
      <c r="B926" s="6">
        <v>0</v>
      </c>
      <c r="C926" t="s">
        <v>43</v>
      </c>
      <c r="D926" t="s">
        <v>43</v>
      </c>
    </row>
    <row r="927" spans="1:4" x14ac:dyDescent="0.2">
      <c r="A927" t="s">
        <v>708</v>
      </c>
      <c r="B927" s="6">
        <v>0</v>
      </c>
      <c r="C927" t="s">
        <v>43</v>
      </c>
      <c r="D927" t="s">
        <v>43</v>
      </c>
    </row>
    <row r="928" spans="1:4" x14ac:dyDescent="0.2">
      <c r="A928" t="s">
        <v>709</v>
      </c>
      <c r="B928" s="6">
        <v>0</v>
      </c>
      <c r="C928" t="s">
        <v>43</v>
      </c>
      <c r="D928" t="s">
        <v>43</v>
      </c>
    </row>
    <row r="929" spans="1:4" x14ac:dyDescent="0.2">
      <c r="A929" t="s">
        <v>710</v>
      </c>
      <c r="B929" s="6">
        <v>0</v>
      </c>
      <c r="C929" t="s">
        <v>43</v>
      </c>
      <c r="D929" t="s">
        <v>43</v>
      </c>
    </row>
    <row r="930" spans="1:4" x14ac:dyDescent="0.2">
      <c r="A930" t="s">
        <v>711</v>
      </c>
      <c r="B930" s="6">
        <v>0</v>
      </c>
      <c r="C930" t="s">
        <v>43</v>
      </c>
      <c r="D930" t="s">
        <v>43</v>
      </c>
    </row>
    <row r="931" spans="1:4" x14ac:dyDescent="0.2">
      <c r="A931" t="s">
        <v>712</v>
      </c>
      <c r="B931" s="6">
        <v>0</v>
      </c>
      <c r="C931" t="s">
        <v>43</v>
      </c>
      <c r="D931" t="s">
        <v>43</v>
      </c>
    </row>
    <row r="932" spans="1:4" x14ac:dyDescent="0.2">
      <c r="A932" t="s">
        <v>713</v>
      </c>
      <c r="B932" s="6">
        <v>0</v>
      </c>
      <c r="C932" t="s">
        <v>43</v>
      </c>
      <c r="D932" t="s">
        <v>43</v>
      </c>
    </row>
    <row r="933" spans="1:4" x14ac:dyDescent="0.2">
      <c r="A933" t="s">
        <v>714</v>
      </c>
      <c r="B933" s="6">
        <v>0</v>
      </c>
      <c r="C933" t="s">
        <v>43</v>
      </c>
      <c r="D933" t="s">
        <v>43</v>
      </c>
    </row>
    <row r="934" spans="1:4" x14ac:dyDescent="0.2">
      <c r="A934" t="s">
        <v>715</v>
      </c>
      <c r="B934" s="6">
        <v>0</v>
      </c>
      <c r="C934" t="s">
        <v>43</v>
      </c>
      <c r="D934" t="s">
        <v>43</v>
      </c>
    </row>
    <row r="935" spans="1:4" x14ac:dyDescent="0.2">
      <c r="A935" t="s">
        <v>717</v>
      </c>
      <c r="B935" s="6">
        <v>0</v>
      </c>
      <c r="C935" t="s">
        <v>43</v>
      </c>
      <c r="D935" t="s">
        <v>43</v>
      </c>
    </row>
    <row r="936" spans="1:4" x14ac:dyDescent="0.2">
      <c r="A936" t="s">
        <v>718</v>
      </c>
      <c r="B936" s="6">
        <v>0</v>
      </c>
      <c r="C936" t="s">
        <v>43</v>
      </c>
      <c r="D936" t="s">
        <v>43</v>
      </c>
    </row>
    <row r="937" spans="1:4" x14ac:dyDescent="0.2">
      <c r="A937" t="s">
        <v>511</v>
      </c>
      <c r="B937" s="6">
        <v>0</v>
      </c>
      <c r="C937" t="s">
        <v>119</v>
      </c>
      <c r="D937" t="s">
        <v>119</v>
      </c>
    </row>
    <row r="938" spans="1:4" x14ac:dyDescent="0.2">
      <c r="A938" t="s">
        <v>725</v>
      </c>
      <c r="B938" s="6">
        <v>0</v>
      </c>
      <c r="C938" t="s">
        <v>348</v>
      </c>
      <c r="D938" t="s">
        <v>348</v>
      </c>
    </row>
    <row r="939" spans="1:4" x14ac:dyDescent="0.2">
      <c r="A939" t="s">
        <v>636</v>
      </c>
      <c r="B939" s="6">
        <v>0</v>
      </c>
      <c r="C939" t="s">
        <v>348</v>
      </c>
      <c r="D939" t="s">
        <v>348</v>
      </c>
    </row>
    <row r="940" spans="1:4" x14ac:dyDescent="0.2">
      <c r="A940" t="s">
        <v>726</v>
      </c>
      <c r="B940" s="6">
        <v>0</v>
      </c>
      <c r="C940" t="s">
        <v>348</v>
      </c>
      <c r="D940" t="s">
        <v>348</v>
      </c>
    </row>
    <row r="941" spans="1:4" x14ac:dyDescent="0.2">
      <c r="A941" t="s">
        <v>727</v>
      </c>
      <c r="B941" s="6">
        <v>0</v>
      </c>
      <c r="C941" t="s">
        <v>348</v>
      </c>
      <c r="D941" t="s">
        <v>348</v>
      </c>
    </row>
    <row r="942" spans="1:4" x14ac:dyDescent="0.2">
      <c r="A942" t="s">
        <v>728</v>
      </c>
      <c r="B942" s="6">
        <v>0</v>
      </c>
      <c r="C942" t="s">
        <v>348</v>
      </c>
      <c r="D942" t="s">
        <v>348</v>
      </c>
    </row>
    <row r="943" spans="1:4" x14ac:dyDescent="0.2">
      <c r="A943" t="s">
        <v>349</v>
      </c>
      <c r="B943" s="6">
        <v>0</v>
      </c>
      <c r="C943" t="s">
        <v>348</v>
      </c>
      <c r="D943" t="s">
        <v>348</v>
      </c>
    </row>
    <row r="944" spans="1:4" x14ac:dyDescent="0.2">
      <c r="A944" t="s">
        <v>597</v>
      </c>
      <c r="B944" s="6">
        <v>0</v>
      </c>
      <c r="C944" t="s">
        <v>348</v>
      </c>
      <c r="D944" t="s">
        <v>348</v>
      </c>
    </row>
    <row r="945" spans="1:4" x14ac:dyDescent="0.2">
      <c r="A945" t="s">
        <v>352</v>
      </c>
      <c r="B945" s="6">
        <v>0</v>
      </c>
      <c r="C945" t="s">
        <v>348</v>
      </c>
      <c r="D945" t="s">
        <v>348</v>
      </c>
    </row>
    <row r="946" spans="1:4" x14ac:dyDescent="0.2">
      <c r="A946" t="s">
        <v>355</v>
      </c>
      <c r="B946" s="6">
        <v>0</v>
      </c>
      <c r="C946" t="s">
        <v>348</v>
      </c>
      <c r="D946" t="s">
        <v>348</v>
      </c>
    </row>
    <row r="947" spans="1:4" x14ac:dyDescent="0.2">
      <c r="A947" t="s">
        <v>729</v>
      </c>
      <c r="B947" s="6">
        <v>0</v>
      </c>
      <c r="C947" t="s">
        <v>423</v>
      </c>
      <c r="D947" t="s">
        <v>789</v>
      </c>
    </row>
    <row r="948" spans="1:4" x14ac:dyDescent="0.2">
      <c r="A948" t="s">
        <v>430</v>
      </c>
      <c r="B948" s="6">
        <v>0</v>
      </c>
      <c r="C948" t="s">
        <v>423</v>
      </c>
      <c r="D948" t="s">
        <v>789</v>
      </c>
    </row>
    <row r="949" spans="1:4" x14ac:dyDescent="0.2">
      <c r="A949" t="s">
        <v>425</v>
      </c>
      <c r="B949" s="6">
        <v>0</v>
      </c>
      <c r="C949" t="s">
        <v>423</v>
      </c>
      <c r="D949" t="s">
        <v>789</v>
      </c>
    </row>
    <row r="950" spans="1:4" x14ac:dyDescent="0.2">
      <c r="A950" t="s">
        <v>424</v>
      </c>
      <c r="B950" s="6">
        <v>0</v>
      </c>
      <c r="C950" t="s">
        <v>423</v>
      </c>
      <c r="D950" t="s">
        <v>789</v>
      </c>
    </row>
    <row r="951" spans="1:4" x14ac:dyDescent="0.2">
      <c r="A951" t="s">
        <v>732</v>
      </c>
      <c r="B951" s="6">
        <v>0</v>
      </c>
      <c r="C951" t="s">
        <v>423</v>
      </c>
      <c r="D951" t="s">
        <v>789</v>
      </c>
    </row>
    <row r="952" spans="1:4" x14ac:dyDescent="0.2">
      <c r="A952" t="s">
        <v>736</v>
      </c>
      <c r="B952" s="6">
        <v>0</v>
      </c>
      <c r="C952" t="s">
        <v>303</v>
      </c>
      <c r="D952" t="s">
        <v>303</v>
      </c>
    </row>
    <row r="953" spans="1:4" x14ac:dyDescent="0.2">
      <c r="A953" t="s">
        <v>740</v>
      </c>
      <c r="B953" s="6">
        <v>0</v>
      </c>
      <c r="C953" t="s">
        <v>303</v>
      </c>
      <c r="D953" t="s">
        <v>303</v>
      </c>
    </row>
    <row r="954" spans="1:4" x14ac:dyDescent="0.2">
      <c r="A954" t="s">
        <v>741</v>
      </c>
      <c r="B954" s="6">
        <v>0</v>
      </c>
      <c r="C954" t="s">
        <v>303</v>
      </c>
      <c r="D954" t="s">
        <v>303</v>
      </c>
    </row>
    <row r="955" spans="1:4" x14ac:dyDescent="0.2">
      <c r="A955" t="s">
        <v>743</v>
      </c>
      <c r="B955" s="6">
        <v>0</v>
      </c>
      <c r="C955" t="s">
        <v>303</v>
      </c>
      <c r="D955" t="s">
        <v>303</v>
      </c>
    </row>
    <row r="956" spans="1:4" x14ac:dyDescent="0.2">
      <c r="A956" t="s">
        <v>744</v>
      </c>
      <c r="B956" s="6">
        <v>0</v>
      </c>
      <c r="C956" t="s">
        <v>43</v>
      </c>
      <c r="D956" t="s">
        <v>43</v>
      </c>
    </row>
    <row r="957" spans="1:4" x14ac:dyDescent="0.2">
      <c r="A957" t="s">
        <v>745</v>
      </c>
      <c r="B957" s="6">
        <v>0</v>
      </c>
      <c r="C957" t="s">
        <v>303</v>
      </c>
      <c r="D957" t="s">
        <v>303</v>
      </c>
    </row>
    <row r="958" spans="1:4" x14ac:dyDescent="0.2">
      <c r="A958" t="s">
        <v>746</v>
      </c>
      <c r="B958" s="6">
        <v>0</v>
      </c>
      <c r="C958" t="s">
        <v>43</v>
      </c>
      <c r="D958" t="s">
        <v>43</v>
      </c>
    </row>
    <row r="959" spans="1:4" x14ac:dyDescent="0.2">
      <c r="A959" t="s">
        <v>747</v>
      </c>
      <c r="B959" s="6">
        <v>0</v>
      </c>
      <c r="C959" t="s">
        <v>303</v>
      </c>
      <c r="D959" t="s">
        <v>303</v>
      </c>
    </row>
    <row r="960" spans="1:4" x14ac:dyDescent="0.2">
      <c r="A960" t="s">
        <v>748</v>
      </c>
      <c r="B960" s="6">
        <v>0</v>
      </c>
      <c r="C960" t="s">
        <v>43</v>
      </c>
      <c r="D960" t="s">
        <v>43</v>
      </c>
    </row>
    <row r="961" spans="1:4" x14ac:dyDescent="0.2">
      <c r="A961" t="s">
        <v>749</v>
      </c>
      <c r="B961" s="6">
        <v>0</v>
      </c>
      <c r="C961" t="s">
        <v>303</v>
      </c>
      <c r="D961" t="s">
        <v>303</v>
      </c>
    </row>
    <row r="962" spans="1:4" x14ac:dyDescent="0.2">
      <c r="A962" t="s">
        <v>750</v>
      </c>
      <c r="B962" s="6">
        <v>0</v>
      </c>
      <c r="C962" t="s">
        <v>303</v>
      </c>
      <c r="D962" t="s">
        <v>303</v>
      </c>
    </row>
    <row r="963" spans="1:4" x14ac:dyDescent="0.2">
      <c r="A963" t="s">
        <v>755</v>
      </c>
      <c r="B963" s="6">
        <v>0</v>
      </c>
      <c r="C963" t="s">
        <v>96</v>
      </c>
      <c r="D963" t="s">
        <v>96</v>
      </c>
    </row>
    <row r="964" spans="1:4" x14ac:dyDescent="0.2">
      <c r="A964" t="s">
        <v>104</v>
      </c>
      <c r="B964" s="6">
        <v>0</v>
      </c>
      <c r="C964" t="s">
        <v>96</v>
      </c>
      <c r="D964" t="s">
        <v>96</v>
      </c>
    </row>
    <row r="965" spans="1:4" x14ac:dyDescent="0.2">
      <c r="A965" t="s">
        <v>621</v>
      </c>
      <c r="B965" s="6">
        <v>0</v>
      </c>
      <c r="C965" t="s">
        <v>96</v>
      </c>
      <c r="D965" t="s">
        <v>96</v>
      </c>
    </row>
    <row r="966" spans="1:4" x14ac:dyDescent="0.2">
      <c r="A966" t="s">
        <v>306</v>
      </c>
      <c r="B966" s="6">
        <v>0</v>
      </c>
      <c r="C966" t="s">
        <v>606</v>
      </c>
      <c r="D966" t="s">
        <v>606</v>
      </c>
    </row>
    <row r="967" spans="1:4" x14ac:dyDescent="0.2">
      <c r="A967" t="s">
        <v>607</v>
      </c>
      <c r="B967" s="6">
        <v>0</v>
      </c>
      <c r="C967" t="s">
        <v>606</v>
      </c>
      <c r="D967" t="s">
        <v>606</v>
      </c>
    </row>
    <row r="968" spans="1:4" x14ac:dyDescent="0.2">
      <c r="A968" t="s">
        <v>312</v>
      </c>
      <c r="B968" s="6">
        <v>0</v>
      </c>
      <c r="C968" t="s">
        <v>606</v>
      </c>
      <c r="D968" t="s">
        <v>606</v>
      </c>
    </row>
    <row r="969" spans="1:4" x14ac:dyDescent="0.2">
      <c r="A969" t="s">
        <v>305</v>
      </c>
      <c r="B969" s="6">
        <v>0</v>
      </c>
      <c r="C969" t="s">
        <v>606</v>
      </c>
      <c r="D969" t="s">
        <v>606</v>
      </c>
    </row>
    <row r="970" spans="1:4" x14ac:dyDescent="0.2">
      <c r="A970" t="s">
        <v>311</v>
      </c>
      <c r="B970" s="6">
        <v>0</v>
      </c>
      <c r="C970" t="s">
        <v>606</v>
      </c>
      <c r="D970" t="s">
        <v>606</v>
      </c>
    </row>
    <row r="971" spans="1:4" x14ac:dyDescent="0.2">
      <c r="A971" t="s">
        <v>308</v>
      </c>
      <c r="B971" s="6">
        <v>0</v>
      </c>
      <c r="C971" t="s">
        <v>606</v>
      </c>
      <c r="D971" t="s">
        <v>606</v>
      </c>
    </row>
    <row r="972" spans="1:4" x14ac:dyDescent="0.2">
      <c r="A972" t="s">
        <v>316</v>
      </c>
      <c r="B972" s="6">
        <v>0</v>
      </c>
      <c r="C972" t="s">
        <v>606</v>
      </c>
      <c r="D972" t="s">
        <v>606</v>
      </c>
    </row>
    <row r="973" spans="1:4" x14ac:dyDescent="0.2">
      <c r="A973" t="s">
        <v>769</v>
      </c>
      <c r="B973" s="6">
        <v>0</v>
      </c>
      <c r="C973" t="s">
        <v>606</v>
      </c>
      <c r="D973" t="s">
        <v>606</v>
      </c>
    </row>
    <row r="974" spans="1:4" x14ac:dyDescent="0.2">
      <c r="A974" t="s">
        <v>770</v>
      </c>
      <c r="B974" s="6">
        <v>0</v>
      </c>
      <c r="C974" t="s">
        <v>606</v>
      </c>
      <c r="D974" t="s">
        <v>606</v>
      </c>
    </row>
    <row r="975" spans="1:4" x14ac:dyDescent="0.2">
      <c r="A975" t="s">
        <v>771</v>
      </c>
      <c r="B975" s="6">
        <v>0</v>
      </c>
      <c r="C975" t="s">
        <v>606</v>
      </c>
      <c r="D975" t="s">
        <v>606</v>
      </c>
    </row>
    <row r="976" spans="1:4" x14ac:dyDescent="0.2">
      <c r="A976" t="s">
        <v>772</v>
      </c>
      <c r="B976" s="6">
        <v>0</v>
      </c>
      <c r="C976" t="s">
        <v>606</v>
      </c>
      <c r="D976" t="s">
        <v>606</v>
      </c>
    </row>
    <row r="977" spans="1:4" x14ac:dyDescent="0.2">
      <c r="A977" t="s">
        <v>635</v>
      </c>
      <c r="B977" s="6">
        <v>0</v>
      </c>
      <c r="C977" t="s">
        <v>606</v>
      </c>
      <c r="D977" t="s">
        <v>606</v>
      </c>
    </row>
    <row r="978" spans="1:4" x14ac:dyDescent="0.2">
      <c r="A978" t="s">
        <v>773</v>
      </c>
      <c r="B978" s="6">
        <v>0</v>
      </c>
      <c r="C978" t="s">
        <v>60</v>
      </c>
      <c r="D978" t="s">
        <v>60</v>
      </c>
    </row>
    <row r="979" spans="1:4" x14ac:dyDescent="0.2">
      <c r="A979" t="s">
        <v>777</v>
      </c>
      <c r="B979" s="6">
        <v>0</v>
      </c>
      <c r="C979" t="s">
        <v>60</v>
      </c>
      <c r="D979" t="s">
        <v>60</v>
      </c>
    </row>
    <row r="980" spans="1:4" x14ac:dyDescent="0.2">
      <c r="A980" t="s">
        <v>780</v>
      </c>
      <c r="B980" s="6">
        <v>0</v>
      </c>
      <c r="C980" t="s">
        <v>60</v>
      </c>
      <c r="D980" t="s">
        <v>60</v>
      </c>
    </row>
    <row r="981" spans="1:4" x14ac:dyDescent="0.2">
      <c r="A981" t="s">
        <v>599</v>
      </c>
      <c r="B981" s="6">
        <v>0</v>
      </c>
      <c r="C981" t="s">
        <v>783</v>
      </c>
      <c r="D981" t="s">
        <v>783</v>
      </c>
    </row>
    <row r="982" spans="1:4" x14ac:dyDescent="0.2">
      <c r="A982" t="s">
        <v>627</v>
      </c>
      <c r="B982" s="6">
        <v>0</v>
      </c>
      <c r="C982" t="s">
        <v>783</v>
      </c>
      <c r="D982" t="s">
        <v>783</v>
      </c>
    </row>
    <row r="983" spans="1:4" x14ac:dyDescent="0.2">
      <c r="A983" t="s">
        <v>339</v>
      </c>
      <c r="B983" s="6">
        <v>0</v>
      </c>
      <c r="C983" t="s">
        <v>783</v>
      </c>
      <c r="D983" t="s">
        <v>783</v>
      </c>
    </row>
    <row r="984" spans="1:4" x14ac:dyDescent="0.2">
      <c r="A984" t="s">
        <v>336</v>
      </c>
      <c r="B984" s="6">
        <v>0</v>
      </c>
      <c r="C984" t="s">
        <v>783</v>
      </c>
      <c r="D984" t="s">
        <v>783</v>
      </c>
    </row>
    <row r="985" spans="1:4" x14ac:dyDescent="0.2">
      <c r="A985" t="s">
        <v>342</v>
      </c>
      <c r="B985" s="6">
        <v>0</v>
      </c>
      <c r="C985" t="s">
        <v>783</v>
      </c>
      <c r="D985" t="s">
        <v>783</v>
      </c>
    </row>
    <row r="986" spans="1:4" x14ac:dyDescent="0.2">
      <c r="A986" t="s">
        <v>784</v>
      </c>
      <c r="B986" s="6">
        <v>0</v>
      </c>
      <c r="C986" t="s">
        <v>783</v>
      </c>
      <c r="D986" t="s">
        <v>783</v>
      </c>
    </row>
    <row r="987" spans="1:4" x14ac:dyDescent="0.2">
      <c r="A987" t="s">
        <v>637</v>
      </c>
      <c r="B987" s="6">
        <v>0</v>
      </c>
      <c r="C987" t="s">
        <v>783</v>
      </c>
      <c r="D987" t="s">
        <v>783</v>
      </c>
    </row>
    <row r="988" spans="1:4" x14ac:dyDescent="0.2">
      <c r="A988" t="s">
        <v>785</v>
      </c>
      <c r="B988" s="6">
        <v>0</v>
      </c>
      <c r="C988" t="s">
        <v>783</v>
      </c>
      <c r="D988" t="s">
        <v>783</v>
      </c>
    </row>
    <row r="989" spans="1:4" x14ac:dyDescent="0.2">
      <c r="A989" t="s">
        <v>786</v>
      </c>
      <c r="B989" s="6">
        <v>0</v>
      </c>
      <c r="C989" t="s">
        <v>783</v>
      </c>
      <c r="D989" t="s">
        <v>783</v>
      </c>
    </row>
    <row r="990" spans="1:4" x14ac:dyDescent="0.2">
      <c r="A990" t="s">
        <v>343</v>
      </c>
      <c r="B990" s="6">
        <v>0</v>
      </c>
      <c r="C990" t="s">
        <v>783</v>
      </c>
      <c r="D990" t="s">
        <v>783</v>
      </c>
    </row>
    <row r="991" spans="1:4" x14ac:dyDescent="0.2">
      <c r="A991" t="s">
        <v>787</v>
      </c>
      <c r="B991" s="6">
        <v>0</v>
      </c>
      <c r="C991" t="s">
        <v>783</v>
      </c>
      <c r="D991" t="s">
        <v>783</v>
      </c>
    </row>
    <row r="992" spans="1:4" x14ac:dyDescent="0.2">
      <c r="A992" t="s">
        <v>344</v>
      </c>
      <c r="B992" s="6">
        <v>0</v>
      </c>
      <c r="C992" t="s">
        <v>783</v>
      </c>
      <c r="D992" t="s">
        <v>783</v>
      </c>
    </row>
    <row r="993" spans="1:4" x14ac:dyDescent="0.2">
      <c r="A993" t="s">
        <v>341</v>
      </c>
      <c r="B993" s="6">
        <v>0</v>
      </c>
      <c r="C993" t="s">
        <v>783</v>
      </c>
      <c r="D993" t="s">
        <v>783</v>
      </c>
    </row>
    <row r="994" spans="1:4" x14ac:dyDescent="0.2">
      <c r="A994" t="s">
        <v>122</v>
      </c>
      <c r="B994" s="6">
        <v>0</v>
      </c>
      <c r="C994" t="s">
        <v>789</v>
      </c>
      <c r="D994" t="s">
        <v>789</v>
      </c>
    </row>
    <row r="995" spans="1:4" x14ac:dyDescent="0.2">
      <c r="A995" t="s">
        <v>639</v>
      </c>
      <c r="B995" s="6">
        <v>0</v>
      </c>
      <c r="C995" t="s">
        <v>789</v>
      </c>
      <c r="D995" t="s">
        <v>789</v>
      </c>
    </row>
    <row r="996" spans="1:4" x14ac:dyDescent="0.2">
      <c r="A996" t="s">
        <v>790</v>
      </c>
      <c r="B996" s="6">
        <v>0</v>
      </c>
      <c r="C996" t="s">
        <v>791</v>
      </c>
      <c r="D996" t="s">
        <v>791</v>
      </c>
    </row>
    <row r="997" spans="1:4" x14ac:dyDescent="0.2">
      <c r="A997" t="s">
        <v>792</v>
      </c>
      <c r="B997" s="6">
        <v>0</v>
      </c>
      <c r="C997" t="s">
        <v>791</v>
      </c>
      <c r="D997" t="s">
        <v>791</v>
      </c>
    </row>
    <row r="998" spans="1:4" x14ac:dyDescent="0.2">
      <c r="A998" t="s">
        <v>798</v>
      </c>
      <c r="B998" s="6">
        <v>0</v>
      </c>
      <c r="C998" t="s">
        <v>791</v>
      </c>
      <c r="D998" t="s">
        <v>791</v>
      </c>
    </row>
    <row r="999" spans="1:4" x14ac:dyDescent="0.2">
      <c r="A999" t="s">
        <v>808</v>
      </c>
      <c r="B999" s="6">
        <v>0</v>
      </c>
      <c r="C999" t="s">
        <v>807</v>
      </c>
      <c r="D999" t="s">
        <v>807</v>
      </c>
    </row>
    <row r="1000" spans="1:4" x14ac:dyDescent="0.2">
      <c r="A1000" t="s">
        <v>815</v>
      </c>
      <c r="B1000" s="6">
        <v>0</v>
      </c>
      <c r="C1000" t="s">
        <v>807</v>
      </c>
      <c r="D1000" t="s">
        <v>807</v>
      </c>
    </row>
    <row r="1001" spans="1:4" x14ac:dyDescent="0.2">
      <c r="A1001" t="s">
        <v>824</v>
      </c>
      <c r="B1001" s="6">
        <v>0</v>
      </c>
      <c r="C1001" t="s">
        <v>823</v>
      </c>
      <c r="D1001" t="s">
        <v>823</v>
      </c>
    </row>
    <row r="1002" spans="1:4" x14ac:dyDescent="0.2">
      <c r="A1002" t="s">
        <v>825</v>
      </c>
      <c r="B1002" s="6">
        <v>0</v>
      </c>
      <c r="C1002" t="s">
        <v>823</v>
      </c>
      <c r="D1002" t="s">
        <v>823</v>
      </c>
    </row>
    <row r="1003" spans="1:4" x14ac:dyDescent="0.2">
      <c r="A1003" t="s">
        <v>832</v>
      </c>
      <c r="B1003" s="6">
        <v>0</v>
      </c>
      <c r="C1003" t="s">
        <v>823</v>
      </c>
      <c r="D1003" t="s">
        <v>823</v>
      </c>
    </row>
    <row r="1004" spans="1:4" x14ac:dyDescent="0.2">
      <c r="A1004" t="s">
        <v>834</v>
      </c>
      <c r="B1004" s="6">
        <v>0</v>
      </c>
      <c r="C1004" t="s">
        <v>823</v>
      </c>
      <c r="D1004" t="s">
        <v>823</v>
      </c>
    </row>
    <row r="1005" spans="1:4" x14ac:dyDescent="0.2">
      <c r="A1005" t="s">
        <v>835</v>
      </c>
      <c r="B1005" s="6">
        <v>0</v>
      </c>
      <c r="C1005" t="s">
        <v>823</v>
      </c>
      <c r="D1005" t="s">
        <v>823</v>
      </c>
    </row>
    <row r="1006" spans="1:4" x14ac:dyDescent="0.2">
      <c r="A1006" t="s">
        <v>128</v>
      </c>
      <c r="B1006" s="6">
        <v>0</v>
      </c>
      <c r="C1006" t="s">
        <v>789</v>
      </c>
      <c r="D1006" t="s">
        <v>789</v>
      </c>
    </row>
    <row r="1007" spans="1:4" x14ac:dyDescent="0.2">
      <c r="A1007" t="s">
        <v>838</v>
      </c>
      <c r="B1007" s="6">
        <v>0</v>
      </c>
      <c r="C1007" t="s">
        <v>789</v>
      </c>
      <c r="D1007" t="s">
        <v>789</v>
      </c>
    </row>
    <row r="1008" spans="1:4" x14ac:dyDescent="0.2">
      <c r="A1008" t="s">
        <v>131</v>
      </c>
      <c r="B1008" s="6">
        <v>0</v>
      </c>
      <c r="C1008" t="s">
        <v>789</v>
      </c>
      <c r="D1008" t="s">
        <v>789</v>
      </c>
    </row>
    <row r="1009" spans="1:4" x14ac:dyDescent="0.2">
      <c r="A1009" t="s">
        <v>841</v>
      </c>
      <c r="B1009" s="6">
        <v>0</v>
      </c>
      <c r="C1009" t="s">
        <v>789</v>
      </c>
      <c r="D1009" t="s">
        <v>789</v>
      </c>
    </row>
    <row r="1010" spans="1:4" x14ac:dyDescent="0.2">
      <c r="A1010" t="s">
        <v>843</v>
      </c>
      <c r="B1010" s="6">
        <v>0</v>
      </c>
      <c r="C1010" t="s">
        <v>789</v>
      </c>
      <c r="D1010" t="s">
        <v>789</v>
      </c>
    </row>
    <row r="1011" spans="1:4" x14ac:dyDescent="0.2">
      <c r="A1011" t="s">
        <v>844</v>
      </c>
      <c r="B1011" s="6">
        <v>0</v>
      </c>
      <c r="C1011" t="s">
        <v>606</v>
      </c>
      <c r="D1011" t="s">
        <v>606</v>
      </c>
    </row>
    <row r="1012" spans="1:4" x14ac:dyDescent="0.2">
      <c r="A1012" t="s">
        <v>850</v>
      </c>
      <c r="B1012" s="6">
        <v>0</v>
      </c>
      <c r="C1012" t="s">
        <v>849</v>
      </c>
      <c r="D1012" t="s">
        <v>849</v>
      </c>
    </row>
    <row r="1013" spans="1:4" x14ac:dyDescent="0.2">
      <c r="A1013" t="s">
        <v>851</v>
      </c>
      <c r="B1013" s="6">
        <v>0</v>
      </c>
      <c r="C1013" t="s">
        <v>849</v>
      </c>
      <c r="D1013" t="s">
        <v>849</v>
      </c>
    </row>
    <row r="1014" spans="1:4" x14ac:dyDescent="0.2">
      <c r="A1014" t="s">
        <v>853</v>
      </c>
      <c r="B1014" s="6">
        <v>0</v>
      </c>
      <c r="C1014" t="s">
        <v>158</v>
      </c>
      <c r="D1014" t="s">
        <v>158</v>
      </c>
    </row>
    <row r="1015" spans="1:4" x14ac:dyDescent="0.2">
      <c r="A1015" t="s">
        <v>854</v>
      </c>
      <c r="B1015" s="6">
        <v>0</v>
      </c>
      <c r="C1015" t="s">
        <v>158</v>
      </c>
      <c r="D1015" t="s">
        <v>158</v>
      </c>
    </row>
    <row r="1016" spans="1:4" x14ac:dyDescent="0.2">
      <c r="A1016" t="s">
        <v>118</v>
      </c>
      <c r="B1016" s="6">
        <v>0</v>
      </c>
      <c r="C1016" t="s">
        <v>158</v>
      </c>
      <c r="D1016" t="s">
        <v>158</v>
      </c>
    </row>
    <row r="1017" spans="1:4" x14ac:dyDescent="0.2">
      <c r="A1017" t="s">
        <v>164</v>
      </c>
      <c r="B1017" s="6">
        <v>0</v>
      </c>
      <c r="C1017" t="s">
        <v>158</v>
      </c>
      <c r="D1017" t="s">
        <v>158</v>
      </c>
    </row>
    <row r="1018" spans="1:4" x14ac:dyDescent="0.2">
      <c r="A1018" t="s">
        <v>858</v>
      </c>
      <c r="B1018" s="6">
        <v>0</v>
      </c>
      <c r="C1018" t="s">
        <v>158</v>
      </c>
      <c r="D1018" t="s">
        <v>158</v>
      </c>
    </row>
    <row r="1019" spans="1:4" x14ac:dyDescent="0.2">
      <c r="A1019" t="s">
        <v>630</v>
      </c>
      <c r="B1019" s="6">
        <v>0</v>
      </c>
      <c r="C1019" t="s">
        <v>401</v>
      </c>
      <c r="D1019" t="s">
        <v>401</v>
      </c>
    </row>
    <row r="1020" spans="1:4" x14ac:dyDescent="0.2">
      <c r="A1020" t="s">
        <v>861</v>
      </c>
      <c r="B1020" s="6">
        <v>0</v>
      </c>
      <c r="C1020" t="s">
        <v>401</v>
      </c>
      <c r="D1020" t="s">
        <v>401</v>
      </c>
    </row>
    <row r="1021" spans="1:4" x14ac:dyDescent="0.2">
      <c r="A1021" t="s">
        <v>863</v>
      </c>
      <c r="B1021" s="6">
        <v>0</v>
      </c>
      <c r="C1021" t="s">
        <v>401</v>
      </c>
      <c r="D1021" t="s">
        <v>401</v>
      </c>
    </row>
    <row r="1022" spans="1:4" x14ac:dyDescent="0.2">
      <c r="A1022" t="s">
        <v>402</v>
      </c>
      <c r="B1022" s="6">
        <v>0</v>
      </c>
      <c r="C1022" t="s">
        <v>401</v>
      </c>
      <c r="D1022" t="s">
        <v>401</v>
      </c>
    </row>
    <row r="1023" spans="1:4" x14ac:dyDescent="0.2">
      <c r="A1023" t="s">
        <v>396</v>
      </c>
      <c r="B1023" s="6">
        <v>0</v>
      </c>
      <c r="C1023" t="s">
        <v>401</v>
      </c>
      <c r="D1023" t="s">
        <v>401</v>
      </c>
    </row>
    <row r="1024" spans="1:4" x14ac:dyDescent="0.2">
      <c r="A1024" t="s">
        <v>406</v>
      </c>
      <c r="B1024" s="6">
        <v>0</v>
      </c>
      <c r="C1024" t="s">
        <v>401</v>
      </c>
      <c r="D1024" t="s">
        <v>401</v>
      </c>
    </row>
    <row r="1025" spans="1:4" x14ac:dyDescent="0.2">
      <c r="A1025" t="s">
        <v>405</v>
      </c>
      <c r="B1025" s="6">
        <v>0</v>
      </c>
      <c r="C1025" t="s">
        <v>401</v>
      </c>
      <c r="D1025" t="s">
        <v>401</v>
      </c>
    </row>
    <row r="1026" spans="1:4" x14ac:dyDescent="0.2">
      <c r="A1026" t="s">
        <v>865</v>
      </c>
      <c r="B1026" s="6">
        <v>0</v>
      </c>
      <c r="C1026" t="s">
        <v>849</v>
      </c>
      <c r="D1026" t="s">
        <v>849</v>
      </c>
    </row>
    <row r="1027" spans="1:4" x14ac:dyDescent="0.2">
      <c r="A1027" t="s">
        <v>870</v>
      </c>
      <c r="B1027" s="6">
        <v>0</v>
      </c>
      <c r="C1027" t="s">
        <v>849</v>
      </c>
      <c r="D1027" t="s">
        <v>849</v>
      </c>
    </row>
    <row r="1028" spans="1:4" x14ac:dyDescent="0.2">
      <c r="A1028" t="s">
        <v>871</v>
      </c>
      <c r="B1028" s="6">
        <v>0</v>
      </c>
      <c r="C1028" t="s">
        <v>849</v>
      </c>
      <c r="D1028" t="s">
        <v>849</v>
      </c>
    </row>
    <row r="1029" spans="1:4" x14ac:dyDescent="0.2">
      <c r="A1029" t="s">
        <v>872</v>
      </c>
      <c r="B1029" s="6">
        <v>0</v>
      </c>
      <c r="C1029" t="s">
        <v>849</v>
      </c>
      <c r="D1029" t="s">
        <v>849</v>
      </c>
    </row>
    <row r="1030" spans="1:4" x14ac:dyDescent="0.2">
      <c r="A1030" t="s">
        <v>874</v>
      </c>
      <c r="B1030" s="6">
        <v>0</v>
      </c>
      <c r="C1030" t="s">
        <v>849</v>
      </c>
      <c r="D1030" t="s">
        <v>849</v>
      </c>
    </row>
    <row r="1031" spans="1:4" x14ac:dyDescent="0.2">
      <c r="A1031" t="s">
        <v>875</v>
      </c>
      <c r="B1031" s="6">
        <v>0</v>
      </c>
      <c r="C1031" t="s">
        <v>849</v>
      </c>
      <c r="D1031" t="s">
        <v>849</v>
      </c>
    </row>
    <row r="1032" spans="1:4" x14ac:dyDescent="0.2">
      <c r="A1032" t="s">
        <v>879</v>
      </c>
      <c r="B1032" s="6">
        <v>0</v>
      </c>
      <c r="C1032" t="s">
        <v>849</v>
      </c>
      <c r="D1032" t="s">
        <v>849</v>
      </c>
    </row>
    <row r="1033" spans="1:4" x14ac:dyDescent="0.2">
      <c r="A1033" t="s">
        <v>885</v>
      </c>
      <c r="B1033" s="6">
        <v>0</v>
      </c>
      <c r="C1033" t="s">
        <v>884</v>
      </c>
      <c r="D1033" t="s">
        <v>884</v>
      </c>
    </row>
    <row r="1034" spans="1:4" x14ac:dyDescent="0.2">
      <c r="A1034" t="s">
        <v>886</v>
      </c>
      <c r="B1034" s="6">
        <v>0</v>
      </c>
      <c r="C1034" t="s">
        <v>884</v>
      </c>
      <c r="D1034" t="s">
        <v>884</v>
      </c>
    </row>
    <row r="1035" spans="1:4" x14ac:dyDescent="0.2">
      <c r="A1035" t="s">
        <v>890</v>
      </c>
      <c r="B1035" s="6">
        <v>0</v>
      </c>
      <c r="C1035" t="s">
        <v>888</v>
      </c>
      <c r="D1035" t="s">
        <v>888</v>
      </c>
    </row>
    <row r="1036" spans="1:4" x14ac:dyDescent="0.2">
      <c r="A1036" t="s">
        <v>891</v>
      </c>
      <c r="B1036" s="6">
        <v>0</v>
      </c>
      <c r="C1036" t="s">
        <v>687</v>
      </c>
      <c r="D1036" t="s">
        <v>687</v>
      </c>
    </row>
    <row r="1037" spans="1:4" x14ac:dyDescent="0.2">
      <c r="A1037" t="s">
        <v>894</v>
      </c>
      <c r="B1037" s="6">
        <v>0</v>
      </c>
      <c r="C1037" t="s">
        <v>60</v>
      </c>
      <c r="D1037" t="s">
        <v>60</v>
      </c>
    </row>
    <row r="1038" spans="1:4" x14ac:dyDescent="0.2">
      <c r="A1038" t="s">
        <v>913</v>
      </c>
      <c r="B1038" s="6">
        <v>0</v>
      </c>
      <c r="C1038" t="s">
        <v>618</v>
      </c>
      <c r="D1038" t="s">
        <v>618</v>
      </c>
    </row>
    <row r="1039" spans="1:4" x14ac:dyDescent="0.2">
      <c r="A1039" t="s">
        <v>955</v>
      </c>
      <c r="B1039" s="6">
        <v>0</v>
      </c>
      <c r="C1039" t="s">
        <v>954</v>
      </c>
      <c r="D1039" t="s">
        <v>954</v>
      </c>
    </row>
    <row r="1040" spans="1:4" x14ac:dyDescent="0.2">
      <c r="A1040" t="s">
        <v>903</v>
      </c>
      <c r="B1040" s="6">
        <v>0</v>
      </c>
      <c r="C1040" t="s">
        <v>618</v>
      </c>
      <c r="D1040" t="s">
        <v>618</v>
      </c>
    </row>
    <row r="1041" spans="1:4" x14ac:dyDescent="0.2">
      <c r="A1041" t="s">
        <v>965</v>
      </c>
      <c r="B1041" s="6">
        <v>0</v>
      </c>
      <c r="C1041" t="s">
        <v>606</v>
      </c>
      <c r="D1041" t="s">
        <v>606</v>
      </c>
    </row>
    <row r="1042" spans="1:4" x14ac:dyDescent="0.2">
      <c r="A1042" t="s">
        <v>1056</v>
      </c>
      <c r="B1042" s="6">
        <v>0</v>
      </c>
      <c r="C1042" t="s">
        <v>687</v>
      </c>
      <c r="D1042" t="s">
        <v>687</v>
      </c>
    </row>
    <row r="1043" spans="1:4" x14ac:dyDescent="0.2">
      <c r="A1043" t="s">
        <v>1057</v>
      </c>
      <c r="B1043" s="6">
        <v>0</v>
      </c>
      <c r="C1043" t="s">
        <v>687</v>
      </c>
      <c r="D1043" t="s">
        <v>687</v>
      </c>
    </row>
    <row r="1044" spans="1:4" x14ac:dyDescent="0.2">
      <c r="A1044" t="s">
        <v>1058</v>
      </c>
      <c r="B1044" s="6">
        <v>0</v>
      </c>
      <c r="C1044" t="s">
        <v>687</v>
      </c>
      <c r="D1044" t="s">
        <v>687</v>
      </c>
    </row>
  </sheetData>
  <autoFilter ref="A1:D1044" xr:uid="{A602FFDD-70EE-FE46-BC8E-2FEBB2ACD5D1}">
    <sortState xmlns:xlrd2="http://schemas.microsoft.com/office/spreadsheetml/2017/richdata2" ref="A2:D1044">
      <sortCondition descending="1" ref="B1:B104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867D-B53B-B94A-8261-DA62858B9DE2}">
  <dimension ref="A1:AF2087"/>
  <sheetViews>
    <sheetView workbookViewId="0">
      <selection activeCell="AC1" sqref="AC1"/>
    </sheetView>
  </sheetViews>
  <sheetFormatPr baseColWidth="10" defaultRowHeight="16" x14ac:dyDescent="0.2"/>
  <sheetData>
    <row r="1" spans="1:32" x14ac:dyDescent="0.2">
      <c r="A1" t="s">
        <v>1117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1072</v>
      </c>
      <c r="AE1" t="s">
        <v>28</v>
      </c>
      <c r="AF1" t="s">
        <v>1115</v>
      </c>
    </row>
    <row r="2" spans="1:32" x14ac:dyDescent="0.2">
      <c r="A2" t="s">
        <v>1118</v>
      </c>
      <c r="B2" t="s">
        <v>29</v>
      </c>
      <c r="C2">
        <v>1011737002</v>
      </c>
      <c r="D2" t="s">
        <v>30</v>
      </c>
      <c r="E2" t="s">
        <v>31</v>
      </c>
      <c r="F2" s="1">
        <v>0.67291666666666672</v>
      </c>
      <c r="G2" t="s">
        <v>32</v>
      </c>
      <c r="H2" t="s">
        <v>33</v>
      </c>
      <c r="I2" t="s">
        <v>34</v>
      </c>
      <c r="J2" t="s">
        <v>35</v>
      </c>
      <c r="K2">
        <v>230</v>
      </c>
      <c r="L2">
        <v>0</v>
      </c>
      <c r="M2" t="s">
        <v>36</v>
      </c>
      <c r="N2" t="s">
        <v>37</v>
      </c>
      <c r="O2">
        <v>3097</v>
      </c>
      <c r="P2">
        <v>149</v>
      </c>
      <c r="Q2">
        <v>4.8111100000000002</v>
      </c>
      <c r="R2">
        <v>0</v>
      </c>
      <c r="S2">
        <v>13.37</v>
      </c>
      <c r="T2">
        <v>4.3159999999999998</v>
      </c>
      <c r="U2">
        <v>0.09</v>
      </c>
      <c r="V2">
        <v>0</v>
      </c>
      <c r="W2">
        <v>1</v>
      </c>
      <c r="X2">
        <v>0</v>
      </c>
      <c r="Y2" t="s">
        <v>36</v>
      </c>
      <c r="Z2">
        <v>3097</v>
      </c>
      <c r="AA2">
        <v>2421</v>
      </c>
      <c r="AB2">
        <v>391</v>
      </c>
      <c r="AC2" t="s">
        <v>38</v>
      </c>
      <c r="AD2" t="str">
        <f>LEFT(D2,2)</f>
        <v>CP</v>
      </c>
      <c r="AE2" t="str">
        <f>_xlfn.XLOOKUP(D2,Mapping!A:A,Mapping!D:D,0,0)</f>
        <v>AI</v>
      </c>
      <c r="AF2" t="str">
        <f>IFERROR(IF(SEARCH("_TJ",D2)&gt;0,"TJ",NA()),IFERROR(IF(SEARCH("_JB",D2)&gt;0,"JB",NA()),"OLD"))</f>
        <v>OLD</v>
      </c>
    </row>
    <row r="3" spans="1:32" x14ac:dyDescent="0.2">
      <c r="A3" t="s">
        <v>1118</v>
      </c>
      <c r="B3" t="s">
        <v>39</v>
      </c>
      <c r="C3">
        <v>1011737052</v>
      </c>
      <c r="D3" t="s">
        <v>40</v>
      </c>
      <c r="E3" t="s">
        <v>31</v>
      </c>
      <c r="F3" s="1">
        <v>0.67291666666666672</v>
      </c>
      <c r="G3" t="s">
        <v>32</v>
      </c>
      <c r="H3" t="s">
        <v>33</v>
      </c>
      <c r="I3" t="s">
        <v>41</v>
      </c>
      <c r="J3" t="s">
        <v>42</v>
      </c>
      <c r="K3">
        <v>308</v>
      </c>
      <c r="L3">
        <v>0</v>
      </c>
      <c r="M3" t="s">
        <v>36</v>
      </c>
      <c r="N3" t="s">
        <v>37</v>
      </c>
      <c r="O3">
        <v>0</v>
      </c>
      <c r="P3">
        <v>0</v>
      </c>
      <c r="Q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 t="s">
        <v>36</v>
      </c>
      <c r="AC3" t="s">
        <v>43</v>
      </c>
      <c r="AD3" t="str">
        <f t="shared" ref="AD3:AD66" si="0">LEFT(D3,2)</f>
        <v>CP</v>
      </c>
      <c r="AE3" t="str">
        <f>_xlfn.XLOOKUP(D3,Mapping!A:A,Mapping!D:D,0,0)</f>
        <v>Bin</v>
      </c>
      <c r="AF3" t="str">
        <f t="shared" ref="AF3:AF66" si="1">IFERROR(IF(SEARCH("_TJ",D3)&gt;0,"TJ",NA()),IFERROR(IF(SEARCH("_JB",D3)&gt;0,"JB",NA()),"OLD"))</f>
        <v>OLD</v>
      </c>
    </row>
    <row r="4" spans="1:32" x14ac:dyDescent="0.2">
      <c r="A4" t="s">
        <v>1118</v>
      </c>
      <c r="B4" t="s">
        <v>39</v>
      </c>
      <c r="C4">
        <v>1011737062</v>
      </c>
      <c r="D4" t="s">
        <v>44</v>
      </c>
      <c r="E4" t="s">
        <v>31</v>
      </c>
      <c r="F4" s="1">
        <v>0.67291666666666672</v>
      </c>
      <c r="G4" t="s">
        <v>32</v>
      </c>
      <c r="H4" t="s">
        <v>33</v>
      </c>
      <c r="I4" t="s">
        <v>41</v>
      </c>
      <c r="J4" t="s">
        <v>42</v>
      </c>
      <c r="K4">
        <v>308</v>
      </c>
      <c r="L4">
        <v>0</v>
      </c>
      <c r="M4" t="s">
        <v>36</v>
      </c>
      <c r="N4" t="s">
        <v>37</v>
      </c>
      <c r="O4">
        <v>0</v>
      </c>
      <c r="P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 t="s">
        <v>36</v>
      </c>
      <c r="AC4" t="s">
        <v>43</v>
      </c>
      <c r="AD4" t="str">
        <f t="shared" si="0"/>
        <v>CP</v>
      </c>
      <c r="AE4" t="str">
        <f>_xlfn.XLOOKUP(D4,Mapping!A:A,Mapping!D:D,0,0)</f>
        <v>Bin</v>
      </c>
      <c r="AF4" t="str">
        <f t="shared" si="1"/>
        <v>OLD</v>
      </c>
    </row>
    <row r="5" spans="1:32" x14ac:dyDescent="0.2">
      <c r="A5" t="s">
        <v>1118</v>
      </c>
      <c r="B5" t="s">
        <v>29</v>
      </c>
      <c r="C5">
        <v>1011737262</v>
      </c>
      <c r="D5" t="s">
        <v>45</v>
      </c>
      <c r="E5" t="s">
        <v>31</v>
      </c>
      <c r="F5" s="1">
        <v>0.67291666666666672</v>
      </c>
      <c r="G5" t="s">
        <v>32</v>
      </c>
      <c r="H5" t="s">
        <v>33</v>
      </c>
      <c r="I5" t="s">
        <v>34</v>
      </c>
      <c r="J5" t="s">
        <v>35</v>
      </c>
      <c r="K5">
        <v>215</v>
      </c>
      <c r="L5">
        <v>0</v>
      </c>
      <c r="M5" t="s">
        <v>36</v>
      </c>
      <c r="N5" t="s">
        <v>37</v>
      </c>
      <c r="O5">
        <v>404</v>
      </c>
      <c r="P5">
        <v>18</v>
      </c>
      <c r="Q5">
        <v>4.4554499999999999</v>
      </c>
      <c r="R5">
        <v>0</v>
      </c>
      <c r="S5">
        <v>1.1000000000000001</v>
      </c>
      <c r="T5">
        <v>2.7240000000000002</v>
      </c>
      <c r="U5">
        <v>6.0999999999999999E-2</v>
      </c>
      <c r="V5">
        <v>0</v>
      </c>
      <c r="W5">
        <v>1</v>
      </c>
      <c r="X5">
        <v>0</v>
      </c>
      <c r="Y5" t="s">
        <v>36</v>
      </c>
      <c r="Z5">
        <v>404</v>
      </c>
      <c r="AA5">
        <v>320</v>
      </c>
      <c r="AB5">
        <v>47</v>
      </c>
      <c r="AC5" t="s">
        <v>38</v>
      </c>
      <c r="AD5" t="str">
        <f t="shared" si="0"/>
        <v>CP</v>
      </c>
      <c r="AE5" t="str">
        <f>_xlfn.XLOOKUP(D5,Mapping!A:A,Mapping!D:D,0,0)</f>
        <v>AI</v>
      </c>
      <c r="AF5" t="str">
        <f t="shared" si="1"/>
        <v>OLD</v>
      </c>
    </row>
    <row r="6" spans="1:32" x14ac:dyDescent="0.2">
      <c r="A6" t="s">
        <v>1118</v>
      </c>
      <c r="B6" t="s">
        <v>29</v>
      </c>
      <c r="C6">
        <v>1011737272</v>
      </c>
      <c r="D6" t="s">
        <v>46</v>
      </c>
      <c r="E6" t="s">
        <v>31</v>
      </c>
      <c r="F6" s="1">
        <v>0.67291666666666672</v>
      </c>
      <c r="G6" t="s">
        <v>32</v>
      </c>
      <c r="H6" t="s">
        <v>33</v>
      </c>
      <c r="I6" t="s">
        <v>41</v>
      </c>
      <c r="J6" t="s">
        <v>42</v>
      </c>
      <c r="K6">
        <v>638</v>
      </c>
      <c r="L6">
        <v>0</v>
      </c>
      <c r="M6" t="s">
        <v>36</v>
      </c>
      <c r="N6" t="s">
        <v>37</v>
      </c>
      <c r="O6">
        <v>813</v>
      </c>
      <c r="P6">
        <v>51</v>
      </c>
      <c r="Q6">
        <v>6.2730600000000001</v>
      </c>
      <c r="R6">
        <v>1</v>
      </c>
      <c r="S6">
        <v>2.84</v>
      </c>
      <c r="T6">
        <v>3.4929999999999999</v>
      </c>
      <c r="U6">
        <v>5.6000000000000001E-2</v>
      </c>
      <c r="V6">
        <v>2.84</v>
      </c>
      <c r="W6">
        <v>1</v>
      </c>
      <c r="X6">
        <v>0</v>
      </c>
      <c r="Y6" t="s">
        <v>36</v>
      </c>
      <c r="Z6">
        <v>813</v>
      </c>
      <c r="AA6">
        <v>711</v>
      </c>
      <c r="AB6">
        <v>81</v>
      </c>
      <c r="AC6" t="s">
        <v>38</v>
      </c>
      <c r="AD6" t="str">
        <f t="shared" si="0"/>
        <v>CP</v>
      </c>
      <c r="AE6" t="str">
        <f>_xlfn.XLOOKUP(D6,Mapping!A:A,Mapping!D:D,0,0)</f>
        <v>AI</v>
      </c>
      <c r="AF6" t="str">
        <f t="shared" si="1"/>
        <v>OLD</v>
      </c>
    </row>
    <row r="7" spans="1:32" x14ac:dyDescent="0.2">
      <c r="A7" t="s">
        <v>1118</v>
      </c>
      <c r="B7" t="s">
        <v>29</v>
      </c>
      <c r="C7">
        <v>1011737322</v>
      </c>
      <c r="D7" t="s">
        <v>47</v>
      </c>
      <c r="E7" t="s">
        <v>31</v>
      </c>
      <c r="F7" s="1">
        <v>0.67291666666666672</v>
      </c>
      <c r="G7" t="s">
        <v>32</v>
      </c>
      <c r="H7" t="s">
        <v>33</v>
      </c>
      <c r="I7" t="s">
        <v>41</v>
      </c>
      <c r="J7" t="s">
        <v>42</v>
      </c>
      <c r="K7">
        <v>638</v>
      </c>
      <c r="L7">
        <v>0</v>
      </c>
      <c r="M7" t="s">
        <v>36</v>
      </c>
      <c r="N7" t="s">
        <v>37</v>
      </c>
      <c r="O7">
        <v>776</v>
      </c>
      <c r="P7">
        <v>28</v>
      </c>
      <c r="Q7">
        <v>3.60825</v>
      </c>
      <c r="R7">
        <v>0</v>
      </c>
      <c r="S7">
        <v>3.1</v>
      </c>
      <c r="T7">
        <v>3.996</v>
      </c>
      <c r="U7">
        <v>0.111</v>
      </c>
      <c r="V7">
        <v>0</v>
      </c>
      <c r="W7">
        <v>1</v>
      </c>
      <c r="X7">
        <v>0</v>
      </c>
      <c r="Y7" t="s">
        <v>36</v>
      </c>
      <c r="Z7">
        <v>776</v>
      </c>
      <c r="AA7">
        <v>669</v>
      </c>
      <c r="AB7">
        <v>91</v>
      </c>
      <c r="AC7" t="s">
        <v>38</v>
      </c>
      <c r="AD7" t="str">
        <f t="shared" si="0"/>
        <v>CP</v>
      </c>
      <c r="AE7" t="str">
        <f>_xlfn.XLOOKUP(D7,Mapping!A:A,Mapping!D:D,0,0)</f>
        <v>AI</v>
      </c>
      <c r="AF7" t="str">
        <f t="shared" si="1"/>
        <v>OLD</v>
      </c>
    </row>
    <row r="8" spans="1:32" x14ac:dyDescent="0.2">
      <c r="A8" t="s">
        <v>1118</v>
      </c>
      <c r="B8" t="s">
        <v>29</v>
      </c>
      <c r="C8">
        <v>1011744802</v>
      </c>
      <c r="D8" t="s">
        <v>48</v>
      </c>
      <c r="E8" t="s">
        <v>31</v>
      </c>
      <c r="F8" s="1">
        <v>0.67291666666666672</v>
      </c>
      <c r="G8" t="s">
        <v>32</v>
      </c>
      <c r="H8" t="s">
        <v>33</v>
      </c>
      <c r="I8" t="s">
        <v>34</v>
      </c>
      <c r="J8" t="s">
        <v>35</v>
      </c>
      <c r="K8">
        <v>285</v>
      </c>
      <c r="L8">
        <v>0</v>
      </c>
      <c r="M8" t="s">
        <v>36</v>
      </c>
      <c r="N8" t="s">
        <v>37</v>
      </c>
      <c r="O8">
        <v>1208</v>
      </c>
      <c r="P8">
        <v>63</v>
      </c>
      <c r="Q8">
        <v>5.21523</v>
      </c>
      <c r="R8">
        <v>0</v>
      </c>
      <c r="S8">
        <v>5.43</v>
      </c>
      <c r="T8">
        <v>4.492</v>
      </c>
      <c r="U8">
        <v>8.5999999999999993E-2</v>
      </c>
      <c r="V8">
        <v>0</v>
      </c>
      <c r="W8">
        <v>1</v>
      </c>
      <c r="X8">
        <v>0</v>
      </c>
      <c r="Y8" t="s">
        <v>36</v>
      </c>
      <c r="Z8">
        <v>1208</v>
      </c>
      <c r="AA8">
        <v>948</v>
      </c>
      <c r="AB8">
        <v>155</v>
      </c>
      <c r="AC8" t="s">
        <v>38</v>
      </c>
      <c r="AD8" t="str">
        <f t="shared" si="0"/>
        <v>CP</v>
      </c>
      <c r="AE8" t="str">
        <f>_xlfn.XLOOKUP(D8,Mapping!A:A,Mapping!D:D,0,0)</f>
        <v>AI</v>
      </c>
      <c r="AF8" t="str">
        <f t="shared" si="1"/>
        <v>OLD</v>
      </c>
    </row>
    <row r="9" spans="1:32" x14ac:dyDescent="0.2">
      <c r="A9" t="s">
        <v>1118</v>
      </c>
      <c r="B9" t="s">
        <v>39</v>
      </c>
      <c r="C9">
        <v>1011744812</v>
      </c>
      <c r="D9" t="s">
        <v>49</v>
      </c>
      <c r="E9" t="s">
        <v>31</v>
      </c>
      <c r="F9" s="1">
        <v>0.67291666666666672</v>
      </c>
      <c r="G9" t="s">
        <v>32</v>
      </c>
      <c r="H9" t="s">
        <v>33</v>
      </c>
      <c r="I9" t="s">
        <v>41</v>
      </c>
      <c r="J9" t="s">
        <v>42</v>
      </c>
      <c r="K9">
        <v>539</v>
      </c>
      <c r="L9">
        <v>0</v>
      </c>
      <c r="M9" t="s">
        <v>36</v>
      </c>
      <c r="N9" t="s">
        <v>37</v>
      </c>
      <c r="O9">
        <v>0</v>
      </c>
      <c r="P9">
        <v>0</v>
      </c>
      <c r="Q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 t="s">
        <v>36</v>
      </c>
      <c r="AC9" t="s">
        <v>43</v>
      </c>
      <c r="AD9" t="str">
        <f t="shared" si="0"/>
        <v>CP</v>
      </c>
      <c r="AE9" t="str">
        <f>_xlfn.XLOOKUP(D9,Mapping!A:A,Mapping!D:D,0,0)</f>
        <v>Bin</v>
      </c>
      <c r="AF9" t="str">
        <f t="shared" si="1"/>
        <v>OLD</v>
      </c>
    </row>
    <row r="10" spans="1:32" x14ac:dyDescent="0.2">
      <c r="A10" t="s">
        <v>1118</v>
      </c>
      <c r="B10" t="s">
        <v>39</v>
      </c>
      <c r="C10">
        <v>1011744822</v>
      </c>
      <c r="D10" t="s">
        <v>50</v>
      </c>
      <c r="E10" t="s">
        <v>31</v>
      </c>
      <c r="F10" s="1">
        <v>0.67291666666666672</v>
      </c>
      <c r="G10" t="s">
        <v>32</v>
      </c>
      <c r="H10" t="s">
        <v>33</v>
      </c>
      <c r="I10" t="s">
        <v>41</v>
      </c>
      <c r="J10" t="s">
        <v>42</v>
      </c>
      <c r="K10">
        <v>638</v>
      </c>
      <c r="L10">
        <v>0</v>
      </c>
      <c r="M10" t="s">
        <v>36</v>
      </c>
      <c r="N10" t="s">
        <v>37</v>
      </c>
      <c r="O10">
        <v>0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 t="s">
        <v>36</v>
      </c>
      <c r="AC10" t="s">
        <v>38</v>
      </c>
      <c r="AD10" t="str">
        <f t="shared" si="0"/>
        <v>CP</v>
      </c>
      <c r="AE10" t="str">
        <f>_xlfn.XLOOKUP(D10,Mapping!A:A,Mapping!D:D,0,0)</f>
        <v>AI</v>
      </c>
      <c r="AF10" t="str">
        <f t="shared" si="1"/>
        <v>OLD</v>
      </c>
    </row>
    <row r="11" spans="1:32" x14ac:dyDescent="0.2">
      <c r="A11" t="s">
        <v>1118</v>
      </c>
      <c r="B11" t="s">
        <v>29</v>
      </c>
      <c r="C11">
        <v>1011744832</v>
      </c>
      <c r="D11" t="s">
        <v>51</v>
      </c>
      <c r="E11" t="s">
        <v>31</v>
      </c>
      <c r="F11" s="1">
        <v>0.67291666666666672</v>
      </c>
      <c r="G11" t="s">
        <v>32</v>
      </c>
      <c r="H11" t="s">
        <v>33</v>
      </c>
      <c r="I11" t="s">
        <v>34</v>
      </c>
      <c r="J11" t="s">
        <v>35</v>
      </c>
      <c r="K11">
        <v>215</v>
      </c>
      <c r="L11">
        <v>0</v>
      </c>
      <c r="M11" t="s">
        <v>36</v>
      </c>
      <c r="N11" t="s">
        <v>37</v>
      </c>
      <c r="O11">
        <v>169</v>
      </c>
      <c r="P11">
        <v>9</v>
      </c>
      <c r="Q11">
        <v>5.3254400000000004</v>
      </c>
      <c r="R11">
        <v>0</v>
      </c>
      <c r="S11">
        <v>0.77</v>
      </c>
      <c r="T11">
        <v>4.556</v>
      </c>
      <c r="U11">
        <v>8.5999999999999993E-2</v>
      </c>
      <c r="V11">
        <v>0</v>
      </c>
      <c r="W11">
        <v>1</v>
      </c>
      <c r="X11">
        <v>0</v>
      </c>
      <c r="Y11" t="s">
        <v>36</v>
      </c>
      <c r="Z11">
        <v>169</v>
      </c>
      <c r="AA11">
        <v>138</v>
      </c>
      <c r="AB11">
        <v>22</v>
      </c>
      <c r="AC11" t="s">
        <v>38</v>
      </c>
      <c r="AD11" t="str">
        <f t="shared" si="0"/>
        <v>CP</v>
      </c>
      <c r="AE11" t="str">
        <f>_xlfn.XLOOKUP(D11,Mapping!A:A,Mapping!D:D,0,0)</f>
        <v>AI</v>
      </c>
      <c r="AF11" t="str">
        <f t="shared" si="1"/>
        <v>OLD</v>
      </c>
    </row>
    <row r="12" spans="1:32" x14ac:dyDescent="0.2">
      <c r="A12" t="s">
        <v>1118</v>
      </c>
      <c r="B12" t="s">
        <v>39</v>
      </c>
      <c r="C12">
        <v>1011744842</v>
      </c>
      <c r="D12" t="s">
        <v>52</v>
      </c>
      <c r="E12" t="s">
        <v>31</v>
      </c>
      <c r="F12" s="1">
        <v>0.67291666666666672</v>
      </c>
      <c r="G12" t="s">
        <v>32</v>
      </c>
      <c r="H12" t="s">
        <v>33</v>
      </c>
      <c r="I12" t="s">
        <v>41</v>
      </c>
      <c r="J12" t="s">
        <v>42</v>
      </c>
      <c r="K12">
        <v>539</v>
      </c>
      <c r="L12">
        <v>0</v>
      </c>
      <c r="M12" t="s">
        <v>36</v>
      </c>
      <c r="N12" t="s">
        <v>37</v>
      </c>
      <c r="O12">
        <v>0</v>
      </c>
      <c r="P12">
        <v>0</v>
      </c>
      <c r="Q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 t="s">
        <v>36</v>
      </c>
      <c r="AC12" t="s">
        <v>43</v>
      </c>
      <c r="AD12" t="str">
        <f t="shared" si="0"/>
        <v>CP</v>
      </c>
      <c r="AE12" t="str">
        <f>_xlfn.XLOOKUP(D12,Mapping!A:A,Mapping!D:D,0,0)</f>
        <v>Bin</v>
      </c>
      <c r="AF12" t="str">
        <f t="shared" si="1"/>
        <v>OLD</v>
      </c>
    </row>
    <row r="13" spans="1:32" x14ac:dyDescent="0.2">
      <c r="A13" t="s">
        <v>1118</v>
      </c>
      <c r="B13" t="s">
        <v>29</v>
      </c>
      <c r="C13">
        <v>1011744852</v>
      </c>
      <c r="D13" t="s">
        <v>53</v>
      </c>
      <c r="E13" t="s">
        <v>31</v>
      </c>
      <c r="F13" s="1">
        <v>0.67291666666666672</v>
      </c>
      <c r="G13" t="s">
        <v>32</v>
      </c>
      <c r="H13" t="s">
        <v>33</v>
      </c>
      <c r="I13" t="s">
        <v>41</v>
      </c>
      <c r="J13" t="s">
        <v>42</v>
      </c>
      <c r="K13">
        <v>638</v>
      </c>
      <c r="L13">
        <v>0</v>
      </c>
      <c r="M13" t="s">
        <v>36</v>
      </c>
      <c r="N13" t="s">
        <v>37</v>
      </c>
      <c r="O13">
        <v>495</v>
      </c>
      <c r="P13">
        <v>28</v>
      </c>
      <c r="Q13">
        <v>5.6565700000000003</v>
      </c>
      <c r="R13">
        <v>0</v>
      </c>
      <c r="S13">
        <v>2.0299999999999998</v>
      </c>
      <c r="T13">
        <v>4.101</v>
      </c>
      <c r="U13">
        <v>7.1999999999999995E-2</v>
      </c>
      <c r="V13">
        <v>0</v>
      </c>
      <c r="W13">
        <v>1</v>
      </c>
      <c r="X13">
        <v>0</v>
      </c>
      <c r="Y13" t="s">
        <v>36</v>
      </c>
      <c r="Z13">
        <v>495</v>
      </c>
      <c r="AA13">
        <v>447</v>
      </c>
      <c r="AB13">
        <v>43</v>
      </c>
      <c r="AC13" t="s">
        <v>38</v>
      </c>
      <c r="AD13" t="str">
        <f t="shared" si="0"/>
        <v>CP</v>
      </c>
      <c r="AE13" t="str">
        <f>_xlfn.XLOOKUP(D13,Mapping!A:A,Mapping!D:D,0,0)</f>
        <v>AI</v>
      </c>
      <c r="AF13" t="str">
        <f t="shared" si="1"/>
        <v>OLD</v>
      </c>
    </row>
    <row r="14" spans="1:32" x14ac:dyDescent="0.2">
      <c r="A14" t="s">
        <v>1118</v>
      </c>
      <c r="B14" t="s">
        <v>39</v>
      </c>
      <c r="C14">
        <v>1011744862</v>
      </c>
      <c r="D14" t="s">
        <v>54</v>
      </c>
      <c r="E14" t="s">
        <v>31</v>
      </c>
      <c r="F14" s="1">
        <v>0.67291666666666672</v>
      </c>
      <c r="G14" t="s">
        <v>32</v>
      </c>
      <c r="H14" t="s">
        <v>33</v>
      </c>
      <c r="I14" t="s">
        <v>41</v>
      </c>
      <c r="J14" t="s">
        <v>42</v>
      </c>
      <c r="K14">
        <v>539</v>
      </c>
      <c r="L14">
        <v>0</v>
      </c>
      <c r="M14" t="s">
        <v>36</v>
      </c>
      <c r="N14" t="s">
        <v>37</v>
      </c>
      <c r="O14">
        <v>0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 t="s">
        <v>36</v>
      </c>
      <c r="AC14" t="s">
        <v>43</v>
      </c>
      <c r="AD14" t="str">
        <f t="shared" si="0"/>
        <v>CP</v>
      </c>
      <c r="AE14" t="str">
        <f>_xlfn.XLOOKUP(D14,Mapping!A:A,Mapping!D:D,0,0)</f>
        <v>Bin</v>
      </c>
      <c r="AF14" t="str">
        <f t="shared" si="1"/>
        <v>OLD</v>
      </c>
    </row>
    <row r="15" spans="1:32" x14ac:dyDescent="0.2">
      <c r="A15" t="s">
        <v>1118</v>
      </c>
      <c r="B15" t="s">
        <v>39</v>
      </c>
      <c r="C15">
        <v>1011744872</v>
      </c>
      <c r="D15" t="s">
        <v>55</v>
      </c>
      <c r="E15" t="s">
        <v>31</v>
      </c>
      <c r="F15" s="1">
        <v>0.67291666666666672</v>
      </c>
      <c r="G15" t="s">
        <v>32</v>
      </c>
      <c r="H15" t="s">
        <v>33</v>
      </c>
      <c r="I15" t="s">
        <v>41</v>
      </c>
      <c r="J15" t="s">
        <v>42</v>
      </c>
      <c r="K15">
        <v>539</v>
      </c>
      <c r="L15">
        <v>0</v>
      </c>
      <c r="M15" t="s">
        <v>36</v>
      </c>
      <c r="N15" t="s">
        <v>37</v>
      </c>
      <c r="O15">
        <v>0</v>
      </c>
      <c r="P15">
        <v>0</v>
      </c>
      <c r="Q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 t="s">
        <v>36</v>
      </c>
      <c r="AC15" t="s">
        <v>43</v>
      </c>
      <c r="AD15" t="str">
        <f t="shared" si="0"/>
        <v>CP</v>
      </c>
      <c r="AE15" t="str">
        <f>_xlfn.XLOOKUP(D15,Mapping!A:A,Mapping!D:D,0,0)</f>
        <v>Bin</v>
      </c>
      <c r="AF15" t="str">
        <f t="shared" si="1"/>
        <v>OLD</v>
      </c>
    </row>
    <row r="16" spans="1:32" x14ac:dyDescent="0.2">
      <c r="A16" t="s">
        <v>1118</v>
      </c>
      <c r="B16" t="s">
        <v>39</v>
      </c>
      <c r="C16">
        <v>1011744882</v>
      </c>
      <c r="D16" t="s">
        <v>56</v>
      </c>
      <c r="E16" t="s">
        <v>31</v>
      </c>
      <c r="F16" s="1">
        <v>0.67291666666666672</v>
      </c>
      <c r="G16" t="s">
        <v>32</v>
      </c>
      <c r="H16" t="s">
        <v>33</v>
      </c>
      <c r="I16" t="s">
        <v>34</v>
      </c>
      <c r="J16" t="s">
        <v>35</v>
      </c>
      <c r="K16">
        <v>240</v>
      </c>
      <c r="L16">
        <v>0</v>
      </c>
      <c r="M16" t="s">
        <v>36</v>
      </c>
      <c r="N16" t="s">
        <v>37</v>
      </c>
      <c r="O16">
        <v>0</v>
      </c>
      <c r="P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 t="s">
        <v>36</v>
      </c>
      <c r="AC16" t="s">
        <v>43</v>
      </c>
      <c r="AD16" t="str">
        <f t="shared" si="0"/>
        <v>CP</v>
      </c>
      <c r="AE16" t="str">
        <f>_xlfn.XLOOKUP(D16,Mapping!A:A,Mapping!D:D,0,0)</f>
        <v>Bin</v>
      </c>
      <c r="AF16" t="str">
        <f t="shared" si="1"/>
        <v>OLD</v>
      </c>
    </row>
    <row r="17" spans="1:32" x14ac:dyDescent="0.2">
      <c r="A17" t="s">
        <v>1118</v>
      </c>
      <c r="B17" t="s">
        <v>39</v>
      </c>
      <c r="C17">
        <v>1011813152</v>
      </c>
      <c r="D17" t="s">
        <v>57</v>
      </c>
      <c r="E17" t="s">
        <v>31</v>
      </c>
      <c r="F17" s="1">
        <v>0.67291666666666672</v>
      </c>
      <c r="G17" t="s">
        <v>32</v>
      </c>
      <c r="H17" t="s">
        <v>33</v>
      </c>
      <c r="I17" t="s">
        <v>41</v>
      </c>
      <c r="J17" t="s">
        <v>58</v>
      </c>
      <c r="K17">
        <v>352</v>
      </c>
      <c r="L17">
        <v>0</v>
      </c>
      <c r="M17" t="s">
        <v>36</v>
      </c>
      <c r="N17" t="s">
        <v>37</v>
      </c>
      <c r="O17">
        <v>0</v>
      </c>
      <c r="P17">
        <v>0</v>
      </c>
      <c r="Q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 t="s">
        <v>36</v>
      </c>
      <c r="AC17" t="s">
        <v>43</v>
      </c>
      <c r="AD17" t="str">
        <f t="shared" si="0"/>
        <v>CP</v>
      </c>
      <c r="AE17" t="str">
        <f>_xlfn.XLOOKUP(D17,Mapping!A:A,Mapping!D:D,0,0)</f>
        <v>Bin</v>
      </c>
      <c r="AF17" t="str">
        <f t="shared" si="1"/>
        <v>OLD</v>
      </c>
    </row>
    <row r="18" spans="1:32" x14ac:dyDescent="0.2">
      <c r="A18" t="s">
        <v>1118</v>
      </c>
      <c r="B18" t="s">
        <v>39</v>
      </c>
      <c r="C18">
        <v>1011813182</v>
      </c>
      <c r="D18" t="s">
        <v>59</v>
      </c>
      <c r="E18" t="s">
        <v>31</v>
      </c>
      <c r="F18" s="1">
        <v>0.38611111111111113</v>
      </c>
      <c r="G18" t="s">
        <v>32</v>
      </c>
      <c r="H18" t="s">
        <v>33</v>
      </c>
      <c r="I18" t="s">
        <v>41</v>
      </c>
      <c r="J18" t="s">
        <v>58</v>
      </c>
      <c r="K18">
        <v>11</v>
      </c>
      <c r="L18">
        <v>0</v>
      </c>
      <c r="M18" t="s">
        <v>36</v>
      </c>
      <c r="N18" t="s">
        <v>37</v>
      </c>
      <c r="O18">
        <v>0</v>
      </c>
      <c r="P18">
        <v>0</v>
      </c>
      <c r="Q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 t="s">
        <v>36</v>
      </c>
      <c r="AC18" t="s">
        <v>60</v>
      </c>
      <c r="AD18" t="str">
        <f t="shared" si="0"/>
        <v>CP</v>
      </c>
      <c r="AE18" t="str">
        <f>_xlfn.XLOOKUP(D18,Mapping!A:A,Mapping!D:D,0,0)</f>
        <v>Shorties</v>
      </c>
      <c r="AF18" t="str">
        <f t="shared" si="1"/>
        <v>OLD</v>
      </c>
    </row>
    <row r="19" spans="1:32" x14ac:dyDescent="0.2">
      <c r="A19" t="s">
        <v>1118</v>
      </c>
      <c r="B19" t="s">
        <v>39</v>
      </c>
      <c r="C19">
        <v>1011813292</v>
      </c>
      <c r="D19" t="s">
        <v>61</v>
      </c>
      <c r="E19" t="s">
        <v>31</v>
      </c>
      <c r="F19" s="1">
        <v>0.67291666666666672</v>
      </c>
      <c r="G19" t="s">
        <v>32</v>
      </c>
      <c r="H19" t="s">
        <v>33</v>
      </c>
      <c r="I19" t="s">
        <v>41</v>
      </c>
      <c r="J19" t="s">
        <v>62</v>
      </c>
      <c r="K19">
        <v>117</v>
      </c>
      <c r="L19">
        <v>0</v>
      </c>
      <c r="M19" t="s">
        <v>63</v>
      </c>
      <c r="N19">
        <v>100</v>
      </c>
      <c r="O19">
        <v>0</v>
      </c>
      <c r="P19">
        <v>0</v>
      </c>
      <c r="Q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 t="s">
        <v>36</v>
      </c>
      <c r="AC19" t="s">
        <v>43</v>
      </c>
      <c r="AD19" t="str">
        <f t="shared" si="0"/>
        <v>CP</v>
      </c>
      <c r="AE19" t="str">
        <f>_xlfn.XLOOKUP(D19,Mapping!A:A,Mapping!D:D,0,0)</f>
        <v>Bin</v>
      </c>
      <c r="AF19" t="str">
        <f t="shared" si="1"/>
        <v>OLD</v>
      </c>
    </row>
    <row r="20" spans="1:32" x14ac:dyDescent="0.2">
      <c r="A20" t="s">
        <v>1118</v>
      </c>
      <c r="B20" t="s">
        <v>39</v>
      </c>
      <c r="C20">
        <v>1011813302</v>
      </c>
      <c r="D20" t="s">
        <v>64</v>
      </c>
      <c r="E20" t="s">
        <v>31</v>
      </c>
      <c r="F20" s="1">
        <v>0.67291666666666672</v>
      </c>
      <c r="G20" t="s">
        <v>32</v>
      </c>
      <c r="H20" t="s">
        <v>33</v>
      </c>
      <c r="I20" t="s">
        <v>41</v>
      </c>
      <c r="J20" t="s">
        <v>62</v>
      </c>
      <c r="K20">
        <v>308</v>
      </c>
      <c r="L20">
        <v>0</v>
      </c>
      <c r="M20" t="s">
        <v>36</v>
      </c>
      <c r="N20" t="s">
        <v>37</v>
      </c>
      <c r="O20">
        <v>0</v>
      </c>
      <c r="P20">
        <v>0</v>
      </c>
      <c r="Q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 t="s">
        <v>36</v>
      </c>
      <c r="AC20" t="s">
        <v>43</v>
      </c>
      <c r="AD20" t="str">
        <f t="shared" si="0"/>
        <v>CP</v>
      </c>
      <c r="AE20" t="str">
        <f>_xlfn.XLOOKUP(D20,Mapping!A:A,Mapping!D:D,0,0)</f>
        <v>Bin</v>
      </c>
      <c r="AF20" t="str">
        <f t="shared" si="1"/>
        <v>OLD</v>
      </c>
    </row>
    <row r="21" spans="1:32" x14ac:dyDescent="0.2">
      <c r="A21" t="s">
        <v>1118</v>
      </c>
      <c r="B21" t="s">
        <v>39</v>
      </c>
      <c r="C21">
        <v>1011813312</v>
      </c>
      <c r="D21" t="s">
        <v>65</v>
      </c>
      <c r="E21" t="s">
        <v>31</v>
      </c>
      <c r="F21" s="1">
        <v>0.67291666666666672</v>
      </c>
      <c r="G21" t="s">
        <v>32</v>
      </c>
      <c r="H21" t="s">
        <v>33</v>
      </c>
      <c r="I21" t="s">
        <v>41</v>
      </c>
      <c r="J21" t="s">
        <v>62</v>
      </c>
      <c r="K21">
        <v>658</v>
      </c>
      <c r="L21">
        <v>0</v>
      </c>
      <c r="M21" t="s">
        <v>36</v>
      </c>
      <c r="N21" t="s">
        <v>37</v>
      </c>
      <c r="O21">
        <v>0</v>
      </c>
      <c r="P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 t="s">
        <v>36</v>
      </c>
      <c r="AC21" t="s">
        <v>43</v>
      </c>
      <c r="AD21" t="str">
        <f t="shared" si="0"/>
        <v>CP</v>
      </c>
      <c r="AE21" t="str">
        <f>_xlfn.XLOOKUP(D21,Mapping!A:A,Mapping!D:D,0,0)</f>
        <v>Bin</v>
      </c>
      <c r="AF21" t="str">
        <f t="shared" si="1"/>
        <v>OLD</v>
      </c>
    </row>
    <row r="22" spans="1:32" x14ac:dyDescent="0.2">
      <c r="A22" t="s">
        <v>1118</v>
      </c>
      <c r="B22" t="s">
        <v>39</v>
      </c>
      <c r="C22">
        <v>1011813322</v>
      </c>
      <c r="D22" t="s">
        <v>66</v>
      </c>
      <c r="E22" t="s">
        <v>31</v>
      </c>
      <c r="F22" s="1">
        <v>0.67291666666666672</v>
      </c>
      <c r="G22" t="s">
        <v>32</v>
      </c>
      <c r="H22" t="s">
        <v>33</v>
      </c>
      <c r="I22" t="s">
        <v>41</v>
      </c>
      <c r="J22" t="s">
        <v>62</v>
      </c>
      <c r="K22">
        <v>64</v>
      </c>
      <c r="L22">
        <v>0</v>
      </c>
      <c r="M22" t="s">
        <v>63</v>
      </c>
      <c r="N22">
        <v>100</v>
      </c>
      <c r="O22">
        <v>0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 t="s">
        <v>36</v>
      </c>
      <c r="AC22" t="s">
        <v>43</v>
      </c>
      <c r="AD22" t="str">
        <f t="shared" si="0"/>
        <v>CP</v>
      </c>
      <c r="AE22" t="str">
        <f>_xlfn.XLOOKUP(D22,Mapping!A:A,Mapping!D:D,0,0)</f>
        <v>Bin</v>
      </c>
      <c r="AF22" t="str">
        <f t="shared" si="1"/>
        <v>OLD</v>
      </c>
    </row>
    <row r="23" spans="1:32" x14ac:dyDescent="0.2">
      <c r="A23" t="s">
        <v>1118</v>
      </c>
      <c r="B23" t="s">
        <v>39</v>
      </c>
      <c r="C23">
        <v>1011813332</v>
      </c>
      <c r="D23" t="s">
        <v>67</v>
      </c>
      <c r="E23" t="s">
        <v>31</v>
      </c>
      <c r="F23" s="1">
        <v>0.67291666666666672</v>
      </c>
      <c r="G23" t="s">
        <v>32</v>
      </c>
      <c r="H23" t="s">
        <v>33</v>
      </c>
      <c r="I23" t="s">
        <v>41</v>
      </c>
      <c r="J23" t="s">
        <v>62</v>
      </c>
      <c r="K23">
        <v>80</v>
      </c>
      <c r="L23">
        <v>0</v>
      </c>
      <c r="M23" t="s">
        <v>36</v>
      </c>
      <c r="N23" t="s">
        <v>37</v>
      </c>
      <c r="O23">
        <v>0</v>
      </c>
      <c r="P23">
        <v>0</v>
      </c>
      <c r="Q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 t="s">
        <v>36</v>
      </c>
      <c r="AC23" t="s">
        <v>43</v>
      </c>
      <c r="AD23" t="str">
        <f t="shared" si="0"/>
        <v>CP</v>
      </c>
      <c r="AE23" t="str">
        <f>_xlfn.XLOOKUP(D23,Mapping!A:A,Mapping!D:D,0,0)</f>
        <v>Bin</v>
      </c>
      <c r="AF23" t="str">
        <f t="shared" si="1"/>
        <v>OLD</v>
      </c>
    </row>
    <row r="24" spans="1:32" x14ac:dyDescent="0.2">
      <c r="A24" t="s">
        <v>1118</v>
      </c>
      <c r="B24" t="s">
        <v>39</v>
      </c>
      <c r="C24">
        <v>1011813342</v>
      </c>
      <c r="D24" t="s">
        <v>68</v>
      </c>
      <c r="E24" t="s">
        <v>31</v>
      </c>
      <c r="F24" s="1">
        <v>0.67291666666666672</v>
      </c>
      <c r="G24" t="s">
        <v>32</v>
      </c>
      <c r="H24" t="s">
        <v>33</v>
      </c>
      <c r="I24" t="s">
        <v>41</v>
      </c>
      <c r="J24" t="s">
        <v>62</v>
      </c>
      <c r="K24">
        <v>117</v>
      </c>
      <c r="L24">
        <v>0</v>
      </c>
      <c r="M24" t="s">
        <v>63</v>
      </c>
      <c r="N24">
        <v>100</v>
      </c>
      <c r="O24">
        <v>0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 t="s">
        <v>36</v>
      </c>
      <c r="AC24" t="s">
        <v>43</v>
      </c>
      <c r="AD24" t="str">
        <f t="shared" si="0"/>
        <v>CP</v>
      </c>
      <c r="AE24" t="str">
        <f>_xlfn.XLOOKUP(D24,Mapping!A:A,Mapping!D:D,0,0)</f>
        <v>Bin</v>
      </c>
      <c r="AF24" t="str">
        <f t="shared" si="1"/>
        <v>OLD</v>
      </c>
    </row>
    <row r="25" spans="1:32" x14ac:dyDescent="0.2">
      <c r="A25" t="s">
        <v>1118</v>
      </c>
      <c r="B25" t="s">
        <v>39</v>
      </c>
      <c r="C25">
        <v>1011813352</v>
      </c>
      <c r="D25" t="s">
        <v>69</v>
      </c>
      <c r="E25" t="s">
        <v>31</v>
      </c>
      <c r="F25" s="1">
        <v>0.67291666666666672</v>
      </c>
      <c r="G25" t="s">
        <v>32</v>
      </c>
      <c r="H25" t="s">
        <v>33</v>
      </c>
      <c r="I25" t="s">
        <v>34</v>
      </c>
      <c r="J25" t="s">
        <v>35</v>
      </c>
      <c r="K25">
        <v>215</v>
      </c>
      <c r="L25">
        <v>0</v>
      </c>
      <c r="M25" t="s">
        <v>36</v>
      </c>
      <c r="N25" t="s">
        <v>37</v>
      </c>
      <c r="O25">
        <v>0</v>
      </c>
      <c r="P25">
        <v>0</v>
      </c>
      <c r="Q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 t="s">
        <v>36</v>
      </c>
      <c r="AC25" t="s">
        <v>43</v>
      </c>
      <c r="AD25" t="str">
        <f t="shared" si="0"/>
        <v>CP</v>
      </c>
      <c r="AE25" t="str">
        <f>_xlfn.XLOOKUP(D25,Mapping!A:A,Mapping!D:D,0,0)</f>
        <v>Bin</v>
      </c>
      <c r="AF25" t="str">
        <f t="shared" si="1"/>
        <v>OLD</v>
      </c>
    </row>
    <row r="26" spans="1:32" x14ac:dyDescent="0.2">
      <c r="A26" t="s">
        <v>1118</v>
      </c>
      <c r="B26" t="s">
        <v>39</v>
      </c>
      <c r="C26">
        <v>1011813362</v>
      </c>
      <c r="D26" t="s">
        <v>70</v>
      </c>
      <c r="E26" t="s">
        <v>31</v>
      </c>
      <c r="F26" s="1">
        <v>0.67291666666666672</v>
      </c>
      <c r="G26" t="s">
        <v>32</v>
      </c>
      <c r="H26" t="s">
        <v>33</v>
      </c>
      <c r="I26" t="s">
        <v>41</v>
      </c>
      <c r="J26" t="s">
        <v>42</v>
      </c>
      <c r="K26">
        <v>539</v>
      </c>
      <c r="L26">
        <v>0</v>
      </c>
      <c r="M26" t="s">
        <v>36</v>
      </c>
      <c r="N26" t="s">
        <v>37</v>
      </c>
      <c r="O26">
        <v>0</v>
      </c>
      <c r="P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 t="s">
        <v>36</v>
      </c>
      <c r="AC26" t="s">
        <v>43</v>
      </c>
      <c r="AD26" t="str">
        <f t="shared" si="0"/>
        <v>CP</v>
      </c>
      <c r="AE26" t="str">
        <f>_xlfn.XLOOKUP(D26,Mapping!A:A,Mapping!D:D,0,0)</f>
        <v>Bin</v>
      </c>
      <c r="AF26" t="str">
        <f t="shared" si="1"/>
        <v>OLD</v>
      </c>
    </row>
    <row r="27" spans="1:32" x14ac:dyDescent="0.2">
      <c r="A27" t="s">
        <v>1118</v>
      </c>
      <c r="B27" t="s">
        <v>39</v>
      </c>
      <c r="C27">
        <v>1011813372</v>
      </c>
      <c r="D27" t="s">
        <v>71</v>
      </c>
      <c r="E27" t="s">
        <v>31</v>
      </c>
      <c r="F27" s="1">
        <v>0.67291666666666672</v>
      </c>
      <c r="G27" t="s">
        <v>32</v>
      </c>
      <c r="H27" t="s">
        <v>33</v>
      </c>
      <c r="I27" t="s">
        <v>41</v>
      </c>
      <c r="J27" t="s">
        <v>42</v>
      </c>
      <c r="K27">
        <v>539</v>
      </c>
      <c r="L27">
        <v>0</v>
      </c>
      <c r="M27" t="s">
        <v>36</v>
      </c>
      <c r="N27" t="s">
        <v>37</v>
      </c>
      <c r="O27">
        <v>0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 t="s">
        <v>36</v>
      </c>
      <c r="AC27" t="s">
        <v>43</v>
      </c>
      <c r="AD27" t="str">
        <f t="shared" si="0"/>
        <v>CP</v>
      </c>
      <c r="AE27" t="str">
        <f>_xlfn.XLOOKUP(D27,Mapping!A:A,Mapping!D:D,0,0)</f>
        <v>Bin</v>
      </c>
      <c r="AF27" t="str">
        <f t="shared" si="1"/>
        <v>OLD</v>
      </c>
    </row>
    <row r="28" spans="1:32" x14ac:dyDescent="0.2">
      <c r="A28" t="s">
        <v>1118</v>
      </c>
      <c r="B28" t="s">
        <v>29</v>
      </c>
      <c r="C28">
        <v>1011813382</v>
      </c>
      <c r="D28" t="s">
        <v>72</v>
      </c>
      <c r="E28" t="s">
        <v>31</v>
      </c>
      <c r="F28" s="1">
        <v>0.67291666666666672</v>
      </c>
      <c r="G28" t="s">
        <v>32</v>
      </c>
      <c r="H28" t="s">
        <v>33</v>
      </c>
      <c r="I28" t="s">
        <v>41</v>
      </c>
      <c r="J28" t="s">
        <v>42</v>
      </c>
      <c r="K28">
        <v>539</v>
      </c>
      <c r="L28">
        <v>0</v>
      </c>
      <c r="M28" t="s">
        <v>36</v>
      </c>
      <c r="N28" t="s">
        <v>37</v>
      </c>
      <c r="O28">
        <v>91</v>
      </c>
      <c r="P28">
        <v>4</v>
      </c>
      <c r="Q28">
        <v>4.3956</v>
      </c>
      <c r="R28">
        <v>0</v>
      </c>
      <c r="S28">
        <v>0.35</v>
      </c>
      <c r="T28">
        <v>3.8690000000000002</v>
      </c>
      <c r="U28">
        <v>8.7999999999999995E-2</v>
      </c>
      <c r="V28">
        <v>0</v>
      </c>
      <c r="W28">
        <v>1</v>
      </c>
      <c r="X28">
        <v>0</v>
      </c>
      <c r="Y28" t="s">
        <v>36</v>
      </c>
      <c r="Z28">
        <v>91</v>
      </c>
      <c r="AA28">
        <v>77</v>
      </c>
      <c r="AB28">
        <v>11</v>
      </c>
      <c r="AC28" t="s">
        <v>43</v>
      </c>
      <c r="AD28" t="str">
        <f t="shared" si="0"/>
        <v>CP</v>
      </c>
      <c r="AE28" t="str">
        <f>_xlfn.XLOOKUP(D28,Mapping!A:A,Mapping!D:D,0,0)</f>
        <v>AI</v>
      </c>
      <c r="AF28" t="str">
        <f t="shared" si="1"/>
        <v>OLD</v>
      </c>
    </row>
    <row r="29" spans="1:32" x14ac:dyDescent="0.2">
      <c r="A29" t="s">
        <v>1118</v>
      </c>
      <c r="B29" t="s">
        <v>29</v>
      </c>
      <c r="C29">
        <v>1011813392</v>
      </c>
      <c r="D29" t="s">
        <v>73</v>
      </c>
      <c r="E29" t="s">
        <v>31</v>
      </c>
      <c r="F29" s="1">
        <v>0.67291666666666672</v>
      </c>
      <c r="G29" t="s">
        <v>32</v>
      </c>
      <c r="H29" t="s">
        <v>33</v>
      </c>
      <c r="I29" t="s">
        <v>41</v>
      </c>
      <c r="J29" t="s">
        <v>42</v>
      </c>
      <c r="K29">
        <v>539</v>
      </c>
      <c r="L29">
        <v>0</v>
      </c>
      <c r="M29" t="s">
        <v>36</v>
      </c>
      <c r="N29" t="s">
        <v>37</v>
      </c>
      <c r="O29">
        <v>51</v>
      </c>
      <c r="P29">
        <v>3</v>
      </c>
      <c r="Q29">
        <v>5.8823499999999997</v>
      </c>
      <c r="R29">
        <v>0</v>
      </c>
      <c r="S29">
        <v>0.21</v>
      </c>
      <c r="T29">
        <v>4.0369999999999999</v>
      </c>
      <c r="U29">
        <v>6.9000000000000006E-2</v>
      </c>
      <c r="V29">
        <v>0</v>
      </c>
      <c r="W29">
        <v>1</v>
      </c>
      <c r="X29">
        <v>0</v>
      </c>
      <c r="Y29" t="s">
        <v>36</v>
      </c>
      <c r="Z29">
        <v>51</v>
      </c>
      <c r="AA29">
        <v>45</v>
      </c>
      <c r="AB29">
        <v>2</v>
      </c>
      <c r="AC29" t="s">
        <v>43</v>
      </c>
      <c r="AD29" t="str">
        <f t="shared" si="0"/>
        <v>CP</v>
      </c>
      <c r="AE29" t="str">
        <f>_xlfn.XLOOKUP(D29,Mapping!A:A,Mapping!D:D,0,0)</f>
        <v>Keyword - Preroll</v>
      </c>
      <c r="AF29" t="str">
        <f t="shared" si="1"/>
        <v>OLD</v>
      </c>
    </row>
    <row r="30" spans="1:32" x14ac:dyDescent="0.2">
      <c r="A30" t="s">
        <v>1118</v>
      </c>
      <c r="B30" t="s">
        <v>39</v>
      </c>
      <c r="C30">
        <v>1011813402</v>
      </c>
      <c r="D30" t="s">
        <v>74</v>
      </c>
      <c r="E30" t="s">
        <v>31</v>
      </c>
      <c r="F30" s="1">
        <v>0.67291666666666672</v>
      </c>
      <c r="G30" t="s">
        <v>32</v>
      </c>
      <c r="H30" t="s">
        <v>33</v>
      </c>
      <c r="I30" t="s">
        <v>34</v>
      </c>
      <c r="J30" t="s">
        <v>35</v>
      </c>
      <c r="K30">
        <v>240</v>
      </c>
      <c r="L30">
        <v>0</v>
      </c>
      <c r="M30" t="s">
        <v>36</v>
      </c>
      <c r="N30" t="s">
        <v>37</v>
      </c>
      <c r="O30">
        <v>0</v>
      </c>
      <c r="P30">
        <v>0</v>
      </c>
      <c r="Q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 t="s">
        <v>36</v>
      </c>
      <c r="AC30" t="s">
        <v>43</v>
      </c>
      <c r="AD30" t="str">
        <f t="shared" si="0"/>
        <v>CP</v>
      </c>
      <c r="AE30" t="str">
        <f>_xlfn.XLOOKUP(D30,Mapping!A:A,Mapping!D:D,0,0)</f>
        <v>Bin</v>
      </c>
      <c r="AF30" t="str">
        <f t="shared" si="1"/>
        <v>OLD</v>
      </c>
    </row>
    <row r="31" spans="1:32" x14ac:dyDescent="0.2">
      <c r="A31" t="s">
        <v>1118</v>
      </c>
      <c r="B31" t="s">
        <v>39</v>
      </c>
      <c r="C31">
        <v>1011813412</v>
      </c>
      <c r="D31" t="s">
        <v>75</v>
      </c>
      <c r="E31" t="s">
        <v>31</v>
      </c>
      <c r="F31" s="1">
        <v>0.67291666666666672</v>
      </c>
      <c r="G31" t="s">
        <v>32</v>
      </c>
      <c r="H31" t="s">
        <v>33</v>
      </c>
      <c r="I31" t="s">
        <v>34</v>
      </c>
      <c r="J31" t="s">
        <v>35</v>
      </c>
      <c r="K31">
        <v>215</v>
      </c>
      <c r="L31">
        <v>0</v>
      </c>
      <c r="M31" t="s">
        <v>36</v>
      </c>
      <c r="N31" t="s">
        <v>37</v>
      </c>
      <c r="O31">
        <v>0</v>
      </c>
      <c r="P31">
        <v>0</v>
      </c>
      <c r="Q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 t="s">
        <v>36</v>
      </c>
      <c r="AC31" t="s">
        <v>43</v>
      </c>
      <c r="AD31" t="str">
        <f t="shared" si="0"/>
        <v>CP</v>
      </c>
      <c r="AE31" t="str">
        <f>_xlfn.XLOOKUP(D31,Mapping!A:A,Mapping!D:D,0,0)</f>
        <v>Bin</v>
      </c>
      <c r="AF31" t="str">
        <f t="shared" si="1"/>
        <v>OLD</v>
      </c>
    </row>
    <row r="32" spans="1:32" x14ac:dyDescent="0.2">
      <c r="A32" t="s">
        <v>1118</v>
      </c>
      <c r="B32" t="s">
        <v>39</v>
      </c>
      <c r="C32">
        <v>1011813422</v>
      </c>
      <c r="D32" t="s">
        <v>76</v>
      </c>
      <c r="E32" t="s">
        <v>31</v>
      </c>
      <c r="F32" s="1">
        <v>0.67291666666666672</v>
      </c>
      <c r="G32" t="s">
        <v>32</v>
      </c>
      <c r="H32" t="s">
        <v>33</v>
      </c>
      <c r="I32" t="s">
        <v>41</v>
      </c>
      <c r="J32" t="s">
        <v>42</v>
      </c>
      <c r="K32">
        <v>539</v>
      </c>
      <c r="L32">
        <v>0</v>
      </c>
      <c r="M32" t="s">
        <v>36</v>
      </c>
      <c r="N32" t="s">
        <v>37</v>
      </c>
      <c r="O32">
        <v>0</v>
      </c>
      <c r="P32">
        <v>0</v>
      </c>
      <c r="Q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 t="s">
        <v>36</v>
      </c>
      <c r="AC32" t="s">
        <v>43</v>
      </c>
      <c r="AD32" t="str">
        <f t="shared" si="0"/>
        <v>CP</v>
      </c>
      <c r="AE32" t="str">
        <f>_xlfn.XLOOKUP(D32,Mapping!A:A,Mapping!D:D,0,0)</f>
        <v>Bin</v>
      </c>
      <c r="AF32" t="str">
        <f t="shared" si="1"/>
        <v>OLD</v>
      </c>
    </row>
    <row r="33" spans="1:32" x14ac:dyDescent="0.2">
      <c r="A33" t="s">
        <v>1118</v>
      </c>
      <c r="B33" t="s">
        <v>39</v>
      </c>
      <c r="C33">
        <v>1011813432</v>
      </c>
      <c r="D33" t="s">
        <v>77</v>
      </c>
      <c r="E33" t="s">
        <v>31</v>
      </c>
      <c r="F33" s="1">
        <v>0.67291666666666672</v>
      </c>
      <c r="G33" t="s">
        <v>32</v>
      </c>
      <c r="H33" t="s">
        <v>33</v>
      </c>
      <c r="I33" t="s">
        <v>41</v>
      </c>
      <c r="J33" t="s">
        <v>42</v>
      </c>
      <c r="K33">
        <v>539</v>
      </c>
      <c r="L33">
        <v>0</v>
      </c>
      <c r="M33" t="s">
        <v>36</v>
      </c>
      <c r="N33" t="s">
        <v>37</v>
      </c>
      <c r="O33">
        <v>0</v>
      </c>
      <c r="P33">
        <v>0</v>
      </c>
      <c r="Q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 t="s">
        <v>36</v>
      </c>
      <c r="AC33" t="s">
        <v>43</v>
      </c>
      <c r="AD33" t="str">
        <f t="shared" si="0"/>
        <v>CP</v>
      </c>
      <c r="AE33" t="str">
        <f>_xlfn.XLOOKUP(D33,Mapping!A:A,Mapping!D:D,0,0)</f>
        <v>Bin</v>
      </c>
      <c r="AF33" t="str">
        <f t="shared" si="1"/>
        <v>OLD</v>
      </c>
    </row>
    <row r="34" spans="1:32" x14ac:dyDescent="0.2">
      <c r="A34" t="s">
        <v>1118</v>
      </c>
      <c r="B34" t="s">
        <v>39</v>
      </c>
      <c r="C34">
        <v>1011822352</v>
      </c>
      <c r="D34" t="s">
        <v>78</v>
      </c>
      <c r="E34" t="s">
        <v>31</v>
      </c>
      <c r="F34" s="1">
        <v>0.38611111111111113</v>
      </c>
      <c r="G34" t="s">
        <v>32</v>
      </c>
      <c r="H34" t="s">
        <v>33</v>
      </c>
      <c r="I34" t="s">
        <v>41</v>
      </c>
      <c r="J34" t="s">
        <v>42</v>
      </c>
      <c r="K34">
        <v>2</v>
      </c>
      <c r="L34">
        <v>0</v>
      </c>
      <c r="M34" t="s">
        <v>36</v>
      </c>
      <c r="N34" t="s">
        <v>37</v>
      </c>
      <c r="O34">
        <v>0</v>
      </c>
      <c r="P34">
        <v>0</v>
      </c>
      <c r="Q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 t="s">
        <v>36</v>
      </c>
      <c r="AC34" t="s">
        <v>43</v>
      </c>
      <c r="AD34" t="str">
        <f t="shared" si="0"/>
        <v>CP</v>
      </c>
      <c r="AE34" t="str">
        <f>_xlfn.XLOOKUP(D34,Mapping!A:A,Mapping!D:D,0,0)</f>
        <v>Bin</v>
      </c>
      <c r="AF34" t="str">
        <f t="shared" si="1"/>
        <v>OLD</v>
      </c>
    </row>
    <row r="35" spans="1:32" x14ac:dyDescent="0.2">
      <c r="A35" t="s">
        <v>1118</v>
      </c>
      <c r="B35" t="s">
        <v>39</v>
      </c>
      <c r="C35">
        <v>1011822362</v>
      </c>
      <c r="D35" t="s">
        <v>79</v>
      </c>
      <c r="E35" t="s">
        <v>31</v>
      </c>
      <c r="F35" s="1">
        <v>0.38611111111111113</v>
      </c>
      <c r="G35" t="s">
        <v>32</v>
      </c>
      <c r="H35" t="s">
        <v>33</v>
      </c>
      <c r="I35" t="s">
        <v>41</v>
      </c>
      <c r="J35" t="s">
        <v>42</v>
      </c>
      <c r="K35">
        <v>2</v>
      </c>
      <c r="L35">
        <v>0</v>
      </c>
      <c r="M35" t="s">
        <v>36</v>
      </c>
      <c r="N35" t="s">
        <v>37</v>
      </c>
      <c r="O35">
        <v>0</v>
      </c>
      <c r="P35">
        <v>0</v>
      </c>
      <c r="Q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 t="s">
        <v>36</v>
      </c>
      <c r="AC35" t="s">
        <v>43</v>
      </c>
      <c r="AD35" t="str">
        <f t="shared" si="0"/>
        <v>CP</v>
      </c>
      <c r="AE35" t="str">
        <f>_xlfn.XLOOKUP(D35,Mapping!A:A,Mapping!D:D,0,0)</f>
        <v>Bin</v>
      </c>
      <c r="AF35" t="str">
        <f t="shared" si="1"/>
        <v>OLD</v>
      </c>
    </row>
    <row r="36" spans="1:32" x14ac:dyDescent="0.2">
      <c r="A36" t="s">
        <v>1118</v>
      </c>
      <c r="B36" t="s">
        <v>39</v>
      </c>
      <c r="C36">
        <v>1011822372</v>
      </c>
      <c r="D36" t="s">
        <v>80</v>
      </c>
      <c r="E36" t="s">
        <v>31</v>
      </c>
      <c r="F36" s="1">
        <v>0.38611111111111113</v>
      </c>
      <c r="G36" t="s">
        <v>32</v>
      </c>
      <c r="H36" t="s">
        <v>33</v>
      </c>
      <c r="I36" t="s">
        <v>41</v>
      </c>
      <c r="J36" t="s">
        <v>42</v>
      </c>
      <c r="K36">
        <v>2</v>
      </c>
      <c r="L36">
        <v>0</v>
      </c>
      <c r="M36" t="s">
        <v>36</v>
      </c>
      <c r="N36" t="s">
        <v>37</v>
      </c>
      <c r="O36">
        <v>0</v>
      </c>
      <c r="P36">
        <v>0</v>
      </c>
      <c r="Q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 t="s">
        <v>36</v>
      </c>
      <c r="AC36" t="s">
        <v>43</v>
      </c>
      <c r="AD36" t="str">
        <f t="shared" si="0"/>
        <v>CP</v>
      </c>
      <c r="AE36" t="str">
        <f>_xlfn.XLOOKUP(D36,Mapping!A:A,Mapping!D:D,0,0)</f>
        <v>Bin</v>
      </c>
      <c r="AF36" t="str">
        <f t="shared" si="1"/>
        <v>OLD</v>
      </c>
    </row>
    <row r="37" spans="1:32" x14ac:dyDescent="0.2">
      <c r="A37" t="s">
        <v>1118</v>
      </c>
      <c r="B37" t="s">
        <v>39</v>
      </c>
      <c r="C37">
        <v>1011822382</v>
      </c>
      <c r="D37" t="s">
        <v>81</v>
      </c>
      <c r="E37" t="s">
        <v>31</v>
      </c>
      <c r="F37" s="1">
        <v>0.38611111111111113</v>
      </c>
      <c r="G37" t="s">
        <v>32</v>
      </c>
      <c r="H37" t="s">
        <v>33</v>
      </c>
      <c r="I37" t="s">
        <v>41</v>
      </c>
      <c r="J37" t="s">
        <v>42</v>
      </c>
      <c r="K37">
        <v>2</v>
      </c>
      <c r="L37">
        <v>0</v>
      </c>
      <c r="M37" t="s">
        <v>36</v>
      </c>
      <c r="N37" t="s">
        <v>37</v>
      </c>
      <c r="O37">
        <v>0</v>
      </c>
      <c r="P37">
        <v>0</v>
      </c>
      <c r="Q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 t="s">
        <v>36</v>
      </c>
      <c r="AC37" t="s">
        <v>43</v>
      </c>
      <c r="AD37" t="str">
        <f t="shared" si="0"/>
        <v>CP</v>
      </c>
      <c r="AE37" t="str">
        <f>_xlfn.XLOOKUP(D37,Mapping!A:A,Mapping!D:D,0,0)</f>
        <v>Bin</v>
      </c>
      <c r="AF37" t="str">
        <f t="shared" si="1"/>
        <v>OLD</v>
      </c>
    </row>
    <row r="38" spans="1:32" x14ac:dyDescent="0.2">
      <c r="A38" t="s">
        <v>1118</v>
      </c>
      <c r="B38" t="s">
        <v>39</v>
      </c>
      <c r="C38">
        <v>1011822392</v>
      </c>
      <c r="D38" t="s">
        <v>82</v>
      </c>
      <c r="E38" t="s">
        <v>31</v>
      </c>
      <c r="F38" s="1">
        <v>0.67291666666666672</v>
      </c>
      <c r="G38" t="s">
        <v>32</v>
      </c>
      <c r="H38" t="s">
        <v>33</v>
      </c>
      <c r="I38" t="s">
        <v>41</v>
      </c>
      <c r="J38" t="s">
        <v>62</v>
      </c>
      <c r="K38">
        <v>72</v>
      </c>
      <c r="L38">
        <v>0</v>
      </c>
      <c r="M38" t="s">
        <v>63</v>
      </c>
      <c r="N38">
        <v>100</v>
      </c>
      <c r="O38">
        <v>0</v>
      </c>
      <c r="P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 t="s">
        <v>36</v>
      </c>
      <c r="AC38" t="s">
        <v>43</v>
      </c>
      <c r="AD38" t="str">
        <f t="shared" si="0"/>
        <v>CP</v>
      </c>
      <c r="AE38" t="str">
        <f>_xlfn.XLOOKUP(D38,Mapping!A:A,Mapping!D:D,0,0)</f>
        <v>Bin</v>
      </c>
      <c r="AF38" t="str">
        <f t="shared" si="1"/>
        <v>OLD</v>
      </c>
    </row>
    <row r="39" spans="1:32" x14ac:dyDescent="0.2">
      <c r="A39" t="s">
        <v>1118</v>
      </c>
      <c r="B39" t="s">
        <v>39</v>
      </c>
      <c r="C39">
        <v>1011822412</v>
      </c>
      <c r="D39" t="s">
        <v>83</v>
      </c>
      <c r="E39" t="s">
        <v>31</v>
      </c>
      <c r="F39" s="1">
        <v>0.67291666666666672</v>
      </c>
      <c r="G39" t="s">
        <v>32</v>
      </c>
      <c r="H39" t="s">
        <v>33</v>
      </c>
      <c r="I39" t="s">
        <v>34</v>
      </c>
      <c r="J39" t="s">
        <v>84</v>
      </c>
      <c r="K39">
        <v>140</v>
      </c>
      <c r="L39">
        <v>0</v>
      </c>
      <c r="M39" t="s">
        <v>36</v>
      </c>
      <c r="N39" t="s">
        <v>37</v>
      </c>
      <c r="O39">
        <v>0</v>
      </c>
      <c r="P39">
        <v>0</v>
      </c>
      <c r="Q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 t="s">
        <v>36</v>
      </c>
      <c r="AC39" t="s">
        <v>43</v>
      </c>
      <c r="AD39" t="str">
        <f t="shared" si="0"/>
        <v>CP</v>
      </c>
      <c r="AE39" t="str">
        <f>_xlfn.XLOOKUP(D39,Mapping!A:A,Mapping!D:D,0,0)</f>
        <v>Bin</v>
      </c>
      <c r="AF39" t="str">
        <f t="shared" si="1"/>
        <v>OLD</v>
      </c>
    </row>
    <row r="40" spans="1:32" x14ac:dyDescent="0.2">
      <c r="A40" t="s">
        <v>1118</v>
      </c>
      <c r="B40" t="s">
        <v>39</v>
      </c>
      <c r="C40">
        <v>1011822422</v>
      </c>
      <c r="D40" t="s">
        <v>85</v>
      </c>
      <c r="E40" t="s">
        <v>31</v>
      </c>
      <c r="F40" s="1">
        <v>0.67291666666666672</v>
      </c>
      <c r="G40" t="s">
        <v>32</v>
      </c>
      <c r="H40" t="s">
        <v>33</v>
      </c>
      <c r="I40" t="s">
        <v>41</v>
      </c>
      <c r="J40" t="s">
        <v>62</v>
      </c>
      <c r="K40">
        <v>468</v>
      </c>
      <c r="L40">
        <v>0</v>
      </c>
      <c r="M40" t="s">
        <v>36</v>
      </c>
      <c r="N40" t="s">
        <v>37</v>
      </c>
      <c r="O40">
        <v>0</v>
      </c>
      <c r="P40">
        <v>0</v>
      </c>
      <c r="Q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 t="s">
        <v>36</v>
      </c>
      <c r="AC40" t="s">
        <v>43</v>
      </c>
      <c r="AD40" t="str">
        <f t="shared" si="0"/>
        <v>CP</v>
      </c>
      <c r="AE40" t="str">
        <f>_xlfn.XLOOKUP(D40,Mapping!A:A,Mapping!D:D,0,0)</f>
        <v>Bin</v>
      </c>
      <c r="AF40" t="str">
        <f t="shared" si="1"/>
        <v>OLD</v>
      </c>
    </row>
    <row r="41" spans="1:32" x14ac:dyDescent="0.2">
      <c r="A41" t="s">
        <v>1118</v>
      </c>
      <c r="B41" t="s">
        <v>39</v>
      </c>
      <c r="C41">
        <v>1011822432</v>
      </c>
      <c r="D41" t="s">
        <v>86</v>
      </c>
      <c r="E41" t="s">
        <v>31</v>
      </c>
      <c r="F41" s="1">
        <v>0.67291666666666672</v>
      </c>
      <c r="G41" t="s">
        <v>32</v>
      </c>
      <c r="H41" t="s">
        <v>33</v>
      </c>
      <c r="I41" t="s">
        <v>41</v>
      </c>
      <c r="J41" t="s">
        <v>84</v>
      </c>
      <c r="K41">
        <v>468</v>
      </c>
      <c r="L41">
        <v>0</v>
      </c>
      <c r="M41" t="s">
        <v>36</v>
      </c>
      <c r="N41" t="s">
        <v>37</v>
      </c>
      <c r="O41">
        <v>0</v>
      </c>
      <c r="P41">
        <v>0</v>
      </c>
      <c r="Q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 t="s">
        <v>36</v>
      </c>
      <c r="AC41" t="s">
        <v>43</v>
      </c>
      <c r="AD41" t="str">
        <f t="shared" si="0"/>
        <v>CP</v>
      </c>
      <c r="AE41" t="str">
        <f>_xlfn.XLOOKUP(D41,Mapping!A:A,Mapping!D:D,0,0)</f>
        <v>Bin</v>
      </c>
      <c r="AF41" t="str">
        <f t="shared" si="1"/>
        <v>OLD</v>
      </c>
    </row>
    <row r="42" spans="1:32" x14ac:dyDescent="0.2">
      <c r="A42" t="s">
        <v>1118</v>
      </c>
      <c r="B42" t="s">
        <v>39</v>
      </c>
      <c r="C42">
        <v>1011822442</v>
      </c>
      <c r="D42" t="s">
        <v>87</v>
      </c>
      <c r="E42" t="s">
        <v>31</v>
      </c>
      <c r="F42" s="1">
        <v>0.67291666666666672</v>
      </c>
      <c r="G42" t="s">
        <v>32</v>
      </c>
      <c r="H42" t="s">
        <v>33</v>
      </c>
      <c r="I42" t="s">
        <v>34</v>
      </c>
      <c r="J42" t="s">
        <v>84</v>
      </c>
      <c r="K42">
        <v>88</v>
      </c>
      <c r="L42">
        <v>0</v>
      </c>
      <c r="M42" t="s">
        <v>63</v>
      </c>
      <c r="N42">
        <v>500</v>
      </c>
      <c r="O42">
        <v>0</v>
      </c>
      <c r="P42">
        <v>0</v>
      </c>
      <c r="Q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 t="s">
        <v>36</v>
      </c>
      <c r="AC42" t="s">
        <v>43</v>
      </c>
      <c r="AD42" t="str">
        <f t="shared" si="0"/>
        <v>CP</v>
      </c>
      <c r="AE42" t="str">
        <f>_xlfn.XLOOKUP(D42,Mapping!A:A,Mapping!D:D,0,0)</f>
        <v>Bin</v>
      </c>
      <c r="AF42" t="str">
        <f t="shared" si="1"/>
        <v>OLD</v>
      </c>
    </row>
    <row r="43" spans="1:32" x14ac:dyDescent="0.2">
      <c r="A43" t="s">
        <v>1118</v>
      </c>
      <c r="B43" t="s">
        <v>39</v>
      </c>
      <c r="C43">
        <v>1011822452</v>
      </c>
      <c r="D43" t="s">
        <v>88</v>
      </c>
      <c r="E43" t="s">
        <v>31</v>
      </c>
      <c r="F43" s="1">
        <v>0.67291666666666672</v>
      </c>
      <c r="G43" t="s">
        <v>32</v>
      </c>
      <c r="H43" t="s">
        <v>33</v>
      </c>
      <c r="I43" t="s">
        <v>34</v>
      </c>
      <c r="J43" t="s">
        <v>84</v>
      </c>
      <c r="K43">
        <v>88</v>
      </c>
      <c r="L43">
        <v>0</v>
      </c>
      <c r="M43" t="s">
        <v>63</v>
      </c>
      <c r="N43">
        <v>500</v>
      </c>
      <c r="O43">
        <v>0</v>
      </c>
      <c r="P43">
        <v>0</v>
      </c>
      <c r="Q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 t="s">
        <v>36</v>
      </c>
      <c r="AC43" t="s">
        <v>43</v>
      </c>
      <c r="AD43" t="str">
        <f t="shared" si="0"/>
        <v>CP</v>
      </c>
      <c r="AE43" t="str">
        <f>_xlfn.XLOOKUP(D43,Mapping!A:A,Mapping!D:D,0,0)</f>
        <v>Bin</v>
      </c>
      <c r="AF43" t="str">
        <f t="shared" si="1"/>
        <v>OLD</v>
      </c>
    </row>
    <row r="44" spans="1:32" x14ac:dyDescent="0.2">
      <c r="A44" t="s">
        <v>1118</v>
      </c>
      <c r="B44" t="s">
        <v>39</v>
      </c>
      <c r="C44">
        <v>1011822462</v>
      </c>
      <c r="D44" t="s">
        <v>89</v>
      </c>
      <c r="E44" t="s">
        <v>31</v>
      </c>
      <c r="F44" s="1">
        <v>0.67291666666666672</v>
      </c>
      <c r="G44" t="s">
        <v>32</v>
      </c>
      <c r="H44" t="s">
        <v>33</v>
      </c>
      <c r="I44" t="s">
        <v>41</v>
      </c>
      <c r="J44" t="s">
        <v>84</v>
      </c>
      <c r="K44">
        <v>72</v>
      </c>
      <c r="L44">
        <v>0</v>
      </c>
      <c r="M44" t="s">
        <v>63</v>
      </c>
      <c r="N44">
        <v>100</v>
      </c>
      <c r="O44">
        <v>0</v>
      </c>
      <c r="P44">
        <v>0</v>
      </c>
      <c r="Q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 t="s">
        <v>36</v>
      </c>
      <c r="AC44" t="s">
        <v>43</v>
      </c>
      <c r="AD44" t="str">
        <f t="shared" si="0"/>
        <v>CP</v>
      </c>
      <c r="AE44" t="str">
        <f>_xlfn.XLOOKUP(D44,Mapping!A:A,Mapping!D:D,0,0)</f>
        <v>Bin</v>
      </c>
      <c r="AF44" t="str">
        <f t="shared" si="1"/>
        <v>OLD</v>
      </c>
    </row>
    <row r="45" spans="1:32" x14ac:dyDescent="0.2">
      <c r="A45" t="s">
        <v>1118</v>
      </c>
      <c r="B45" t="s">
        <v>39</v>
      </c>
      <c r="C45">
        <v>1011822472</v>
      </c>
      <c r="D45" t="s">
        <v>90</v>
      </c>
      <c r="E45" t="s">
        <v>31</v>
      </c>
      <c r="F45" s="1">
        <v>0.67291666666666672</v>
      </c>
      <c r="G45" t="s">
        <v>32</v>
      </c>
      <c r="H45" t="s">
        <v>33</v>
      </c>
      <c r="I45" t="s">
        <v>41</v>
      </c>
      <c r="J45" t="s">
        <v>62</v>
      </c>
      <c r="K45">
        <v>468</v>
      </c>
      <c r="L45">
        <v>0</v>
      </c>
      <c r="M45" t="s">
        <v>36</v>
      </c>
      <c r="N45" t="s">
        <v>37</v>
      </c>
      <c r="O45">
        <v>0</v>
      </c>
      <c r="P45">
        <v>0</v>
      </c>
      <c r="Q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 t="s">
        <v>36</v>
      </c>
      <c r="AC45" t="s">
        <v>43</v>
      </c>
      <c r="AD45" t="str">
        <f t="shared" si="0"/>
        <v>CP</v>
      </c>
      <c r="AE45" t="str">
        <f>_xlfn.XLOOKUP(D45,Mapping!A:A,Mapping!D:D,0,0)</f>
        <v>Bin</v>
      </c>
      <c r="AF45" t="str">
        <f t="shared" si="1"/>
        <v>OLD</v>
      </c>
    </row>
    <row r="46" spans="1:32" x14ac:dyDescent="0.2">
      <c r="A46" t="s">
        <v>1118</v>
      </c>
      <c r="B46" t="s">
        <v>39</v>
      </c>
      <c r="C46">
        <v>1011822482</v>
      </c>
      <c r="D46" t="s">
        <v>91</v>
      </c>
      <c r="E46" t="s">
        <v>31</v>
      </c>
      <c r="F46" s="1">
        <v>0.67291666666666672</v>
      </c>
      <c r="G46" t="s">
        <v>32</v>
      </c>
      <c r="H46" t="s">
        <v>33</v>
      </c>
      <c r="I46" t="s">
        <v>34</v>
      </c>
      <c r="J46" t="s">
        <v>84</v>
      </c>
      <c r="K46">
        <v>268</v>
      </c>
      <c r="L46">
        <v>0</v>
      </c>
      <c r="M46" t="s">
        <v>36</v>
      </c>
      <c r="N46" t="s">
        <v>37</v>
      </c>
      <c r="O46">
        <v>0</v>
      </c>
      <c r="P46">
        <v>0</v>
      </c>
      <c r="Q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 t="s">
        <v>36</v>
      </c>
      <c r="AC46" t="s">
        <v>43</v>
      </c>
      <c r="AD46" t="str">
        <f t="shared" si="0"/>
        <v>CP</v>
      </c>
      <c r="AE46" t="str">
        <f>_xlfn.XLOOKUP(D46,Mapping!A:A,Mapping!D:D,0,0)</f>
        <v>Bin</v>
      </c>
      <c r="AF46" t="str">
        <f t="shared" si="1"/>
        <v>OLD</v>
      </c>
    </row>
    <row r="47" spans="1:32" x14ac:dyDescent="0.2">
      <c r="A47" t="s">
        <v>1118</v>
      </c>
      <c r="B47" t="s">
        <v>39</v>
      </c>
      <c r="C47">
        <v>1011822492</v>
      </c>
      <c r="D47" t="s">
        <v>92</v>
      </c>
      <c r="E47" t="s">
        <v>31</v>
      </c>
      <c r="F47" s="1">
        <v>0.67291666666666672</v>
      </c>
      <c r="G47" t="s">
        <v>32</v>
      </c>
      <c r="H47" t="s">
        <v>33</v>
      </c>
      <c r="I47" t="s">
        <v>41</v>
      </c>
      <c r="J47" t="s">
        <v>84</v>
      </c>
      <c r="K47">
        <v>72</v>
      </c>
      <c r="L47">
        <v>0</v>
      </c>
      <c r="M47" t="s">
        <v>36</v>
      </c>
      <c r="N47" t="s">
        <v>37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 t="s">
        <v>36</v>
      </c>
      <c r="AC47" t="s">
        <v>43</v>
      </c>
      <c r="AD47" t="str">
        <f t="shared" si="0"/>
        <v>CP</v>
      </c>
      <c r="AE47" t="str">
        <f>_xlfn.XLOOKUP(D47,Mapping!A:A,Mapping!D:D,0,0)</f>
        <v>Bin</v>
      </c>
      <c r="AF47" t="str">
        <f t="shared" si="1"/>
        <v>OLD</v>
      </c>
    </row>
    <row r="48" spans="1:32" x14ac:dyDescent="0.2">
      <c r="A48" t="s">
        <v>1118</v>
      </c>
      <c r="B48" t="s">
        <v>39</v>
      </c>
      <c r="C48">
        <v>1011822502</v>
      </c>
      <c r="D48" t="s">
        <v>93</v>
      </c>
      <c r="E48" t="s">
        <v>31</v>
      </c>
      <c r="F48" s="1">
        <v>0.67291666666666672</v>
      </c>
      <c r="G48" t="s">
        <v>32</v>
      </c>
      <c r="H48" t="s">
        <v>33</v>
      </c>
      <c r="I48" t="s">
        <v>41</v>
      </c>
      <c r="J48" t="s">
        <v>62</v>
      </c>
      <c r="K48">
        <v>308</v>
      </c>
      <c r="L48">
        <v>0</v>
      </c>
      <c r="M48" t="s">
        <v>36</v>
      </c>
      <c r="N48" t="s">
        <v>37</v>
      </c>
      <c r="O48">
        <v>0</v>
      </c>
      <c r="P48">
        <v>0</v>
      </c>
      <c r="Q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 t="s">
        <v>36</v>
      </c>
      <c r="AC48" t="s">
        <v>43</v>
      </c>
      <c r="AD48" t="str">
        <f t="shared" si="0"/>
        <v>CP</v>
      </c>
      <c r="AE48" t="str">
        <f>_xlfn.XLOOKUP(D48,Mapping!A:A,Mapping!D:D,0,0)</f>
        <v>Bin</v>
      </c>
      <c r="AF48" t="str">
        <f t="shared" si="1"/>
        <v>OLD</v>
      </c>
    </row>
    <row r="49" spans="1:32" x14ac:dyDescent="0.2">
      <c r="A49" t="s">
        <v>1118</v>
      </c>
      <c r="B49" t="s">
        <v>39</v>
      </c>
      <c r="C49">
        <v>1011822512</v>
      </c>
      <c r="D49" t="s">
        <v>94</v>
      </c>
      <c r="E49" t="s">
        <v>31</v>
      </c>
      <c r="F49" s="1">
        <v>0.67291666666666672</v>
      </c>
      <c r="G49" t="s">
        <v>32</v>
      </c>
      <c r="H49" t="s">
        <v>33</v>
      </c>
      <c r="I49" t="s">
        <v>41</v>
      </c>
      <c r="J49" t="s">
        <v>62</v>
      </c>
      <c r="K49">
        <v>126</v>
      </c>
      <c r="L49">
        <v>0</v>
      </c>
      <c r="M49" t="s">
        <v>36</v>
      </c>
      <c r="N49" t="s">
        <v>37</v>
      </c>
      <c r="O49">
        <v>0</v>
      </c>
      <c r="P49">
        <v>0</v>
      </c>
      <c r="Q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 t="s">
        <v>36</v>
      </c>
      <c r="AC49" t="s">
        <v>43</v>
      </c>
      <c r="AD49" t="str">
        <f t="shared" si="0"/>
        <v>CP</v>
      </c>
      <c r="AE49" t="str">
        <f>_xlfn.XLOOKUP(D49,Mapping!A:A,Mapping!D:D,0,0)</f>
        <v>Keyword - Preroll</v>
      </c>
      <c r="AF49" t="str">
        <f t="shared" si="1"/>
        <v>OLD</v>
      </c>
    </row>
    <row r="50" spans="1:32" x14ac:dyDescent="0.2">
      <c r="A50" t="s">
        <v>1118</v>
      </c>
      <c r="B50" t="s">
        <v>29</v>
      </c>
      <c r="C50">
        <v>1011822522</v>
      </c>
      <c r="D50" t="s">
        <v>95</v>
      </c>
      <c r="E50" t="s">
        <v>31</v>
      </c>
      <c r="F50" s="1">
        <v>0.67291666666666672</v>
      </c>
      <c r="G50" t="s">
        <v>32</v>
      </c>
      <c r="H50" t="s">
        <v>33</v>
      </c>
      <c r="I50" t="s">
        <v>34</v>
      </c>
      <c r="J50" t="s">
        <v>84</v>
      </c>
      <c r="K50">
        <v>65</v>
      </c>
      <c r="L50">
        <v>0</v>
      </c>
      <c r="M50" t="s">
        <v>36</v>
      </c>
      <c r="N50" t="s">
        <v>37</v>
      </c>
      <c r="O50">
        <v>584</v>
      </c>
      <c r="P50">
        <v>38</v>
      </c>
      <c r="Q50">
        <v>6.50685</v>
      </c>
      <c r="R50">
        <v>0</v>
      </c>
      <c r="S50">
        <v>1.74</v>
      </c>
      <c r="T50">
        <v>2.9809999999999999</v>
      </c>
      <c r="U50">
        <v>4.5999999999999999E-2</v>
      </c>
      <c r="V50">
        <v>0</v>
      </c>
      <c r="W50">
        <v>1</v>
      </c>
      <c r="X50">
        <v>0</v>
      </c>
      <c r="Y50" t="s">
        <v>36</v>
      </c>
      <c r="Z50">
        <v>584</v>
      </c>
      <c r="AA50">
        <v>454</v>
      </c>
      <c r="AB50">
        <v>64</v>
      </c>
      <c r="AC50" t="s">
        <v>96</v>
      </c>
      <c r="AD50" t="str">
        <f t="shared" si="0"/>
        <v>CP</v>
      </c>
      <c r="AE50" t="str">
        <f>_xlfn.XLOOKUP(D50,Mapping!A:A,Mapping!D:D,0,0)</f>
        <v>Furry</v>
      </c>
      <c r="AF50" t="str">
        <f t="shared" si="1"/>
        <v>OLD</v>
      </c>
    </row>
    <row r="51" spans="1:32" x14ac:dyDescent="0.2">
      <c r="A51" t="s">
        <v>1118</v>
      </c>
      <c r="B51" t="s">
        <v>39</v>
      </c>
      <c r="C51">
        <v>1011822532</v>
      </c>
      <c r="D51" t="s">
        <v>97</v>
      </c>
      <c r="E51" t="s">
        <v>31</v>
      </c>
      <c r="F51" s="1">
        <v>0.67291666666666672</v>
      </c>
      <c r="G51" t="s">
        <v>32</v>
      </c>
      <c r="H51" t="s">
        <v>33</v>
      </c>
      <c r="I51" t="s">
        <v>34</v>
      </c>
      <c r="J51" t="s">
        <v>84</v>
      </c>
      <c r="K51">
        <v>273</v>
      </c>
      <c r="L51">
        <v>0</v>
      </c>
      <c r="M51" t="s">
        <v>36</v>
      </c>
      <c r="N51" t="s">
        <v>37</v>
      </c>
      <c r="O51">
        <v>0</v>
      </c>
      <c r="P51">
        <v>0</v>
      </c>
      <c r="Q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 t="s">
        <v>36</v>
      </c>
      <c r="AC51" t="s">
        <v>43</v>
      </c>
      <c r="AD51" t="str">
        <f t="shared" si="0"/>
        <v>CP</v>
      </c>
      <c r="AE51" t="str">
        <f>_xlfn.XLOOKUP(D51,Mapping!A:A,Mapping!D:D,0,0)</f>
        <v>Keyword - Preroll</v>
      </c>
      <c r="AF51" t="str">
        <f t="shared" si="1"/>
        <v>OLD</v>
      </c>
    </row>
    <row r="52" spans="1:32" x14ac:dyDescent="0.2">
      <c r="A52" t="s">
        <v>1118</v>
      </c>
      <c r="B52" t="s">
        <v>39</v>
      </c>
      <c r="C52">
        <v>1011822542</v>
      </c>
      <c r="D52" t="s">
        <v>98</v>
      </c>
      <c r="E52" t="s">
        <v>31</v>
      </c>
      <c r="F52" s="1">
        <v>0.67291666666666672</v>
      </c>
      <c r="G52" t="s">
        <v>32</v>
      </c>
      <c r="H52" t="s">
        <v>33</v>
      </c>
      <c r="I52" t="s">
        <v>41</v>
      </c>
      <c r="J52" t="s">
        <v>62</v>
      </c>
      <c r="K52">
        <v>308</v>
      </c>
      <c r="L52">
        <v>0</v>
      </c>
      <c r="M52" t="s">
        <v>36</v>
      </c>
      <c r="N52" t="s">
        <v>37</v>
      </c>
      <c r="O52">
        <v>0</v>
      </c>
      <c r="P52">
        <v>0</v>
      </c>
      <c r="Q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 t="s">
        <v>36</v>
      </c>
      <c r="AC52" t="s">
        <v>43</v>
      </c>
      <c r="AD52" t="str">
        <f t="shared" si="0"/>
        <v>CP</v>
      </c>
      <c r="AE52" t="str">
        <f>_xlfn.XLOOKUP(D52,Mapping!A:A,Mapping!D:D,0,0)</f>
        <v>Bin</v>
      </c>
      <c r="AF52" t="str">
        <f t="shared" si="1"/>
        <v>OLD</v>
      </c>
    </row>
    <row r="53" spans="1:32" x14ac:dyDescent="0.2">
      <c r="A53" t="s">
        <v>1118</v>
      </c>
      <c r="B53" t="s">
        <v>39</v>
      </c>
      <c r="C53">
        <v>1011822552</v>
      </c>
      <c r="D53" t="s">
        <v>99</v>
      </c>
      <c r="E53" t="s">
        <v>31</v>
      </c>
      <c r="F53" s="1">
        <v>0.67291666666666672</v>
      </c>
      <c r="G53" t="s">
        <v>32</v>
      </c>
      <c r="H53" t="s">
        <v>33</v>
      </c>
      <c r="I53" t="s">
        <v>41</v>
      </c>
      <c r="J53" t="s">
        <v>62</v>
      </c>
      <c r="K53">
        <v>126</v>
      </c>
      <c r="L53">
        <v>0</v>
      </c>
      <c r="M53" t="s">
        <v>63</v>
      </c>
      <c r="N53">
        <v>100</v>
      </c>
      <c r="O53">
        <v>0</v>
      </c>
      <c r="P53">
        <v>0</v>
      </c>
      <c r="Q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 t="s">
        <v>36</v>
      </c>
      <c r="AC53" t="s">
        <v>43</v>
      </c>
      <c r="AD53" t="str">
        <f t="shared" si="0"/>
        <v>CP</v>
      </c>
      <c r="AE53" t="str">
        <f>_xlfn.XLOOKUP(D53,Mapping!A:A,Mapping!D:D,0,0)</f>
        <v>Bin</v>
      </c>
      <c r="AF53" t="str">
        <f t="shared" si="1"/>
        <v>OLD</v>
      </c>
    </row>
    <row r="54" spans="1:32" x14ac:dyDescent="0.2">
      <c r="A54" t="s">
        <v>1118</v>
      </c>
      <c r="B54" t="s">
        <v>39</v>
      </c>
      <c r="C54">
        <v>1011822562</v>
      </c>
      <c r="D54" t="s">
        <v>100</v>
      </c>
      <c r="E54" t="s">
        <v>31</v>
      </c>
      <c r="F54" s="1">
        <v>0.67291666666666672</v>
      </c>
      <c r="G54" t="s">
        <v>32</v>
      </c>
      <c r="H54" t="s">
        <v>33</v>
      </c>
      <c r="I54" t="s">
        <v>34</v>
      </c>
      <c r="J54" t="s">
        <v>84</v>
      </c>
      <c r="K54">
        <v>273</v>
      </c>
      <c r="L54">
        <v>0</v>
      </c>
      <c r="M54" t="s">
        <v>36</v>
      </c>
      <c r="N54" t="s">
        <v>37</v>
      </c>
      <c r="O54">
        <v>0</v>
      </c>
      <c r="P54">
        <v>0</v>
      </c>
      <c r="Q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 t="s">
        <v>36</v>
      </c>
      <c r="AC54" t="s">
        <v>43</v>
      </c>
      <c r="AD54" t="str">
        <f t="shared" si="0"/>
        <v>CP</v>
      </c>
      <c r="AE54" t="str">
        <f>_xlfn.XLOOKUP(D54,Mapping!A:A,Mapping!D:D,0,0)</f>
        <v>Bin</v>
      </c>
      <c r="AF54" t="str">
        <f t="shared" si="1"/>
        <v>OLD</v>
      </c>
    </row>
    <row r="55" spans="1:32" x14ac:dyDescent="0.2">
      <c r="A55" t="s">
        <v>1118</v>
      </c>
      <c r="B55" t="s">
        <v>39</v>
      </c>
      <c r="C55">
        <v>1011822572</v>
      </c>
      <c r="D55" t="s">
        <v>101</v>
      </c>
      <c r="E55" t="s">
        <v>31</v>
      </c>
      <c r="F55" s="1">
        <v>0.67291666666666672</v>
      </c>
      <c r="G55" t="s">
        <v>32</v>
      </c>
      <c r="H55" t="s">
        <v>33</v>
      </c>
      <c r="I55" t="s">
        <v>41</v>
      </c>
      <c r="J55" t="s">
        <v>62</v>
      </c>
      <c r="K55">
        <v>522</v>
      </c>
      <c r="L55">
        <v>0</v>
      </c>
      <c r="M55" t="s">
        <v>36</v>
      </c>
      <c r="N55" t="s">
        <v>37</v>
      </c>
      <c r="O55">
        <v>0</v>
      </c>
      <c r="P55">
        <v>0</v>
      </c>
      <c r="Q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 t="s">
        <v>36</v>
      </c>
      <c r="AC55" t="s">
        <v>43</v>
      </c>
      <c r="AD55" t="str">
        <f t="shared" si="0"/>
        <v>CP</v>
      </c>
      <c r="AE55" t="str">
        <f>_xlfn.XLOOKUP(D55,Mapping!A:A,Mapping!D:D,0,0)</f>
        <v>Keyword - Preroll</v>
      </c>
      <c r="AF55" t="str">
        <f t="shared" si="1"/>
        <v>OLD</v>
      </c>
    </row>
    <row r="56" spans="1:32" x14ac:dyDescent="0.2">
      <c r="A56" t="s">
        <v>1118</v>
      </c>
      <c r="B56" t="s">
        <v>39</v>
      </c>
      <c r="C56">
        <v>1011822582</v>
      </c>
      <c r="D56" t="s">
        <v>102</v>
      </c>
      <c r="E56" t="s">
        <v>31</v>
      </c>
      <c r="F56" s="1">
        <v>0.67291666666666672</v>
      </c>
      <c r="G56" t="s">
        <v>32</v>
      </c>
      <c r="H56" t="s">
        <v>33</v>
      </c>
      <c r="I56" t="s">
        <v>41</v>
      </c>
      <c r="J56" t="s">
        <v>62</v>
      </c>
      <c r="K56">
        <v>126</v>
      </c>
      <c r="L56">
        <v>0</v>
      </c>
      <c r="M56" t="s">
        <v>63</v>
      </c>
      <c r="N56">
        <v>100</v>
      </c>
      <c r="O56">
        <v>0</v>
      </c>
      <c r="P56">
        <v>0</v>
      </c>
      <c r="Q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 t="s">
        <v>36</v>
      </c>
      <c r="AC56" t="s">
        <v>43</v>
      </c>
      <c r="AD56" t="str">
        <f t="shared" si="0"/>
        <v>CP</v>
      </c>
      <c r="AE56" t="str">
        <f>_xlfn.XLOOKUP(D56,Mapping!A:A,Mapping!D:D,0,0)</f>
        <v>Bin</v>
      </c>
      <c r="AF56" t="str">
        <f t="shared" si="1"/>
        <v>OLD</v>
      </c>
    </row>
    <row r="57" spans="1:32" x14ac:dyDescent="0.2">
      <c r="A57" t="s">
        <v>1118</v>
      </c>
      <c r="B57" t="s">
        <v>39</v>
      </c>
      <c r="C57">
        <v>1011822592</v>
      </c>
      <c r="D57" t="s">
        <v>103</v>
      </c>
      <c r="E57" t="s">
        <v>31</v>
      </c>
      <c r="F57" s="1">
        <v>0.67291666666666672</v>
      </c>
      <c r="G57" t="s">
        <v>32</v>
      </c>
      <c r="H57" t="s">
        <v>33</v>
      </c>
      <c r="I57" t="s">
        <v>34</v>
      </c>
      <c r="J57" t="s">
        <v>84</v>
      </c>
      <c r="K57">
        <v>273</v>
      </c>
      <c r="L57">
        <v>0</v>
      </c>
      <c r="M57" t="s">
        <v>36</v>
      </c>
      <c r="N57" t="s">
        <v>37</v>
      </c>
      <c r="O57">
        <v>0</v>
      </c>
      <c r="P57">
        <v>0</v>
      </c>
      <c r="Q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 t="s">
        <v>36</v>
      </c>
      <c r="AC57" t="s">
        <v>43</v>
      </c>
      <c r="AD57" t="str">
        <f t="shared" si="0"/>
        <v>CP</v>
      </c>
      <c r="AE57" t="str">
        <f>_xlfn.XLOOKUP(D57,Mapping!A:A,Mapping!D:D,0,0)</f>
        <v>Keyword - Preroll</v>
      </c>
      <c r="AF57" t="str">
        <f t="shared" si="1"/>
        <v>OLD</v>
      </c>
    </row>
    <row r="58" spans="1:32" x14ac:dyDescent="0.2">
      <c r="A58" t="s">
        <v>1118</v>
      </c>
      <c r="B58" t="s">
        <v>39</v>
      </c>
      <c r="C58">
        <v>1011822602</v>
      </c>
      <c r="D58" t="s">
        <v>104</v>
      </c>
      <c r="E58" t="s">
        <v>31</v>
      </c>
      <c r="F58" s="1">
        <v>0.67291666666666672</v>
      </c>
      <c r="G58" t="s">
        <v>32</v>
      </c>
      <c r="H58" t="s">
        <v>33</v>
      </c>
      <c r="I58" t="s">
        <v>41</v>
      </c>
      <c r="J58" t="s">
        <v>62</v>
      </c>
      <c r="K58">
        <v>522</v>
      </c>
      <c r="L58">
        <v>0</v>
      </c>
      <c r="M58" t="s">
        <v>36</v>
      </c>
      <c r="N58" t="s">
        <v>37</v>
      </c>
      <c r="O58">
        <v>0</v>
      </c>
      <c r="P58">
        <v>0</v>
      </c>
      <c r="Q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 t="s">
        <v>36</v>
      </c>
      <c r="AC58" t="s">
        <v>43</v>
      </c>
      <c r="AD58" t="str">
        <f t="shared" si="0"/>
        <v>CP</v>
      </c>
      <c r="AE58" t="str">
        <f>_xlfn.XLOOKUP(D58,Mapping!A:A,Mapping!D:D,0,0)</f>
        <v>Bin</v>
      </c>
      <c r="AF58" t="str">
        <f t="shared" si="1"/>
        <v>OLD</v>
      </c>
    </row>
    <row r="59" spans="1:32" x14ac:dyDescent="0.2">
      <c r="A59" t="s">
        <v>1118</v>
      </c>
      <c r="B59" t="s">
        <v>39</v>
      </c>
      <c r="C59">
        <v>1011822612</v>
      </c>
      <c r="D59" t="s">
        <v>105</v>
      </c>
      <c r="E59" t="s">
        <v>31</v>
      </c>
      <c r="F59" s="1">
        <v>0.67291666666666672</v>
      </c>
      <c r="G59" t="s">
        <v>32</v>
      </c>
      <c r="H59" t="s">
        <v>33</v>
      </c>
      <c r="I59" t="s">
        <v>41</v>
      </c>
      <c r="J59" t="s">
        <v>62</v>
      </c>
      <c r="K59">
        <v>126</v>
      </c>
      <c r="L59">
        <v>0</v>
      </c>
      <c r="M59" t="s">
        <v>63</v>
      </c>
      <c r="N59">
        <v>100</v>
      </c>
      <c r="O59">
        <v>0</v>
      </c>
      <c r="P59">
        <v>0</v>
      </c>
      <c r="Q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 t="s">
        <v>36</v>
      </c>
      <c r="AC59" t="s">
        <v>43</v>
      </c>
      <c r="AD59" t="str">
        <f t="shared" si="0"/>
        <v>CP</v>
      </c>
      <c r="AE59" t="str">
        <f>_xlfn.XLOOKUP(D59,Mapping!A:A,Mapping!D:D,0,0)</f>
        <v>Bin</v>
      </c>
      <c r="AF59" t="str">
        <f t="shared" si="1"/>
        <v>OLD</v>
      </c>
    </row>
    <row r="60" spans="1:32" x14ac:dyDescent="0.2">
      <c r="A60" t="s">
        <v>1118</v>
      </c>
      <c r="B60" t="s">
        <v>39</v>
      </c>
      <c r="C60">
        <v>1011822642</v>
      </c>
      <c r="D60" t="s">
        <v>106</v>
      </c>
      <c r="E60" t="s">
        <v>31</v>
      </c>
      <c r="F60" s="1">
        <v>0.67291666666666672</v>
      </c>
      <c r="G60" t="s">
        <v>32</v>
      </c>
      <c r="H60" t="s">
        <v>33</v>
      </c>
      <c r="I60" t="s">
        <v>41</v>
      </c>
      <c r="J60" t="s">
        <v>62</v>
      </c>
      <c r="K60">
        <v>616</v>
      </c>
      <c r="L60">
        <v>0</v>
      </c>
      <c r="M60" t="s">
        <v>36</v>
      </c>
      <c r="N60" t="s">
        <v>37</v>
      </c>
      <c r="O60">
        <v>0</v>
      </c>
      <c r="P60">
        <v>0</v>
      </c>
      <c r="Q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 t="s">
        <v>36</v>
      </c>
      <c r="AC60" t="s">
        <v>43</v>
      </c>
      <c r="AD60" t="str">
        <f t="shared" si="0"/>
        <v>CP</v>
      </c>
      <c r="AE60" t="str">
        <f>_xlfn.XLOOKUP(D60,Mapping!A:A,Mapping!D:D,0,0)</f>
        <v>Bin</v>
      </c>
      <c r="AF60" t="str">
        <f t="shared" si="1"/>
        <v>OLD</v>
      </c>
    </row>
    <row r="61" spans="1:32" x14ac:dyDescent="0.2">
      <c r="A61" t="s">
        <v>1118</v>
      </c>
      <c r="B61" t="s">
        <v>39</v>
      </c>
      <c r="C61">
        <v>1011822652</v>
      </c>
      <c r="D61" t="s">
        <v>107</v>
      </c>
      <c r="E61" t="s">
        <v>31</v>
      </c>
      <c r="F61" s="1">
        <v>0.67291666666666672</v>
      </c>
      <c r="G61" t="s">
        <v>32</v>
      </c>
      <c r="H61" t="s">
        <v>33</v>
      </c>
      <c r="I61" t="s">
        <v>41</v>
      </c>
      <c r="J61" t="s">
        <v>62</v>
      </c>
      <c r="K61">
        <v>616</v>
      </c>
      <c r="L61">
        <v>0</v>
      </c>
      <c r="M61" t="s">
        <v>63</v>
      </c>
      <c r="N61">
        <v>200</v>
      </c>
      <c r="O61">
        <v>0</v>
      </c>
      <c r="P61">
        <v>0</v>
      </c>
      <c r="Q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 t="s">
        <v>36</v>
      </c>
      <c r="AC61" t="s">
        <v>43</v>
      </c>
      <c r="AD61" t="str">
        <f t="shared" si="0"/>
        <v>CP</v>
      </c>
      <c r="AE61" t="str">
        <f>_xlfn.XLOOKUP(D61,Mapping!A:A,Mapping!D:D,0,0)</f>
        <v>Bin</v>
      </c>
      <c r="AF61" t="str">
        <f t="shared" si="1"/>
        <v>OLD</v>
      </c>
    </row>
    <row r="62" spans="1:32" x14ac:dyDescent="0.2">
      <c r="A62" t="s">
        <v>1118</v>
      </c>
      <c r="B62" t="s">
        <v>39</v>
      </c>
      <c r="C62">
        <v>1011822662</v>
      </c>
      <c r="D62" t="s">
        <v>108</v>
      </c>
      <c r="E62" t="s">
        <v>31</v>
      </c>
      <c r="F62" s="1">
        <v>0.67291666666666672</v>
      </c>
      <c r="G62" t="s">
        <v>32</v>
      </c>
      <c r="H62" t="s">
        <v>33</v>
      </c>
      <c r="I62" t="s">
        <v>41</v>
      </c>
      <c r="J62" t="s">
        <v>62</v>
      </c>
      <c r="K62">
        <v>220</v>
      </c>
      <c r="L62">
        <v>0</v>
      </c>
      <c r="M62" t="s">
        <v>63</v>
      </c>
      <c r="N62">
        <v>200</v>
      </c>
      <c r="O62">
        <v>0</v>
      </c>
      <c r="P62">
        <v>0</v>
      </c>
      <c r="Q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 t="s">
        <v>36</v>
      </c>
      <c r="AC62" t="s">
        <v>43</v>
      </c>
      <c r="AD62" t="str">
        <f t="shared" si="0"/>
        <v>CP</v>
      </c>
      <c r="AE62" t="str">
        <f>_xlfn.XLOOKUP(D62,Mapping!A:A,Mapping!D:D,0,0)</f>
        <v>Bin</v>
      </c>
      <c r="AF62" t="str">
        <f t="shared" si="1"/>
        <v>OLD</v>
      </c>
    </row>
    <row r="63" spans="1:32" x14ac:dyDescent="0.2">
      <c r="A63" t="s">
        <v>1118</v>
      </c>
      <c r="B63" t="s">
        <v>39</v>
      </c>
      <c r="C63">
        <v>1011822672</v>
      </c>
      <c r="D63" t="s">
        <v>109</v>
      </c>
      <c r="E63" t="s">
        <v>31</v>
      </c>
      <c r="F63" s="1">
        <v>0.67291666666666672</v>
      </c>
      <c r="G63" t="s">
        <v>32</v>
      </c>
      <c r="H63" t="s">
        <v>33</v>
      </c>
      <c r="I63" t="s">
        <v>41</v>
      </c>
      <c r="J63" t="s">
        <v>62</v>
      </c>
      <c r="K63">
        <v>220</v>
      </c>
      <c r="L63">
        <v>0</v>
      </c>
      <c r="M63" t="s">
        <v>36</v>
      </c>
      <c r="N63" t="s">
        <v>37</v>
      </c>
      <c r="O63">
        <v>0</v>
      </c>
      <c r="P63">
        <v>0</v>
      </c>
      <c r="Q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 t="s">
        <v>36</v>
      </c>
      <c r="AC63" t="s">
        <v>43</v>
      </c>
      <c r="AD63" t="str">
        <f t="shared" si="0"/>
        <v>CP</v>
      </c>
      <c r="AE63" t="str">
        <f>_xlfn.XLOOKUP(D63,Mapping!A:A,Mapping!D:D,0,0)</f>
        <v>Bin</v>
      </c>
      <c r="AF63" t="str">
        <f t="shared" si="1"/>
        <v>OLD</v>
      </c>
    </row>
    <row r="64" spans="1:32" x14ac:dyDescent="0.2">
      <c r="A64" t="s">
        <v>1118</v>
      </c>
      <c r="B64" t="s">
        <v>39</v>
      </c>
      <c r="C64">
        <v>1011822682</v>
      </c>
      <c r="D64" t="s">
        <v>110</v>
      </c>
      <c r="E64" t="s">
        <v>31</v>
      </c>
      <c r="F64" s="1">
        <v>0.67291666666666672</v>
      </c>
      <c r="G64" t="s">
        <v>32</v>
      </c>
      <c r="H64" t="s">
        <v>33</v>
      </c>
      <c r="I64" t="s">
        <v>41</v>
      </c>
      <c r="J64" t="s">
        <v>62</v>
      </c>
      <c r="K64">
        <v>220</v>
      </c>
      <c r="L64">
        <v>0</v>
      </c>
      <c r="M64" t="s">
        <v>63</v>
      </c>
      <c r="N64">
        <v>200</v>
      </c>
      <c r="O64">
        <v>0</v>
      </c>
      <c r="P64">
        <v>0</v>
      </c>
      <c r="Q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 t="s">
        <v>36</v>
      </c>
      <c r="AC64" t="s">
        <v>43</v>
      </c>
      <c r="AD64" t="str">
        <f t="shared" si="0"/>
        <v>CP</v>
      </c>
      <c r="AE64" t="str">
        <f>_xlfn.XLOOKUP(D64,Mapping!A:A,Mapping!D:D,0,0)</f>
        <v>Bin</v>
      </c>
      <c r="AF64" t="str">
        <f t="shared" si="1"/>
        <v>OLD</v>
      </c>
    </row>
    <row r="65" spans="1:32" x14ac:dyDescent="0.2">
      <c r="A65" t="s">
        <v>1118</v>
      </c>
      <c r="B65" t="s">
        <v>39</v>
      </c>
      <c r="C65">
        <v>1011822692</v>
      </c>
      <c r="D65" t="s">
        <v>111</v>
      </c>
      <c r="E65" t="s">
        <v>31</v>
      </c>
      <c r="F65" s="1">
        <v>0.67291666666666672</v>
      </c>
      <c r="G65" t="s">
        <v>32</v>
      </c>
      <c r="H65" t="s">
        <v>33</v>
      </c>
      <c r="I65" t="s">
        <v>41</v>
      </c>
      <c r="J65" t="s">
        <v>62</v>
      </c>
      <c r="K65">
        <v>220</v>
      </c>
      <c r="L65">
        <v>0</v>
      </c>
      <c r="M65" t="s">
        <v>36</v>
      </c>
      <c r="N65" t="s">
        <v>37</v>
      </c>
      <c r="O65">
        <v>0</v>
      </c>
      <c r="P65">
        <v>0</v>
      </c>
      <c r="Q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 t="s">
        <v>36</v>
      </c>
      <c r="AC65" t="s">
        <v>43</v>
      </c>
      <c r="AD65" t="str">
        <f t="shared" si="0"/>
        <v>CP</v>
      </c>
      <c r="AE65" t="str">
        <f>_xlfn.XLOOKUP(D65,Mapping!A:A,Mapping!D:D,0,0)</f>
        <v>Bin</v>
      </c>
      <c r="AF65" t="str">
        <f t="shared" si="1"/>
        <v>OLD</v>
      </c>
    </row>
    <row r="66" spans="1:32" x14ac:dyDescent="0.2">
      <c r="A66" t="s">
        <v>1118</v>
      </c>
      <c r="B66" t="s">
        <v>39</v>
      </c>
      <c r="C66">
        <v>1011822702</v>
      </c>
      <c r="D66" t="s">
        <v>112</v>
      </c>
      <c r="E66" t="s">
        <v>31</v>
      </c>
      <c r="F66" s="1">
        <v>0.67291666666666672</v>
      </c>
      <c r="G66" t="s">
        <v>32</v>
      </c>
      <c r="H66" t="s">
        <v>33</v>
      </c>
      <c r="I66" t="s">
        <v>41</v>
      </c>
      <c r="J66" t="s">
        <v>62</v>
      </c>
      <c r="K66">
        <v>220</v>
      </c>
      <c r="L66">
        <v>0</v>
      </c>
      <c r="M66" t="s">
        <v>63</v>
      </c>
      <c r="N66">
        <v>200</v>
      </c>
      <c r="O66">
        <v>0</v>
      </c>
      <c r="P66">
        <v>0</v>
      </c>
      <c r="Q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 t="s">
        <v>36</v>
      </c>
      <c r="AC66" t="s">
        <v>43</v>
      </c>
      <c r="AD66" t="str">
        <f t="shared" si="0"/>
        <v>CP</v>
      </c>
      <c r="AE66" t="str">
        <f>_xlfn.XLOOKUP(D66,Mapping!A:A,Mapping!D:D,0,0)</f>
        <v>Bin</v>
      </c>
      <c r="AF66" t="str">
        <f t="shared" si="1"/>
        <v>OLD</v>
      </c>
    </row>
    <row r="67" spans="1:32" x14ac:dyDescent="0.2">
      <c r="A67" t="s">
        <v>1118</v>
      </c>
      <c r="B67" t="s">
        <v>39</v>
      </c>
      <c r="C67">
        <v>1011822712</v>
      </c>
      <c r="D67" t="s">
        <v>113</v>
      </c>
      <c r="E67" t="s">
        <v>31</v>
      </c>
      <c r="F67" s="1">
        <v>0.67291666666666672</v>
      </c>
      <c r="G67" t="s">
        <v>32</v>
      </c>
      <c r="H67" t="s">
        <v>33</v>
      </c>
      <c r="I67" t="s">
        <v>41</v>
      </c>
      <c r="J67" t="s">
        <v>62</v>
      </c>
      <c r="K67">
        <v>748</v>
      </c>
      <c r="L67">
        <v>0</v>
      </c>
      <c r="M67" t="s">
        <v>36</v>
      </c>
      <c r="N67" t="s">
        <v>37</v>
      </c>
      <c r="O67">
        <v>0</v>
      </c>
      <c r="P67">
        <v>0</v>
      </c>
      <c r="Q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 t="s">
        <v>36</v>
      </c>
      <c r="AC67" t="s">
        <v>43</v>
      </c>
      <c r="AD67" t="str">
        <f t="shared" ref="AD67:AD130" si="2">LEFT(D67,2)</f>
        <v>CP</v>
      </c>
      <c r="AE67" t="str">
        <f>_xlfn.XLOOKUP(D67,Mapping!A:A,Mapping!D:D,0,0)</f>
        <v>Bin</v>
      </c>
      <c r="AF67" t="str">
        <f t="shared" ref="AF67:AF130" si="3">IFERROR(IF(SEARCH("_TJ",D67)&gt;0,"TJ",NA()),IFERROR(IF(SEARCH("_JB",D67)&gt;0,"JB",NA()),"OLD"))</f>
        <v>OLD</v>
      </c>
    </row>
    <row r="68" spans="1:32" x14ac:dyDescent="0.2">
      <c r="A68" t="s">
        <v>1118</v>
      </c>
      <c r="B68" t="s">
        <v>39</v>
      </c>
      <c r="C68">
        <v>1011822722</v>
      </c>
      <c r="D68" t="s">
        <v>114</v>
      </c>
      <c r="E68" t="s">
        <v>31</v>
      </c>
      <c r="F68" s="1">
        <v>0.67291666666666672</v>
      </c>
      <c r="G68" t="s">
        <v>32</v>
      </c>
      <c r="H68" t="s">
        <v>33</v>
      </c>
      <c r="I68" t="s">
        <v>41</v>
      </c>
      <c r="J68" t="s">
        <v>62</v>
      </c>
      <c r="K68">
        <v>616</v>
      </c>
      <c r="L68">
        <v>0</v>
      </c>
      <c r="M68" t="s">
        <v>36</v>
      </c>
      <c r="N68" t="s">
        <v>37</v>
      </c>
      <c r="O68">
        <v>0</v>
      </c>
      <c r="P68">
        <v>0</v>
      </c>
      <c r="Q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 t="s">
        <v>36</v>
      </c>
      <c r="AC68" t="s">
        <v>43</v>
      </c>
      <c r="AD68" t="str">
        <f t="shared" si="2"/>
        <v>CP</v>
      </c>
      <c r="AE68" t="str">
        <f>_xlfn.XLOOKUP(D68,Mapping!A:A,Mapping!D:D,0,0)</f>
        <v>Bin</v>
      </c>
      <c r="AF68" t="str">
        <f t="shared" si="3"/>
        <v>OLD</v>
      </c>
    </row>
    <row r="69" spans="1:32" x14ac:dyDescent="0.2">
      <c r="A69" t="s">
        <v>1118</v>
      </c>
      <c r="B69" t="s">
        <v>39</v>
      </c>
      <c r="C69">
        <v>1011822732</v>
      </c>
      <c r="D69" t="s">
        <v>115</v>
      </c>
      <c r="E69" t="s">
        <v>31</v>
      </c>
      <c r="F69" s="1">
        <v>0.67291666666666672</v>
      </c>
      <c r="G69" t="s">
        <v>32</v>
      </c>
      <c r="H69" t="s">
        <v>33</v>
      </c>
      <c r="I69" t="s">
        <v>41</v>
      </c>
      <c r="J69" t="s">
        <v>62</v>
      </c>
      <c r="K69">
        <v>616</v>
      </c>
      <c r="L69">
        <v>0</v>
      </c>
      <c r="M69" t="s">
        <v>63</v>
      </c>
      <c r="N69">
        <v>200</v>
      </c>
      <c r="O69">
        <v>0</v>
      </c>
      <c r="P69">
        <v>0</v>
      </c>
      <c r="Q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 t="s">
        <v>36</v>
      </c>
      <c r="AC69" t="s">
        <v>43</v>
      </c>
      <c r="AD69" t="str">
        <f t="shared" si="2"/>
        <v>CP</v>
      </c>
      <c r="AE69" t="str">
        <f>_xlfn.XLOOKUP(D69,Mapping!A:A,Mapping!D:D,0,0)</f>
        <v>Bin</v>
      </c>
      <c r="AF69" t="str">
        <f t="shared" si="3"/>
        <v>OLD</v>
      </c>
    </row>
    <row r="70" spans="1:32" x14ac:dyDescent="0.2">
      <c r="A70" t="s">
        <v>1118</v>
      </c>
      <c r="B70" t="s">
        <v>39</v>
      </c>
      <c r="C70">
        <v>1011822742</v>
      </c>
      <c r="D70" t="s">
        <v>116</v>
      </c>
      <c r="E70" t="s">
        <v>31</v>
      </c>
      <c r="F70" s="1">
        <v>0.67291666666666672</v>
      </c>
      <c r="G70" t="s">
        <v>32</v>
      </c>
      <c r="H70" t="s">
        <v>33</v>
      </c>
      <c r="I70" t="s">
        <v>41</v>
      </c>
      <c r="J70" t="s">
        <v>62</v>
      </c>
      <c r="K70">
        <v>220</v>
      </c>
      <c r="L70">
        <v>0</v>
      </c>
      <c r="M70" t="s">
        <v>36</v>
      </c>
      <c r="N70" t="s">
        <v>37</v>
      </c>
      <c r="O70">
        <v>0</v>
      </c>
      <c r="P70">
        <v>0</v>
      </c>
      <c r="Q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 t="s">
        <v>36</v>
      </c>
      <c r="AC70" t="s">
        <v>43</v>
      </c>
      <c r="AD70" t="str">
        <f t="shared" si="2"/>
        <v>CP</v>
      </c>
      <c r="AE70" t="str">
        <f>_xlfn.XLOOKUP(D70,Mapping!A:A,Mapping!D:D,0,0)</f>
        <v>Bin</v>
      </c>
      <c r="AF70" t="str">
        <f t="shared" si="3"/>
        <v>OLD</v>
      </c>
    </row>
    <row r="71" spans="1:32" x14ac:dyDescent="0.2">
      <c r="A71" t="s">
        <v>1118</v>
      </c>
      <c r="B71" t="s">
        <v>39</v>
      </c>
      <c r="C71">
        <v>1011822762</v>
      </c>
      <c r="D71" t="s">
        <v>117</v>
      </c>
      <c r="E71" t="s">
        <v>31</v>
      </c>
      <c r="F71" s="1">
        <v>0.67291666666666672</v>
      </c>
      <c r="G71" t="s">
        <v>32</v>
      </c>
      <c r="H71" t="s">
        <v>33</v>
      </c>
      <c r="I71" t="s">
        <v>41</v>
      </c>
      <c r="J71" t="s">
        <v>62</v>
      </c>
      <c r="K71">
        <v>748</v>
      </c>
      <c r="L71">
        <v>0</v>
      </c>
      <c r="M71" t="s">
        <v>36</v>
      </c>
      <c r="N71" t="s">
        <v>37</v>
      </c>
      <c r="O71">
        <v>0</v>
      </c>
      <c r="P71">
        <v>0</v>
      </c>
      <c r="Q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 t="s">
        <v>36</v>
      </c>
      <c r="AC71" t="s">
        <v>43</v>
      </c>
      <c r="AD71" t="str">
        <f t="shared" si="2"/>
        <v>CP</v>
      </c>
      <c r="AE71" t="str">
        <f>_xlfn.XLOOKUP(D71,Mapping!A:A,Mapping!D:D,0,0)</f>
        <v>Bin</v>
      </c>
      <c r="AF71" t="str">
        <f t="shared" si="3"/>
        <v>OLD</v>
      </c>
    </row>
    <row r="72" spans="1:32" x14ac:dyDescent="0.2">
      <c r="A72" t="s">
        <v>1118</v>
      </c>
      <c r="B72" t="s">
        <v>39</v>
      </c>
      <c r="C72">
        <v>1011822772</v>
      </c>
      <c r="D72" t="s">
        <v>118</v>
      </c>
      <c r="E72" t="s">
        <v>31</v>
      </c>
      <c r="F72" s="1">
        <v>0.67291666666666672</v>
      </c>
      <c r="G72" t="s">
        <v>32</v>
      </c>
      <c r="H72" t="s">
        <v>33</v>
      </c>
      <c r="I72" t="s">
        <v>41</v>
      </c>
      <c r="J72" t="s">
        <v>62</v>
      </c>
      <c r="K72">
        <v>99</v>
      </c>
      <c r="L72">
        <v>0</v>
      </c>
      <c r="M72" t="s">
        <v>36</v>
      </c>
      <c r="N72" t="s">
        <v>37</v>
      </c>
      <c r="O72">
        <v>0</v>
      </c>
      <c r="P72">
        <v>0</v>
      </c>
      <c r="Q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 t="s">
        <v>36</v>
      </c>
      <c r="AC72" t="s">
        <v>119</v>
      </c>
      <c r="AD72" t="str">
        <f t="shared" si="2"/>
        <v>CP</v>
      </c>
      <c r="AE72" t="str">
        <f>_xlfn.XLOOKUP(D72,Mapping!A:A,Mapping!D:D,0,0)</f>
        <v>Archive</v>
      </c>
      <c r="AF72" t="str">
        <f t="shared" si="3"/>
        <v>OLD</v>
      </c>
    </row>
    <row r="73" spans="1:32" x14ac:dyDescent="0.2">
      <c r="A73" t="s">
        <v>1118</v>
      </c>
      <c r="B73" t="s">
        <v>39</v>
      </c>
      <c r="C73">
        <v>1011822782</v>
      </c>
      <c r="D73" t="s">
        <v>120</v>
      </c>
      <c r="E73" t="s">
        <v>31</v>
      </c>
      <c r="F73" s="1">
        <v>0.67291666666666672</v>
      </c>
      <c r="G73" t="s">
        <v>32</v>
      </c>
      <c r="H73" t="s">
        <v>33</v>
      </c>
      <c r="I73" t="s">
        <v>41</v>
      </c>
      <c r="J73" t="s">
        <v>62</v>
      </c>
      <c r="K73">
        <v>220</v>
      </c>
      <c r="L73">
        <v>0</v>
      </c>
      <c r="M73" t="s">
        <v>63</v>
      </c>
      <c r="N73">
        <v>200</v>
      </c>
      <c r="O73">
        <v>0</v>
      </c>
      <c r="P73">
        <v>0</v>
      </c>
      <c r="Q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 t="s">
        <v>36</v>
      </c>
      <c r="AC73" t="s">
        <v>43</v>
      </c>
      <c r="AD73" t="str">
        <f t="shared" si="2"/>
        <v>CP</v>
      </c>
      <c r="AE73" t="str">
        <f>_xlfn.XLOOKUP(D73,Mapping!A:A,Mapping!D:D,0,0)</f>
        <v>Bin</v>
      </c>
      <c r="AF73" t="str">
        <f t="shared" si="3"/>
        <v>OLD</v>
      </c>
    </row>
    <row r="74" spans="1:32" x14ac:dyDescent="0.2">
      <c r="A74" t="s">
        <v>1118</v>
      </c>
      <c r="B74" t="s">
        <v>39</v>
      </c>
      <c r="C74">
        <v>1011822792</v>
      </c>
      <c r="D74" t="s">
        <v>121</v>
      </c>
      <c r="E74" t="s">
        <v>31</v>
      </c>
      <c r="F74" s="1">
        <v>0.67291666666666672</v>
      </c>
      <c r="G74" t="s">
        <v>32</v>
      </c>
      <c r="H74" t="s">
        <v>33</v>
      </c>
      <c r="I74" t="s">
        <v>41</v>
      </c>
      <c r="J74" t="s">
        <v>62</v>
      </c>
      <c r="K74">
        <v>220</v>
      </c>
      <c r="L74">
        <v>0</v>
      </c>
      <c r="M74" t="s">
        <v>36</v>
      </c>
      <c r="N74" t="s">
        <v>37</v>
      </c>
      <c r="O74">
        <v>0</v>
      </c>
      <c r="P74">
        <v>0</v>
      </c>
      <c r="Q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 t="s">
        <v>36</v>
      </c>
      <c r="AC74" t="s">
        <v>43</v>
      </c>
      <c r="AD74" t="str">
        <f t="shared" si="2"/>
        <v>CP</v>
      </c>
      <c r="AE74" t="str">
        <f>_xlfn.XLOOKUP(D74,Mapping!A:A,Mapping!D:D,0,0)</f>
        <v>Bin</v>
      </c>
      <c r="AF74" t="str">
        <f t="shared" si="3"/>
        <v>OLD</v>
      </c>
    </row>
    <row r="75" spans="1:32" x14ac:dyDescent="0.2">
      <c r="A75" t="s">
        <v>1118</v>
      </c>
      <c r="B75" t="s">
        <v>39</v>
      </c>
      <c r="C75">
        <v>1011822812</v>
      </c>
      <c r="D75" t="s">
        <v>122</v>
      </c>
      <c r="E75" t="s">
        <v>31</v>
      </c>
      <c r="F75" s="1">
        <v>0.67291666666666672</v>
      </c>
      <c r="G75" t="s">
        <v>32</v>
      </c>
      <c r="H75" t="s">
        <v>33</v>
      </c>
      <c r="I75" t="s">
        <v>41</v>
      </c>
      <c r="J75" t="s">
        <v>58</v>
      </c>
      <c r="K75">
        <v>242</v>
      </c>
      <c r="L75">
        <v>0</v>
      </c>
      <c r="M75" t="s">
        <v>36</v>
      </c>
      <c r="N75" t="s">
        <v>37</v>
      </c>
      <c r="O75">
        <v>0</v>
      </c>
      <c r="P75">
        <v>0</v>
      </c>
      <c r="Q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 t="s">
        <v>36</v>
      </c>
      <c r="AC75" t="s">
        <v>43</v>
      </c>
      <c r="AD75" t="str">
        <f t="shared" si="2"/>
        <v>CP</v>
      </c>
      <c r="AE75" t="str">
        <f>_xlfn.XLOOKUP(D75,Mapping!A:A,Mapping!D:D,0,0)</f>
        <v>Bin</v>
      </c>
      <c r="AF75" t="str">
        <f t="shared" si="3"/>
        <v>OLD</v>
      </c>
    </row>
    <row r="76" spans="1:32" x14ac:dyDescent="0.2">
      <c r="A76" t="s">
        <v>1118</v>
      </c>
      <c r="B76" t="s">
        <v>39</v>
      </c>
      <c r="C76">
        <v>1011838812</v>
      </c>
      <c r="D76" t="s">
        <v>123</v>
      </c>
      <c r="E76" t="s">
        <v>31</v>
      </c>
      <c r="F76" s="1">
        <v>0.67291666666666672</v>
      </c>
      <c r="G76" t="s">
        <v>32</v>
      </c>
      <c r="H76" t="s">
        <v>33</v>
      </c>
      <c r="I76" t="s">
        <v>34</v>
      </c>
      <c r="J76" t="s">
        <v>124</v>
      </c>
      <c r="K76">
        <v>170</v>
      </c>
      <c r="L76">
        <v>0</v>
      </c>
      <c r="M76" t="s">
        <v>63</v>
      </c>
      <c r="N76">
        <v>150</v>
      </c>
      <c r="O76">
        <v>0</v>
      </c>
      <c r="P76">
        <v>0</v>
      </c>
      <c r="Q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 t="s">
        <v>36</v>
      </c>
      <c r="AC76" t="s">
        <v>43</v>
      </c>
      <c r="AD76" t="str">
        <f t="shared" si="2"/>
        <v>CP</v>
      </c>
      <c r="AE76" t="str">
        <f>_xlfn.XLOOKUP(D76,Mapping!A:A,Mapping!D:D,0,0)</f>
        <v>Trans</v>
      </c>
      <c r="AF76" t="str">
        <f t="shared" si="3"/>
        <v>OLD</v>
      </c>
    </row>
    <row r="77" spans="1:32" x14ac:dyDescent="0.2">
      <c r="A77" t="s">
        <v>1118</v>
      </c>
      <c r="B77" t="s">
        <v>39</v>
      </c>
      <c r="C77">
        <v>1011838822</v>
      </c>
      <c r="D77" t="s">
        <v>125</v>
      </c>
      <c r="E77" t="s">
        <v>31</v>
      </c>
      <c r="F77" s="1">
        <v>0.67291666666666672</v>
      </c>
      <c r="G77" t="s">
        <v>32</v>
      </c>
      <c r="H77" t="s">
        <v>33</v>
      </c>
      <c r="I77" t="s">
        <v>41</v>
      </c>
      <c r="J77" t="s">
        <v>58</v>
      </c>
      <c r="K77">
        <v>242</v>
      </c>
      <c r="L77">
        <v>0</v>
      </c>
      <c r="M77" t="s">
        <v>63</v>
      </c>
      <c r="N77">
        <v>100</v>
      </c>
      <c r="O77">
        <v>0</v>
      </c>
      <c r="P77">
        <v>0</v>
      </c>
      <c r="Q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 t="s">
        <v>36</v>
      </c>
      <c r="AC77" t="s">
        <v>43</v>
      </c>
      <c r="AD77" t="str">
        <f t="shared" si="2"/>
        <v>CP</v>
      </c>
      <c r="AE77" t="str">
        <f>_xlfn.XLOOKUP(D77,Mapping!A:A,Mapping!D:D,0,0)</f>
        <v>Bin</v>
      </c>
      <c r="AF77" t="str">
        <f t="shared" si="3"/>
        <v>OLD</v>
      </c>
    </row>
    <row r="78" spans="1:32" x14ac:dyDescent="0.2">
      <c r="A78" t="s">
        <v>1118</v>
      </c>
      <c r="B78" t="s">
        <v>39</v>
      </c>
      <c r="C78">
        <v>1011838832</v>
      </c>
      <c r="D78" t="s">
        <v>126</v>
      </c>
      <c r="E78" t="s">
        <v>31</v>
      </c>
      <c r="F78" s="1">
        <v>0.67291666666666672</v>
      </c>
      <c r="G78" t="s">
        <v>32</v>
      </c>
      <c r="H78" t="s">
        <v>33</v>
      </c>
      <c r="I78" t="s">
        <v>41</v>
      </c>
      <c r="J78" t="s">
        <v>58</v>
      </c>
      <c r="K78">
        <v>242</v>
      </c>
      <c r="L78">
        <v>0</v>
      </c>
      <c r="M78" t="s">
        <v>36</v>
      </c>
      <c r="N78" t="s">
        <v>37</v>
      </c>
      <c r="O78">
        <v>0</v>
      </c>
      <c r="P78">
        <v>0</v>
      </c>
      <c r="Q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 t="s">
        <v>36</v>
      </c>
      <c r="AC78" t="s">
        <v>43</v>
      </c>
      <c r="AD78" t="str">
        <f t="shared" si="2"/>
        <v>CP</v>
      </c>
      <c r="AE78" t="str">
        <f>_xlfn.XLOOKUP(D78,Mapping!A:A,Mapping!D:D,0,0)</f>
        <v>Trans</v>
      </c>
      <c r="AF78" t="str">
        <f t="shared" si="3"/>
        <v>OLD</v>
      </c>
    </row>
    <row r="79" spans="1:32" x14ac:dyDescent="0.2">
      <c r="A79" t="s">
        <v>1118</v>
      </c>
      <c r="B79" t="s">
        <v>39</v>
      </c>
      <c r="C79">
        <v>1011838852</v>
      </c>
      <c r="D79" t="s">
        <v>127</v>
      </c>
      <c r="E79" t="s">
        <v>31</v>
      </c>
      <c r="F79" s="1">
        <v>0.67291666666666672</v>
      </c>
      <c r="G79" t="s">
        <v>32</v>
      </c>
      <c r="H79" t="s">
        <v>33</v>
      </c>
      <c r="I79" t="s">
        <v>41</v>
      </c>
      <c r="J79" t="s">
        <v>58</v>
      </c>
      <c r="K79">
        <v>242</v>
      </c>
      <c r="L79">
        <v>0</v>
      </c>
      <c r="M79" t="s">
        <v>36</v>
      </c>
      <c r="N79" t="s">
        <v>37</v>
      </c>
      <c r="O79">
        <v>0</v>
      </c>
      <c r="P79">
        <v>0</v>
      </c>
      <c r="Q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 t="s">
        <v>36</v>
      </c>
      <c r="AC79" t="s">
        <v>43</v>
      </c>
      <c r="AD79" t="str">
        <f t="shared" si="2"/>
        <v>CP</v>
      </c>
      <c r="AE79" t="str">
        <f>_xlfn.XLOOKUP(D79,Mapping!A:A,Mapping!D:D,0,0)</f>
        <v>Bin</v>
      </c>
      <c r="AF79" t="str">
        <f t="shared" si="3"/>
        <v>OLD</v>
      </c>
    </row>
    <row r="80" spans="1:32" x14ac:dyDescent="0.2">
      <c r="A80" t="s">
        <v>1118</v>
      </c>
      <c r="B80" t="s">
        <v>39</v>
      </c>
      <c r="C80">
        <v>1011838862</v>
      </c>
      <c r="D80" t="s">
        <v>128</v>
      </c>
      <c r="E80" t="s">
        <v>31</v>
      </c>
      <c r="F80" s="1">
        <v>0.67291666666666672</v>
      </c>
      <c r="G80" t="s">
        <v>32</v>
      </c>
      <c r="H80" t="s">
        <v>33</v>
      </c>
      <c r="I80" t="s">
        <v>41</v>
      </c>
      <c r="J80" t="s">
        <v>58</v>
      </c>
      <c r="K80">
        <v>242</v>
      </c>
      <c r="L80">
        <v>0</v>
      </c>
      <c r="M80" t="s">
        <v>36</v>
      </c>
      <c r="N80" t="s">
        <v>37</v>
      </c>
      <c r="O80">
        <v>0</v>
      </c>
      <c r="P80">
        <v>0</v>
      </c>
      <c r="Q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 t="s">
        <v>36</v>
      </c>
      <c r="AC80" t="s">
        <v>43</v>
      </c>
      <c r="AD80" t="str">
        <f t="shared" si="2"/>
        <v>CP</v>
      </c>
      <c r="AE80" t="str">
        <f>_xlfn.XLOOKUP(D80,Mapping!A:A,Mapping!D:D,0,0)</f>
        <v>Bin</v>
      </c>
      <c r="AF80" t="str">
        <f t="shared" si="3"/>
        <v>OLD</v>
      </c>
    </row>
    <row r="81" spans="1:32" x14ac:dyDescent="0.2">
      <c r="A81" t="s">
        <v>1118</v>
      </c>
      <c r="B81" t="s">
        <v>39</v>
      </c>
      <c r="C81">
        <v>1011838882</v>
      </c>
      <c r="D81" t="s">
        <v>129</v>
      </c>
      <c r="E81" t="s">
        <v>31</v>
      </c>
      <c r="F81" s="1">
        <v>0.67291666666666672</v>
      </c>
      <c r="G81" t="s">
        <v>32</v>
      </c>
      <c r="H81" t="s">
        <v>33</v>
      </c>
      <c r="I81" t="s">
        <v>34</v>
      </c>
      <c r="J81" t="s">
        <v>124</v>
      </c>
      <c r="K81">
        <v>120</v>
      </c>
      <c r="L81">
        <v>0</v>
      </c>
      <c r="M81" t="s">
        <v>36</v>
      </c>
      <c r="N81" t="s">
        <v>37</v>
      </c>
      <c r="O81">
        <v>0</v>
      </c>
      <c r="P81">
        <v>0</v>
      </c>
      <c r="Q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 t="s">
        <v>36</v>
      </c>
      <c r="AC81" t="s">
        <v>43</v>
      </c>
      <c r="AD81" t="str">
        <f t="shared" si="2"/>
        <v>CP</v>
      </c>
      <c r="AE81" t="str">
        <f>_xlfn.XLOOKUP(D81,Mapping!A:A,Mapping!D:D,0,0)</f>
        <v>Trans</v>
      </c>
      <c r="AF81" t="str">
        <f t="shared" si="3"/>
        <v>OLD</v>
      </c>
    </row>
    <row r="82" spans="1:32" x14ac:dyDescent="0.2">
      <c r="A82" t="s">
        <v>1118</v>
      </c>
      <c r="B82" t="s">
        <v>39</v>
      </c>
      <c r="C82">
        <v>1011838892</v>
      </c>
      <c r="D82" t="s">
        <v>130</v>
      </c>
      <c r="E82" t="s">
        <v>31</v>
      </c>
      <c r="F82" s="1">
        <v>0.67291666666666672</v>
      </c>
      <c r="G82" t="s">
        <v>32</v>
      </c>
      <c r="H82" t="s">
        <v>33</v>
      </c>
      <c r="I82" t="s">
        <v>34</v>
      </c>
      <c r="J82" t="s">
        <v>124</v>
      </c>
      <c r="K82">
        <v>230</v>
      </c>
      <c r="L82">
        <v>0</v>
      </c>
      <c r="M82" t="s">
        <v>36</v>
      </c>
      <c r="N82" t="s">
        <v>37</v>
      </c>
      <c r="O82">
        <v>0</v>
      </c>
      <c r="P82">
        <v>0</v>
      </c>
      <c r="Q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 t="s">
        <v>36</v>
      </c>
      <c r="AC82" t="s">
        <v>43</v>
      </c>
      <c r="AD82" t="str">
        <f t="shared" si="2"/>
        <v>CP</v>
      </c>
      <c r="AE82" t="str">
        <f>_xlfn.XLOOKUP(D82,Mapping!A:A,Mapping!D:D,0,0)</f>
        <v>Trans</v>
      </c>
      <c r="AF82" t="str">
        <f t="shared" si="3"/>
        <v>OLD</v>
      </c>
    </row>
    <row r="83" spans="1:32" x14ac:dyDescent="0.2">
      <c r="A83" t="s">
        <v>1118</v>
      </c>
      <c r="B83" t="s">
        <v>39</v>
      </c>
      <c r="C83">
        <v>1011838902</v>
      </c>
      <c r="D83" t="s">
        <v>131</v>
      </c>
      <c r="E83" t="s">
        <v>31</v>
      </c>
      <c r="F83" s="1">
        <v>0.67291666666666672</v>
      </c>
      <c r="G83" t="s">
        <v>32</v>
      </c>
      <c r="H83" t="s">
        <v>33</v>
      </c>
      <c r="I83" t="s">
        <v>34</v>
      </c>
      <c r="J83" t="s">
        <v>124</v>
      </c>
      <c r="K83">
        <v>170</v>
      </c>
      <c r="L83">
        <v>0</v>
      </c>
      <c r="M83" t="s">
        <v>36</v>
      </c>
      <c r="N83" t="s">
        <v>37</v>
      </c>
      <c r="O83">
        <v>0</v>
      </c>
      <c r="P83">
        <v>0</v>
      </c>
      <c r="Q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 t="s">
        <v>36</v>
      </c>
      <c r="AC83" t="s">
        <v>43</v>
      </c>
      <c r="AD83" t="str">
        <f t="shared" si="2"/>
        <v>CP</v>
      </c>
      <c r="AE83" t="str">
        <f>_xlfn.XLOOKUP(D83,Mapping!A:A,Mapping!D:D,0,0)</f>
        <v>Bin</v>
      </c>
      <c r="AF83" t="str">
        <f t="shared" si="3"/>
        <v>OLD</v>
      </c>
    </row>
    <row r="84" spans="1:32" x14ac:dyDescent="0.2">
      <c r="A84" t="s">
        <v>1118</v>
      </c>
      <c r="B84" t="s">
        <v>39</v>
      </c>
      <c r="C84">
        <v>1011838912</v>
      </c>
      <c r="D84" t="s">
        <v>132</v>
      </c>
      <c r="E84" t="s">
        <v>31</v>
      </c>
      <c r="F84" s="1">
        <v>0.67291666666666672</v>
      </c>
      <c r="G84" t="s">
        <v>32</v>
      </c>
      <c r="H84" t="s">
        <v>33</v>
      </c>
      <c r="I84" t="s">
        <v>41</v>
      </c>
      <c r="J84" t="s">
        <v>58</v>
      </c>
      <c r="K84">
        <v>242</v>
      </c>
      <c r="L84">
        <v>0</v>
      </c>
      <c r="M84" t="s">
        <v>36</v>
      </c>
      <c r="N84" t="s">
        <v>37</v>
      </c>
      <c r="O84">
        <v>0</v>
      </c>
      <c r="P84">
        <v>0</v>
      </c>
      <c r="Q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 t="s">
        <v>36</v>
      </c>
      <c r="AC84" t="s">
        <v>43</v>
      </c>
      <c r="AD84" t="str">
        <f t="shared" si="2"/>
        <v>CP</v>
      </c>
      <c r="AE84" t="str">
        <f>_xlfn.XLOOKUP(D84,Mapping!A:A,Mapping!D:D,0,0)</f>
        <v>Trans</v>
      </c>
      <c r="AF84" t="str">
        <f t="shared" si="3"/>
        <v>OLD</v>
      </c>
    </row>
    <row r="85" spans="1:32" x14ac:dyDescent="0.2">
      <c r="A85" t="s">
        <v>1118</v>
      </c>
      <c r="B85" t="s">
        <v>39</v>
      </c>
      <c r="C85">
        <v>1011838922</v>
      </c>
      <c r="D85" t="s">
        <v>133</v>
      </c>
      <c r="E85" t="s">
        <v>31</v>
      </c>
      <c r="F85" s="1">
        <v>0.67291666666666672</v>
      </c>
      <c r="G85" t="s">
        <v>32</v>
      </c>
      <c r="H85" t="s">
        <v>33</v>
      </c>
      <c r="I85" t="s">
        <v>41</v>
      </c>
      <c r="J85" t="s">
        <v>58</v>
      </c>
      <c r="K85">
        <v>242</v>
      </c>
      <c r="L85">
        <v>0</v>
      </c>
      <c r="M85" t="s">
        <v>36</v>
      </c>
      <c r="N85" t="s">
        <v>37</v>
      </c>
      <c r="O85">
        <v>0</v>
      </c>
      <c r="P85">
        <v>0</v>
      </c>
      <c r="Q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 t="s">
        <v>36</v>
      </c>
      <c r="AC85" t="s">
        <v>43</v>
      </c>
      <c r="AD85" t="str">
        <f t="shared" si="2"/>
        <v>CP</v>
      </c>
      <c r="AE85" t="str">
        <f>_xlfn.XLOOKUP(D85,Mapping!A:A,Mapping!D:D,0,0)</f>
        <v>Bin</v>
      </c>
      <c r="AF85" t="str">
        <f t="shared" si="3"/>
        <v>OLD</v>
      </c>
    </row>
    <row r="86" spans="1:32" x14ac:dyDescent="0.2">
      <c r="A86" t="s">
        <v>1118</v>
      </c>
      <c r="B86" t="s">
        <v>39</v>
      </c>
      <c r="C86">
        <v>1011838932</v>
      </c>
      <c r="D86" t="s">
        <v>134</v>
      </c>
      <c r="E86" t="s">
        <v>31</v>
      </c>
      <c r="F86" s="1">
        <v>0.67291666666666672</v>
      </c>
      <c r="G86" t="s">
        <v>32</v>
      </c>
      <c r="H86" t="s">
        <v>33</v>
      </c>
      <c r="I86" t="s">
        <v>41</v>
      </c>
      <c r="J86" t="s">
        <v>62</v>
      </c>
      <c r="K86">
        <v>220</v>
      </c>
      <c r="L86">
        <v>0</v>
      </c>
      <c r="M86" t="s">
        <v>63</v>
      </c>
      <c r="N86">
        <v>250</v>
      </c>
      <c r="O86">
        <v>0</v>
      </c>
      <c r="P86">
        <v>0</v>
      </c>
      <c r="Q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 t="s">
        <v>36</v>
      </c>
      <c r="AC86" t="s">
        <v>43</v>
      </c>
      <c r="AD86" t="str">
        <f t="shared" si="2"/>
        <v>CP</v>
      </c>
      <c r="AE86" t="str">
        <f>_xlfn.XLOOKUP(D86,Mapping!A:A,Mapping!D:D,0,0)</f>
        <v>Bin</v>
      </c>
      <c r="AF86" t="str">
        <f t="shared" si="3"/>
        <v>OLD</v>
      </c>
    </row>
    <row r="87" spans="1:32" x14ac:dyDescent="0.2">
      <c r="A87" t="s">
        <v>1118</v>
      </c>
      <c r="B87" t="s">
        <v>39</v>
      </c>
      <c r="C87">
        <v>1011838942</v>
      </c>
      <c r="D87" t="s">
        <v>135</v>
      </c>
      <c r="E87" t="s">
        <v>31</v>
      </c>
      <c r="F87" s="1">
        <v>0.67291666666666672</v>
      </c>
      <c r="G87" t="s">
        <v>32</v>
      </c>
      <c r="H87" t="s">
        <v>33</v>
      </c>
      <c r="I87" t="s">
        <v>34</v>
      </c>
      <c r="J87" t="s">
        <v>84</v>
      </c>
      <c r="K87">
        <v>88</v>
      </c>
      <c r="L87">
        <v>0</v>
      </c>
      <c r="M87" t="s">
        <v>63</v>
      </c>
      <c r="N87">
        <v>500</v>
      </c>
      <c r="O87">
        <v>0</v>
      </c>
      <c r="P87">
        <v>0</v>
      </c>
      <c r="Q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 t="s">
        <v>36</v>
      </c>
      <c r="AC87" t="s">
        <v>43</v>
      </c>
      <c r="AD87" t="str">
        <f t="shared" si="2"/>
        <v>CP</v>
      </c>
      <c r="AE87" t="str">
        <f>_xlfn.XLOOKUP(D87,Mapping!A:A,Mapping!D:D,0,0)</f>
        <v>Bin</v>
      </c>
      <c r="AF87" t="str">
        <f t="shared" si="3"/>
        <v>OLD</v>
      </c>
    </row>
    <row r="88" spans="1:32" x14ac:dyDescent="0.2">
      <c r="A88" t="s">
        <v>1118</v>
      </c>
      <c r="B88" t="s">
        <v>39</v>
      </c>
      <c r="C88">
        <v>1011838952</v>
      </c>
      <c r="D88" t="s">
        <v>136</v>
      </c>
      <c r="E88" t="s">
        <v>31</v>
      </c>
      <c r="F88" s="1">
        <v>0.67291666666666672</v>
      </c>
      <c r="G88" t="s">
        <v>32</v>
      </c>
      <c r="H88" t="s">
        <v>33</v>
      </c>
      <c r="I88" t="s">
        <v>41</v>
      </c>
      <c r="J88" t="s">
        <v>62</v>
      </c>
      <c r="K88">
        <v>748</v>
      </c>
      <c r="L88">
        <v>0</v>
      </c>
      <c r="M88" t="s">
        <v>36</v>
      </c>
      <c r="N88" t="s">
        <v>37</v>
      </c>
      <c r="O88">
        <v>0</v>
      </c>
      <c r="P88">
        <v>0</v>
      </c>
      <c r="Q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 t="s">
        <v>36</v>
      </c>
      <c r="AC88" t="s">
        <v>43</v>
      </c>
      <c r="AD88" t="str">
        <f t="shared" si="2"/>
        <v>CP</v>
      </c>
      <c r="AE88" t="str">
        <f>_xlfn.XLOOKUP(D88,Mapping!A:A,Mapping!D:D,0,0)</f>
        <v>Bin</v>
      </c>
      <c r="AF88" t="str">
        <f t="shared" si="3"/>
        <v>OLD</v>
      </c>
    </row>
    <row r="89" spans="1:32" x14ac:dyDescent="0.2">
      <c r="A89" t="s">
        <v>1118</v>
      </c>
      <c r="B89" t="s">
        <v>39</v>
      </c>
      <c r="C89">
        <v>1011838962</v>
      </c>
      <c r="D89" t="s">
        <v>137</v>
      </c>
      <c r="E89" t="s">
        <v>31</v>
      </c>
      <c r="F89" s="1">
        <v>0.67291666666666672</v>
      </c>
      <c r="G89" t="s">
        <v>32</v>
      </c>
      <c r="H89" t="s">
        <v>33</v>
      </c>
      <c r="I89" t="s">
        <v>41</v>
      </c>
      <c r="J89" t="s">
        <v>62</v>
      </c>
      <c r="K89">
        <v>616</v>
      </c>
      <c r="L89">
        <v>0</v>
      </c>
      <c r="M89" t="s">
        <v>36</v>
      </c>
      <c r="N89" t="s">
        <v>37</v>
      </c>
      <c r="O89">
        <v>0</v>
      </c>
      <c r="P89">
        <v>0</v>
      </c>
      <c r="Q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 t="s">
        <v>36</v>
      </c>
      <c r="AC89" t="s">
        <v>43</v>
      </c>
      <c r="AD89" t="str">
        <f t="shared" si="2"/>
        <v>CP</v>
      </c>
      <c r="AE89" t="str">
        <f>_xlfn.XLOOKUP(D89,Mapping!A:A,Mapping!D:D,0,0)</f>
        <v>Bin</v>
      </c>
      <c r="AF89" t="str">
        <f t="shared" si="3"/>
        <v>OLD</v>
      </c>
    </row>
    <row r="90" spans="1:32" x14ac:dyDescent="0.2">
      <c r="A90" t="s">
        <v>1118</v>
      </c>
      <c r="B90" t="s">
        <v>39</v>
      </c>
      <c r="C90">
        <v>1011838972</v>
      </c>
      <c r="D90" t="s">
        <v>138</v>
      </c>
      <c r="E90" t="s">
        <v>31</v>
      </c>
      <c r="F90" s="1">
        <v>0.67291666666666672</v>
      </c>
      <c r="G90" t="s">
        <v>32</v>
      </c>
      <c r="H90" t="s">
        <v>33</v>
      </c>
      <c r="I90" t="s">
        <v>34</v>
      </c>
      <c r="J90" t="s">
        <v>84</v>
      </c>
      <c r="K90">
        <v>88</v>
      </c>
      <c r="L90">
        <v>0</v>
      </c>
      <c r="M90" t="s">
        <v>63</v>
      </c>
      <c r="N90">
        <v>500</v>
      </c>
      <c r="O90">
        <v>0</v>
      </c>
      <c r="P90">
        <v>0</v>
      </c>
      <c r="Q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 t="s">
        <v>36</v>
      </c>
      <c r="AC90" t="s">
        <v>43</v>
      </c>
      <c r="AD90" t="str">
        <f t="shared" si="2"/>
        <v>CP</v>
      </c>
      <c r="AE90" t="str">
        <f>_xlfn.XLOOKUP(D90,Mapping!A:A,Mapping!D:D,0,0)</f>
        <v>Bin</v>
      </c>
      <c r="AF90" t="str">
        <f t="shared" si="3"/>
        <v>OLD</v>
      </c>
    </row>
    <row r="91" spans="1:32" x14ac:dyDescent="0.2">
      <c r="A91" t="s">
        <v>1118</v>
      </c>
      <c r="B91" t="s">
        <v>39</v>
      </c>
      <c r="C91">
        <v>1011838982</v>
      </c>
      <c r="D91" t="s">
        <v>139</v>
      </c>
      <c r="E91" t="s">
        <v>31</v>
      </c>
      <c r="F91" s="1">
        <v>0.67291666666666672</v>
      </c>
      <c r="G91" t="s">
        <v>32</v>
      </c>
      <c r="H91" t="s">
        <v>33</v>
      </c>
      <c r="I91" t="s">
        <v>41</v>
      </c>
      <c r="J91" t="s">
        <v>62</v>
      </c>
      <c r="K91">
        <v>220</v>
      </c>
      <c r="L91">
        <v>0</v>
      </c>
      <c r="M91" t="s">
        <v>36</v>
      </c>
      <c r="N91" t="s">
        <v>37</v>
      </c>
      <c r="O91">
        <v>0</v>
      </c>
      <c r="P91">
        <v>0</v>
      </c>
      <c r="Q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 t="s">
        <v>36</v>
      </c>
      <c r="AC91" t="s">
        <v>43</v>
      </c>
      <c r="AD91" t="str">
        <f t="shared" si="2"/>
        <v>CP</v>
      </c>
      <c r="AE91" t="str">
        <f>_xlfn.XLOOKUP(D91,Mapping!A:A,Mapping!D:D,0,0)</f>
        <v>Bin</v>
      </c>
      <c r="AF91" t="str">
        <f t="shared" si="3"/>
        <v>OLD</v>
      </c>
    </row>
    <row r="92" spans="1:32" x14ac:dyDescent="0.2">
      <c r="A92" t="s">
        <v>1118</v>
      </c>
      <c r="B92" t="s">
        <v>39</v>
      </c>
      <c r="C92">
        <v>1011838992</v>
      </c>
      <c r="D92" t="s">
        <v>140</v>
      </c>
      <c r="E92" t="s">
        <v>31</v>
      </c>
      <c r="F92" s="1">
        <v>0.67291666666666672</v>
      </c>
      <c r="G92" t="s">
        <v>32</v>
      </c>
      <c r="H92" t="s">
        <v>33</v>
      </c>
      <c r="I92" t="s">
        <v>41</v>
      </c>
      <c r="J92" t="s">
        <v>62</v>
      </c>
      <c r="K92">
        <v>220</v>
      </c>
      <c r="L92">
        <v>0</v>
      </c>
      <c r="M92" t="s">
        <v>63</v>
      </c>
      <c r="N92">
        <v>150</v>
      </c>
      <c r="O92">
        <v>0</v>
      </c>
      <c r="P92">
        <v>0</v>
      </c>
      <c r="Q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 t="s">
        <v>36</v>
      </c>
      <c r="AC92" t="s">
        <v>43</v>
      </c>
      <c r="AD92" t="str">
        <f t="shared" si="2"/>
        <v>CP</v>
      </c>
      <c r="AE92" t="str">
        <f>_xlfn.XLOOKUP(D92,Mapping!A:A,Mapping!D:D,0,0)</f>
        <v>Bin</v>
      </c>
      <c r="AF92" t="str">
        <f t="shared" si="3"/>
        <v>OLD</v>
      </c>
    </row>
    <row r="93" spans="1:32" x14ac:dyDescent="0.2">
      <c r="A93" t="s">
        <v>1118</v>
      </c>
      <c r="B93" t="s">
        <v>39</v>
      </c>
      <c r="C93">
        <v>1011839002</v>
      </c>
      <c r="D93" t="s">
        <v>141</v>
      </c>
      <c r="E93" t="s">
        <v>31</v>
      </c>
      <c r="F93" s="1">
        <v>0.67291666666666672</v>
      </c>
      <c r="G93" t="s">
        <v>32</v>
      </c>
      <c r="H93" t="s">
        <v>33</v>
      </c>
      <c r="I93" t="s">
        <v>34</v>
      </c>
      <c r="J93" t="s">
        <v>84</v>
      </c>
      <c r="K93">
        <v>88</v>
      </c>
      <c r="L93">
        <v>0</v>
      </c>
      <c r="M93" t="s">
        <v>63</v>
      </c>
      <c r="N93">
        <v>500</v>
      </c>
      <c r="O93">
        <v>0</v>
      </c>
      <c r="P93">
        <v>0</v>
      </c>
      <c r="Q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 t="s">
        <v>36</v>
      </c>
      <c r="AC93" t="s">
        <v>43</v>
      </c>
      <c r="AD93" t="str">
        <f t="shared" si="2"/>
        <v>CP</v>
      </c>
      <c r="AE93" t="str">
        <f>_xlfn.XLOOKUP(D93,Mapping!A:A,Mapping!D:D,0,0)</f>
        <v>Bin</v>
      </c>
      <c r="AF93" t="str">
        <f t="shared" si="3"/>
        <v>OLD</v>
      </c>
    </row>
    <row r="94" spans="1:32" x14ac:dyDescent="0.2">
      <c r="A94" t="s">
        <v>1118</v>
      </c>
      <c r="B94" t="s">
        <v>39</v>
      </c>
      <c r="C94">
        <v>1011839012</v>
      </c>
      <c r="D94" t="s">
        <v>142</v>
      </c>
      <c r="E94" t="s">
        <v>31</v>
      </c>
      <c r="F94" s="1">
        <v>0.67291666666666672</v>
      </c>
      <c r="G94" t="s">
        <v>32</v>
      </c>
      <c r="H94" t="s">
        <v>33</v>
      </c>
      <c r="I94" t="s">
        <v>34</v>
      </c>
      <c r="J94" t="s">
        <v>84</v>
      </c>
      <c r="K94">
        <v>88</v>
      </c>
      <c r="L94">
        <v>0</v>
      </c>
      <c r="M94" t="s">
        <v>36</v>
      </c>
      <c r="N94" t="s">
        <v>37</v>
      </c>
      <c r="O94">
        <v>0</v>
      </c>
      <c r="P94">
        <v>0</v>
      </c>
      <c r="Q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 t="s">
        <v>36</v>
      </c>
      <c r="AC94" t="s">
        <v>43</v>
      </c>
      <c r="AD94" t="str">
        <f t="shared" si="2"/>
        <v>CP</v>
      </c>
      <c r="AE94" t="str">
        <f>_xlfn.XLOOKUP(D94,Mapping!A:A,Mapping!D:D,0,0)</f>
        <v>Bin</v>
      </c>
      <c r="AF94" t="str">
        <f t="shared" si="3"/>
        <v>OLD</v>
      </c>
    </row>
    <row r="95" spans="1:32" x14ac:dyDescent="0.2">
      <c r="A95" t="s">
        <v>1118</v>
      </c>
      <c r="B95" t="s">
        <v>39</v>
      </c>
      <c r="C95">
        <v>1011839022</v>
      </c>
      <c r="D95" t="s">
        <v>143</v>
      </c>
      <c r="E95" t="s">
        <v>31</v>
      </c>
      <c r="F95" s="1">
        <v>0.67291666666666672</v>
      </c>
      <c r="G95" t="s">
        <v>32</v>
      </c>
      <c r="H95" t="s">
        <v>33</v>
      </c>
      <c r="I95" t="s">
        <v>41</v>
      </c>
      <c r="J95" t="s">
        <v>62</v>
      </c>
      <c r="K95">
        <v>220</v>
      </c>
      <c r="L95">
        <v>0</v>
      </c>
      <c r="M95" t="s">
        <v>36</v>
      </c>
      <c r="N95" t="s">
        <v>37</v>
      </c>
      <c r="O95">
        <v>0</v>
      </c>
      <c r="P95">
        <v>0</v>
      </c>
      <c r="Q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 t="s">
        <v>36</v>
      </c>
      <c r="AC95" t="s">
        <v>43</v>
      </c>
      <c r="AD95" t="str">
        <f t="shared" si="2"/>
        <v>CP</v>
      </c>
      <c r="AE95" t="str">
        <f>_xlfn.XLOOKUP(D95,Mapping!A:A,Mapping!D:D,0,0)</f>
        <v>Bin</v>
      </c>
      <c r="AF95" t="str">
        <f t="shared" si="3"/>
        <v>OLD</v>
      </c>
    </row>
    <row r="96" spans="1:32" x14ac:dyDescent="0.2">
      <c r="A96" t="s">
        <v>1118</v>
      </c>
      <c r="B96" t="s">
        <v>39</v>
      </c>
      <c r="C96">
        <v>1011839032</v>
      </c>
      <c r="D96" t="s">
        <v>144</v>
      </c>
      <c r="E96" t="s">
        <v>31</v>
      </c>
      <c r="F96" s="1">
        <v>0.67291666666666672</v>
      </c>
      <c r="G96" t="s">
        <v>32</v>
      </c>
      <c r="H96" t="s">
        <v>33</v>
      </c>
      <c r="I96" t="s">
        <v>41</v>
      </c>
      <c r="J96" t="s">
        <v>62</v>
      </c>
      <c r="K96">
        <v>220</v>
      </c>
      <c r="L96">
        <v>0</v>
      </c>
      <c r="M96" t="s">
        <v>63</v>
      </c>
      <c r="N96">
        <v>200</v>
      </c>
      <c r="O96">
        <v>0</v>
      </c>
      <c r="P96">
        <v>0</v>
      </c>
      <c r="Q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 t="s">
        <v>36</v>
      </c>
      <c r="AC96" t="s">
        <v>43</v>
      </c>
      <c r="AD96" t="str">
        <f t="shared" si="2"/>
        <v>CP</v>
      </c>
      <c r="AE96" t="str">
        <f>_xlfn.XLOOKUP(D96,Mapping!A:A,Mapping!D:D,0,0)</f>
        <v>Bin</v>
      </c>
      <c r="AF96" t="str">
        <f t="shared" si="3"/>
        <v>OLD</v>
      </c>
    </row>
    <row r="97" spans="1:32" x14ac:dyDescent="0.2">
      <c r="A97" t="s">
        <v>1118</v>
      </c>
      <c r="B97" t="s">
        <v>39</v>
      </c>
      <c r="C97">
        <v>1011839042</v>
      </c>
      <c r="D97" t="s">
        <v>145</v>
      </c>
      <c r="E97" t="s">
        <v>31</v>
      </c>
      <c r="F97" s="1">
        <v>0.67291666666666672</v>
      </c>
      <c r="G97" t="s">
        <v>32</v>
      </c>
      <c r="H97" t="s">
        <v>33</v>
      </c>
      <c r="I97" t="s">
        <v>41</v>
      </c>
      <c r="J97" t="s">
        <v>62</v>
      </c>
      <c r="K97">
        <v>130</v>
      </c>
      <c r="L97">
        <v>0</v>
      </c>
      <c r="M97" t="s">
        <v>63</v>
      </c>
      <c r="N97">
        <v>100</v>
      </c>
      <c r="O97">
        <v>0</v>
      </c>
      <c r="P97">
        <v>0</v>
      </c>
      <c r="Q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 t="s">
        <v>36</v>
      </c>
      <c r="AC97" t="s">
        <v>43</v>
      </c>
      <c r="AD97" t="str">
        <f t="shared" si="2"/>
        <v>CP</v>
      </c>
      <c r="AE97" t="str">
        <f>_xlfn.XLOOKUP(D97,Mapping!A:A,Mapping!D:D,0,0)</f>
        <v>Bin</v>
      </c>
      <c r="AF97" t="str">
        <f t="shared" si="3"/>
        <v>OLD</v>
      </c>
    </row>
    <row r="98" spans="1:32" x14ac:dyDescent="0.2">
      <c r="A98" t="s">
        <v>1118</v>
      </c>
      <c r="B98" t="s">
        <v>39</v>
      </c>
      <c r="C98">
        <v>1011839052</v>
      </c>
      <c r="D98" t="s">
        <v>146</v>
      </c>
      <c r="E98" t="s">
        <v>31</v>
      </c>
      <c r="F98" s="1">
        <v>0.67291666666666672</v>
      </c>
      <c r="G98" t="s">
        <v>32</v>
      </c>
      <c r="H98" t="s">
        <v>33</v>
      </c>
      <c r="I98" t="s">
        <v>34</v>
      </c>
      <c r="J98" t="s">
        <v>84</v>
      </c>
      <c r="K98">
        <v>88</v>
      </c>
      <c r="L98">
        <v>0</v>
      </c>
      <c r="M98" t="s">
        <v>63</v>
      </c>
      <c r="N98">
        <v>500</v>
      </c>
      <c r="O98">
        <v>0</v>
      </c>
      <c r="P98">
        <v>0</v>
      </c>
      <c r="Q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 t="s">
        <v>36</v>
      </c>
      <c r="AC98" t="s">
        <v>43</v>
      </c>
      <c r="AD98" t="str">
        <f t="shared" si="2"/>
        <v>CP</v>
      </c>
      <c r="AE98" t="str">
        <f>_xlfn.XLOOKUP(D98,Mapping!A:A,Mapping!D:D,0,0)</f>
        <v>Bin</v>
      </c>
      <c r="AF98" t="str">
        <f t="shared" si="3"/>
        <v>OLD</v>
      </c>
    </row>
    <row r="99" spans="1:32" x14ac:dyDescent="0.2">
      <c r="A99" t="s">
        <v>1118</v>
      </c>
      <c r="B99" t="s">
        <v>39</v>
      </c>
      <c r="C99">
        <v>1011839072</v>
      </c>
      <c r="D99" t="s">
        <v>147</v>
      </c>
      <c r="E99" t="s">
        <v>31</v>
      </c>
      <c r="F99" s="1">
        <v>0.67291666666666672</v>
      </c>
      <c r="G99" t="s">
        <v>32</v>
      </c>
      <c r="H99" t="s">
        <v>33</v>
      </c>
      <c r="I99" t="s">
        <v>41</v>
      </c>
      <c r="J99" t="s">
        <v>62</v>
      </c>
      <c r="K99">
        <v>130</v>
      </c>
      <c r="L99">
        <v>0</v>
      </c>
      <c r="M99" t="s">
        <v>63</v>
      </c>
      <c r="N99">
        <v>100</v>
      </c>
      <c r="O99">
        <v>0</v>
      </c>
      <c r="P99">
        <v>0</v>
      </c>
      <c r="Q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 t="s">
        <v>36</v>
      </c>
      <c r="AC99" t="s">
        <v>43</v>
      </c>
      <c r="AD99" t="str">
        <f t="shared" si="2"/>
        <v>CP</v>
      </c>
      <c r="AE99" t="str">
        <f>_xlfn.XLOOKUP(D99,Mapping!A:A,Mapping!D:D,0,0)</f>
        <v>Bin</v>
      </c>
      <c r="AF99" t="str">
        <f t="shared" si="3"/>
        <v>OLD</v>
      </c>
    </row>
    <row r="100" spans="1:32" x14ac:dyDescent="0.2">
      <c r="A100" t="s">
        <v>1118</v>
      </c>
      <c r="B100" t="s">
        <v>39</v>
      </c>
      <c r="C100">
        <v>1011839082</v>
      </c>
      <c r="D100" t="s">
        <v>148</v>
      </c>
      <c r="E100" t="s">
        <v>31</v>
      </c>
      <c r="F100" s="1">
        <v>0.67291666666666672</v>
      </c>
      <c r="G100" t="s">
        <v>32</v>
      </c>
      <c r="H100" t="s">
        <v>33</v>
      </c>
      <c r="I100" t="s">
        <v>41</v>
      </c>
      <c r="J100" t="s">
        <v>62</v>
      </c>
      <c r="K100">
        <v>526</v>
      </c>
      <c r="L100">
        <v>0</v>
      </c>
      <c r="M100" t="s">
        <v>36</v>
      </c>
      <c r="N100" t="s">
        <v>37</v>
      </c>
      <c r="O100">
        <v>0</v>
      </c>
      <c r="P100">
        <v>0</v>
      </c>
      <c r="Q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 t="s">
        <v>36</v>
      </c>
      <c r="AC100" t="s">
        <v>43</v>
      </c>
      <c r="AD100" t="str">
        <f t="shared" si="2"/>
        <v>CP</v>
      </c>
      <c r="AE100" t="str">
        <f>_xlfn.XLOOKUP(D100,Mapping!A:A,Mapping!D:D,0,0)</f>
        <v>Bin</v>
      </c>
      <c r="AF100" t="str">
        <f t="shared" si="3"/>
        <v>OLD</v>
      </c>
    </row>
    <row r="101" spans="1:32" x14ac:dyDescent="0.2">
      <c r="A101" t="s">
        <v>1118</v>
      </c>
      <c r="B101" t="s">
        <v>39</v>
      </c>
      <c r="C101">
        <v>1011839092</v>
      </c>
      <c r="D101" t="s">
        <v>149</v>
      </c>
      <c r="E101" t="s">
        <v>31</v>
      </c>
      <c r="F101" s="1">
        <v>0.67291666666666672</v>
      </c>
      <c r="G101" t="s">
        <v>32</v>
      </c>
      <c r="H101" t="s">
        <v>33</v>
      </c>
      <c r="I101" t="s">
        <v>34</v>
      </c>
      <c r="J101" t="s">
        <v>84</v>
      </c>
      <c r="K101">
        <v>268</v>
      </c>
      <c r="L101">
        <v>0</v>
      </c>
      <c r="M101" t="s">
        <v>36</v>
      </c>
      <c r="N101" t="s">
        <v>37</v>
      </c>
      <c r="O101">
        <v>0</v>
      </c>
      <c r="P101">
        <v>0</v>
      </c>
      <c r="Q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 t="s">
        <v>36</v>
      </c>
      <c r="AC101" t="s">
        <v>43</v>
      </c>
      <c r="AD101" t="str">
        <f t="shared" si="2"/>
        <v>CP</v>
      </c>
      <c r="AE101" t="str">
        <f>_xlfn.XLOOKUP(D101,Mapping!A:A,Mapping!D:D,0,0)</f>
        <v>Bin</v>
      </c>
      <c r="AF101" t="str">
        <f t="shared" si="3"/>
        <v>OLD</v>
      </c>
    </row>
    <row r="102" spans="1:32" x14ac:dyDescent="0.2">
      <c r="A102" t="s">
        <v>1118</v>
      </c>
      <c r="B102" t="s">
        <v>39</v>
      </c>
      <c r="C102">
        <v>1011839102</v>
      </c>
      <c r="D102" t="s">
        <v>150</v>
      </c>
      <c r="E102" t="s">
        <v>31</v>
      </c>
      <c r="F102" s="1">
        <v>0.67291666666666672</v>
      </c>
      <c r="G102" t="s">
        <v>32</v>
      </c>
      <c r="H102" t="s">
        <v>33</v>
      </c>
      <c r="I102" t="s">
        <v>34</v>
      </c>
      <c r="J102" t="s">
        <v>84</v>
      </c>
      <c r="K102">
        <v>268</v>
      </c>
      <c r="L102">
        <v>0</v>
      </c>
      <c r="M102" t="s">
        <v>36</v>
      </c>
      <c r="N102" t="s">
        <v>37</v>
      </c>
      <c r="O102">
        <v>0</v>
      </c>
      <c r="P102">
        <v>0</v>
      </c>
      <c r="Q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 t="s">
        <v>36</v>
      </c>
      <c r="AC102" t="s">
        <v>43</v>
      </c>
      <c r="AD102" t="str">
        <f t="shared" si="2"/>
        <v>CP</v>
      </c>
      <c r="AE102" t="str">
        <f>_xlfn.XLOOKUP(D102,Mapping!A:A,Mapping!D:D,0,0)</f>
        <v>Bin</v>
      </c>
      <c r="AF102" t="str">
        <f t="shared" si="3"/>
        <v>OLD</v>
      </c>
    </row>
    <row r="103" spans="1:32" x14ac:dyDescent="0.2">
      <c r="A103" t="s">
        <v>1118</v>
      </c>
      <c r="B103" t="s">
        <v>39</v>
      </c>
      <c r="C103">
        <v>1011839112</v>
      </c>
      <c r="D103" t="s">
        <v>151</v>
      </c>
      <c r="E103" t="s">
        <v>31</v>
      </c>
      <c r="F103" s="1">
        <v>0.67291666666666672</v>
      </c>
      <c r="G103" t="s">
        <v>32</v>
      </c>
      <c r="H103" t="s">
        <v>33</v>
      </c>
      <c r="I103" t="s">
        <v>41</v>
      </c>
      <c r="J103" t="s">
        <v>62</v>
      </c>
      <c r="K103">
        <v>526</v>
      </c>
      <c r="L103">
        <v>0</v>
      </c>
      <c r="M103" t="s">
        <v>36</v>
      </c>
      <c r="N103" t="s">
        <v>37</v>
      </c>
      <c r="O103">
        <v>0</v>
      </c>
      <c r="P103">
        <v>0</v>
      </c>
      <c r="Q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 t="s">
        <v>36</v>
      </c>
      <c r="AC103" t="s">
        <v>43</v>
      </c>
      <c r="AD103" t="str">
        <f t="shared" si="2"/>
        <v>CP</v>
      </c>
      <c r="AE103" t="str">
        <f>_xlfn.XLOOKUP(D103,Mapping!A:A,Mapping!D:D,0,0)</f>
        <v>Bin</v>
      </c>
      <c r="AF103" t="str">
        <f t="shared" si="3"/>
        <v>OLD</v>
      </c>
    </row>
    <row r="104" spans="1:32" x14ac:dyDescent="0.2">
      <c r="A104" t="s">
        <v>1118</v>
      </c>
      <c r="B104" t="s">
        <v>39</v>
      </c>
      <c r="C104">
        <v>1011839122</v>
      </c>
      <c r="D104" t="s">
        <v>152</v>
      </c>
      <c r="E104" t="s">
        <v>31</v>
      </c>
      <c r="F104" s="1">
        <v>0.67291666666666672</v>
      </c>
      <c r="G104" t="s">
        <v>32</v>
      </c>
      <c r="H104" t="s">
        <v>33</v>
      </c>
      <c r="I104" t="s">
        <v>41</v>
      </c>
      <c r="J104" t="s">
        <v>62</v>
      </c>
      <c r="K104">
        <v>130</v>
      </c>
      <c r="L104">
        <v>0</v>
      </c>
      <c r="M104" t="s">
        <v>63</v>
      </c>
      <c r="N104">
        <v>100</v>
      </c>
      <c r="O104">
        <v>0</v>
      </c>
      <c r="P104">
        <v>0</v>
      </c>
      <c r="Q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 t="s">
        <v>36</v>
      </c>
      <c r="AC104" t="s">
        <v>43</v>
      </c>
      <c r="AD104" t="str">
        <f t="shared" si="2"/>
        <v>CP</v>
      </c>
      <c r="AE104" t="str">
        <f>_xlfn.XLOOKUP(D104,Mapping!A:A,Mapping!D:D,0,0)</f>
        <v>Bin</v>
      </c>
      <c r="AF104" t="str">
        <f t="shared" si="3"/>
        <v>OLD</v>
      </c>
    </row>
    <row r="105" spans="1:32" x14ac:dyDescent="0.2">
      <c r="A105" t="s">
        <v>1118</v>
      </c>
      <c r="B105" t="s">
        <v>39</v>
      </c>
      <c r="C105">
        <v>1011839132</v>
      </c>
      <c r="D105" t="s">
        <v>153</v>
      </c>
      <c r="E105" t="s">
        <v>31</v>
      </c>
      <c r="F105" s="1">
        <v>0.67291666666666672</v>
      </c>
      <c r="G105" t="s">
        <v>32</v>
      </c>
      <c r="H105" t="s">
        <v>33</v>
      </c>
      <c r="I105" t="s">
        <v>41</v>
      </c>
      <c r="J105" t="s">
        <v>62</v>
      </c>
      <c r="K105">
        <v>130</v>
      </c>
      <c r="L105">
        <v>0</v>
      </c>
      <c r="M105" t="s">
        <v>63</v>
      </c>
      <c r="N105">
        <v>150</v>
      </c>
      <c r="O105">
        <v>0</v>
      </c>
      <c r="P105">
        <v>0</v>
      </c>
      <c r="Q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 t="s">
        <v>36</v>
      </c>
      <c r="AC105" t="s">
        <v>43</v>
      </c>
      <c r="AD105" t="str">
        <f t="shared" si="2"/>
        <v>CP</v>
      </c>
      <c r="AE105" t="str">
        <f>_xlfn.XLOOKUP(D105,Mapping!A:A,Mapping!D:D,0,0)</f>
        <v>Bin</v>
      </c>
      <c r="AF105" t="str">
        <f t="shared" si="3"/>
        <v>OLD</v>
      </c>
    </row>
    <row r="106" spans="1:32" x14ac:dyDescent="0.2">
      <c r="A106" t="s">
        <v>1118</v>
      </c>
      <c r="B106" t="s">
        <v>39</v>
      </c>
      <c r="C106">
        <v>1011839142</v>
      </c>
      <c r="D106" t="s">
        <v>154</v>
      </c>
      <c r="E106" t="s">
        <v>31</v>
      </c>
      <c r="F106" s="1">
        <v>0.67291666666666672</v>
      </c>
      <c r="G106" t="s">
        <v>32</v>
      </c>
      <c r="H106" t="s">
        <v>33</v>
      </c>
      <c r="I106" t="s">
        <v>41</v>
      </c>
      <c r="J106" t="s">
        <v>62</v>
      </c>
      <c r="K106">
        <v>526</v>
      </c>
      <c r="L106">
        <v>0</v>
      </c>
      <c r="M106" t="s">
        <v>36</v>
      </c>
      <c r="N106" t="s">
        <v>37</v>
      </c>
      <c r="O106">
        <v>0</v>
      </c>
      <c r="P106">
        <v>0</v>
      </c>
      <c r="Q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 t="s">
        <v>36</v>
      </c>
      <c r="AC106" t="s">
        <v>43</v>
      </c>
      <c r="AD106" t="str">
        <f t="shared" si="2"/>
        <v>CP</v>
      </c>
      <c r="AE106" t="str">
        <f>_xlfn.XLOOKUP(D106,Mapping!A:A,Mapping!D:D,0,0)</f>
        <v>Bin</v>
      </c>
      <c r="AF106" t="str">
        <f t="shared" si="3"/>
        <v>OLD</v>
      </c>
    </row>
    <row r="107" spans="1:32" x14ac:dyDescent="0.2">
      <c r="A107" t="s">
        <v>1118</v>
      </c>
      <c r="B107" t="s">
        <v>39</v>
      </c>
      <c r="C107">
        <v>1011839152</v>
      </c>
      <c r="D107" t="s">
        <v>155</v>
      </c>
      <c r="E107" t="s">
        <v>31</v>
      </c>
      <c r="F107" s="1">
        <v>0.67291666666666672</v>
      </c>
      <c r="G107" t="s">
        <v>32</v>
      </c>
      <c r="H107" t="s">
        <v>33</v>
      </c>
      <c r="I107" t="s">
        <v>34</v>
      </c>
      <c r="J107" t="s">
        <v>84</v>
      </c>
      <c r="K107">
        <v>268</v>
      </c>
      <c r="L107">
        <v>0</v>
      </c>
      <c r="M107" t="s">
        <v>36</v>
      </c>
      <c r="N107" t="s">
        <v>37</v>
      </c>
      <c r="O107">
        <v>0</v>
      </c>
      <c r="P107">
        <v>0</v>
      </c>
      <c r="Q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 t="s">
        <v>36</v>
      </c>
      <c r="AC107" t="s">
        <v>43</v>
      </c>
      <c r="AD107" t="str">
        <f t="shared" si="2"/>
        <v>CP</v>
      </c>
      <c r="AE107" t="str">
        <f>_xlfn.XLOOKUP(D107,Mapping!A:A,Mapping!D:D,0,0)</f>
        <v>Bin</v>
      </c>
      <c r="AF107" t="str">
        <f t="shared" si="3"/>
        <v>OLD</v>
      </c>
    </row>
    <row r="108" spans="1:32" x14ac:dyDescent="0.2">
      <c r="A108" t="s">
        <v>1118</v>
      </c>
      <c r="B108" t="s">
        <v>39</v>
      </c>
      <c r="C108">
        <v>1011839162</v>
      </c>
      <c r="D108" t="s">
        <v>156</v>
      </c>
      <c r="E108" t="s">
        <v>31</v>
      </c>
      <c r="F108" s="1">
        <v>0.67291666666666672</v>
      </c>
      <c r="G108" t="s">
        <v>32</v>
      </c>
      <c r="H108" t="s">
        <v>33</v>
      </c>
      <c r="I108" t="s">
        <v>41</v>
      </c>
      <c r="J108" t="s">
        <v>62</v>
      </c>
      <c r="K108">
        <v>616</v>
      </c>
      <c r="L108">
        <v>0</v>
      </c>
      <c r="M108" t="s">
        <v>36</v>
      </c>
      <c r="N108" t="s">
        <v>37</v>
      </c>
      <c r="O108">
        <v>0</v>
      </c>
      <c r="P108">
        <v>0</v>
      </c>
      <c r="Q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 t="s">
        <v>36</v>
      </c>
      <c r="AC108" t="s">
        <v>43</v>
      </c>
      <c r="AD108" t="str">
        <f t="shared" si="2"/>
        <v>CP</v>
      </c>
      <c r="AE108" t="str">
        <f>_xlfn.XLOOKUP(D108,Mapping!A:A,Mapping!D:D,0,0)</f>
        <v>Bin</v>
      </c>
      <c r="AF108" t="str">
        <f t="shared" si="3"/>
        <v>OLD</v>
      </c>
    </row>
    <row r="109" spans="1:32" x14ac:dyDescent="0.2">
      <c r="A109" t="s">
        <v>1118</v>
      </c>
      <c r="B109" t="s">
        <v>29</v>
      </c>
      <c r="C109">
        <v>1011839172</v>
      </c>
      <c r="D109" t="s">
        <v>157</v>
      </c>
      <c r="E109" t="s">
        <v>31</v>
      </c>
      <c r="F109" s="1">
        <v>0.67291666666666672</v>
      </c>
      <c r="G109" t="s">
        <v>32</v>
      </c>
      <c r="H109" t="s">
        <v>33</v>
      </c>
      <c r="I109" t="s">
        <v>34</v>
      </c>
      <c r="J109" t="s">
        <v>84</v>
      </c>
      <c r="K109">
        <v>45</v>
      </c>
      <c r="L109">
        <v>0</v>
      </c>
      <c r="M109" t="s">
        <v>36</v>
      </c>
      <c r="N109" t="s">
        <v>37</v>
      </c>
      <c r="O109">
        <v>21514</v>
      </c>
      <c r="P109">
        <v>945</v>
      </c>
      <c r="Q109">
        <v>4.3924799999999999</v>
      </c>
      <c r="R109">
        <v>0</v>
      </c>
      <c r="S109">
        <v>81.16</v>
      </c>
      <c r="T109">
        <v>3.7730000000000001</v>
      </c>
      <c r="U109">
        <v>8.5999999999999993E-2</v>
      </c>
      <c r="V109">
        <v>0</v>
      </c>
      <c r="W109">
        <v>1</v>
      </c>
      <c r="X109">
        <v>0</v>
      </c>
      <c r="Y109" t="s">
        <v>36</v>
      </c>
      <c r="Z109">
        <v>21500</v>
      </c>
      <c r="AA109">
        <v>16845</v>
      </c>
      <c r="AB109">
        <v>2662</v>
      </c>
      <c r="AC109" t="s">
        <v>158</v>
      </c>
      <c r="AD109" t="str">
        <f t="shared" si="2"/>
        <v>CP</v>
      </c>
      <c r="AE109" t="str">
        <f>_xlfn.XLOOKUP(D109,Mapping!A:A,Mapping!D:D,0,0)</f>
        <v>Keyword - Preroll</v>
      </c>
      <c r="AF109" t="str">
        <f t="shared" si="3"/>
        <v>OLD</v>
      </c>
    </row>
    <row r="110" spans="1:32" x14ac:dyDescent="0.2">
      <c r="A110" t="s">
        <v>1118</v>
      </c>
      <c r="B110" t="s">
        <v>39</v>
      </c>
      <c r="C110">
        <v>1011839182</v>
      </c>
      <c r="D110" t="s">
        <v>159</v>
      </c>
      <c r="E110" t="s">
        <v>31</v>
      </c>
      <c r="F110" s="1">
        <v>0.67291666666666672</v>
      </c>
      <c r="G110" t="s">
        <v>32</v>
      </c>
      <c r="H110" t="s">
        <v>33</v>
      </c>
      <c r="I110" t="s">
        <v>41</v>
      </c>
      <c r="J110" t="s">
        <v>62</v>
      </c>
      <c r="K110">
        <v>99</v>
      </c>
      <c r="L110">
        <v>0</v>
      </c>
      <c r="M110" t="s">
        <v>36</v>
      </c>
      <c r="N110" t="s">
        <v>37</v>
      </c>
      <c r="O110">
        <v>0</v>
      </c>
      <c r="P110">
        <v>0</v>
      </c>
      <c r="Q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 t="s">
        <v>36</v>
      </c>
      <c r="AC110" t="s">
        <v>43</v>
      </c>
      <c r="AD110" t="str">
        <f t="shared" si="2"/>
        <v>CP</v>
      </c>
      <c r="AE110" t="str">
        <f>_xlfn.XLOOKUP(D110,Mapping!A:A,Mapping!D:D,0,0)</f>
        <v>Keyword - Preroll</v>
      </c>
      <c r="AF110" t="str">
        <f t="shared" si="3"/>
        <v>OLD</v>
      </c>
    </row>
    <row r="111" spans="1:32" x14ac:dyDescent="0.2">
      <c r="A111" t="s">
        <v>1118</v>
      </c>
      <c r="B111" t="s">
        <v>29</v>
      </c>
      <c r="C111">
        <v>1011839192</v>
      </c>
      <c r="D111" t="s">
        <v>160</v>
      </c>
      <c r="E111" t="s">
        <v>31</v>
      </c>
      <c r="F111" s="1">
        <v>0.67291666666666672</v>
      </c>
      <c r="G111" t="s">
        <v>32</v>
      </c>
      <c r="H111" t="s">
        <v>33</v>
      </c>
      <c r="I111" t="s">
        <v>41</v>
      </c>
      <c r="J111" t="s">
        <v>62</v>
      </c>
      <c r="K111">
        <v>99</v>
      </c>
      <c r="L111">
        <v>0</v>
      </c>
      <c r="M111" t="s">
        <v>36</v>
      </c>
      <c r="N111" t="s">
        <v>37</v>
      </c>
      <c r="O111">
        <v>828</v>
      </c>
      <c r="P111">
        <v>43</v>
      </c>
      <c r="Q111">
        <v>5.1932400000000003</v>
      </c>
      <c r="R111">
        <v>0</v>
      </c>
      <c r="S111">
        <v>1.63</v>
      </c>
      <c r="T111">
        <v>1.9730000000000001</v>
      </c>
      <c r="U111">
        <v>3.7999999999999999E-2</v>
      </c>
      <c r="V111">
        <v>0</v>
      </c>
      <c r="W111">
        <v>1</v>
      </c>
      <c r="X111">
        <v>0</v>
      </c>
      <c r="Y111" t="s">
        <v>36</v>
      </c>
      <c r="Z111">
        <v>829</v>
      </c>
      <c r="AA111">
        <v>719</v>
      </c>
      <c r="AB111">
        <v>94</v>
      </c>
      <c r="AC111" t="s">
        <v>158</v>
      </c>
      <c r="AD111" t="str">
        <f t="shared" si="2"/>
        <v>CP</v>
      </c>
      <c r="AE111" t="str">
        <f>_xlfn.XLOOKUP(D111,Mapping!A:A,Mapping!D:D,0,0)</f>
        <v>Keyword - Preroll</v>
      </c>
      <c r="AF111" t="str">
        <f t="shared" si="3"/>
        <v>OLD</v>
      </c>
    </row>
    <row r="112" spans="1:32" x14ac:dyDescent="0.2">
      <c r="A112" t="s">
        <v>1118</v>
      </c>
      <c r="B112" t="s">
        <v>39</v>
      </c>
      <c r="C112">
        <v>1011839202</v>
      </c>
      <c r="D112" t="s">
        <v>161</v>
      </c>
      <c r="E112" t="s">
        <v>31</v>
      </c>
      <c r="F112" s="1">
        <v>0.67291666666666672</v>
      </c>
      <c r="G112" t="s">
        <v>32</v>
      </c>
      <c r="H112" t="s">
        <v>33</v>
      </c>
      <c r="I112" t="s">
        <v>34</v>
      </c>
      <c r="J112" t="s">
        <v>84</v>
      </c>
      <c r="K112">
        <v>45</v>
      </c>
      <c r="L112">
        <v>0</v>
      </c>
      <c r="M112" t="s">
        <v>36</v>
      </c>
      <c r="N112" t="s">
        <v>37</v>
      </c>
      <c r="O112">
        <v>0</v>
      </c>
      <c r="P112">
        <v>0</v>
      </c>
      <c r="Q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 t="s">
        <v>36</v>
      </c>
      <c r="AC112" t="s">
        <v>158</v>
      </c>
      <c r="AD112" t="str">
        <f t="shared" si="2"/>
        <v>CP</v>
      </c>
      <c r="AE112" t="str">
        <f>_xlfn.XLOOKUP(D112,Mapping!A:A,Mapping!D:D,0,0)</f>
        <v>FinDom</v>
      </c>
      <c r="AF112" t="str">
        <f t="shared" si="3"/>
        <v>OLD</v>
      </c>
    </row>
    <row r="113" spans="1:32" x14ac:dyDescent="0.2">
      <c r="A113" t="s">
        <v>1118</v>
      </c>
      <c r="B113" t="s">
        <v>29</v>
      </c>
      <c r="C113">
        <v>1011839212</v>
      </c>
      <c r="D113" t="s">
        <v>162</v>
      </c>
      <c r="E113" t="s">
        <v>31</v>
      </c>
      <c r="F113" s="1">
        <v>0.67291666666666672</v>
      </c>
      <c r="G113" t="s">
        <v>32</v>
      </c>
      <c r="H113" t="s">
        <v>33</v>
      </c>
      <c r="I113" t="s">
        <v>34</v>
      </c>
      <c r="J113" t="s">
        <v>84</v>
      </c>
      <c r="K113">
        <v>45</v>
      </c>
      <c r="L113">
        <v>0</v>
      </c>
      <c r="M113" t="s">
        <v>36</v>
      </c>
      <c r="N113" t="s">
        <v>37</v>
      </c>
      <c r="O113">
        <v>4741</v>
      </c>
      <c r="P113">
        <v>196</v>
      </c>
      <c r="Q113">
        <v>4.13415</v>
      </c>
      <c r="R113">
        <v>0</v>
      </c>
      <c r="S113">
        <v>12.43</v>
      </c>
      <c r="T113">
        <v>2.621</v>
      </c>
      <c r="U113">
        <v>6.3E-2</v>
      </c>
      <c r="V113">
        <v>0</v>
      </c>
      <c r="W113">
        <v>1</v>
      </c>
      <c r="X113">
        <v>0</v>
      </c>
      <c r="Y113" t="s">
        <v>36</v>
      </c>
      <c r="Z113">
        <v>4739</v>
      </c>
      <c r="AA113">
        <v>3687</v>
      </c>
      <c r="AB113">
        <v>601</v>
      </c>
      <c r="AC113" t="s">
        <v>158</v>
      </c>
      <c r="AD113" t="str">
        <f t="shared" si="2"/>
        <v>CP</v>
      </c>
      <c r="AE113" t="str">
        <f>_xlfn.XLOOKUP(D113,Mapping!A:A,Mapping!D:D,0,0)</f>
        <v>Keyword - Preroll</v>
      </c>
      <c r="AF113" t="str">
        <f t="shared" si="3"/>
        <v>OLD</v>
      </c>
    </row>
    <row r="114" spans="1:32" x14ac:dyDescent="0.2">
      <c r="A114" t="s">
        <v>1118</v>
      </c>
      <c r="B114" t="s">
        <v>39</v>
      </c>
      <c r="C114">
        <v>1011839222</v>
      </c>
      <c r="D114" t="s">
        <v>163</v>
      </c>
      <c r="E114" t="s">
        <v>31</v>
      </c>
      <c r="F114" s="1">
        <v>0.67291666666666672</v>
      </c>
      <c r="G114" t="s">
        <v>32</v>
      </c>
      <c r="H114" t="s">
        <v>33</v>
      </c>
      <c r="I114" t="s">
        <v>41</v>
      </c>
      <c r="J114" t="s">
        <v>62</v>
      </c>
      <c r="K114">
        <v>616</v>
      </c>
      <c r="L114">
        <v>0</v>
      </c>
      <c r="M114" t="s">
        <v>36</v>
      </c>
      <c r="N114" t="s">
        <v>37</v>
      </c>
      <c r="O114">
        <v>0</v>
      </c>
      <c r="P114">
        <v>0</v>
      </c>
      <c r="Q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 t="s">
        <v>36</v>
      </c>
      <c r="AC114" t="s">
        <v>43</v>
      </c>
      <c r="AD114" t="str">
        <f t="shared" si="2"/>
        <v>CP</v>
      </c>
      <c r="AE114" t="str">
        <f>_xlfn.XLOOKUP(D114,Mapping!A:A,Mapping!D:D,0,0)</f>
        <v>Bin</v>
      </c>
      <c r="AF114" t="str">
        <f t="shared" si="3"/>
        <v>OLD</v>
      </c>
    </row>
    <row r="115" spans="1:32" x14ac:dyDescent="0.2">
      <c r="A115" t="s">
        <v>1118</v>
      </c>
      <c r="B115" t="s">
        <v>39</v>
      </c>
      <c r="C115">
        <v>1011839232</v>
      </c>
      <c r="D115" t="s">
        <v>164</v>
      </c>
      <c r="E115" t="s">
        <v>31</v>
      </c>
      <c r="F115" s="1">
        <v>0.67291666666666672</v>
      </c>
      <c r="G115" t="s">
        <v>32</v>
      </c>
      <c r="H115" t="s">
        <v>33</v>
      </c>
      <c r="I115" t="s">
        <v>41</v>
      </c>
      <c r="J115" t="s">
        <v>62</v>
      </c>
      <c r="K115">
        <v>616</v>
      </c>
      <c r="L115">
        <v>0</v>
      </c>
      <c r="M115" t="s">
        <v>36</v>
      </c>
      <c r="N115" t="s">
        <v>37</v>
      </c>
      <c r="O115">
        <v>0</v>
      </c>
      <c r="P115">
        <v>0</v>
      </c>
      <c r="Q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 t="s">
        <v>36</v>
      </c>
      <c r="AC115" t="s">
        <v>43</v>
      </c>
      <c r="AD115" t="str">
        <f t="shared" si="2"/>
        <v>CP</v>
      </c>
      <c r="AE115" t="str">
        <f>_xlfn.XLOOKUP(D115,Mapping!A:A,Mapping!D:D,0,0)</f>
        <v>Bin</v>
      </c>
      <c r="AF115" t="str">
        <f t="shared" si="3"/>
        <v>OLD</v>
      </c>
    </row>
    <row r="116" spans="1:32" x14ac:dyDescent="0.2">
      <c r="A116" t="s">
        <v>1118</v>
      </c>
      <c r="B116" t="s">
        <v>39</v>
      </c>
      <c r="C116">
        <v>1011839242</v>
      </c>
      <c r="D116" t="s">
        <v>165</v>
      </c>
      <c r="E116" t="s">
        <v>31</v>
      </c>
      <c r="F116" s="1">
        <v>0.67291666666666672</v>
      </c>
      <c r="G116" t="s">
        <v>32</v>
      </c>
      <c r="H116" t="s">
        <v>33</v>
      </c>
      <c r="I116" t="s">
        <v>41</v>
      </c>
      <c r="J116" t="s">
        <v>62</v>
      </c>
      <c r="K116">
        <v>99</v>
      </c>
      <c r="L116">
        <v>0</v>
      </c>
      <c r="M116" t="s">
        <v>36</v>
      </c>
      <c r="N116" t="s">
        <v>37</v>
      </c>
      <c r="O116">
        <v>0</v>
      </c>
      <c r="P116">
        <v>0</v>
      </c>
      <c r="Q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 t="s">
        <v>36</v>
      </c>
      <c r="AC116" t="s">
        <v>43</v>
      </c>
      <c r="AD116" t="str">
        <f t="shared" si="2"/>
        <v>CP</v>
      </c>
      <c r="AE116" t="str">
        <f>_xlfn.XLOOKUP(D116,Mapping!A:A,Mapping!D:D,0,0)</f>
        <v>Bin</v>
      </c>
      <c r="AF116" t="str">
        <f t="shared" si="3"/>
        <v>OLD</v>
      </c>
    </row>
    <row r="117" spans="1:32" x14ac:dyDescent="0.2">
      <c r="A117" t="s">
        <v>1118</v>
      </c>
      <c r="B117" t="s">
        <v>39</v>
      </c>
      <c r="C117">
        <v>1011839252</v>
      </c>
      <c r="D117" t="s">
        <v>166</v>
      </c>
      <c r="E117" t="s">
        <v>31</v>
      </c>
      <c r="F117" s="1">
        <v>0.67291666666666672</v>
      </c>
      <c r="G117" t="s">
        <v>32</v>
      </c>
      <c r="H117" t="s">
        <v>33</v>
      </c>
      <c r="I117" t="s">
        <v>41</v>
      </c>
      <c r="J117" t="s">
        <v>62</v>
      </c>
      <c r="K117">
        <v>616</v>
      </c>
      <c r="L117">
        <v>0</v>
      </c>
      <c r="M117" t="s">
        <v>36</v>
      </c>
      <c r="N117" t="s">
        <v>37</v>
      </c>
      <c r="O117">
        <v>0</v>
      </c>
      <c r="P117">
        <v>0</v>
      </c>
      <c r="Q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 t="s">
        <v>36</v>
      </c>
      <c r="AC117" t="s">
        <v>43</v>
      </c>
      <c r="AD117" t="str">
        <f t="shared" si="2"/>
        <v>CP</v>
      </c>
      <c r="AE117" t="str">
        <f>_xlfn.XLOOKUP(D117,Mapping!A:A,Mapping!D:D,0,0)</f>
        <v>Bin</v>
      </c>
      <c r="AF117" t="str">
        <f t="shared" si="3"/>
        <v>OLD</v>
      </c>
    </row>
    <row r="118" spans="1:32" x14ac:dyDescent="0.2">
      <c r="A118" t="s">
        <v>1118</v>
      </c>
      <c r="B118" t="s">
        <v>39</v>
      </c>
      <c r="C118">
        <v>1011839262</v>
      </c>
      <c r="D118" t="s">
        <v>167</v>
      </c>
      <c r="E118" t="s">
        <v>31</v>
      </c>
      <c r="F118" s="1">
        <v>0.67291666666666672</v>
      </c>
      <c r="G118" t="s">
        <v>32</v>
      </c>
      <c r="H118" t="s">
        <v>33</v>
      </c>
      <c r="I118" t="s">
        <v>34</v>
      </c>
      <c r="J118" t="s">
        <v>84</v>
      </c>
      <c r="K118">
        <v>268</v>
      </c>
      <c r="L118">
        <v>0</v>
      </c>
      <c r="M118" t="s">
        <v>63</v>
      </c>
      <c r="N118">
        <v>150</v>
      </c>
      <c r="O118">
        <v>0</v>
      </c>
      <c r="P118">
        <v>0</v>
      </c>
      <c r="Q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 t="s">
        <v>36</v>
      </c>
      <c r="AC118" t="s">
        <v>43</v>
      </c>
      <c r="AD118" t="str">
        <f t="shared" si="2"/>
        <v>CP</v>
      </c>
      <c r="AE118" t="str">
        <f>_xlfn.XLOOKUP(D118,Mapping!A:A,Mapping!D:D,0,0)</f>
        <v>Keyword - Preroll</v>
      </c>
      <c r="AF118" t="str">
        <f t="shared" si="3"/>
        <v>OLD</v>
      </c>
    </row>
    <row r="119" spans="1:32" x14ac:dyDescent="0.2">
      <c r="A119" t="s">
        <v>1118</v>
      </c>
      <c r="B119" t="s">
        <v>39</v>
      </c>
      <c r="C119">
        <v>1011839272</v>
      </c>
      <c r="D119" t="s">
        <v>168</v>
      </c>
      <c r="E119" t="s">
        <v>31</v>
      </c>
      <c r="F119" s="1">
        <v>0.67291666666666672</v>
      </c>
      <c r="G119" t="s">
        <v>32</v>
      </c>
      <c r="H119" t="s">
        <v>33</v>
      </c>
      <c r="I119" t="s">
        <v>41</v>
      </c>
      <c r="J119" t="s">
        <v>62</v>
      </c>
      <c r="K119">
        <v>220</v>
      </c>
      <c r="L119">
        <v>0</v>
      </c>
      <c r="M119" t="s">
        <v>36</v>
      </c>
      <c r="N119" t="s">
        <v>37</v>
      </c>
      <c r="O119">
        <v>0</v>
      </c>
      <c r="P119">
        <v>0</v>
      </c>
      <c r="Q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 t="s">
        <v>36</v>
      </c>
      <c r="AC119" t="s">
        <v>43</v>
      </c>
      <c r="AD119" t="str">
        <f t="shared" si="2"/>
        <v>CP</v>
      </c>
      <c r="AE119" t="str">
        <f>_xlfn.XLOOKUP(D119,Mapping!A:A,Mapping!D:D,0,0)</f>
        <v>Bin</v>
      </c>
      <c r="AF119" t="str">
        <f t="shared" si="3"/>
        <v>OLD</v>
      </c>
    </row>
    <row r="120" spans="1:32" x14ac:dyDescent="0.2">
      <c r="A120" t="s">
        <v>1118</v>
      </c>
      <c r="B120" t="s">
        <v>39</v>
      </c>
      <c r="C120">
        <v>1011839282</v>
      </c>
      <c r="D120" t="s">
        <v>169</v>
      </c>
      <c r="E120" t="s">
        <v>31</v>
      </c>
      <c r="F120" s="1">
        <v>0.67291666666666672</v>
      </c>
      <c r="G120" t="s">
        <v>32</v>
      </c>
      <c r="H120" t="s">
        <v>33</v>
      </c>
      <c r="I120" t="s">
        <v>34</v>
      </c>
      <c r="J120" t="s">
        <v>84</v>
      </c>
      <c r="K120">
        <v>88</v>
      </c>
      <c r="L120">
        <v>0</v>
      </c>
      <c r="M120" t="s">
        <v>63</v>
      </c>
      <c r="N120">
        <v>500</v>
      </c>
      <c r="O120">
        <v>0</v>
      </c>
      <c r="P120">
        <v>0</v>
      </c>
      <c r="Q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 t="s">
        <v>36</v>
      </c>
      <c r="AC120" t="s">
        <v>43</v>
      </c>
      <c r="AD120" t="str">
        <f t="shared" si="2"/>
        <v>CP</v>
      </c>
      <c r="AE120" t="str">
        <f>_xlfn.XLOOKUP(D120,Mapping!A:A,Mapping!D:D,0,0)</f>
        <v>Bin</v>
      </c>
      <c r="AF120" t="str">
        <f t="shared" si="3"/>
        <v>OLD</v>
      </c>
    </row>
    <row r="121" spans="1:32" x14ac:dyDescent="0.2">
      <c r="A121" t="s">
        <v>1118</v>
      </c>
      <c r="B121" t="s">
        <v>39</v>
      </c>
      <c r="C121">
        <v>1011839292</v>
      </c>
      <c r="D121" t="s">
        <v>170</v>
      </c>
      <c r="E121" t="s">
        <v>31</v>
      </c>
      <c r="F121" s="1">
        <v>0.67291666666666672</v>
      </c>
      <c r="G121" t="s">
        <v>32</v>
      </c>
      <c r="H121" t="s">
        <v>33</v>
      </c>
      <c r="I121" t="s">
        <v>34</v>
      </c>
      <c r="J121" t="s">
        <v>84</v>
      </c>
      <c r="K121">
        <v>88</v>
      </c>
      <c r="L121">
        <v>0</v>
      </c>
      <c r="M121" t="s">
        <v>63</v>
      </c>
      <c r="N121">
        <v>500</v>
      </c>
      <c r="O121">
        <v>0</v>
      </c>
      <c r="P121">
        <v>0</v>
      </c>
      <c r="Q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 t="s">
        <v>36</v>
      </c>
      <c r="AC121" t="s">
        <v>43</v>
      </c>
      <c r="AD121" t="str">
        <f t="shared" si="2"/>
        <v>CP</v>
      </c>
      <c r="AE121" t="str">
        <f>_xlfn.XLOOKUP(D121,Mapping!A:A,Mapping!D:D,0,0)</f>
        <v>Bin</v>
      </c>
      <c r="AF121" t="str">
        <f t="shared" si="3"/>
        <v>OLD</v>
      </c>
    </row>
    <row r="122" spans="1:32" x14ac:dyDescent="0.2">
      <c r="A122" t="s">
        <v>1118</v>
      </c>
      <c r="B122" t="s">
        <v>39</v>
      </c>
      <c r="C122">
        <v>1011839302</v>
      </c>
      <c r="D122" t="s">
        <v>171</v>
      </c>
      <c r="E122" t="s">
        <v>31</v>
      </c>
      <c r="F122" s="1">
        <v>0.67291666666666672</v>
      </c>
      <c r="G122" t="s">
        <v>32</v>
      </c>
      <c r="H122" t="s">
        <v>33</v>
      </c>
      <c r="I122" t="s">
        <v>41</v>
      </c>
      <c r="J122" t="s">
        <v>62</v>
      </c>
      <c r="K122">
        <v>616</v>
      </c>
      <c r="L122">
        <v>0</v>
      </c>
      <c r="M122" t="s">
        <v>36</v>
      </c>
      <c r="N122" t="s">
        <v>37</v>
      </c>
      <c r="O122">
        <v>0</v>
      </c>
      <c r="P122">
        <v>0</v>
      </c>
      <c r="Q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 t="s">
        <v>36</v>
      </c>
      <c r="AC122" t="s">
        <v>172</v>
      </c>
      <c r="AD122" t="str">
        <f t="shared" si="2"/>
        <v>CP</v>
      </c>
      <c r="AE122" t="str">
        <f>_xlfn.XLOOKUP(D122,Mapping!A:A,Mapping!D:D,0,0)</f>
        <v>Ocean</v>
      </c>
      <c r="AF122" t="str">
        <f t="shared" si="3"/>
        <v>OLD</v>
      </c>
    </row>
    <row r="123" spans="1:32" x14ac:dyDescent="0.2">
      <c r="A123" t="s">
        <v>1118</v>
      </c>
      <c r="B123" t="s">
        <v>39</v>
      </c>
      <c r="C123">
        <v>1011839312</v>
      </c>
      <c r="D123" t="s">
        <v>173</v>
      </c>
      <c r="E123" t="s">
        <v>31</v>
      </c>
      <c r="F123" s="1">
        <v>0.67291666666666672</v>
      </c>
      <c r="G123" t="s">
        <v>32</v>
      </c>
      <c r="H123" t="s">
        <v>33</v>
      </c>
      <c r="I123" t="s">
        <v>41</v>
      </c>
      <c r="J123" t="s">
        <v>62</v>
      </c>
      <c r="K123">
        <v>616</v>
      </c>
      <c r="L123">
        <v>0</v>
      </c>
      <c r="M123" t="s">
        <v>36</v>
      </c>
      <c r="N123" t="s">
        <v>37</v>
      </c>
      <c r="O123">
        <v>0</v>
      </c>
      <c r="P123">
        <v>0</v>
      </c>
      <c r="Q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 t="s">
        <v>36</v>
      </c>
      <c r="AC123" t="s">
        <v>43</v>
      </c>
      <c r="AD123" t="str">
        <f t="shared" si="2"/>
        <v>CP</v>
      </c>
      <c r="AE123" t="str">
        <f>_xlfn.XLOOKUP(D123,Mapping!A:A,Mapping!D:D,0,0)</f>
        <v>Bin</v>
      </c>
      <c r="AF123" t="str">
        <f t="shared" si="3"/>
        <v>OLD</v>
      </c>
    </row>
    <row r="124" spans="1:32" x14ac:dyDescent="0.2">
      <c r="A124" t="s">
        <v>1118</v>
      </c>
      <c r="B124" t="s">
        <v>39</v>
      </c>
      <c r="C124">
        <v>1011839322</v>
      </c>
      <c r="D124" t="s">
        <v>174</v>
      </c>
      <c r="E124" t="s">
        <v>31</v>
      </c>
      <c r="F124" s="1">
        <v>0.67291666666666672</v>
      </c>
      <c r="G124" t="s">
        <v>32</v>
      </c>
      <c r="H124" t="s">
        <v>33</v>
      </c>
      <c r="I124" t="s">
        <v>41</v>
      </c>
      <c r="J124" t="s">
        <v>62</v>
      </c>
      <c r="K124">
        <v>220</v>
      </c>
      <c r="L124">
        <v>0</v>
      </c>
      <c r="M124" t="s">
        <v>63</v>
      </c>
      <c r="N124">
        <v>200</v>
      </c>
      <c r="O124">
        <v>0</v>
      </c>
      <c r="P124">
        <v>0</v>
      </c>
      <c r="Q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 t="s">
        <v>36</v>
      </c>
      <c r="AC124" t="s">
        <v>43</v>
      </c>
      <c r="AD124" t="str">
        <f t="shared" si="2"/>
        <v>CP</v>
      </c>
      <c r="AE124" t="str">
        <f>_xlfn.XLOOKUP(D124,Mapping!A:A,Mapping!D:D,0,0)</f>
        <v>Bin</v>
      </c>
      <c r="AF124" t="str">
        <f t="shared" si="3"/>
        <v>OLD</v>
      </c>
    </row>
    <row r="125" spans="1:32" x14ac:dyDescent="0.2">
      <c r="A125" t="s">
        <v>1118</v>
      </c>
      <c r="B125" t="s">
        <v>39</v>
      </c>
      <c r="C125">
        <v>1011839332</v>
      </c>
      <c r="D125" t="s">
        <v>175</v>
      </c>
      <c r="E125" t="s">
        <v>31</v>
      </c>
      <c r="F125" s="1">
        <v>0.67291666666666672</v>
      </c>
      <c r="G125" t="s">
        <v>32</v>
      </c>
      <c r="H125" t="s">
        <v>33</v>
      </c>
      <c r="I125" t="s">
        <v>41</v>
      </c>
      <c r="J125" t="s">
        <v>62</v>
      </c>
      <c r="K125">
        <v>220</v>
      </c>
      <c r="L125">
        <v>0</v>
      </c>
      <c r="M125" t="s">
        <v>63</v>
      </c>
      <c r="N125">
        <v>200</v>
      </c>
      <c r="O125">
        <v>0</v>
      </c>
      <c r="P125">
        <v>0</v>
      </c>
      <c r="Q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 t="s">
        <v>36</v>
      </c>
      <c r="AC125" t="s">
        <v>43</v>
      </c>
      <c r="AD125" t="str">
        <f t="shared" si="2"/>
        <v>CP</v>
      </c>
      <c r="AE125" t="str">
        <f>_xlfn.XLOOKUP(D125,Mapping!A:A,Mapping!D:D,0,0)</f>
        <v>Bin</v>
      </c>
      <c r="AF125" t="str">
        <f t="shared" si="3"/>
        <v>OLD</v>
      </c>
    </row>
    <row r="126" spans="1:32" x14ac:dyDescent="0.2">
      <c r="A126" t="s">
        <v>1118</v>
      </c>
      <c r="B126" t="s">
        <v>39</v>
      </c>
      <c r="C126">
        <v>1011839342</v>
      </c>
      <c r="D126" t="s">
        <v>176</v>
      </c>
      <c r="E126" t="s">
        <v>31</v>
      </c>
      <c r="F126" s="1">
        <v>0.67291666666666672</v>
      </c>
      <c r="G126" t="s">
        <v>32</v>
      </c>
      <c r="H126" t="s">
        <v>33</v>
      </c>
      <c r="I126" t="s">
        <v>34</v>
      </c>
      <c r="J126" t="s">
        <v>84</v>
      </c>
      <c r="K126">
        <v>88</v>
      </c>
      <c r="L126">
        <v>0</v>
      </c>
      <c r="M126" t="s">
        <v>63</v>
      </c>
      <c r="N126">
        <v>500</v>
      </c>
      <c r="O126">
        <v>0</v>
      </c>
      <c r="P126">
        <v>0</v>
      </c>
      <c r="Q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 t="s">
        <v>36</v>
      </c>
      <c r="AC126" t="s">
        <v>43</v>
      </c>
      <c r="AD126" t="str">
        <f t="shared" si="2"/>
        <v>CP</v>
      </c>
      <c r="AE126" t="str">
        <f>_xlfn.XLOOKUP(D126,Mapping!A:A,Mapping!D:D,0,0)</f>
        <v>Bin</v>
      </c>
      <c r="AF126" t="str">
        <f t="shared" si="3"/>
        <v>OLD</v>
      </c>
    </row>
    <row r="127" spans="1:32" x14ac:dyDescent="0.2">
      <c r="A127" t="s">
        <v>1118</v>
      </c>
      <c r="B127" t="s">
        <v>39</v>
      </c>
      <c r="C127">
        <v>1011839352</v>
      </c>
      <c r="D127" t="s">
        <v>177</v>
      </c>
      <c r="E127" t="s">
        <v>31</v>
      </c>
      <c r="F127" s="1">
        <v>0.67291666666666672</v>
      </c>
      <c r="G127" t="s">
        <v>32</v>
      </c>
      <c r="H127" t="s">
        <v>33</v>
      </c>
      <c r="I127" t="s">
        <v>34</v>
      </c>
      <c r="J127" t="s">
        <v>84</v>
      </c>
      <c r="K127">
        <v>88</v>
      </c>
      <c r="L127">
        <v>0</v>
      </c>
      <c r="M127" t="s">
        <v>63</v>
      </c>
      <c r="N127">
        <v>500</v>
      </c>
      <c r="O127">
        <v>0</v>
      </c>
      <c r="P127">
        <v>0</v>
      </c>
      <c r="Q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 t="s">
        <v>36</v>
      </c>
      <c r="AC127" t="s">
        <v>43</v>
      </c>
      <c r="AD127" t="str">
        <f t="shared" si="2"/>
        <v>CP</v>
      </c>
      <c r="AE127" t="str">
        <f>_xlfn.XLOOKUP(D127,Mapping!A:A,Mapping!D:D,0,0)</f>
        <v>Bin</v>
      </c>
      <c r="AF127" t="str">
        <f t="shared" si="3"/>
        <v>OLD</v>
      </c>
    </row>
    <row r="128" spans="1:32" x14ac:dyDescent="0.2">
      <c r="A128" t="s">
        <v>1118</v>
      </c>
      <c r="B128" t="s">
        <v>39</v>
      </c>
      <c r="C128">
        <v>1011839362</v>
      </c>
      <c r="D128" t="s">
        <v>178</v>
      </c>
      <c r="E128" t="s">
        <v>31</v>
      </c>
      <c r="F128" s="1">
        <v>0.67291666666666672</v>
      </c>
      <c r="G128" t="s">
        <v>32</v>
      </c>
      <c r="H128" t="s">
        <v>33</v>
      </c>
      <c r="I128" t="s">
        <v>41</v>
      </c>
      <c r="J128" t="s">
        <v>62</v>
      </c>
      <c r="K128">
        <v>220</v>
      </c>
      <c r="L128">
        <v>0</v>
      </c>
      <c r="M128" t="s">
        <v>36</v>
      </c>
      <c r="N128" t="s">
        <v>37</v>
      </c>
      <c r="O128">
        <v>0</v>
      </c>
      <c r="P128">
        <v>0</v>
      </c>
      <c r="Q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 t="s">
        <v>36</v>
      </c>
      <c r="AC128" t="s">
        <v>43</v>
      </c>
      <c r="AD128" t="str">
        <f t="shared" si="2"/>
        <v>CP</v>
      </c>
      <c r="AE128" t="str">
        <f>_xlfn.XLOOKUP(D128,Mapping!A:A,Mapping!D:D,0,0)</f>
        <v>Bin</v>
      </c>
      <c r="AF128" t="str">
        <f t="shared" si="3"/>
        <v>OLD</v>
      </c>
    </row>
    <row r="129" spans="1:32" x14ac:dyDescent="0.2">
      <c r="A129" t="s">
        <v>1118</v>
      </c>
      <c r="B129" t="s">
        <v>39</v>
      </c>
      <c r="C129">
        <v>1011839372</v>
      </c>
      <c r="D129" t="s">
        <v>179</v>
      </c>
      <c r="E129" t="s">
        <v>31</v>
      </c>
      <c r="F129" s="1">
        <v>0.67291666666666672</v>
      </c>
      <c r="G129" t="s">
        <v>32</v>
      </c>
      <c r="H129" t="s">
        <v>33</v>
      </c>
      <c r="I129" t="s">
        <v>41</v>
      </c>
      <c r="J129" t="s">
        <v>62</v>
      </c>
      <c r="K129">
        <v>220</v>
      </c>
      <c r="L129">
        <v>0</v>
      </c>
      <c r="M129" t="s">
        <v>63</v>
      </c>
      <c r="N129">
        <v>200</v>
      </c>
      <c r="O129">
        <v>0</v>
      </c>
      <c r="P129">
        <v>0</v>
      </c>
      <c r="Q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 t="s">
        <v>36</v>
      </c>
      <c r="AC129" t="s">
        <v>43</v>
      </c>
      <c r="AD129" t="str">
        <f t="shared" si="2"/>
        <v>CP</v>
      </c>
      <c r="AE129" t="str">
        <f>_xlfn.XLOOKUP(D129,Mapping!A:A,Mapping!D:D,0,0)</f>
        <v>Bin</v>
      </c>
      <c r="AF129" t="str">
        <f t="shared" si="3"/>
        <v>OLD</v>
      </c>
    </row>
    <row r="130" spans="1:32" x14ac:dyDescent="0.2">
      <c r="A130" t="s">
        <v>1118</v>
      </c>
      <c r="B130" t="s">
        <v>39</v>
      </c>
      <c r="C130">
        <v>1011843472</v>
      </c>
      <c r="D130" t="s">
        <v>180</v>
      </c>
      <c r="E130" t="s">
        <v>31</v>
      </c>
      <c r="F130" s="1">
        <v>0.67291666666666672</v>
      </c>
      <c r="G130" t="s">
        <v>32</v>
      </c>
      <c r="H130" t="s">
        <v>33</v>
      </c>
      <c r="I130" t="s">
        <v>41</v>
      </c>
      <c r="J130" t="s">
        <v>62</v>
      </c>
      <c r="K130">
        <v>308</v>
      </c>
      <c r="L130">
        <v>0</v>
      </c>
      <c r="M130" t="s">
        <v>36</v>
      </c>
      <c r="N130" t="s">
        <v>37</v>
      </c>
      <c r="O130">
        <v>0</v>
      </c>
      <c r="P130">
        <v>0</v>
      </c>
      <c r="Q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 t="s">
        <v>36</v>
      </c>
      <c r="AC130" t="s">
        <v>43</v>
      </c>
      <c r="AD130" t="str">
        <f t="shared" si="2"/>
        <v>CP</v>
      </c>
      <c r="AE130" t="str">
        <f>_xlfn.XLOOKUP(D130,Mapping!A:A,Mapping!D:D,0,0)</f>
        <v>Bin</v>
      </c>
      <c r="AF130" t="str">
        <f t="shared" si="3"/>
        <v>OLD</v>
      </c>
    </row>
    <row r="131" spans="1:32" x14ac:dyDescent="0.2">
      <c r="A131" t="s">
        <v>1118</v>
      </c>
      <c r="B131" t="s">
        <v>39</v>
      </c>
      <c r="C131">
        <v>1011843482</v>
      </c>
      <c r="D131" t="s">
        <v>181</v>
      </c>
      <c r="E131" t="s">
        <v>31</v>
      </c>
      <c r="F131" s="1">
        <v>0.67291666666666672</v>
      </c>
      <c r="G131" t="s">
        <v>32</v>
      </c>
      <c r="H131" t="s">
        <v>33</v>
      </c>
      <c r="I131" t="s">
        <v>41</v>
      </c>
      <c r="J131" t="s">
        <v>62</v>
      </c>
      <c r="K131">
        <v>891</v>
      </c>
      <c r="L131">
        <v>0</v>
      </c>
      <c r="M131" t="s">
        <v>36</v>
      </c>
      <c r="N131" t="s">
        <v>37</v>
      </c>
      <c r="O131">
        <v>0</v>
      </c>
      <c r="P131">
        <v>0</v>
      </c>
      <c r="Q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 t="s">
        <v>36</v>
      </c>
      <c r="AC131" t="s">
        <v>43</v>
      </c>
      <c r="AD131" t="str">
        <f t="shared" ref="AD131:AD194" si="4">LEFT(D131,2)</f>
        <v>CP</v>
      </c>
      <c r="AE131" t="str">
        <f>_xlfn.XLOOKUP(D131,Mapping!A:A,Mapping!D:D,0,0)</f>
        <v>Bin</v>
      </c>
      <c r="AF131" t="str">
        <f t="shared" ref="AF131:AF194" si="5">IFERROR(IF(SEARCH("_TJ",D131)&gt;0,"TJ",NA()),IFERROR(IF(SEARCH("_JB",D131)&gt;0,"JB",NA()),"OLD"))</f>
        <v>OLD</v>
      </c>
    </row>
    <row r="132" spans="1:32" x14ac:dyDescent="0.2">
      <c r="A132" t="s">
        <v>1118</v>
      </c>
      <c r="B132" t="s">
        <v>39</v>
      </c>
      <c r="C132">
        <v>1011847032</v>
      </c>
      <c r="D132" t="s">
        <v>182</v>
      </c>
      <c r="E132" t="s">
        <v>31</v>
      </c>
      <c r="F132" s="1">
        <v>0.67291666666666672</v>
      </c>
      <c r="G132" t="s">
        <v>32</v>
      </c>
      <c r="H132" t="s">
        <v>33</v>
      </c>
      <c r="I132" t="s">
        <v>34</v>
      </c>
      <c r="J132" t="s">
        <v>84</v>
      </c>
      <c r="K132">
        <v>355</v>
      </c>
      <c r="L132">
        <v>0</v>
      </c>
      <c r="M132" t="s">
        <v>36</v>
      </c>
      <c r="N132" t="s">
        <v>37</v>
      </c>
      <c r="O132">
        <v>0</v>
      </c>
      <c r="P132">
        <v>0</v>
      </c>
      <c r="Q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 t="s">
        <v>36</v>
      </c>
      <c r="AC132" t="s">
        <v>43</v>
      </c>
      <c r="AD132" t="str">
        <f t="shared" si="4"/>
        <v>CP</v>
      </c>
      <c r="AE132" t="str">
        <f>_xlfn.XLOOKUP(D132,Mapping!A:A,Mapping!D:D,0,0)</f>
        <v>Bin</v>
      </c>
      <c r="AF132" t="str">
        <f t="shared" si="5"/>
        <v>OLD</v>
      </c>
    </row>
    <row r="133" spans="1:32" x14ac:dyDescent="0.2">
      <c r="A133" t="s">
        <v>1118</v>
      </c>
      <c r="B133" t="s">
        <v>39</v>
      </c>
      <c r="C133">
        <v>1011847042</v>
      </c>
      <c r="D133" t="s">
        <v>183</v>
      </c>
      <c r="E133" t="s">
        <v>31</v>
      </c>
      <c r="F133" s="1">
        <v>0.67291666666666672</v>
      </c>
      <c r="G133" t="s">
        <v>32</v>
      </c>
      <c r="H133" t="s">
        <v>33</v>
      </c>
      <c r="I133" t="s">
        <v>41</v>
      </c>
      <c r="J133" t="s">
        <v>62</v>
      </c>
      <c r="K133">
        <v>891</v>
      </c>
      <c r="L133">
        <v>0</v>
      </c>
      <c r="M133" t="s">
        <v>36</v>
      </c>
      <c r="N133" t="s">
        <v>37</v>
      </c>
      <c r="O133">
        <v>0</v>
      </c>
      <c r="P133">
        <v>0</v>
      </c>
      <c r="Q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 t="s">
        <v>36</v>
      </c>
      <c r="AC133" t="s">
        <v>43</v>
      </c>
      <c r="AD133" t="str">
        <f t="shared" si="4"/>
        <v>CP</v>
      </c>
      <c r="AE133" t="str">
        <f>_xlfn.XLOOKUP(D133,Mapping!A:A,Mapping!D:D,0,0)</f>
        <v>Bin</v>
      </c>
      <c r="AF133" t="str">
        <f t="shared" si="5"/>
        <v>OLD</v>
      </c>
    </row>
    <row r="134" spans="1:32" x14ac:dyDescent="0.2">
      <c r="A134" t="s">
        <v>1118</v>
      </c>
      <c r="B134" t="s">
        <v>39</v>
      </c>
      <c r="C134">
        <v>1011847052</v>
      </c>
      <c r="D134" t="s">
        <v>184</v>
      </c>
      <c r="E134" t="s">
        <v>31</v>
      </c>
      <c r="F134" s="1">
        <v>0.67291666666666672</v>
      </c>
      <c r="G134" t="s">
        <v>32</v>
      </c>
      <c r="H134" t="s">
        <v>33</v>
      </c>
      <c r="I134" t="s">
        <v>41</v>
      </c>
      <c r="J134" t="s">
        <v>62</v>
      </c>
      <c r="K134">
        <v>308</v>
      </c>
      <c r="L134">
        <v>0</v>
      </c>
      <c r="M134" t="s">
        <v>36</v>
      </c>
      <c r="N134" t="s">
        <v>37</v>
      </c>
      <c r="O134">
        <v>0</v>
      </c>
      <c r="P134">
        <v>0</v>
      </c>
      <c r="Q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 t="s">
        <v>36</v>
      </c>
      <c r="AC134" t="s">
        <v>43</v>
      </c>
      <c r="AD134" t="str">
        <f t="shared" si="4"/>
        <v>CP</v>
      </c>
      <c r="AE134" t="str">
        <f>_xlfn.XLOOKUP(D134,Mapping!A:A,Mapping!D:D,0,0)</f>
        <v>Bin</v>
      </c>
      <c r="AF134" t="str">
        <f t="shared" si="5"/>
        <v>OLD</v>
      </c>
    </row>
    <row r="135" spans="1:32" x14ac:dyDescent="0.2">
      <c r="A135" t="s">
        <v>1118</v>
      </c>
      <c r="B135" t="s">
        <v>39</v>
      </c>
      <c r="C135">
        <v>1011847062</v>
      </c>
      <c r="D135" t="s">
        <v>185</v>
      </c>
      <c r="E135" t="s">
        <v>31</v>
      </c>
      <c r="F135" s="1">
        <v>0.67291666666666672</v>
      </c>
      <c r="G135" t="s">
        <v>32</v>
      </c>
      <c r="H135" t="s">
        <v>33</v>
      </c>
      <c r="I135" t="s">
        <v>41</v>
      </c>
      <c r="J135" t="s">
        <v>62</v>
      </c>
      <c r="K135">
        <v>891</v>
      </c>
      <c r="L135">
        <v>0</v>
      </c>
      <c r="M135" t="s">
        <v>36</v>
      </c>
      <c r="N135" t="s">
        <v>37</v>
      </c>
      <c r="O135">
        <v>0</v>
      </c>
      <c r="P135">
        <v>0</v>
      </c>
      <c r="Q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 t="s">
        <v>36</v>
      </c>
      <c r="AC135" t="s">
        <v>43</v>
      </c>
      <c r="AD135" t="str">
        <f t="shared" si="4"/>
        <v>CP</v>
      </c>
      <c r="AE135" t="str">
        <f>_xlfn.XLOOKUP(D135,Mapping!A:A,Mapping!D:D,0,0)</f>
        <v>Bin</v>
      </c>
      <c r="AF135" t="str">
        <f t="shared" si="5"/>
        <v>OLD</v>
      </c>
    </row>
    <row r="136" spans="1:32" x14ac:dyDescent="0.2">
      <c r="A136" t="s">
        <v>1118</v>
      </c>
      <c r="B136" t="s">
        <v>39</v>
      </c>
      <c r="C136">
        <v>1011847072</v>
      </c>
      <c r="D136" t="s">
        <v>186</v>
      </c>
      <c r="E136" t="s">
        <v>31</v>
      </c>
      <c r="F136" s="1">
        <v>0.67291666666666672</v>
      </c>
      <c r="G136" t="s">
        <v>32</v>
      </c>
      <c r="H136" t="s">
        <v>33</v>
      </c>
      <c r="I136" t="s">
        <v>41</v>
      </c>
      <c r="J136" t="s">
        <v>62</v>
      </c>
      <c r="K136">
        <v>891</v>
      </c>
      <c r="L136">
        <v>0</v>
      </c>
      <c r="M136" t="s">
        <v>36</v>
      </c>
      <c r="N136" t="s">
        <v>37</v>
      </c>
      <c r="O136">
        <v>0</v>
      </c>
      <c r="P136">
        <v>0</v>
      </c>
      <c r="Q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 t="s">
        <v>36</v>
      </c>
      <c r="AC136" t="s">
        <v>43</v>
      </c>
      <c r="AD136" t="str">
        <f t="shared" si="4"/>
        <v>CP</v>
      </c>
      <c r="AE136" t="str">
        <f>_xlfn.XLOOKUP(D136,Mapping!A:A,Mapping!D:D,0,0)</f>
        <v>Bin</v>
      </c>
      <c r="AF136" t="str">
        <f t="shared" si="5"/>
        <v>OLD</v>
      </c>
    </row>
    <row r="137" spans="1:32" x14ac:dyDescent="0.2">
      <c r="A137" t="s">
        <v>1118</v>
      </c>
      <c r="B137" t="s">
        <v>39</v>
      </c>
      <c r="C137">
        <v>1011847082</v>
      </c>
      <c r="D137" t="s">
        <v>187</v>
      </c>
      <c r="E137" t="s">
        <v>31</v>
      </c>
      <c r="F137" s="1">
        <v>0.67291666666666672</v>
      </c>
      <c r="G137" t="s">
        <v>32</v>
      </c>
      <c r="H137" t="s">
        <v>33</v>
      </c>
      <c r="I137" t="s">
        <v>41</v>
      </c>
      <c r="J137" t="s">
        <v>62</v>
      </c>
      <c r="K137">
        <v>891</v>
      </c>
      <c r="L137">
        <v>0</v>
      </c>
      <c r="M137" t="s">
        <v>36</v>
      </c>
      <c r="N137" t="s">
        <v>37</v>
      </c>
      <c r="O137">
        <v>0</v>
      </c>
      <c r="P137">
        <v>0</v>
      </c>
      <c r="Q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 t="s">
        <v>36</v>
      </c>
      <c r="AC137" t="s">
        <v>43</v>
      </c>
      <c r="AD137" t="str">
        <f t="shared" si="4"/>
        <v>CP</v>
      </c>
      <c r="AE137" t="str">
        <f>_xlfn.XLOOKUP(D137,Mapping!A:A,Mapping!D:D,0,0)</f>
        <v>Bin</v>
      </c>
      <c r="AF137" t="str">
        <f t="shared" si="5"/>
        <v>OLD</v>
      </c>
    </row>
    <row r="138" spans="1:32" x14ac:dyDescent="0.2">
      <c r="A138" t="s">
        <v>1118</v>
      </c>
      <c r="B138" t="s">
        <v>39</v>
      </c>
      <c r="C138">
        <v>1011847092</v>
      </c>
      <c r="D138" t="s">
        <v>188</v>
      </c>
      <c r="E138" t="s">
        <v>31</v>
      </c>
      <c r="F138" s="1">
        <v>0.67291666666666672</v>
      </c>
      <c r="G138" t="s">
        <v>32</v>
      </c>
      <c r="H138" t="s">
        <v>33</v>
      </c>
      <c r="I138" t="s">
        <v>41</v>
      </c>
      <c r="J138" t="s">
        <v>62</v>
      </c>
      <c r="K138">
        <v>308</v>
      </c>
      <c r="L138">
        <v>0</v>
      </c>
      <c r="M138" t="s">
        <v>36</v>
      </c>
      <c r="N138" t="s">
        <v>37</v>
      </c>
      <c r="O138">
        <v>0</v>
      </c>
      <c r="P138">
        <v>0</v>
      </c>
      <c r="Q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 t="s">
        <v>36</v>
      </c>
      <c r="AC138" t="s">
        <v>43</v>
      </c>
      <c r="AD138" t="str">
        <f t="shared" si="4"/>
        <v>CP</v>
      </c>
      <c r="AE138" t="str">
        <f>_xlfn.XLOOKUP(D138,Mapping!A:A,Mapping!D:D,0,0)</f>
        <v>Bin</v>
      </c>
      <c r="AF138" t="str">
        <f t="shared" si="5"/>
        <v>OLD</v>
      </c>
    </row>
    <row r="139" spans="1:32" x14ac:dyDescent="0.2">
      <c r="A139" t="s">
        <v>1118</v>
      </c>
      <c r="B139" t="s">
        <v>39</v>
      </c>
      <c r="C139">
        <v>1011847112</v>
      </c>
      <c r="D139" t="s">
        <v>189</v>
      </c>
      <c r="E139" t="s">
        <v>31</v>
      </c>
      <c r="F139" s="1">
        <v>0.67291666666666672</v>
      </c>
      <c r="G139" t="s">
        <v>32</v>
      </c>
      <c r="H139" t="s">
        <v>33</v>
      </c>
      <c r="I139" t="s">
        <v>34</v>
      </c>
      <c r="J139" t="s">
        <v>84</v>
      </c>
      <c r="K139">
        <v>355</v>
      </c>
      <c r="L139">
        <v>0</v>
      </c>
      <c r="M139" t="s">
        <v>36</v>
      </c>
      <c r="N139" t="s">
        <v>37</v>
      </c>
      <c r="O139">
        <v>0</v>
      </c>
      <c r="P139">
        <v>0</v>
      </c>
      <c r="Q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 t="s">
        <v>36</v>
      </c>
      <c r="AC139" t="s">
        <v>43</v>
      </c>
      <c r="AD139" t="str">
        <f t="shared" si="4"/>
        <v>CP</v>
      </c>
      <c r="AE139" t="str">
        <f>_xlfn.XLOOKUP(D139,Mapping!A:A,Mapping!D:D,0,0)</f>
        <v>Bin</v>
      </c>
      <c r="AF139" t="str">
        <f t="shared" si="5"/>
        <v>OLD</v>
      </c>
    </row>
    <row r="140" spans="1:32" x14ac:dyDescent="0.2">
      <c r="A140" t="s">
        <v>1118</v>
      </c>
      <c r="B140" t="s">
        <v>39</v>
      </c>
      <c r="C140">
        <v>1011847122</v>
      </c>
      <c r="D140" t="s">
        <v>190</v>
      </c>
      <c r="E140" t="s">
        <v>31</v>
      </c>
      <c r="F140" s="1">
        <v>0.67291666666666672</v>
      </c>
      <c r="G140" t="s">
        <v>32</v>
      </c>
      <c r="H140" t="s">
        <v>33</v>
      </c>
      <c r="I140" t="s">
        <v>34</v>
      </c>
      <c r="J140" t="s">
        <v>84</v>
      </c>
      <c r="K140">
        <v>355</v>
      </c>
      <c r="L140">
        <v>0</v>
      </c>
      <c r="M140" t="s">
        <v>36</v>
      </c>
      <c r="N140" t="s">
        <v>37</v>
      </c>
      <c r="O140">
        <v>0</v>
      </c>
      <c r="P140">
        <v>0</v>
      </c>
      <c r="Q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 t="s">
        <v>36</v>
      </c>
      <c r="AC140" t="s">
        <v>43</v>
      </c>
      <c r="AD140" t="str">
        <f t="shared" si="4"/>
        <v>CP</v>
      </c>
      <c r="AE140" t="str">
        <f>_xlfn.XLOOKUP(D140,Mapping!A:A,Mapping!D:D,0,0)</f>
        <v>Bin</v>
      </c>
      <c r="AF140" t="str">
        <f t="shared" si="5"/>
        <v>OLD</v>
      </c>
    </row>
    <row r="141" spans="1:32" x14ac:dyDescent="0.2">
      <c r="A141" t="s">
        <v>1118</v>
      </c>
      <c r="B141" t="s">
        <v>39</v>
      </c>
      <c r="C141">
        <v>1011847132</v>
      </c>
      <c r="D141" t="s">
        <v>191</v>
      </c>
      <c r="E141" t="s">
        <v>31</v>
      </c>
      <c r="F141" s="1">
        <v>0.67291666666666672</v>
      </c>
      <c r="G141" t="s">
        <v>32</v>
      </c>
      <c r="H141" t="s">
        <v>33</v>
      </c>
      <c r="I141" t="s">
        <v>34</v>
      </c>
      <c r="J141" t="s">
        <v>84</v>
      </c>
      <c r="K141">
        <v>355</v>
      </c>
      <c r="L141">
        <v>0</v>
      </c>
      <c r="M141" t="s">
        <v>36</v>
      </c>
      <c r="N141" t="s">
        <v>37</v>
      </c>
      <c r="O141">
        <v>0</v>
      </c>
      <c r="P141">
        <v>0</v>
      </c>
      <c r="Q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 t="s">
        <v>36</v>
      </c>
      <c r="AC141" t="s">
        <v>43</v>
      </c>
      <c r="AD141" t="str">
        <f t="shared" si="4"/>
        <v>CP</v>
      </c>
      <c r="AE141" t="str">
        <f>_xlfn.XLOOKUP(D141,Mapping!A:A,Mapping!D:D,0,0)</f>
        <v>Bin</v>
      </c>
      <c r="AF141" t="str">
        <f t="shared" si="5"/>
        <v>OLD</v>
      </c>
    </row>
    <row r="142" spans="1:32" x14ac:dyDescent="0.2">
      <c r="A142" t="s">
        <v>1118</v>
      </c>
      <c r="B142" t="s">
        <v>39</v>
      </c>
      <c r="C142">
        <v>1011857952</v>
      </c>
      <c r="D142" t="s">
        <v>192</v>
      </c>
      <c r="E142" t="s">
        <v>31</v>
      </c>
      <c r="F142" s="1">
        <v>0.67291666666666672</v>
      </c>
      <c r="G142" t="s">
        <v>32</v>
      </c>
      <c r="H142" t="s">
        <v>33</v>
      </c>
      <c r="I142" t="s">
        <v>41</v>
      </c>
      <c r="J142" t="s">
        <v>62</v>
      </c>
      <c r="K142">
        <v>220</v>
      </c>
      <c r="L142">
        <v>0</v>
      </c>
      <c r="M142" t="s">
        <v>63</v>
      </c>
      <c r="N142">
        <v>250</v>
      </c>
      <c r="O142">
        <v>0</v>
      </c>
      <c r="P142">
        <v>0</v>
      </c>
      <c r="Q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 t="s">
        <v>36</v>
      </c>
      <c r="AC142" t="s">
        <v>43</v>
      </c>
      <c r="AD142" t="str">
        <f t="shared" si="4"/>
        <v>CP</v>
      </c>
      <c r="AE142" t="str">
        <f>_xlfn.XLOOKUP(D142,Mapping!A:A,Mapping!D:D,0,0)</f>
        <v>Bin</v>
      </c>
      <c r="AF142" t="str">
        <f t="shared" si="5"/>
        <v>OLD</v>
      </c>
    </row>
    <row r="143" spans="1:32" x14ac:dyDescent="0.2">
      <c r="A143" t="s">
        <v>1118</v>
      </c>
      <c r="B143" t="s">
        <v>39</v>
      </c>
      <c r="C143">
        <v>1011857962</v>
      </c>
      <c r="D143" t="s">
        <v>193</v>
      </c>
      <c r="E143" t="s">
        <v>31</v>
      </c>
      <c r="F143" s="1">
        <v>0.67291666666666672</v>
      </c>
      <c r="G143" t="s">
        <v>32</v>
      </c>
      <c r="H143" t="s">
        <v>33</v>
      </c>
      <c r="I143" t="s">
        <v>34</v>
      </c>
      <c r="J143" t="s">
        <v>84</v>
      </c>
      <c r="K143">
        <v>88</v>
      </c>
      <c r="L143">
        <v>0</v>
      </c>
      <c r="M143" t="s">
        <v>36</v>
      </c>
      <c r="N143" t="s">
        <v>37</v>
      </c>
      <c r="O143">
        <v>0</v>
      </c>
      <c r="P143">
        <v>0</v>
      </c>
      <c r="Q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 t="s">
        <v>36</v>
      </c>
      <c r="AC143" t="s">
        <v>43</v>
      </c>
      <c r="AD143" t="str">
        <f t="shared" si="4"/>
        <v>CP</v>
      </c>
      <c r="AE143" t="str">
        <f>_xlfn.XLOOKUP(D143,Mapping!A:A,Mapping!D:D,0,0)</f>
        <v>Bin</v>
      </c>
      <c r="AF143" t="str">
        <f t="shared" si="5"/>
        <v>OLD</v>
      </c>
    </row>
    <row r="144" spans="1:32" x14ac:dyDescent="0.2">
      <c r="A144" t="s">
        <v>1118</v>
      </c>
      <c r="B144" t="s">
        <v>39</v>
      </c>
      <c r="C144">
        <v>1011857972</v>
      </c>
      <c r="D144" t="s">
        <v>194</v>
      </c>
      <c r="E144" t="s">
        <v>31</v>
      </c>
      <c r="F144" s="1">
        <v>0.67291666666666672</v>
      </c>
      <c r="G144" t="s">
        <v>32</v>
      </c>
      <c r="H144" t="s">
        <v>33</v>
      </c>
      <c r="I144" t="s">
        <v>41</v>
      </c>
      <c r="J144" t="s">
        <v>62</v>
      </c>
      <c r="K144">
        <v>220</v>
      </c>
      <c r="L144">
        <v>0</v>
      </c>
      <c r="M144" t="s">
        <v>36</v>
      </c>
      <c r="N144" t="s">
        <v>37</v>
      </c>
      <c r="O144">
        <v>0</v>
      </c>
      <c r="P144">
        <v>0</v>
      </c>
      <c r="Q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 t="s">
        <v>36</v>
      </c>
      <c r="AC144" t="s">
        <v>43</v>
      </c>
      <c r="AD144" t="str">
        <f t="shared" si="4"/>
        <v>CP</v>
      </c>
      <c r="AE144" t="str">
        <f>_xlfn.XLOOKUP(D144,Mapping!A:A,Mapping!D:D,0,0)</f>
        <v>Bin</v>
      </c>
      <c r="AF144" t="str">
        <f t="shared" si="5"/>
        <v>OLD</v>
      </c>
    </row>
    <row r="145" spans="1:32" x14ac:dyDescent="0.2">
      <c r="A145" t="s">
        <v>1118</v>
      </c>
      <c r="B145" t="s">
        <v>39</v>
      </c>
      <c r="C145">
        <v>1011857982</v>
      </c>
      <c r="D145" t="s">
        <v>195</v>
      </c>
      <c r="E145" t="s">
        <v>31</v>
      </c>
      <c r="F145" s="1">
        <v>0.67291666666666672</v>
      </c>
      <c r="G145" t="s">
        <v>32</v>
      </c>
      <c r="H145" t="s">
        <v>33</v>
      </c>
      <c r="I145" t="s">
        <v>41</v>
      </c>
      <c r="J145" t="s">
        <v>62</v>
      </c>
      <c r="K145">
        <v>616</v>
      </c>
      <c r="L145">
        <v>0</v>
      </c>
      <c r="M145" t="s">
        <v>36</v>
      </c>
      <c r="N145" t="s">
        <v>37</v>
      </c>
      <c r="O145">
        <v>0</v>
      </c>
      <c r="P145">
        <v>0</v>
      </c>
      <c r="Q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 t="s">
        <v>36</v>
      </c>
      <c r="AC145" t="s">
        <v>43</v>
      </c>
      <c r="AD145" t="str">
        <f t="shared" si="4"/>
        <v>CP</v>
      </c>
      <c r="AE145" t="str">
        <f>_xlfn.XLOOKUP(D145,Mapping!A:A,Mapping!D:D,0,0)</f>
        <v>Bin</v>
      </c>
      <c r="AF145" t="str">
        <f t="shared" si="5"/>
        <v>OLD</v>
      </c>
    </row>
    <row r="146" spans="1:32" x14ac:dyDescent="0.2">
      <c r="A146" t="s">
        <v>1118</v>
      </c>
      <c r="B146" t="s">
        <v>39</v>
      </c>
      <c r="C146">
        <v>1011857992</v>
      </c>
      <c r="D146" t="s">
        <v>196</v>
      </c>
      <c r="E146" t="s">
        <v>31</v>
      </c>
      <c r="F146" s="1">
        <v>0.67291666666666672</v>
      </c>
      <c r="G146" t="s">
        <v>32</v>
      </c>
      <c r="H146" t="s">
        <v>33</v>
      </c>
      <c r="I146" t="s">
        <v>34</v>
      </c>
      <c r="J146" t="s">
        <v>84</v>
      </c>
      <c r="K146">
        <v>88</v>
      </c>
      <c r="L146">
        <v>0</v>
      </c>
      <c r="M146" t="s">
        <v>36</v>
      </c>
      <c r="N146" t="s">
        <v>37</v>
      </c>
      <c r="O146">
        <v>0</v>
      </c>
      <c r="P146">
        <v>0</v>
      </c>
      <c r="Q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 t="s">
        <v>36</v>
      </c>
      <c r="AC146" t="s">
        <v>43</v>
      </c>
      <c r="AD146" t="str">
        <f t="shared" si="4"/>
        <v>CP</v>
      </c>
      <c r="AE146" t="str">
        <f>_xlfn.XLOOKUP(D146,Mapping!A:A,Mapping!D:D,0,0)</f>
        <v>Bin</v>
      </c>
      <c r="AF146" t="str">
        <f t="shared" si="5"/>
        <v>OLD</v>
      </c>
    </row>
    <row r="147" spans="1:32" x14ac:dyDescent="0.2">
      <c r="A147" t="s">
        <v>1118</v>
      </c>
      <c r="B147" t="s">
        <v>39</v>
      </c>
      <c r="C147">
        <v>1011858002</v>
      </c>
      <c r="D147" t="s">
        <v>197</v>
      </c>
      <c r="E147" t="s">
        <v>31</v>
      </c>
      <c r="F147" s="1">
        <v>0.67291666666666672</v>
      </c>
      <c r="G147" t="s">
        <v>32</v>
      </c>
      <c r="H147" t="s">
        <v>33</v>
      </c>
      <c r="I147" t="s">
        <v>34</v>
      </c>
      <c r="J147" t="s">
        <v>84</v>
      </c>
      <c r="K147">
        <v>140</v>
      </c>
      <c r="L147">
        <v>0</v>
      </c>
      <c r="M147" t="s">
        <v>36</v>
      </c>
      <c r="N147" t="s">
        <v>37</v>
      </c>
      <c r="O147">
        <v>0</v>
      </c>
      <c r="P147">
        <v>0</v>
      </c>
      <c r="Q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 t="s">
        <v>36</v>
      </c>
      <c r="AC147" t="s">
        <v>43</v>
      </c>
      <c r="AD147" t="str">
        <f t="shared" si="4"/>
        <v>CP</v>
      </c>
      <c r="AE147" t="str">
        <f>_xlfn.XLOOKUP(D147,Mapping!A:A,Mapping!D:D,0,0)</f>
        <v>Bin</v>
      </c>
      <c r="AF147" t="str">
        <f t="shared" si="5"/>
        <v>OLD</v>
      </c>
    </row>
    <row r="148" spans="1:32" x14ac:dyDescent="0.2">
      <c r="A148" t="s">
        <v>1118</v>
      </c>
      <c r="B148" t="s">
        <v>39</v>
      </c>
      <c r="C148">
        <v>1011858012</v>
      </c>
      <c r="D148" t="s">
        <v>198</v>
      </c>
      <c r="E148" t="s">
        <v>31</v>
      </c>
      <c r="F148" s="1">
        <v>0.67291666666666672</v>
      </c>
      <c r="G148" t="s">
        <v>32</v>
      </c>
      <c r="H148" t="s">
        <v>33</v>
      </c>
      <c r="I148" t="s">
        <v>41</v>
      </c>
      <c r="J148" t="s">
        <v>62</v>
      </c>
      <c r="K148">
        <v>220</v>
      </c>
      <c r="L148">
        <v>0</v>
      </c>
      <c r="M148" t="s">
        <v>63</v>
      </c>
      <c r="N148">
        <v>250</v>
      </c>
      <c r="O148">
        <v>0</v>
      </c>
      <c r="P148">
        <v>0</v>
      </c>
      <c r="Q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 t="s">
        <v>36</v>
      </c>
      <c r="AC148" t="s">
        <v>43</v>
      </c>
      <c r="AD148" t="str">
        <f t="shared" si="4"/>
        <v>CP</v>
      </c>
      <c r="AE148" t="str">
        <f>_xlfn.XLOOKUP(D148,Mapping!A:A,Mapping!D:D,0,0)</f>
        <v>Bin</v>
      </c>
      <c r="AF148" t="str">
        <f t="shared" si="5"/>
        <v>OLD</v>
      </c>
    </row>
    <row r="149" spans="1:32" x14ac:dyDescent="0.2">
      <c r="A149" t="s">
        <v>1118</v>
      </c>
      <c r="B149" t="s">
        <v>39</v>
      </c>
      <c r="C149">
        <v>1011858022</v>
      </c>
      <c r="D149" t="s">
        <v>199</v>
      </c>
      <c r="E149" t="s">
        <v>31</v>
      </c>
      <c r="F149" s="1">
        <v>0.67291666666666672</v>
      </c>
      <c r="G149" t="s">
        <v>32</v>
      </c>
      <c r="H149" t="s">
        <v>33</v>
      </c>
      <c r="I149" t="s">
        <v>41</v>
      </c>
      <c r="J149" t="s">
        <v>62</v>
      </c>
      <c r="K149">
        <v>220</v>
      </c>
      <c r="L149">
        <v>0</v>
      </c>
      <c r="M149" t="s">
        <v>36</v>
      </c>
      <c r="N149" t="s">
        <v>37</v>
      </c>
      <c r="O149">
        <v>0</v>
      </c>
      <c r="P149">
        <v>0</v>
      </c>
      <c r="Q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 t="s">
        <v>36</v>
      </c>
      <c r="AC149" t="s">
        <v>43</v>
      </c>
      <c r="AD149" t="str">
        <f t="shared" si="4"/>
        <v>CP</v>
      </c>
      <c r="AE149" t="str">
        <f>_xlfn.XLOOKUP(D149,Mapping!A:A,Mapping!D:D,0,0)</f>
        <v>Bin</v>
      </c>
      <c r="AF149" t="str">
        <f t="shared" si="5"/>
        <v>OLD</v>
      </c>
    </row>
    <row r="150" spans="1:32" x14ac:dyDescent="0.2">
      <c r="A150" t="s">
        <v>1118</v>
      </c>
      <c r="B150" t="s">
        <v>39</v>
      </c>
      <c r="C150">
        <v>1011858032</v>
      </c>
      <c r="D150" t="s">
        <v>200</v>
      </c>
      <c r="E150" t="s">
        <v>31</v>
      </c>
      <c r="F150" s="1">
        <v>0.67291666666666672</v>
      </c>
      <c r="G150" t="s">
        <v>32</v>
      </c>
      <c r="H150" t="s">
        <v>33</v>
      </c>
      <c r="I150" t="s">
        <v>34</v>
      </c>
      <c r="J150" t="s">
        <v>84</v>
      </c>
      <c r="K150">
        <v>88</v>
      </c>
      <c r="L150">
        <v>0</v>
      </c>
      <c r="M150" t="s">
        <v>63</v>
      </c>
      <c r="N150">
        <v>500</v>
      </c>
      <c r="O150">
        <v>0</v>
      </c>
      <c r="P150">
        <v>0</v>
      </c>
      <c r="Q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 t="s">
        <v>36</v>
      </c>
      <c r="AC150" t="s">
        <v>43</v>
      </c>
      <c r="AD150" t="str">
        <f t="shared" si="4"/>
        <v>CP</v>
      </c>
      <c r="AE150" t="str">
        <f>_xlfn.XLOOKUP(D150,Mapping!A:A,Mapping!D:D,0,0)</f>
        <v>Bin</v>
      </c>
      <c r="AF150" t="str">
        <f t="shared" si="5"/>
        <v>OLD</v>
      </c>
    </row>
    <row r="151" spans="1:32" x14ac:dyDescent="0.2">
      <c r="A151" t="s">
        <v>1118</v>
      </c>
      <c r="B151" t="s">
        <v>39</v>
      </c>
      <c r="C151">
        <v>1011858042</v>
      </c>
      <c r="D151" t="s">
        <v>201</v>
      </c>
      <c r="E151" t="s">
        <v>31</v>
      </c>
      <c r="F151" s="1">
        <v>0.67291666666666672</v>
      </c>
      <c r="G151" t="s">
        <v>32</v>
      </c>
      <c r="H151" t="s">
        <v>33</v>
      </c>
      <c r="I151" t="s">
        <v>41</v>
      </c>
      <c r="J151" t="s">
        <v>62</v>
      </c>
      <c r="K151">
        <v>220</v>
      </c>
      <c r="L151">
        <v>0</v>
      </c>
      <c r="M151" t="s">
        <v>63</v>
      </c>
      <c r="N151">
        <v>250</v>
      </c>
      <c r="O151">
        <v>0</v>
      </c>
      <c r="P151">
        <v>0</v>
      </c>
      <c r="Q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 t="s">
        <v>36</v>
      </c>
      <c r="AC151" t="s">
        <v>43</v>
      </c>
      <c r="AD151" t="str">
        <f t="shared" si="4"/>
        <v>CP</v>
      </c>
      <c r="AE151" t="str">
        <f>_xlfn.XLOOKUP(D151,Mapping!A:A,Mapping!D:D,0,0)</f>
        <v>Bin</v>
      </c>
      <c r="AF151" t="str">
        <f t="shared" si="5"/>
        <v>OLD</v>
      </c>
    </row>
    <row r="152" spans="1:32" x14ac:dyDescent="0.2">
      <c r="A152" t="s">
        <v>1118</v>
      </c>
      <c r="B152" t="s">
        <v>39</v>
      </c>
      <c r="C152">
        <v>1011858052</v>
      </c>
      <c r="D152" t="s">
        <v>202</v>
      </c>
      <c r="E152" t="s">
        <v>31</v>
      </c>
      <c r="F152" s="1">
        <v>0.67291666666666672</v>
      </c>
      <c r="G152" t="s">
        <v>32</v>
      </c>
      <c r="H152" t="s">
        <v>33</v>
      </c>
      <c r="I152" t="s">
        <v>41</v>
      </c>
      <c r="J152" t="s">
        <v>62</v>
      </c>
      <c r="K152">
        <v>616</v>
      </c>
      <c r="L152">
        <v>0</v>
      </c>
      <c r="M152" t="s">
        <v>36</v>
      </c>
      <c r="N152" t="s">
        <v>37</v>
      </c>
      <c r="O152">
        <v>0</v>
      </c>
      <c r="P152">
        <v>0</v>
      </c>
      <c r="Q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 t="s">
        <v>36</v>
      </c>
      <c r="AC152" t="s">
        <v>43</v>
      </c>
      <c r="AD152" t="str">
        <f t="shared" si="4"/>
        <v>CP</v>
      </c>
      <c r="AE152" t="str">
        <f>_xlfn.XLOOKUP(D152,Mapping!A:A,Mapping!D:D,0,0)</f>
        <v>Bin</v>
      </c>
      <c r="AF152" t="str">
        <f t="shared" si="5"/>
        <v>OLD</v>
      </c>
    </row>
    <row r="153" spans="1:32" x14ac:dyDescent="0.2">
      <c r="A153" t="s">
        <v>1118</v>
      </c>
      <c r="B153" t="s">
        <v>39</v>
      </c>
      <c r="C153">
        <v>1011858062</v>
      </c>
      <c r="D153" t="s">
        <v>203</v>
      </c>
      <c r="E153" t="s">
        <v>31</v>
      </c>
      <c r="F153" s="1">
        <v>0.67291666666666672</v>
      </c>
      <c r="G153" t="s">
        <v>32</v>
      </c>
      <c r="H153" t="s">
        <v>33</v>
      </c>
      <c r="I153" t="s">
        <v>41</v>
      </c>
      <c r="J153" t="s">
        <v>62</v>
      </c>
      <c r="K153">
        <v>220</v>
      </c>
      <c r="L153">
        <v>0</v>
      </c>
      <c r="M153" t="s">
        <v>63</v>
      </c>
      <c r="N153">
        <v>200</v>
      </c>
      <c r="O153">
        <v>0</v>
      </c>
      <c r="P153">
        <v>0</v>
      </c>
      <c r="Q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 t="s">
        <v>36</v>
      </c>
      <c r="AC153" t="s">
        <v>43</v>
      </c>
      <c r="AD153" t="str">
        <f t="shared" si="4"/>
        <v>CP</v>
      </c>
      <c r="AE153" t="str">
        <f>_xlfn.XLOOKUP(D153,Mapping!A:A,Mapping!D:D,0,0)</f>
        <v>Bin</v>
      </c>
      <c r="AF153" t="str">
        <f t="shared" si="5"/>
        <v>OLD</v>
      </c>
    </row>
    <row r="154" spans="1:32" x14ac:dyDescent="0.2">
      <c r="A154" t="s">
        <v>1118</v>
      </c>
      <c r="B154" t="s">
        <v>39</v>
      </c>
      <c r="C154">
        <v>1011858072</v>
      </c>
      <c r="D154" t="s">
        <v>204</v>
      </c>
      <c r="E154" t="s">
        <v>31</v>
      </c>
      <c r="F154" s="1">
        <v>0.67291666666666672</v>
      </c>
      <c r="G154" t="s">
        <v>32</v>
      </c>
      <c r="H154" t="s">
        <v>33</v>
      </c>
      <c r="I154" t="s">
        <v>41</v>
      </c>
      <c r="J154" t="s">
        <v>62</v>
      </c>
      <c r="K154">
        <v>220</v>
      </c>
      <c r="L154">
        <v>0</v>
      </c>
      <c r="M154" t="s">
        <v>63</v>
      </c>
      <c r="N154">
        <v>150</v>
      </c>
      <c r="O154">
        <v>0</v>
      </c>
      <c r="P154">
        <v>0</v>
      </c>
      <c r="Q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 t="s">
        <v>36</v>
      </c>
      <c r="AC154" t="s">
        <v>43</v>
      </c>
      <c r="AD154" t="str">
        <f t="shared" si="4"/>
        <v>CP</v>
      </c>
      <c r="AE154" t="str">
        <f>_xlfn.XLOOKUP(D154,Mapping!A:A,Mapping!D:D,0,0)</f>
        <v>Bin</v>
      </c>
      <c r="AF154" t="str">
        <f t="shared" si="5"/>
        <v>OLD</v>
      </c>
    </row>
    <row r="155" spans="1:32" x14ac:dyDescent="0.2">
      <c r="A155" t="s">
        <v>1118</v>
      </c>
      <c r="B155" t="s">
        <v>39</v>
      </c>
      <c r="C155">
        <v>1011858402</v>
      </c>
      <c r="D155" t="s">
        <v>205</v>
      </c>
      <c r="E155" t="s">
        <v>31</v>
      </c>
      <c r="F155" s="1">
        <v>0.38611111111111113</v>
      </c>
      <c r="G155" t="s">
        <v>32</v>
      </c>
      <c r="H155" t="s">
        <v>33</v>
      </c>
      <c r="I155" t="s">
        <v>41</v>
      </c>
      <c r="J155" t="s">
        <v>206</v>
      </c>
      <c r="K155">
        <v>11</v>
      </c>
      <c r="L155">
        <v>0</v>
      </c>
      <c r="M155" t="s">
        <v>36</v>
      </c>
      <c r="N155" t="s">
        <v>37</v>
      </c>
      <c r="O155">
        <v>0</v>
      </c>
      <c r="P155">
        <v>0</v>
      </c>
      <c r="Q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 t="s">
        <v>36</v>
      </c>
      <c r="AC155" t="s">
        <v>43</v>
      </c>
      <c r="AD155" t="str">
        <f t="shared" si="4"/>
        <v>CP</v>
      </c>
      <c r="AE155" t="str">
        <f>_xlfn.XLOOKUP(D155,Mapping!A:A,Mapping!D:D,0,0)</f>
        <v>Bin</v>
      </c>
      <c r="AF155" t="str">
        <f t="shared" si="5"/>
        <v>OLD</v>
      </c>
    </row>
    <row r="156" spans="1:32" x14ac:dyDescent="0.2">
      <c r="A156" t="s">
        <v>1118</v>
      </c>
      <c r="B156" t="s">
        <v>39</v>
      </c>
      <c r="C156">
        <v>1011858412</v>
      </c>
      <c r="D156" t="s">
        <v>207</v>
      </c>
      <c r="E156" t="s">
        <v>31</v>
      </c>
      <c r="F156" s="1">
        <v>0.38611111111111113</v>
      </c>
      <c r="G156" t="s">
        <v>32</v>
      </c>
      <c r="H156" t="s">
        <v>33</v>
      </c>
      <c r="I156" t="s">
        <v>41</v>
      </c>
      <c r="J156" t="s">
        <v>58</v>
      </c>
      <c r="K156">
        <v>5</v>
      </c>
      <c r="L156">
        <v>0</v>
      </c>
      <c r="M156" t="s">
        <v>36</v>
      </c>
      <c r="N156" t="s">
        <v>37</v>
      </c>
      <c r="O156">
        <v>0</v>
      </c>
      <c r="P156">
        <v>0</v>
      </c>
      <c r="Q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 t="s">
        <v>36</v>
      </c>
      <c r="AC156" t="s">
        <v>43</v>
      </c>
      <c r="AD156" t="str">
        <f t="shared" si="4"/>
        <v>CP</v>
      </c>
      <c r="AE156" t="str">
        <f>_xlfn.XLOOKUP(D156,Mapping!A:A,Mapping!D:D,0,0)</f>
        <v>Bin</v>
      </c>
      <c r="AF156" t="str">
        <f t="shared" si="5"/>
        <v>OLD</v>
      </c>
    </row>
    <row r="157" spans="1:32" x14ac:dyDescent="0.2">
      <c r="A157" t="s">
        <v>1118</v>
      </c>
      <c r="B157" t="s">
        <v>39</v>
      </c>
      <c r="C157">
        <v>1011858422</v>
      </c>
      <c r="D157" t="s">
        <v>208</v>
      </c>
      <c r="E157" t="s">
        <v>31</v>
      </c>
      <c r="F157" s="1">
        <v>0.38611111111111113</v>
      </c>
      <c r="G157" t="s">
        <v>32</v>
      </c>
      <c r="H157" t="s">
        <v>33</v>
      </c>
      <c r="I157" t="s">
        <v>41</v>
      </c>
      <c r="J157" t="s">
        <v>58</v>
      </c>
      <c r="K157">
        <v>2</v>
      </c>
      <c r="L157">
        <v>0</v>
      </c>
      <c r="M157" t="s">
        <v>36</v>
      </c>
      <c r="N157" t="s">
        <v>37</v>
      </c>
      <c r="O157">
        <v>0</v>
      </c>
      <c r="P157">
        <v>0</v>
      </c>
      <c r="Q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 t="s">
        <v>36</v>
      </c>
      <c r="AC157" t="s">
        <v>43</v>
      </c>
      <c r="AD157" t="str">
        <f t="shared" si="4"/>
        <v>CP</v>
      </c>
      <c r="AE157" t="str">
        <f>_xlfn.XLOOKUP(D157,Mapping!A:A,Mapping!D:D,0,0)</f>
        <v>Bin</v>
      </c>
      <c r="AF157" t="str">
        <f t="shared" si="5"/>
        <v>OLD</v>
      </c>
    </row>
    <row r="158" spans="1:32" x14ac:dyDescent="0.2">
      <c r="A158" t="s">
        <v>1118</v>
      </c>
      <c r="B158" t="s">
        <v>39</v>
      </c>
      <c r="C158">
        <v>1011858432</v>
      </c>
      <c r="D158" t="s">
        <v>209</v>
      </c>
      <c r="E158" t="s">
        <v>31</v>
      </c>
      <c r="F158" s="1">
        <v>0.38611111111111113</v>
      </c>
      <c r="G158" t="s">
        <v>32</v>
      </c>
      <c r="H158" t="s">
        <v>33</v>
      </c>
      <c r="I158" t="s">
        <v>41</v>
      </c>
      <c r="J158" t="s">
        <v>58</v>
      </c>
      <c r="K158">
        <v>8</v>
      </c>
      <c r="L158">
        <v>0</v>
      </c>
      <c r="M158" t="s">
        <v>36</v>
      </c>
      <c r="N158" t="s">
        <v>37</v>
      </c>
      <c r="O158">
        <v>0</v>
      </c>
      <c r="P158">
        <v>0</v>
      </c>
      <c r="Q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 t="s">
        <v>36</v>
      </c>
      <c r="AC158" t="s">
        <v>43</v>
      </c>
      <c r="AD158" t="str">
        <f t="shared" si="4"/>
        <v>CP</v>
      </c>
      <c r="AE158" t="str">
        <f>_xlfn.XLOOKUP(D158,Mapping!A:A,Mapping!D:D,0,0)</f>
        <v>Bin</v>
      </c>
      <c r="AF158" t="str">
        <f t="shared" si="5"/>
        <v>OLD</v>
      </c>
    </row>
    <row r="159" spans="1:32" x14ac:dyDescent="0.2">
      <c r="A159" t="s">
        <v>1118</v>
      </c>
      <c r="B159" t="s">
        <v>39</v>
      </c>
      <c r="C159">
        <v>1011858442</v>
      </c>
      <c r="D159" t="s">
        <v>210</v>
      </c>
      <c r="E159" t="s">
        <v>31</v>
      </c>
      <c r="F159" s="1">
        <v>0.38611111111111113</v>
      </c>
      <c r="G159" t="s">
        <v>32</v>
      </c>
      <c r="H159" t="s">
        <v>33</v>
      </c>
      <c r="I159" t="s">
        <v>41</v>
      </c>
      <c r="J159" t="s">
        <v>58</v>
      </c>
      <c r="K159">
        <v>11</v>
      </c>
      <c r="L159">
        <v>0</v>
      </c>
      <c r="M159" t="s">
        <v>36</v>
      </c>
      <c r="N159" t="s">
        <v>37</v>
      </c>
      <c r="O159">
        <v>0</v>
      </c>
      <c r="P159">
        <v>0</v>
      </c>
      <c r="Q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 t="s">
        <v>36</v>
      </c>
      <c r="AC159" t="s">
        <v>43</v>
      </c>
      <c r="AD159" t="str">
        <f t="shared" si="4"/>
        <v>CP</v>
      </c>
      <c r="AE159" t="str">
        <f>_xlfn.XLOOKUP(D159,Mapping!A:A,Mapping!D:D,0,0)</f>
        <v>Bin</v>
      </c>
      <c r="AF159" t="str">
        <f t="shared" si="5"/>
        <v>OLD</v>
      </c>
    </row>
    <row r="160" spans="1:32" x14ac:dyDescent="0.2">
      <c r="A160" t="s">
        <v>1118</v>
      </c>
      <c r="B160" t="s">
        <v>39</v>
      </c>
      <c r="C160">
        <v>1011858452</v>
      </c>
      <c r="D160" t="s">
        <v>211</v>
      </c>
      <c r="E160" t="s">
        <v>31</v>
      </c>
      <c r="F160" s="1">
        <v>0.38611111111111113</v>
      </c>
      <c r="G160" t="s">
        <v>32</v>
      </c>
      <c r="H160" t="s">
        <v>33</v>
      </c>
      <c r="I160" t="s">
        <v>41</v>
      </c>
      <c r="J160" t="s">
        <v>58</v>
      </c>
      <c r="K160">
        <v>2</v>
      </c>
      <c r="L160">
        <v>0</v>
      </c>
      <c r="M160" t="s">
        <v>36</v>
      </c>
      <c r="N160" t="s">
        <v>37</v>
      </c>
      <c r="O160">
        <v>0</v>
      </c>
      <c r="P160">
        <v>0</v>
      </c>
      <c r="Q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 t="s">
        <v>36</v>
      </c>
      <c r="AC160" t="s">
        <v>43</v>
      </c>
      <c r="AD160" t="str">
        <f t="shared" si="4"/>
        <v>CP</v>
      </c>
      <c r="AE160" t="str">
        <f>_xlfn.XLOOKUP(D160,Mapping!A:A,Mapping!D:D,0,0)</f>
        <v>Bin</v>
      </c>
      <c r="AF160" t="str">
        <f t="shared" si="5"/>
        <v>OLD</v>
      </c>
    </row>
    <row r="161" spans="1:32" x14ac:dyDescent="0.2">
      <c r="A161" t="s">
        <v>1118</v>
      </c>
      <c r="B161" t="s">
        <v>39</v>
      </c>
      <c r="C161">
        <v>1011858462</v>
      </c>
      <c r="D161" t="s">
        <v>212</v>
      </c>
      <c r="E161" t="s">
        <v>31</v>
      </c>
      <c r="F161" s="1">
        <v>0.38611111111111113</v>
      </c>
      <c r="G161" t="s">
        <v>32</v>
      </c>
      <c r="H161" t="s">
        <v>33</v>
      </c>
      <c r="I161" t="s">
        <v>41</v>
      </c>
      <c r="J161" t="s">
        <v>58</v>
      </c>
      <c r="K161">
        <v>8</v>
      </c>
      <c r="L161">
        <v>0</v>
      </c>
      <c r="M161" t="s">
        <v>36</v>
      </c>
      <c r="N161" t="s">
        <v>37</v>
      </c>
      <c r="O161">
        <v>0</v>
      </c>
      <c r="P161">
        <v>0</v>
      </c>
      <c r="Q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 t="s">
        <v>36</v>
      </c>
      <c r="AC161" t="s">
        <v>43</v>
      </c>
      <c r="AD161" t="str">
        <f t="shared" si="4"/>
        <v>CP</v>
      </c>
      <c r="AE161" t="str">
        <f>_xlfn.XLOOKUP(D161,Mapping!A:A,Mapping!D:D,0,0)</f>
        <v>Bin</v>
      </c>
      <c r="AF161" t="str">
        <f t="shared" si="5"/>
        <v>OLD</v>
      </c>
    </row>
    <row r="162" spans="1:32" x14ac:dyDescent="0.2">
      <c r="A162" t="s">
        <v>1118</v>
      </c>
      <c r="B162" t="s">
        <v>39</v>
      </c>
      <c r="C162">
        <v>1011859612</v>
      </c>
      <c r="D162" t="s">
        <v>213</v>
      </c>
      <c r="E162" t="s">
        <v>31</v>
      </c>
      <c r="F162" s="1">
        <v>0.67291666666666672</v>
      </c>
      <c r="G162" t="s">
        <v>32</v>
      </c>
      <c r="H162" t="s">
        <v>33</v>
      </c>
      <c r="I162" t="s">
        <v>41</v>
      </c>
      <c r="J162" t="s">
        <v>62</v>
      </c>
      <c r="K162">
        <v>220</v>
      </c>
      <c r="L162">
        <v>0</v>
      </c>
      <c r="M162" t="s">
        <v>63</v>
      </c>
      <c r="N162">
        <v>250</v>
      </c>
      <c r="O162">
        <v>0</v>
      </c>
      <c r="P162">
        <v>0</v>
      </c>
      <c r="Q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 t="s">
        <v>36</v>
      </c>
      <c r="AC162" t="s">
        <v>43</v>
      </c>
      <c r="AD162" t="str">
        <f t="shared" si="4"/>
        <v>CP</v>
      </c>
      <c r="AE162" t="str">
        <f>_xlfn.XLOOKUP(D162,Mapping!A:A,Mapping!D:D,0,0)</f>
        <v>Bin</v>
      </c>
      <c r="AF162" t="str">
        <f t="shared" si="5"/>
        <v>OLD</v>
      </c>
    </row>
    <row r="163" spans="1:32" x14ac:dyDescent="0.2">
      <c r="A163" t="s">
        <v>1118</v>
      </c>
      <c r="B163" t="s">
        <v>39</v>
      </c>
      <c r="C163">
        <v>1011859622</v>
      </c>
      <c r="D163" t="s">
        <v>214</v>
      </c>
      <c r="E163" t="s">
        <v>31</v>
      </c>
      <c r="F163" s="1">
        <v>0.67291666666666672</v>
      </c>
      <c r="G163" t="s">
        <v>32</v>
      </c>
      <c r="H163" t="s">
        <v>33</v>
      </c>
      <c r="I163" t="s">
        <v>41</v>
      </c>
      <c r="J163" t="s">
        <v>62</v>
      </c>
      <c r="K163">
        <v>616</v>
      </c>
      <c r="L163">
        <v>0</v>
      </c>
      <c r="M163" t="s">
        <v>36</v>
      </c>
      <c r="N163" t="s">
        <v>37</v>
      </c>
      <c r="O163">
        <v>0</v>
      </c>
      <c r="P163">
        <v>0</v>
      </c>
      <c r="Q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 t="s">
        <v>36</v>
      </c>
      <c r="AC163" t="s">
        <v>43</v>
      </c>
      <c r="AD163" t="str">
        <f t="shared" si="4"/>
        <v>CP</v>
      </c>
      <c r="AE163" t="str">
        <f>_xlfn.XLOOKUP(D163,Mapping!A:A,Mapping!D:D,0,0)</f>
        <v>Bin</v>
      </c>
      <c r="AF163" t="str">
        <f t="shared" si="5"/>
        <v>OLD</v>
      </c>
    </row>
    <row r="164" spans="1:32" x14ac:dyDescent="0.2">
      <c r="A164" t="s">
        <v>1118</v>
      </c>
      <c r="B164" t="s">
        <v>39</v>
      </c>
      <c r="C164">
        <v>1011859632</v>
      </c>
      <c r="D164" t="s">
        <v>215</v>
      </c>
      <c r="E164" t="s">
        <v>31</v>
      </c>
      <c r="F164" s="1">
        <v>0.67291666666666672</v>
      </c>
      <c r="G164" t="s">
        <v>32</v>
      </c>
      <c r="H164" t="s">
        <v>33</v>
      </c>
      <c r="I164" t="s">
        <v>41</v>
      </c>
      <c r="J164" t="s">
        <v>62</v>
      </c>
      <c r="K164">
        <v>220</v>
      </c>
      <c r="L164">
        <v>0</v>
      </c>
      <c r="M164" t="s">
        <v>36</v>
      </c>
      <c r="N164" t="s">
        <v>37</v>
      </c>
      <c r="O164">
        <v>0</v>
      </c>
      <c r="P164">
        <v>0</v>
      </c>
      <c r="Q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 t="s">
        <v>36</v>
      </c>
      <c r="AC164" t="s">
        <v>43</v>
      </c>
      <c r="AD164" t="str">
        <f t="shared" si="4"/>
        <v>CP</v>
      </c>
      <c r="AE164" t="str">
        <f>_xlfn.XLOOKUP(D164,Mapping!A:A,Mapping!D:D,0,0)</f>
        <v>Bin</v>
      </c>
      <c r="AF164" t="str">
        <f t="shared" si="5"/>
        <v>OLD</v>
      </c>
    </row>
    <row r="165" spans="1:32" x14ac:dyDescent="0.2">
      <c r="A165" t="s">
        <v>1118</v>
      </c>
      <c r="B165" t="s">
        <v>39</v>
      </c>
      <c r="C165">
        <v>1011859642</v>
      </c>
      <c r="D165" t="s">
        <v>216</v>
      </c>
      <c r="E165" t="s">
        <v>31</v>
      </c>
      <c r="F165" s="1">
        <v>0.67291666666666672</v>
      </c>
      <c r="G165" t="s">
        <v>32</v>
      </c>
      <c r="H165" t="s">
        <v>33</v>
      </c>
      <c r="I165" t="s">
        <v>41</v>
      </c>
      <c r="J165" t="s">
        <v>62</v>
      </c>
      <c r="K165">
        <v>220</v>
      </c>
      <c r="L165">
        <v>0</v>
      </c>
      <c r="M165" t="s">
        <v>36</v>
      </c>
      <c r="N165" t="s">
        <v>37</v>
      </c>
      <c r="O165">
        <v>0</v>
      </c>
      <c r="P165">
        <v>0</v>
      </c>
      <c r="Q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 t="s">
        <v>36</v>
      </c>
      <c r="AC165" t="s">
        <v>43</v>
      </c>
      <c r="AD165" t="str">
        <f t="shared" si="4"/>
        <v>CP</v>
      </c>
      <c r="AE165" t="str">
        <f>_xlfn.XLOOKUP(D165,Mapping!A:A,Mapping!D:D,0,0)</f>
        <v>Bin</v>
      </c>
      <c r="AF165" t="str">
        <f t="shared" si="5"/>
        <v>OLD</v>
      </c>
    </row>
    <row r="166" spans="1:32" x14ac:dyDescent="0.2">
      <c r="A166" t="s">
        <v>1118</v>
      </c>
      <c r="B166" t="s">
        <v>39</v>
      </c>
      <c r="C166">
        <v>1011859652</v>
      </c>
      <c r="D166" t="s">
        <v>217</v>
      </c>
      <c r="E166" t="s">
        <v>31</v>
      </c>
      <c r="F166" s="1">
        <v>0.67291666666666672</v>
      </c>
      <c r="G166" t="s">
        <v>32</v>
      </c>
      <c r="H166" t="s">
        <v>33</v>
      </c>
      <c r="I166" t="s">
        <v>41</v>
      </c>
      <c r="J166" t="s">
        <v>62</v>
      </c>
      <c r="K166">
        <v>220</v>
      </c>
      <c r="L166">
        <v>0</v>
      </c>
      <c r="M166" t="s">
        <v>36</v>
      </c>
      <c r="N166" t="s">
        <v>37</v>
      </c>
      <c r="O166">
        <v>0</v>
      </c>
      <c r="P166">
        <v>0</v>
      </c>
      <c r="Q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 t="s">
        <v>36</v>
      </c>
      <c r="AC166" t="s">
        <v>43</v>
      </c>
      <c r="AD166" t="str">
        <f t="shared" si="4"/>
        <v>CP</v>
      </c>
      <c r="AE166" t="str">
        <f>_xlfn.XLOOKUP(D166,Mapping!A:A,Mapping!D:D,0,0)</f>
        <v>Bin</v>
      </c>
      <c r="AF166" t="str">
        <f t="shared" si="5"/>
        <v>OLD</v>
      </c>
    </row>
    <row r="167" spans="1:32" x14ac:dyDescent="0.2">
      <c r="A167" t="s">
        <v>1118</v>
      </c>
      <c r="B167" t="s">
        <v>39</v>
      </c>
      <c r="C167">
        <v>1011859662</v>
      </c>
      <c r="D167" t="s">
        <v>218</v>
      </c>
      <c r="E167" t="s">
        <v>31</v>
      </c>
      <c r="F167" s="1">
        <v>0.67291666666666672</v>
      </c>
      <c r="G167" t="s">
        <v>32</v>
      </c>
      <c r="H167" t="s">
        <v>33</v>
      </c>
      <c r="I167" t="s">
        <v>41</v>
      </c>
      <c r="J167" t="s">
        <v>62</v>
      </c>
      <c r="K167">
        <v>616</v>
      </c>
      <c r="L167">
        <v>0</v>
      </c>
      <c r="M167" t="s">
        <v>63</v>
      </c>
      <c r="N167">
        <v>150</v>
      </c>
      <c r="O167">
        <v>0</v>
      </c>
      <c r="P167">
        <v>0</v>
      </c>
      <c r="Q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 t="s">
        <v>36</v>
      </c>
      <c r="AC167" t="s">
        <v>43</v>
      </c>
      <c r="AD167" t="str">
        <f t="shared" si="4"/>
        <v>CP</v>
      </c>
      <c r="AE167" t="str">
        <f>_xlfn.XLOOKUP(D167,Mapping!A:A,Mapping!D:D,0,0)</f>
        <v>Bin</v>
      </c>
      <c r="AF167" t="str">
        <f t="shared" si="5"/>
        <v>OLD</v>
      </c>
    </row>
    <row r="168" spans="1:32" x14ac:dyDescent="0.2">
      <c r="A168" t="s">
        <v>1118</v>
      </c>
      <c r="B168" t="s">
        <v>39</v>
      </c>
      <c r="C168">
        <v>1011859672</v>
      </c>
      <c r="D168" t="s">
        <v>219</v>
      </c>
      <c r="E168" t="s">
        <v>31</v>
      </c>
      <c r="F168" s="1">
        <v>0.67291666666666672</v>
      </c>
      <c r="G168" t="s">
        <v>32</v>
      </c>
      <c r="H168" t="s">
        <v>33</v>
      </c>
      <c r="I168" t="s">
        <v>41</v>
      </c>
      <c r="J168" t="s">
        <v>62</v>
      </c>
      <c r="K168">
        <v>220</v>
      </c>
      <c r="L168">
        <v>0</v>
      </c>
      <c r="M168" t="s">
        <v>36</v>
      </c>
      <c r="N168" t="s">
        <v>37</v>
      </c>
      <c r="O168">
        <v>0</v>
      </c>
      <c r="P168">
        <v>0</v>
      </c>
      <c r="Q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 t="s">
        <v>36</v>
      </c>
      <c r="AC168" t="s">
        <v>43</v>
      </c>
      <c r="AD168" t="str">
        <f t="shared" si="4"/>
        <v>CP</v>
      </c>
      <c r="AE168" t="str">
        <f>_xlfn.XLOOKUP(D168,Mapping!A:A,Mapping!D:D,0,0)</f>
        <v>Bin</v>
      </c>
      <c r="AF168" t="str">
        <f t="shared" si="5"/>
        <v>OLD</v>
      </c>
    </row>
    <row r="169" spans="1:32" x14ac:dyDescent="0.2">
      <c r="A169" t="s">
        <v>1118</v>
      </c>
      <c r="B169" t="s">
        <v>39</v>
      </c>
      <c r="C169">
        <v>1011860812</v>
      </c>
      <c r="D169" t="s">
        <v>220</v>
      </c>
      <c r="E169" t="s">
        <v>31</v>
      </c>
      <c r="F169" s="1">
        <v>0.67291666666666672</v>
      </c>
      <c r="G169" t="s">
        <v>32</v>
      </c>
      <c r="H169" t="s">
        <v>33</v>
      </c>
      <c r="I169" t="s">
        <v>41</v>
      </c>
      <c r="J169" t="s">
        <v>84</v>
      </c>
      <c r="K169">
        <v>220</v>
      </c>
      <c r="L169">
        <v>0</v>
      </c>
      <c r="M169" t="s">
        <v>63</v>
      </c>
      <c r="N169">
        <v>250</v>
      </c>
      <c r="O169">
        <v>0</v>
      </c>
      <c r="P169">
        <v>0</v>
      </c>
      <c r="Q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 t="s">
        <v>36</v>
      </c>
      <c r="AC169" t="s">
        <v>43</v>
      </c>
      <c r="AD169" t="str">
        <f t="shared" si="4"/>
        <v>CP</v>
      </c>
      <c r="AE169" t="str">
        <f>_xlfn.XLOOKUP(D169,Mapping!A:A,Mapping!D:D,0,0)</f>
        <v>Bin</v>
      </c>
      <c r="AF169" t="str">
        <f t="shared" si="5"/>
        <v>OLD</v>
      </c>
    </row>
    <row r="170" spans="1:32" x14ac:dyDescent="0.2">
      <c r="A170" t="s">
        <v>1118</v>
      </c>
      <c r="B170" t="s">
        <v>39</v>
      </c>
      <c r="C170">
        <v>1011860822</v>
      </c>
      <c r="D170" t="s">
        <v>221</v>
      </c>
      <c r="E170" t="s">
        <v>31</v>
      </c>
      <c r="F170" s="1">
        <v>0.67291666666666672</v>
      </c>
      <c r="G170" t="s">
        <v>32</v>
      </c>
      <c r="H170" t="s">
        <v>33</v>
      </c>
      <c r="I170" t="s">
        <v>41</v>
      </c>
      <c r="J170" t="s">
        <v>84</v>
      </c>
      <c r="K170">
        <v>220</v>
      </c>
      <c r="L170">
        <v>0</v>
      </c>
      <c r="M170" t="s">
        <v>63</v>
      </c>
      <c r="N170">
        <v>150</v>
      </c>
      <c r="O170">
        <v>0</v>
      </c>
      <c r="P170">
        <v>0</v>
      </c>
      <c r="Q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 t="s">
        <v>36</v>
      </c>
      <c r="AC170" t="s">
        <v>43</v>
      </c>
      <c r="AD170" t="str">
        <f t="shared" si="4"/>
        <v>CP</v>
      </c>
      <c r="AE170" t="str">
        <f>_xlfn.XLOOKUP(D170,Mapping!A:A,Mapping!D:D,0,0)</f>
        <v>Bin</v>
      </c>
      <c r="AF170" t="str">
        <f t="shared" si="5"/>
        <v>OLD</v>
      </c>
    </row>
    <row r="171" spans="1:32" x14ac:dyDescent="0.2">
      <c r="A171" t="s">
        <v>1118</v>
      </c>
      <c r="B171" t="s">
        <v>39</v>
      </c>
      <c r="C171">
        <v>1011860832</v>
      </c>
      <c r="D171" t="s">
        <v>222</v>
      </c>
      <c r="E171" t="s">
        <v>31</v>
      </c>
      <c r="F171" s="1">
        <v>0.67291666666666672</v>
      </c>
      <c r="G171" t="s">
        <v>32</v>
      </c>
      <c r="H171" t="s">
        <v>33</v>
      </c>
      <c r="I171" t="s">
        <v>41</v>
      </c>
      <c r="J171" t="s">
        <v>84</v>
      </c>
      <c r="K171">
        <v>616</v>
      </c>
      <c r="L171">
        <v>0</v>
      </c>
      <c r="M171" t="s">
        <v>63</v>
      </c>
      <c r="N171">
        <v>250</v>
      </c>
      <c r="O171">
        <v>0</v>
      </c>
      <c r="P171">
        <v>0</v>
      </c>
      <c r="Q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 t="s">
        <v>36</v>
      </c>
      <c r="AC171" t="s">
        <v>43</v>
      </c>
      <c r="AD171" t="str">
        <f t="shared" si="4"/>
        <v>CP</v>
      </c>
      <c r="AE171" t="str">
        <f>_xlfn.XLOOKUP(D171,Mapping!A:A,Mapping!D:D,0,0)</f>
        <v>Bin</v>
      </c>
      <c r="AF171" t="str">
        <f t="shared" si="5"/>
        <v>OLD</v>
      </c>
    </row>
    <row r="172" spans="1:32" x14ac:dyDescent="0.2">
      <c r="A172" t="s">
        <v>1118</v>
      </c>
      <c r="B172" t="s">
        <v>39</v>
      </c>
      <c r="C172">
        <v>1011860842</v>
      </c>
      <c r="D172" t="s">
        <v>223</v>
      </c>
      <c r="E172" t="s">
        <v>31</v>
      </c>
      <c r="F172" s="1">
        <v>0.67291666666666672</v>
      </c>
      <c r="G172" t="s">
        <v>32</v>
      </c>
      <c r="H172" t="s">
        <v>33</v>
      </c>
      <c r="I172" t="s">
        <v>41</v>
      </c>
      <c r="J172" t="s">
        <v>84</v>
      </c>
      <c r="K172">
        <v>220</v>
      </c>
      <c r="L172">
        <v>0</v>
      </c>
      <c r="M172" t="s">
        <v>36</v>
      </c>
      <c r="N172" t="s">
        <v>37</v>
      </c>
      <c r="O172">
        <v>0</v>
      </c>
      <c r="P172">
        <v>0</v>
      </c>
      <c r="Q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 t="s">
        <v>36</v>
      </c>
      <c r="AC172" t="s">
        <v>43</v>
      </c>
      <c r="AD172" t="str">
        <f t="shared" si="4"/>
        <v>CP</v>
      </c>
      <c r="AE172" t="str">
        <f>_xlfn.XLOOKUP(D172,Mapping!A:A,Mapping!D:D,0,0)</f>
        <v>Bin</v>
      </c>
      <c r="AF172" t="str">
        <f t="shared" si="5"/>
        <v>OLD</v>
      </c>
    </row>
    <row r="173" spans="1:32" x14ac:dyDescent="0.2">
      <c r="A173" t="s">
        <v>1118</v>
      </c>
      <c r="B173" t="s">
        <v>39</v>
      </c>
      <c r="C173">
        <v>1011860852</v>
      </c>
      <c r="D173" t="s">
        <v>224</v>
      </c>
      <c r="E173" t="s">
        <v>31</v>
      </c>
      <c r="F173" s="1">
        <v>0.67291666666666672</v>
      </c>
      <c r="G173" t="s">
        <v>32</v>
      </c>
      <c r="H173" t="s">
        <v>33</v>
      </c>
      <c r="I173" t="s">
        <v>41</v>
      </c>
      <c r="J173" t="s">
        <v>84</v>
      </c>
      <c r="K173">
        <v>220</v>
      </c>
      <c r="L173">
        <v>0</v>
      </c>
      <c r="M173" t="s">
        <v>36</v>
      </c>
      <c r="N173" t="s">
        <v>37</v>
      </c>
      <c r="O173">
        <v>0</v>
      </c>
      <c r="P173">
        <v>0</v>
      </c>
      <c r="Q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 t="s">
        <v>36</v>
      </c>
      <c r="AC173" t="s">
        <v>43</v>
      </c>
      <c r="AD173" t="str">
        <f t="shared" si="4"/>
        <v>CP</v>
      </c>
      <c r="AE173" t="str">
        <f>_xlfn.XLOOKUP(D173,Mapping!A:A,Mapping!D:D,0,0)</f>
        <v>Bin</v>
      </c>
      <c r="AF173" t="str">
        <f t="shared" si="5"/>
        <v>OLD</v>
      </c>
    </row>
    <row r="174" spans="1:32" x14ac:dyDescent="0.2">
      <c r="A174" t="s">
        <v>1118</v>
      </c>
      <c r="B174" t="s">
        <v>39</v>
      </c>
      <c r="C174">
        <v>1011860862</v>
      </c>
      <c r="D174" t="s">
        <v>225</v>
      </c>
      <c r="E174" t="s">
        <v>31</v>
      </c>
      <c r="F174" s="1">
        <v>0.67291666666666672</v>
      </c>
      <c r="G174" t="s">
        <v>32</v>
      </c>
      <c r="H174" t="s">
        <v>33</v>
      </c>
      <c r="I174" t="s">
        <v>41</v>
      </c>
      <c r="J174" t="s">
        <v>84</v>
      </c>
      <c r="K174">
        <v>220</v>
      </c>
      <c r="L174">
        <v>0</v>
      </c>
      <c r="M174" t="s">
        <v>63</v>
      </c>
      <c r="N174">
        <v>250</v>
      </c>
      <c r="O174">
        <v>0</v>
      </c>
      <c r="P174">
        <v>0</v>
      </c>
      <c r="Q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 t="s">
        <v>36</v>
      </c>
      <c r="AC174" t="s">
        <v>43</v>
      </c>
      <c r="AD174" t="str">
        <f t="shared" si="4"/>
        <v>CP</v>
      </c>
      <c r="AE174" t="str">
        <f>_xlfn.XLOOKUP(D174,Mapping!A:A,Mapping!D:D,0,0)</f>
        <v>Bin</v>
      </c>
      <c r="AF174" t="str">
        <f t="shared" si="5"/>
        <v>OLD</v>
      </c>
    </row>
    <row r="175" spans="1:32" x14ac:dyDescent="0.2">
      <c r="A175" t="s">
        <v>1118</v>
      </c>
      <c r="B175" t="s">
        <v>39</v>
      </c>
      <c r="C175">
        <v>1011860872</v>
      </c>
      <c r="D175" t="s">
        <v>226</v>
      </c>
      <c r="E175" t="s">
        <v>31</v>
      </c>
      <c r="F175" s="1">
        <v>0.67291666666666672</v>
      </c>
      <c r="G175" t="s">
        <v>32</v>
      </c>
      <c r="H175" t="s">
        <v>33</v>
      </c>
      <c r="I175" t="s">
        <v>41</v>
      </c>
      <c r="J175" t="s">
        <v>84</v>
      </c>
      <c r="K175">
        <v>220</v>
      </c>
      <c r="L175">
        <v>0</v>
      </c>
      <c r="M175" t="s">
        <v>36</v>
      </c>
      <c r="N175" t="s">
        <v>37</v>
      </c>
      <c r="O175">
        <v>0</v>
      </c>
      <c r="P175">
        <v>0</v>
      </c>
      <c r="Q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 t="s">
        <v>36</v>
      </c>
      <c r="AC175" t="s">
        <v>43</v>
      </c>
      <c r="AD175" t="str">
        <f t="shared" si="4"/>
        <v>CP</v>
      </c>
      <c r="AE175" t="str">
        <f>_xlfn.XLOOKUP(D175,Mapping!A:A,Mapping!D:D,0,0)</f>
        <v>Bin</v>
      </c>
      <c r="AF175" t="str">
        <f t="shared" si="5"/>
        <v>OLD</v>
      </c>
    </row>
    <row r="176" spans="1:32" x14ac:dyDescent="0.2">
      <c r="A176" t="s">
        <v>1118</v>
      </c>
      <c r="B176" t="s">
        <v>39</v>
      </c>
      <c r="C176">
        <v>1011860882</v>
      </c>
      <c r="D176" t="s">
        <v>227</v>
      </c>
      <c r="E176" t="s">
        <v>31</v>
      </c>
      <c r="F176" s="1">
        <v>0.67291666666666672</v>
      </c>
      <c r="G176" t="s">
        <v>32</v>
      </c>
      <c r="H176" t="s">
        <v>33</v>
      </c>
      <c r="I176" t="s">
        <v>41</v>
      </c>
      <c r="J176" t="s">
        <v>84</v>
      </c>
      <c r="K176">
        <v>220</v>
      </c>
      <c r="L176">
        <v>0</v>
      </c>
      <c r="M176" t="s">
        <v>36</v>
      </c>
      <c r="N176" t="s">
        <v>37</v>
      </c>
      <c r="O176">
        <v>0</v>
      </c>
      <c r="P176">
        <v>0</v>
      </c>
      <c r="Q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 t="s">
        <v>36</v>
      </c>
      <c r="AC176" t="s">
        <v>43</v>
      </c>
      <c r="AD176" t="str">
        <f t="shared" si="4"/>
        <v>CP</v>
      </c>
      <c r="AE176" t="str">
        <f>_xlfn.XLOOKUP(D176,Mapping!A:A,Mapping!D:D,0,0)</f>
        <v>Bin</v>
      </c>
      <c r="AF176" t="str">
        <f t="shared" si="5"/>
        <v>OLD</v>
      </c>
    </row>
    <row r="177" spans="1:32" x14ac:dyDescent="0.2">
      <c r="A177" t="s">
        <v>1118</v>
      </c>
      <c r="B177" t="s">
        <v>39</v>
      </c>
      <c r="C177">
        <v>1011860892</v>
      </c>
      <c r="D177" t="s">
        <v>228</v>
      </c>
      <c r="E177" t="s">
        <v>31</v>
      </c>
      <c r="F177" s="1">
        <v>0.67291666666666672</v>
      </c>
      <c r="G177" t="s">
        <v>32</v>
      </c>
      <c r="H177" t="s">
        <v>33</v>
      </c>
      <c r="I177" t="s">
        <v>41</v>
      </c>
      <c r="J177" t="s">
        <v>84</v>
      </c>
      <c r="K177">
        <v>616</v>
      </c>
      <c r="L177">
        <v>0</v>
      </c>
      <c r="M177" t="s">
        <v>63</v>
      </c>
      <c r="N177">
        <v>250</v>
      </c>
      <c r="O177">
        <v>0</v>
      </c>
      <c r="P177">
        <v>0</v>
      </c>
      <c r="Q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 t="s">
        <v>36</v>
      </c>
      <c r="AC177" t="s">
        <v>43</v>
      </c>
      <c r="AD177" t="str">
        <f t="shared" si="4"/>
        <v>CP</v>
      </c>
      <c r="AE177" t="str">
        <f>_xlfn.XLOOKUP(D177,Mapping!A:A,Mapping!D:D,0,0)</f>
        <v>Bin</v>
      </c>
      <c r="AF177" t="str">
        <f t="shared" si="5"/>
        <v>OLD</v>
      </c>
    </row>
    <row r="178" spans="1:32" x14ac:dyDescent="0.2">
      <c r="A178" t="s">
        <v>1118</v>
      </c>
      <c r="B178" t="s">
        <v>39</v>
      </c>
      <c r="C178">
        <v>1011860902</v>
      </c>
      <c r="D178" t="s">
        <v>229</v>
      </c>
      <c r="E178" t="s">
        <v>31</v>
      </c>
      <c r="F178" s="1">
        <v>0.67291666666666672</v>
      </c>
      <c r="G178" t="s">
        <v>32</v>
      </c>
      <c r="H178" t="s">
        <v>33</v>
      </c>
      <c r="I178" t="s">
        <v>41</v>
      </c>
      <c r="J178" t="s">
        <v>84</v>
      </c>
      <c r="K178">
        <v>220</v>
      </c>
      <c r="L178">
        <v>0</v>
      </c>
      <c r="M178" t="s">
        <v>36</v>
      </c>
      <c r="N178" t="s">
        <v>37</v>
      </c>
      <c r="O178">
        <v>0</v>
      </c>
      <c r="P178">
        <v>0</v>
      </c>
      <c r="Q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 t="s">
        <v>36</v>
      </c>
      <c r="AC178" t="s">
        <v>43</v>
      </c>
      <c r="AD178" t="str">
        <f t="shared" si="4"/>
        <v>CP</v>
      </c>
      <c r="AE178" t="str">
        <f>_xlfn.XLOOKUP(D178,Mapping!A:A,Mapping!D:D,0,0)</f>
        <v>Bin</v>
      </c>
      <c r="AF178" t="str">
        <f t="shared" si="5"/>
        <v>OLD</v>
      </c>
    </row>
    <row r="179" spans="1:32" x14ac:dyDescent="0.2">
      <c r="A179" t="s">
        <v>1118</v>
      </c>
      <c r="B179" t="s">
        <v>39</v>
      </c>
      <c r="C179">
        <v>1011860912</v>
      </c>
      <c r="D179" t="s">
        <v>230</v>
      </c>
      <c r="E179" t="s">
        <v>31</v>
      </c>
      <c r="F179" s="1">
        <v>0.67291666666666672</v>
      </c>
      <c r="G179" t="s">
        <v>32</v>
      </c>
      <c r="H179" t="s">
        <v>33</v>
      </c>
      <c r="I179" t="s">
        <v>41</v>
      </c>
      <c r="J179" t="s">
        <v>84</v>
      </c>
      <c r="K179">
        <v>220</v>
      </c>
      <c r="L179">
        <v>0</v>
      </c>
      <c r="M179" t="s">
        <v>36</v>
      </c>
      <c r="N179" t="s">
        <v>37</v>
      </c>
      <c r="O179">
        <v>0</v>
      </c>
      <c r="P179">
        <v>0</v>
      </c>
      <c r="Q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 t="s">
        <v>36</v>
      </c>
      <c r="AC179" t="s">
        <v>43</v>
      </c>
      <c r="AD179" t="str">
        <f t="shared" si="4"/>
        <v>CP</v>
      </c>
      <c r="AE179" t="str">
        <f>_xlfn.XLOOKUP(D179,Mapping!A:A,Mapping!D:D,0,0)</f>
        <v>Bin</v>
      </c>
      <c r="AF179" t="str">
        <f t="shared" si="5"/>
        <v>OLD</v>
      </c>
    </row>
    <row r="180" spans="1:32" x14ac:dyDescent="0.2">
      <c r="A180" t="s">
        <v>1118</v>
      </c>
      <c r="B180" t="s">
        <v>39</v>
      </c>
      <c r="C180">
        <v>1011860922</v>
      </c>
      <c r="D180" t="s">
        <v>231</v>
      </c>
      <c r="E180" t="s">
        <v>31</v>
      </c>
      <c r="F180" s="1">
        <v>0.67291666666666672</v>
      </c>
      <c r="G180" t="s">
        <v>32</v>
      </c>
      <c r="H180" t="s">
        <v>33</v>
      </c>
      <c r="I180" t="s">
        <v>41</v>
      </c>
      <c r="J180" t="s">
        <v>84</v>
      </c>
      <c r="K180">
        <v>220</v>
      </c>
      <c r="L180">
        <v>0</v>
      </c>
      <c r="M180" t="s">
        <v>36</v>
      </c>
      <c r="N180" t="s">
        <v>37</v>
      </c>
      <c r="O180">
        <v>0</v>
      </c>
      <c r="P180">
        <v>0</v>
      </c>
      <c r="Q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 t="s">
        <v>36</v>
      </c>
      <c r="AC180" t="s">
        <v>43</v>
      </c>
      <c r="AD180" t="str">
        <f t="shared" si="4"/>
        <v>CP</v>
      </c>
      <c r="AE180" t="str">
        <f>_xlfn.XLOOKUP(D180,Mapping!A:A,Mapping!D:D,0,0)</f>
        <v>Bin</v>
      </c>
      <c r="AF180" t="str">
        <f t="shared" si="5"/>
        <v>OLD</v>
      </c>
    </row>
    <row r="181" spans="1:32" x14ac:dyDescent="0.2">
      <c r="A181" t="s">
        <v>1118</v>
      </c>
      <c r="B181" t="s">
        <v>39</v>
      </c>
      <c r="C181">
        <v>1011860932</v>
      </c>
      <c r="D181" t="s">
        <v>232</v>
      </c>
      <c r="E181" t="s">
        <v>31</v>
      </c>
      <c r="F181" s="1">
        <v>0.67291666666666672</v>
      </c>
      <c r="G181" t="s">
        <v>32</v>
      </c>
      <c r="H181" t="s">
        <v>33</v>
      </c>
      <c r="I181" t="s">
        <v>41</v>
      </c>
      <c r="J181" t="s">
        <v>84</v>
      </c>
      <c r="K181">
        <v>220</v>
      </c>
      <c r="L181">
        <v>0</v>
      </c>
      <c r="M181" t="s">
        <v>36</v>
      </c>
      <c r="N181" t="s">
        <v>37</v>
      </c>
      <c r="O181">
        <v>0</v>
      </c>
      <c r="P181">
        <v>0</v>
      </c>
      <c r="Q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 t="s">
        <v>36</v>
      </c>
      <c r="AC181" t="s">
        <v>43</v>
      </c>
      <c r="AD181" t="str">
        <f t="shared" si="4"/>
        <v>CP</v>
      </c>
      <c r="AE181" t="str">
        <f>_xlfn.XLOOKUP(D181,Mapping!A:A,Mapping!D:D,0,0)</f>
        <v>Bin</v>
      </c>
      <c r="AF181" t="str">
        <f t="shared" si="5"/>
        <v>OLD</v>
      </c>
    </row>
    <row r="182" spans="1:32" x14ac:dyDescent="0.2">
      <c r="A182" t="s">
        <v>1118</v>
      </c>
      <c r="B182" t="s">
        <v>39</v>
      </c>
      <c r="C182">
        <v>1011860942</v>
      </c>
      <c r="D182" t="s">
        <v>233</v>
      </c>
      <c r="E182" t="s">
        <v>31</v>
      </c>
      <c r="F182" s="1">
        <v>0.67291666666666672</v>
      </c>
      <c r="G182" t="s">
        <v>32</v>
      </c>
      <c r="H182" t="s">
        <v>33</v>
      </c>
      <c r="I182" t="s">
        <v>41</v>
      </c>
      <c r="J182" t="s">
        <v>84</v>
      </c>
      <c r="K182">
        <v>220</v>
      </c>
      <c r="L182">
        <v>0</v>
      </c>
      <c r="M182" t="s">
        <v>36</v>
      </c>
      <c r="N182" t="s">
        <v>37</v>
      </c>
      <c r="O182">
        <v>0</v>
      </c>
      <c r="P182">
        <v>0</v>
      </c>
      <c r="Q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 t="s">
        <v>36</v>
      </c>
      <c r="AC182" t="s">
        <v>43</v>
      </c>
      <c r="AD182" t="str">
        <f t="shared" si="4"/>
        <v>CP</v>
      </c>
      <c r="AE182" t="str">
        <f>_xlfn.XLOOKUP(D182,Mapping!A:A,Mapping!D:D,0,0)</f>
        <v>Bin</v>
      </c>
      <c r="AF182" t="str">
        <f t="shared" si="5"/>
        <v>OLD</v>
      </c>
    </row>
    <row r="183" spans="1:32" x14ac:dyDescent="0.2">
      <c r="A183" t="s">
        <v>1118</v>
      </c>
      <c r="B183" t="s">
        <v>39</v>
      </c>
      <c r="C183">
        <v>1011860952</v>
      </c>
      <c r="D183" t="s">
        <v>234</v>
      </c>
      <c r="E183" t="s">
        <v>31</v>
      </c>
      <c r="F183" s="1">
        <v>0.67291666666666672</v>
      </c>
      <c r="G183" t="s">
        <v>32</v>
      </c>
      <c r="H183" t="s">
        <v>33</v>
      </c>
      <c r="I183" t="s">
        <v>41</v>
      </c>
      <c r="J183" t="s">
        <v>84</v>
      </c>
      <c r="K183">
        <v>220</v>
      </c>
      <c r="L183">
        <v>0</v>
      </c>
      <c r="M183" t="s">
        <v>63</v>
      </c>
      <c r="N183">
        <v>250</v>
      </c>
      <c r="O183">
        <v>0</v>
      </c>
      <c r="P183">
        <v>0</v>
      </c>
      <c r="Q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 t="s">
        <v>36</v>
      </c>
      <c r="AC183" t="s">
        <v>43</v>
      </c>
      <c r="AD183" t="str">
        <f t="shared" si="4"/>
        <v>CP</v>
      </c>
      <c r="AE183" t="str">
        <f>_xlfn.XLOOKUP(D183,Mapping!A:A,Mapping!D:D,0,0)</f>
        <v>Bin</v>
      </c>
      <c r="AF183" t="str">
        <f t="shared" si="5"/>
        <v>OLD</v>
      </c>
    </row>
    <row r="184" spans="1:32" x14ac:dyDescent="0.2">
      <c r="A184" t="s">
        <v>1118</v>
      </c>
      <c r="B184" t="s">
        <v>39</v>
      </c>
      <c r="C184">
        <v>1011860962</v>
      </c>
      <c r="D184" t="s">
        <v>235</v>
      </c>
      <c r="E184" t="s">
        <v>31</v>
      </c>
      <c r="F184" s="1">
        <v>0.67291666666666672</v>
      </c>
      <c r="G184" t="s">
        <v>32</v>
      </c>
      <c r="H184" t="s">
        <v>33</v>
      </c>
      <c r="I184" t="s">
        <v>41</v>
      </c>
      <c r="J184" t="s">
        <v>84</v>
      </c>
      <c r="K184">
        <v>220</v>
      </c>
      <c r="L184">
        <v>0</v>
      </c>
      <c r="M184" t="s">
        <v>63</v>
      </c>
      <c r="N184">
        <v>250</v>
      </c>
      <c r="O184">
        <v>0</v>
      </c>
      <c r="P184">
        <v>0</v>
      </c>
      <c r="Q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 t="s">
        <v>36</v>
      </c>
      <c r="AC184" t="s">
        <v>43</v>
      </c>
      <c r="AD184" t="str">
        <f t="shared" si="4"/>
        <v>CP</v>
      </c>
      <c r="AE184" t="str">
        <f>_xlfn.XLOOKUP(D184,Mapping!A:A,Mapping!D:D,0,0)</f>
        <v>Bin</v>
      </c>
      <c r="AF184" t="str">
        <f t="shared" si="5"/>
        <v>OLD</v>
      </c>
    </row>
    <row r="185" spans="1:32" x14ac:dyDescent="0.2">
      <c r="A185" t="s">
        <v>1118</v>
      </c>
      <c r="B185" t="s">
        <v>39</v>
      </c>
      <c r="C185">
        <v>1011860972</v>
      </c>
      <c r="D185" t="s">
        <v>236</v>
      </c>
      <c r="E185" t="s">
        <v>31</v>
      </c>
      <c r="F185" s="1">
        <v>0.67291666666666672</v>
      </c>
      <c r="G185" t="s">
        <v>32</v>
      </c>
      <c r="H185" t="s">
        <v>33</v>
      </c>
      <c r="I185" t="s">
        <v>41</v>
      </c>
      <c r="J185" t="s">
        <v>84</v>
      </c>
      <c r="K185">
        <v>220</v>
      </c>
      <c r="L185">
        <v>0</v>
      </c>
      <c r="M185" t="s">
        <v>36</v>
      </c>
      <c r="N185" t="s">
        <v>37</v>
      </c>
      <c r="O185">
        <v>0</v>
      </c>
      <c r="P185">
        <v>0</v>
      </c>
      <c r="Q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 t="s">
        <v>36</v>
      </c>
      <c r="AC185" t="s">
        <v>43</v>
      </c>
      <c r="AD185" t="str">
        <f t="shared" si="4"/>
        <v>CP</v>
      </c>
      <c r="AE185" t="str">
        <f>_xlfn.XLOOKUP(D185,Mapping!A:A,Mapping!D:D,0,0)</f>
        <v>Bin</v>
      </c>
      <c r="AF185" t="str">
        <f t="shared" si="5"/>
        <v>OLD</v>
      </c>
    </row>
    <row r="186" spans="1:32" x14ac:dyDescent="0.2">
      <c r="A186" t="s">
        <v>1118</v>
      </c>
      <c r="B186" t="s">
        <v>39</v>
      </c>
      <c r="C186">
        <v>1011860982</v>
      </c>
      <c r="D186" t="s">
        <v>237</v>
      </c>
      <c r="E186" t="s">
        <v>31</v>
      </c>
      <c r="F186" s="1">
        <v>0.67291666666666672</v>
      </c>
      <c r="G186" t="s">
        <v>32</v>
      </c>
      <c r="H186" t="s">
        <v>33</v>
      </c>
      <c r="I186" t="s">
        <v>41</v>
      </c>
      <c r="J186" t="s">
        <v>84</v>
      </c>
      <c r="K186">
        <v>616</v>
      </c>
      <c r="L186">
        <v>0</v>
      </c>
      <c r="M186" t="s">
        <v>63</v>
      </c>
      <c r="N186">
        <v>250</v>
      </c>
      <c r="O186">
        <v>0</v>
      </c>
      <c r="P186">
        <v>0</v>
      </c>
      <c r="Q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 t="s">
        <v>36</v>
      </c>
      <c r="AC186" t="s">
        <v>43</v>
      </c>
      <c r="AD186" t="str">
        <f t="shared" si="4"/>
        <v>CP</v>
      </c>
      <c r="AE186" t="str">
        <f>_xlfn.XLOOKUP(D186,Mapping!A:A,Mapping!D:D,0,0)</f>
        <v>Bin</v>
      </c>
      <c r="AF186" t="str">
        <f t="shared" si="5"/>
        <v>OLD</v>
      </c>
    </row>
    <row r="187" spans="1:32" x14ac:dyDescent="0.2">
      <c r="A187" t="s">
        <v>1118</v>
      </c>
      <c r="B187" t="s">
        <v>39</v>
      </c>
      <c r="C187">
        <v>1011860992</v>
      </c>
      <c r="D187" t="s">
        <v>238</v>
      </c>
      <c r="E187" t="s">
        <v>31</v>
      </c>
      <c r="F187" s="1">
        <v>0.67291666666666672</v>
      </c>
      <c r="G187" t="s">
        <v>32</v>
      </c>
      <c r="H187" t="s">
        <v>33</v>
      </c>
      <c r="I187" t="s">
        <v>41</v>
      </c>
      <c r="J187" t="s">
        <v>84</v>
      </c>
      <c r="K187">
        <v>616</v>
      </c>
      <c r="L187">
        <v>0</v>
      </c>
      <c r="M187" t="s">
        <v>63</v>
      </c>
      <c r="N187">
        <v>250</v>
      </c>
      <c r="O187">
        <v>0</v>
      </c>
      <c r="P187">
        <v>0</v>
      </c>
      <c r="Q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 t="s">
        <v>36</v>
      </c>
      <c r="AC187" t="s">
        <v>43</v>
      </c>
      <c r="AD187" t="str">
        <f t="shared" si="4"/>
        <v>CP</v>
      </c>
      <c r="AE187" t="str">
        <f>_xlfn.XLOOKUP(D187,Mapping!A:A,Mapping!D:D,0,0)</f>
        <v>Bin</v>
      </c>
      <c r="AF187" t="str">
        <f t="shared" si="5"/>
        <v>OLD</v>
      </c>
    </row>
    <row r="188" spans="1:32" x14ac:dyDescent="0.2">
      <c r="A188" t="s">
        <v>1118</v>
      </c>
      <c r="B188" t="s">
        <v>39</v>
      </c>
      <c r="C188">
        <v>1011861002</v>
      </c>
      <c r="D188" t="s">
        <v>239</v>
      </c>
      <c r="E188" t="s">
        <v>31</v>
      </c>
      <c r="F188" s="1">
        <v>0.67291666666666672</v>
      </c>
      <c r="G188" t="s">
        <v>32</v>
      </c>
      <c r="H188" t="s">
        <v>33</v>
      </c>
      <c r="I188" t="s">
        <v>41</v>
      </c>
      <c r="J188" t="s">
        <v>35</v>
      </c>
      <c r="K188">
        <v>616</v>
      </c>
      <c r="L188">
        <v>0</v>
      </c>
      <c r="M188" t="s">
        <v>63</v>
      </c>
      <c r="N188">
        <v>250</v>
      </c>
      <c r="O188">
        <v>0</v>
      </c>
      <c r="P188">
        <v>0</v>
      </c>
      <c r="Q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 t="s">
        <v>36</v>
      </c>
      <c r="AC188" t="s">
        <v>43</v>
      </c>
      <c r="AD188" t="str">
        <f t="shared" si="4"/>
        <v>CP</v>
      </c>
      <c r="AE188" t="str">
        <f>_xlfn.XLOOKUP(D188,Mapping!A:A,Mapping!D:D,0,0)</f>
        <v>Bin</v>
      </c>
      <c r="AF188" t="str">
        <f t="shared" si="5"/>
        <v>OLD</v>
      </c>
    </row>
    <row r="189" spans="1:32" x14ac:dyDescent="0.2">
      <c r="A189" t="s">
        <v>1118</v>
      </c>
      <c r="B189" t="s">
        <v>39</v>
      </c>
      <c r="C189">
        <v>1011861012</v>
      </c>
      <c r="D189" t="s">
        <v>240</v>
      </c>
      <c r="E189" t="s">
        <v>31</v>
      </c>
      <c r="F189" s="1">
        <v>0.67291666666666672</v>
      </c>
      <c r="G189" t="s">
        <v>32</v>
      </c>
      <c r="H189" t="s">
        <v>33</v>
      </c>
      <c r="I189" t="s">
        <v>41</v>
      </c>
      <c r="J189" t="s">
        <v>35</v>
      </c>
      <c r="K189">
        <v>220</v>
      </c>
      <c r="L189">
        <v>0</v>
      </c>
      <c r="M189" t="s">
        <v>36</v>
      </c>
      <c r="N189" t="s">
        <v>37</v>
      </c>
      <c r="O189">
        <v>0</v>
      </c>
      <c r="P189">
        <v>0</v>
      </c>
      <c r="Q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 t="s">
        <v>36</v>
      </c>
      <c r="AC189" t="s">
        <v>43</v>
      </c>
      <c r="AD189" t="str">
        <f t="shared" si="4"/>
        <v>CP</v>
      </c>
      <c r="AE189" t="str">
        <f>_xlfn.XLOOKUP(D189,Mapping!A:A,Mapping!D:D,0,0)</f>
        <v>Bin</v>
      </c>
      <c r="AF189" t="str">
        <f t="shared" si="5"/>
        <v>OLD</v>
      </c>
    </row>
    <row r="190" spans="1:32" x14ac:dyDescent="0.2">
      <c r="A190" t="s">
        <v>1118</v>
      </c>
      <c r="B190" t="s">
        <v>39</v>
      </c>
      <c r="C190">
        <v>1011861022</v>
      </c>
      <c r="D190" t="s">
        <v>241</v>
      </c>
      <c r="E190" t="s">
        <v>31</v>
      </c>
      <c r="F190" s="1">
        <v>0.67291666666666672</v>
      </c>
      <c r="G190" t="s">
        <v>32</v>
      </c>
      <c r="H190" t="s">
        <v>33</v>
      </c>
      <c r="I190" t="s">
        <v>41</v>
      </c>
      <c r="J190" t="s">
        <v>35</v>
      </c>
      <c r="K190">
        <v>220</v>
      </c>
      <c r="L190">
        <v>0</v>
      </c>
      <c r="M190" t="s">
        <v>36</v>
      </c>
      <c r="N190" t="s">
        <v>37</v>
      </c>
      <c r="O190">
        <v>0</v>
      </c>
      <c r="P190">
        <v>0</v>
      </c>
      <c r="Q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 t="s">
        <v>36</v>
      </c>
      <c r="AC190" t="s">
        <v>43</v>
      </c>
      <c r="AD190" t="str">
        <f t="shared" si="4"/>
        <v>CP</v>
      </c>
      <c r="AE190" t="str">
        <f>_xlfn.XLOOKUP(D190,Mapping!A:A,Mapping!D:D,0,0)</f>
        <v>Bin</v>
      </c>
      <c r="AF190" t="str">
        <f t="shared" si="5"/>
        <v>OLD</v>
      </c>
    </row>
    <row r="191" spans="1:32" x14ac:dyDescent="0.2">
      <c r="A191" t="s">
        <v>1118</v>
      </c>
      <c r="B191" t="s">
        <v>39</v>
      </c>
      <c r="C191">
        <v>1011861032</v>
      </c>
      <c r="D191" t="s">
        <v>242</v>
      </c>
      <c r="E191" t="s">
        <v>31</v>
      </c>
      <c r="F191" s="1">
        <v>0.67291666666666672</v>
      </c>
      <c r="G191" t="s">
        <v>32</v>
      </c>
      <c r="H191" t="s">
        <v>33</v>
      </c>
      <c r="I191" t="s">
        <v>41</v>
      </c>
      <c r="J191" t="s">
        <v>84</v>
      </c>
      <c r="K191">
        <v>616</v>
      </c>
      <c r="L191">
        <v>0</v>
      </c>
      <c r="M191" t="s">
        <v>63</v>
      </c>
      <c r="N191">
        <v>250</v>
      </c>
      <c r="O191">
        <v>0</v>
      </c>
      <c r="P191">
        <v>0</v>
      </c>
      <c r="Q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 t="s">
        <v>36</v>
      </c>
      <c r="AC191" t="s">
        <v>43</v>
      </c>
      <c r="AD191" t="str">
        <f t="shared" si="4"/>
        <v>CP</v>
      </c>
      <c r="AE191" t="str">
        <f>_xlfn.XLOOKUP(D191,Mapping!A:A,Mapping!D:D,0,0)</f>
        <v>Bin</v>
      </c>
      <c r="AF191" t="str">
        <f t="shared" si="5"/>
        <v>OLD</v>
      </c>
    </row>
    <row r="192" spans="1:32" x14ac:dyDescent="0.2">
      <c r="A192" t="s">
        <v>1118</v>
      </c>
      <c r="B192" t="s">
        <v>39</v>
      </c>
      <c r="C192">
        <v>1011861382</v>
      </c>
      <c r="D192" t="s">
        <v>243</v>
      </c>
      <c r="E192" t="s">
        <v>31</v>
      </c>
      <c r="F192" s="1">
        <v>0.67291666666666672</v>
      </c>
      <c r="G192" t="s">
        <v>32</v>
      </c>
      <c r="H192" t="s">
        <v>33</v>
      </c>
      <c r="I192" t="s">
        <v>41</v>
      </c>
      <c r="J192" t="s">
        <v>84</v>
      </c>
      <c r="K192">
        <v>308</v>
      </c>
      <c r="L192">
        <v>0</v>
      </c>
      <c r="M192" t="s">
        <v>36</v>
      </c>
      <c r="N192" t="s">
        <v>37</v>
      </c>
      <c r="O192">
        <v>0</v>
      </c>
      <c r="P192">
        <v>0</v>
      </c>
      <c r="Q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 t="s">
        <v>36</v>
      </c>
      <c r="AC192" t="s">
        <v>43</v>
      </c>
      <c r="AD192" t="str">
        <f t="shared" si="4"/>
        <v>CP</v>
      </c>
      <c r="AE192" t="str">
        <f>_xlfn.XLOOKUP(D192,Mapping!A:A,Mapping!D:D,0,0)</f>
        <v>Bin</v>
      </c>
      <c r="AF192" t="str">
        <f t="shared" si="5"/>
        <v>OLD</v>
      </c>
    </row>
    <row r="193" spans="1:32" x14ac:dyDescent="0.2">
      <c r="A193" t="s">
        <v>1118</v>
      </c>
      <c r="B193" t="s">
        <v>39</v>
      </c>
      <c r="C193">
        <v>1011861402</v>
      </c>
      <c r="D193" t="s">
        <v>244</v>
      </c>
      <c r="E193" t="s">
        <v>31</v>
      </c>
      <c r="F193" s="1">
        <v>0.67291666666666672</v>
      </c>
      <c r="G193" t="s">
        <v>32</v>
      </c>
      <c r="H193" t="s">
        <v>33</v>
      </c>
      <c r="I193" t="s">
        <v>41</v>
      </c>
      <c r="J193" t="s">
        <v>84</v>
      </c>
      <c r="K193">
        <v>242</v>
      </c>
      <c r="L193">
        <v>0</v>
      </c>
      <c r="M193" t="s">
        <v>36</v>
      </c>
      <c r="N193" t="s">
        <v>37</v>
      </c>
      <c r="O193">
        <v>0</v>
      </c>
      <c r="P193">
        <v>0</v>
      </c>
      <c r="Q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 t="s">
        <v>36</v>
      </c>
      <c r="AC193" t="s">
        <v>43</v>
      </c>
      <c r="AD193" t="str">
        <f t="shared" si="4"/>
        <v>CP</v>
      </c>
      <c r="AE193" t="str">
        <f>_xlfn.XLOOKUP(D193,Mapping!A:A,Mapping!D:D,0,0)</f>
        <v>Bin</v>
      </c>
      <c r="AF193" t="str">
        <f t="shared" si="5"/>
        <v>OLD</v>
      </c>
    </row>
    <row r="194" spans="1:32" x14ac:dyDescent="0.2">
      <c r="A194" t="s">
        <v>1118</v>
      </c>
      <c r="B194" t="s">
        <v>39</v>
      </c>
      <c r="C194">
        <v>1011883592</v>
      </c>
      <c r="D194" t="s">
        <v>245</v>
      </c>
      <c r="E194" t="s">
        <v>31</v>
      </c>
      <c r="F194" t="s">
        <v>246</v>
      </c>
      <c r="G194" t="s">
        <v>247</v>
      </c>
      <c r="H194" t="s">
        <v>33</v>
      </c>
      <c r="I194" t="s">
        <v>41</v>
      </c>
      <c r="J194" t="s">
        <v>84</v>
      </c>
      <c r="K194">
        <v>448</v>
      </c>
      <c r="L194">
        <v>0</v>
      </c>
      <c r="M194" t="s">
        <v>36</v>
      </c>
      <c r="N194" t="s">
        <v>37</v>
      </c>
      <c r="O194">
        <v>0</v>
      </c>
      <c r="P194">
        <v>0</v>
      </c>
      <c r="Q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 t="s">
        <v>36</v>
      </c>
      <c r="AC194" t="s">
        <v>43</v>
      </c>
      <c r="AD194" t="str">
        <f t="shared" si="4"/>
        <v>CP</v>
      </c>
      <c r="AE194" t="str">
        <f>_xlfn.XLOOKUP(D194,Mapping!A:A,Mapping!D:D,0,0)</f>
        <v>Bin</v>
      </c>
      <c r="AF194" t="str">
        <f t="shared" si="5"/>
        <v>OLD</v>
      </c>
    </row>
    <row r="195" spans="1:32" x14ac:dyDescent="0.2">
      <c r="A195" t="s">
        <v>1118</v>
      </c>
      <c r="B195" t="s">
        <v>39</v>
      </c>
      <c r="C195">
        <v>1011884752</v>
      </c>
      <c r="D195" t="s">
        <v>248</v>
      </c>
      <c r="E195" t="s">
        <v>31</v>
      </c>
      <c r="F195" s="1">
        <v>0.67291666666666672</v>
      </c>
      <c r="G195" t="s">
        <v>32</v>
      </c>
      <c r="H195" t="s">
        <v>33</v>
      </c>
      <c r="I195" t="s">
        <v>41</v>
      </c>
      <c r="J195" t="s">
        <v>124</v>
      </c>
      <c r="K195">
        <v>99</v>
      </c>
      <c r="L195">
        <v>0</v>
      </c>
      <c r="M195" t="s">
        <v>36</v>
      </c>
      <c r="N195" t="s">
        <v>37</v>
      </c>
      <c r="O195">
        <v>0</v>
      </c>
      <c r="P195">
        <v>0</v>
      </c>
      <c r="Q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 t="s">
        <v>36</v>
      </c>
      <c r="AC195" t="s">
        <v>43</v>
      </c>
      <c r="AD195" t="str">
        <f t="shared" ref="AD195:AD258" si="6">LEFT(D195,2)</f>
        <v>CP</v>
      </c>
      <c r="AE195" t="str">
        <f>_xlfn.XLOOKUP(D195,Mapping!A:A,Mapping!D:D,0,0)</f>
        <v>Bin</v>
      </c>
      <c r="AF195" t="str">
        <f t="shared" ref="AF195:AF258" si="7">IFERROR(IF(SEARCH("_TJ",D195)&gt;0,"TJ",NA()),IFERROR(IF(SEARCH("_JB",D195)&gt;0,"JB",NA()),"OLD"))</f>
        <v>OLD</v>
      </c>
    </row>
    <row r="196" spans="1:32" x14ac:dyDescent="0.2">
      <c r="A196" t="s">
        <v>1118</v>
      </c>
      <c r="B196" t="s">
        <v>39</v>
      </c>
      <c r="C196">
        <v>1012374472</v>
      </c>
      <c r="D196" t="s">
        <v>249</v>
      </c>
      <c r="E196" t="s">
        <v>31</v>
      </c>
      <c r="F196" s="1">
        <v>0.67291666666666672</v>
      </c>
      <c r="G196" t="s">
        <v>32</v>
      </c>
      <c r="H196" t="s">
        <v>33</v>
      </c>
      <c r="I196" t="s">
        <v>41</v>
      </c>
      <c r="J196" t="s">
        <v>84</v>
      </c>
      <c r="K196">
        <v>330</v>
      </c>
      <c r="L196">
        <v>0</v>
      </c>
      <c r="M196" t="s">
        <v>63</v>
      </c>
      <c r="N196">
        <v>250</v>
      </c>
      <c r="O196">
        <v>0</v>
      </c>
      <c r="P196">
        <v>0</v>
      </c>
      <c r="Q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 t="s">
        <v>36</v>
      </c>
      <c r="AC196" t="s">
        <v>43</v>
      </c>
      <c r="AD196" t="str">
        <f t="shared" si="6"/>
        <v>CP</v>
      </c>
      <c r="AE196" t="str">
        <f>_xlfn.XLOOKUP(D196,Mapping!A:A,Mapping!D:D,0,0)</f>
        <v>Bin</v>
      </c>
      <c r="AF196" t="str">
        <f t="shared" si="7"/>
        <v>OLD</v>
      </c>
    </row>
    <row r="197" spans="1:32" x14ac:dyDescent="0.2">
      <c r="A197" t="s">
        <v>1118</v>
      </c>
      <c r="B197" t="s">
        <v>39</v>
      </c>
      <c r="C197">
        <v>1012374482</v>
      </c>
      <c r="D197" t="s">
        <v>250</v>
      </c>
      <c r="E197" t="s">
        <v>31</v>
      </c>
      <c r="F197" s="1">
        <v>0.67291666666666672</v>
      </c>
      <c r="G197" t="s">
        <v>32</v>
      </c>
      <c r="H197" t="s">
        <v>33</v>
      </c>
      <c r="I197" t="s">
        <v>41</v>
      </c>
      <c r="J197" t="s">
        <v>84</v>
      </c>
      <c r="K197">
        <v>330</v>
      </c>
      <c r="L197">
        <v>0</v>
      </c>
      <c r="M197" t="s">
        <v>63</v>
      </c>
      <c r="N197">
        <v>250</v>
      </c>
      <c r="O197">
        <v>0</v>
      </c>
      <c r="P197">
        <v>0</v>
      </c>
      <c r="Q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 t="s">
        <v>36</v>
      </c>
      <c r="AC197" t="s">
        <v>43</v>
      </c>
      <c r="AD197" t="str">
        <f t="shared" si="6"/>
        <v>CP</v>
      </c>
      <c r="AE197" t="str">
        <f>_xlfn.XLOOKUP(D197,Mapping!A:A,Mapping!D:D,0,0)</f>
        <v>Bin</v>
      </c>
      <c r="AF197" t="str">
        <f t="shared" si="7"/>
        <v>OLD</v>
      </c>
    </row>
    <row r="198" spans="1:32" x14ac:dyDescent="0.2">
      <c r="A198" t="s">
        <v>1118</v>
      </c>
      <c r="B198" t="s">
        <v>39</v>
      </c>
      <c r="C198">
        <v>1012374492</v>
      </c>
      <c r="D198" t="s">
        <v>251</v>
      </c>
      <c r="E198" t="s">
        <v>31</v>
      </c>
      <c r="F198" s="1">
        <v>0.67291666666666672</v>
      </c>
      <c r="G198" t="s">
        <v>32</v>
      </c>
      <c r="H198" t="s">
        <v>33</v>
      </c>
      <c r="I198" t="s">
        <v>41</v>
      </c>
      <c r="J198" t="s">
        <v>84</v>
      </c>
      <c r="K198">
        <v>330</v>
      </c>
      <c r="L198">
        <v>0</v>
      </c>
      <c r="M198" t="s">
        <v>63</v>
      </c>
      <c r="N198">
        <v>250</v>
      </c>
      <c r="O198">
        <v>0</v>
      </c>
      <c r="P198">
        <v>0</v>
      </c>
      <c r="Q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 t="s">
        <v>36</v>
      </c>
      <c r="AC198" t="s">
        <v>43</v>
      </c>
      <c r="AD198" t="str">
        <f t="shared" si="6"/>
        <v>CP</v>
      </c>
      <c r="AE198" t="str">
        <f>_xlfn.XLOOKUP(D198,Mapping!A:A,Mapping!D:D,0,0)</f>
        <v>Bin</v>
      </c>
      <c r="AF198" t="str">
        <f t="shared" si="7"/>
        <v>OLD</v>
      </c>
    </row>
    <row r="199" spans="1:32" x14ac:dyDescent="0.2">
      <c r="A199" t="s">
        <v>1118</v>
      </c>
      <c r="B199" t="s">
        <v>39</v>
      </c>
      <c r="C199">
        <v>1012374502</v>
      </c>
      <c r="D199" t="s">
        <v>252</v>
      </c>
      <c r="E199" t="s">
        <v>31</v>
      </c>
      <c r="F199" s="1">
        <v>0.67291666666666672</v>
      </c>
      <c r="G199" t="s">
        <v>32</v>
      </c>
      <c r="H199" t="s">
        <v>33</v>
      </c>
      <c r="I199" t="s">
        <v>41</v>
      </c>
      <c r="J199" t="s">
        <v>84</v>
      </c>
      <c r="K199">
        <v>330</v>
      </c>
      <c r="L199">
        <v>0</v>
      </c>
      <c r="M199" t="s">
        <v>63</v>
      </c>
      <c r="N199">
        <v>250</v>
      </c>
      <c r="O199">
        <v>0</v>
      </c>
      <c r="P199">
        <v>0</v>
      </c>
      <c r="Q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 t="s">
        <v>36</v>
      </c>
      <c r="AC199" t="s">
        <v>43</v>
      </c>
      <c r="AD199" t="str">
        <f t="shared" si="6"/>
        <v>CP</v>
      </c>
      <c r="AE199" t="str">
        <f>_xlfn.XLOOKUP(D199,Mapping!A:A,Mapping!D:D,0,0)</f>
        <v>Bin</v>
      </c>
      <c r="AF199" t="str">
        <f t="shared" si="7"/>
        <v>OLD</v>
      </c>
    </row>
    <row r="200" spans="1:32" x14ac:dyDescent="0.2">
      <c r="A200" t="s">
        <v>1118</v>
      </c>
      <c r="B200" t="s">
        <v>39</v>
      </c>
      <c r="C200">
        <v>1012374512</v>
      </c>
      <c r="D200" t="s">
        <v>253</v>
      </c>
      <c r="E200" t="s">
        <v>31</v>
      </c>
      <c r="F200" s="1">
        <v>0.67291666666666672</v>
      </c>
      <c r="G200" t="s">
        <v>32</v>
      </c>
      <c r="H200" t="s">
        <v>33</v>
      </c>
      <c r="I200" t="s">
        <v>41</v>
      </c>
      <c r="J200" t="s">
        <v>84</v>
      </c>
      <c r="K200">
        <v>330</v>
      </c>
      <c r="L200">
        <v>0</v>
      </c>
      <c r="M200" t="s">
        <v>63</v>
      </c>
      <c r="N200">
        <v>150</v>
      </c>
      <c r="O200">
        <v>0</v>
      </c>
      <c r="P200">
        <v>0</v>
      </c>
      <c r="Q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 t="s">
        <v>36</v>
      </c>
      <c r="AC200" t="s">
        <v>43</v>
      </c>
      <c r="AD200" t="str">
        <f t="shared" si="6"/>
        <v>CP</v>
      </c>
      <c r="AE200" t="str">
        <f>_xlfn.XLOOKUP(D200,Mapping!A:A,Mapping!D:D,0,0)</f>
        <v>Bin</v>
      </c>
      <c r="AF200" t="str">
        <f t="shared" si="7"/>
        <v>OLD</v>
      </c>
    </row>
    <row r="201" spans="1:32" x14ac:dyDescent="0.2">
      <c r="A201" t="s">
        <v>1118</v>
      </c>
      <c r="B201" t="s">
        <v>39</v>
      </c>
      <c r="C201">
        <v>1012374522</v>
      </c>
      <c r="D201" t="s">
        <v>254</v>
      </c>
      <c r="E201" t="s">
        <v>31</v>
      </c>
      <c r="F201" s="1">
        <v>0.67291666666666672</v>
      </c>
      <c r="G201" t="s">
        <v>32</v>
      </c>
      <c r="H201" t="s">
        <v>33</v>
      </c>
      <c r="I201" t="s">
        <v>41</v>
      </c>
      <c r="J201" t="s">
        <v>255</v>
      </c>
      <c r="K201">
        <v>33</v>
      </c>
      <c r="L201">
        <v>0</v>
      </c>
      <c r="M201" t="s">
        <v>36</v>
      </c>
      <c r="N201" t="s">
        <v>37</v>
      </c>
      <c r="O201">
        <v>0</v>
      </c>
      <c r="P201">
        <v>0</v>
      </c>
      <c r="Q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 t="s">
        <v>36</v>
      </c>
      <c r="AC201" t="s">
        <v>43</v>
      </c>
      <c r="AD201" t="str">
        <f t="shared" si="6"/>
        <v>CP</v>
      </c>
      <c r="AE201" t="str">
        <f>_xlfn.XLOOKUP(D201,Mapping!A:A,Mapping!D:D,0,0)</f>
        <v>Bin</v>
      </c>
      <c r="AF201" t="str">
        <f t="shared" si="7"/>
        <v>OLD</v>
      </c>
    </row>
    <row r="202" spans="1:32" x14ac:dyDescent="0.2">
      <c r="A202" t="s">
        <v>1118</v>
      </c>
      <c r="B202" t="s">
        <v>39</v>
      </c>
      <c r="C202">
        <v>1012702572</v>
      </c>
      <c r="D202" t="s">
        <v>256</v>
      </c>
      <c r="E202" t="s">
        <v>31</v>
      </c>
      <c r="F202" s="1">
        <v>0.67291666666666672</v>
      </c>
      <c r="G202" t="s">
        <v>32</v>
      </c>
      <c r="H202" t="s">
        <v>33</v>
      </c>
      <c r="I202" t="s">
        <v>41</v>
      </c>
      <c r="J202" t="s">
        <v>62</v>
      </c>
      <c r="K202">
        <v>280</v>
      </c>
      <c r="L202">
        <v>0</v>
      </c>
      <c r="M202" t="s">
        <v>36</v>
      </c>
      <c r="N202" t="s">
        <v>37</v>
      </c>
      <c r="O202">
        <v>0</v>
      </c>
      <c r="P202">
        <v>0</v>
      </c>
      <c r="Q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 t="s">
        <v>36</v>
      </c>
      <c r="AC202" t="s">
        <v>43</v>
      </c>
      <c r="AD202" t="str">
        <f t="shared" si="6"/>
        <v>CP</v>
      </c>
      <c r="AE202" t="str">
        <f>_xlfn.XLOOKUP(D202,Mapping!A:A,Mapping!D:D,0,0)</f>
        <v>Bin</v>
      </c>
      <c r="AF202" t="str">
        <f t="shared" si="7"/>
        <v>OLD</v>
      </c>
    </row>
    <row r="203" spans="1:32" x14ac:dyDescent="0.2">
      <c r="A203" t="s">
        <v>1118</v>
      </c>
      <c r="B203" t="s">
        <v>39</v>
      </c>
      <c r="C203">
        <v>1012702582</v>
      </c>
      <c r="D203" t="s">
        <v>257</v>
      </c>
      <c r="E203" t="s">
        <v>31</v>
      </c>
      <c r="F203" s="1">
        <v>0.67291666666666672</v>
      </c>
      <c r="G203" t="s">
        <v>32</v>
      </c>
      <c r="H203" t="s">
        <v>33</v>
      </c>
      <c r="I203" t="s">
        <v>34</v>
      </c>
      <c r="J203" t="s">
        <v>84</v>
      </c>
      <c r="K203">
        <v>212</v>
      </c>
      <c r="L203">
        <v>0</v>
      </c>
      <c r="M203" t="s">
        <v>36</v>
      </c>
      <c r="N203" t="s">
        <v>37</v>
      </c>
      <c r="O203">
        <v>0</v>
      </c>
      <c r="P203">
        <v>0</v>
      </c>
      <c r="Q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 t="s">
        <v>36</v>
      </c>
      <c r="AC203" t="s">
        <v>43</v>
      </c>
      <c r="AD203" t="str">
        <f t="shared" si="6"/>
        <v>CP</v>
      </c>
      <c r="AE203" t="str">
        <f>_xlfn.XLOOKUP(D203,Mapping!A:A,Mapping!D:D,0,0)</f>
        <v>Bin</v>
      </c>
      <c r="AF203" t="str">
        <f t="shared" si="7"/>
        <v>OLD</v>
      </c>
    </row>
    <row r="204" spans="1:32" x14ac:dyDescent="0.2">
      <c r="A204" t="s">
        <v>1118</v>
      </c>
      <c r="B204" t="s">
        <v>39</v>
      </c>
      <c r="C204">
        <v>1012702602</v>
      </c>
      <c r="D204" t="s">
        <v>258</v>
      </c>
      <c r="E204" t="s">
        <v>31</v>
      </c>
      <c r="F204" s="1">
        <v>0.67291666666666672</v>
      </c>
      <c r="G204" t="s">
        <v>32</v>
      </c>
      <c r="H204" t="s">
        <v>33</v>
      </c>
      <c r="I204" t="s">
        <v>41</v>
      </c>
      <c r="J204" t="s">
        <v>62</v>
      </c>
      <c r="K204">
        <v>530</v>
      </c>
      <c r="L204">
        <v>0</v>
      </c>
      <c r="M204" t="s">
        <v>36</v>
      </c>
      <c r="N204" t="s">
        <v>37</v>
      </c>
      <c r="O204">
        <v>0</v>
      </c>
      <c r="P204">
        <v>0</v>
      </c>
      <c r="Q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 t="s">
        <v>36</v>
      </c>
      <c r="AC204" t="s">
        <v>43</v>
      </c>
      <c r="AD204" t="str">
        <f t="shared" si="6"/>
        <v>CP</v>
      </c>
      <c r="AE204" t="str">
        <f>_xlfn.XLOOKUP(D204,Mapping!A:A,Mapping!D:D,0,0)</f>
        <v>Bin</v>
      </c>
      <c r="AF204" t="str">
        <f t="shared" si="7"/>
        <v>OLD</v>
      </c>
    </row>
    <row r="205" spans="1:32" x14ac:dyDescent="0.2">
      <c r="A205" t="s">
        <v>1118</v>
      </c>
      <c r="B205" t="s">
        <v>39</v>
      </c>
      <c r="C205">
        <v>1012702612</v>
      </c>
      <c r="D205" t="s">
        <v>259</v>
      </c>
      <c r="E205" t="s">
        <v>31</v>
      </c>
      <c r="F205" s="1">
        <v>0.67291666666666672</v>
      </c>
      <c r="G205" t="s">
        <v>32</v>
      </c>
      <c r="H205" t="s">
        <v>33</v>
      </c>
      <c r="I205" t="s">
        <v>41</v>
      </c>
      <c r="J205" t="s">
        <v>62</v>
      </c>
      <c r="K205">
        <v>530</v>
      </c>
      <c r="L205">
        <v>0</v>
      </c>
      <c r="M205" t="s">
        <v>36</v>
      </c>
      <c r="N205" t="s">
        <v>37</v>
      </c>
      <c r="O205">
        <v>0</v>
      </c>
      <c r="P205">
        <v>0</v>
      </c>
      <c r="Q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 t="s">
        <v>36</v>
      </c>
      <c r="AC205" t="s">
        <v>43</v>
      </c>
      <c r="AD205" t="str">
        <f t="shared" si="6"/>
        <v>CP</v>
      </c>
      <c r="AE205" t="str">
        <f>_xlfn.XLOOKUP(D205,Mapping!A:A,Mapping!D:D,0,0)</f>
        <v>Bin</v>
      </c>
      <c r="AF205" t="str">
        <f t="shared" si="7"/>
        <v>OLD</v>
      </c>
    </row>
    <row r="206" spans="1:32" x14ac:dyDescent="0.2">
      <c r="A206" t="s">
        <v>1118</v>
      </c>
      <c r="B206" t="s">
        <v>39</v>
      </c>
      <c r="C206">
        <v>1012702622</v>
      </c>
      <c r="D206" t="s">
        <v>260</v>
      </c>
      <c r="E206" t="s">
        <v>31</v>
      </c>
      <c r="F206" s="1">
        <v>0.67291666666666672</v>
      </c>
      <c r="G206" t="s">
        <v>32</v>
      </c>
      <c r="H206" t="s">
        <v>33</v>
      </c>
      <c r="I206" t="s">
        <v>34</v>
      </c>
      <c r="J206" t="s">
        <v>84</v>
      </c>
      <c r="K206">
        <v>212</v>
      </c>
      <c r="L206">
        <v>0</v>
      </c>
      <c r="M206" t="s">
        <v>36</v>
      </c>
      <c r="N206" t="s">
        <v>37</v>
      </c>
      <c r="O206">
        <v>0</v>
      </c>
      <c r="P206">
        <v>0</v>
      </c>
      <c r="Q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 t="s">
        <v>36</v>
      </c>
      <c r="AC206" t="s">
        <v>43</v>
      </c>
      <c r="AD206" t="str">
        <f t="shared" si="6"/>
        <v>CP</v>
      </c>
      <c r="AE206" t="str">
        <f>_xlfn.XLOOKUP(D206,Mapping!A:A,Mapping!D:D,0,0)</f>
        <v>Bin</v>
      </c>
      <c r="AF206" t="str">
        <f t="shared" si="7"/>
        <v>OLD</v>
      </c>
    </row>
    <row r="207" spans="1:32" x14ac:dyDescent="0.2">
      <c r="A207" t="s">
        <v>1118</v>
      </c>
      <c r="B207" t="s">
        <v>39</v>
      </c>
      <c r="C207">
        <v>1012702632</v>
      </c>
      <c r="D207" t="s">
        <v>261</v>
      </c>
      <c r="E207" t="s">
        <v>31</v>
      </c>
      <c r="F207" s="1">
        <v>0.67291666666666672</v>
      </c>
      <c r="G207" t="s">
        <v>32</v>
      </c>
      <c r="H207" t="s">
        <v>33</v>
      </c>
      <c r="I207" t="s">
        <v>41</v>
      </c>
      <c r="J207" t="s">
        <v>62</v>
      </c>
      <c r="K207">
        <v>530</v>
      </c>
      <c r="L207">
        <v>0</v>
      </c>
      <c r="M207" t="s">
        <v>36</v>
      </c>
      <c r="N207" t="s">
        <v>37</v>
      </c>
      <c r="O207">
        <v>0</v>
      </c>
      <c r="P207">
        <v>0</v>
      </c>
      <c r="Q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 t="s">
        <v>36</v>
      </c>
      <c r="AC207" t="s">
        <v>43</v>
      </c>
      <c r="AD207" t="str">
        <f t="shared" si="6"/>
        <v>CP</v>
      </c>
      <c r="AE207" t="str">
        <f>_xlfn.XLOOKUP(D207,Mapping!A:A,Mapping!D:D,0,0)</f>
        <v>Bin</v>
      </c>
      <c r="AF207" t="str">
        <f t="shared" si="7"/>
        <v>OLD</v>
      </c>
    </row>
    <row r="208" spans="1:32" x14ac:dyDescent="0.2">
      <c r="A208" t="s">
        <v>1118</v>
      </c>
      <c r="B208" t="s">
        <v>39</v>
      </c>
      <c r="C208">
        <v>1012702652</v>
      </c>
      <c r="D208" t="s">
        <v>262</v>
      </c>
      <c r="E208" t="s">
        <v>31</v>
      </c>
      <c r="F208" s="1">
        <v>0.67291666666666672</v>
      </c>
      <c r="G208" t="s">
        <v>32</v>
      </c>
      <c r="H208" t="s">
        <v>33</v>
      </c>
      <c r="I208" t="s">
        <v>41</v>
      </c>
      <c r="J208" t="s">
        <v>62</v>
      </c>
      <c r="K208">
        <v>530</v>
      </c>
      <c r="L208">
        <v>0</v>
      </c>
      <c r="M208" t="s">
        <v>36</v>
      </c>
      <c r="N208" t="s">
        <v>37</v>
      </c>
      <c r="O208">
        <v>0</v>
      </c>
      <c r="P208">
        <v>0</v>
      </c>
      <c r="Q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 t="s">
        <v>36</v>
      </c>
      <c r="AC208" t="s">
        <v>43</v>
      </c>
      <c r="AD208" t="str">
        <f t="shared" si="6"/>
        <v>CP</v>
      </c>
      <c r="AE208" t="str">
        <f>_xlfn.XLOOKUP(D208,Mapping!A:A,Mapping!D:D,0,0)</f>
        <v>Bin</v>
      </c>
      <c r="AF208" t="str">
        <f t="shared" si="7"/>
        <v>OLD</v>
      </c>
    </row>
    <row r="209" spans="1:32" x14ac:dyDescent="0.2">
      <c r="A209" t="s">
        <v>1118</v>
      </c>
      <c r="B209" t="s">
        <v>39</v>
      </c>
      <c r="C209">
        <v>1012702662</v>
      </c>
      <c r="D209" t="s">
        <v>263</v>
      </c>
      <c r="E209" t="s">
        <v>31</v>
      </c>
      <c r="F209" s="1">
        <v>0.67291666666666672</v>
      </c>
      <c r="G209" t="s">
        <v>32</v>
      </c>
      <c r="H209" t="s">
        <v>33</v>
      </c>
      <c r="I209" t="s">
        <v>34</v>
      </c>
      <c r="J209" t="s">
        <v>84</v>
      </c>
      <c r="K209">
        <v>404</v>
      </c>
      <c r="L209">
        <v>0</v>
      </c>
      <c r="M209" t="s">
        <v>36</v>
      </c>
      <c r="N209" t="s">
        <v>37</v>
      </c>
      <c r="O209">
        <v>0</v>
      </c>
      <c r="P209">
        <v>0</v>
      </c>
      <c r="Q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 t="s">
        <v>36</v>
      </c>
      <c r="AC209" t="s">
        <v>43</v>
      </c>
      <c r="AD209" t="str">
        <f t="shared" si="6"/>
        <v>CP</v>
      </c>
      <c r="AE209" t="str">
        <f>_xlfn.XLOOKUP(D209,Mapping!A:A,Mapping!D:D,0,0)</f>
        <v>Bin</v>
      </c>
      <c r="AF209" t="str">
        <f t="shared" si="7"/>
        <v>OLD</v>
      </c>
    </row>
    <row r="210" spans="1:32" x14ac:dyDescent="0.2">
      <c r="A210" t="s">
        <v>1118</v>
      </c>
      <c r="B210" t="s">
        <v>39</v>
      </c>
      <c r="C210">
        <v>1012702672</v>
      </c>
      <c r="D210" t="s">
        <v>264</v>
      </c>
      <c r="E210" t="s">
        <v>31</v>
      </c>
      <c r="F210" s="1">
        <v>0.67291666666666672</v>
      </c>
      <c r="G210" t="s">
        <v>32</v>
      </c>
      <c r="H210" t="s">
        <v>33</v>
      </c>
      <c r="I210" t="s">
        <v>41</v>
      </c>
      <c r="J210" t="s">
        <v>62</v>
      </c>
      <c r="K210">
        <v>280</v>
      </c>
      <c r="L210">
        <v>0</v>
      </c>
      <c r="M210" t="s">
        <v>36</v>
      </c>
      <c r="N210" t="s">
        <v>37</v>
      </c>
      <c r="O210">
        <v>0</v>
      </c>
      <c r="P210">
        <v>0</v>
      </c>
      <c r="Q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 t="s">
        <v>36</v>
      </c>
      <c r="AC210" t="s">
        <v>43</v>
      </c>
      <c r="AD210" t="str">
        <f t="shared" si="6"/>
        <v>CP</v>
      </c>
      <c r="AE210" t="str">
        <f>_xlfn.XLOOKUP(D210,Mapping!A:A,Mapping!D:D,0,0)</f>
        <v>Bin</v>
      </c>
      <c r="AF210" t="str">
        <f t="shared" si="7"/>
        <v>OLD</v>
      </c>
    </row>
    <row r="211" spans="1:32" x14ac:dyDescent="0.2">
      <c r="A211" t="s">
        <v>1118</v>
      </c>
      <c r="B211" t="s">
        <v>39</v>
      </c>
      <c r="C211">
        <v>1012702682</v>
      </c>
      <c r="D211" t="s">
        <v>265</v>
      </c>
      <c r="E211" t="s">
        <v>31</v>
      </c>
      <c r="F211" s="1">
        <v>0.67291666666666672</v>
      </c>
      <c r="G211" t="s">
        <v>32</v>
      </c>
      <c r="H211" t="s">
        <v>33</v>
      </c>
      <c r="I211" t="s">
        <v>41</v>
      </c>
      <c r="J211" t="s">
        <v>62</v>
      </c>
      <c r="K211">
        <v>530</v>
      </c>
      <c r="L211">
        <v>0</v>
      </c>
      <c r="M211" t="s">
        <v>36</v>
      </c>
      <c r="N211" t="s">
        <v>37</v>
      </c>
      <c r="O211">
        <v>0</v>
      </c>
      <c r="P211">
        <v>0</v>
      </c>
      <c r="Q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 t="s">
        <v>36</v>
      </c>
      <c r="AC211" t="s">
        <v>43</v>
      </c>
      <c r="AD211" t="str">
        <f t="shared" si="6"/>
        <v>CP</v>
      </c>
      <c r="AE211" t="str">
        <f>_xlfn.XLOOKUP(D211,Mapping!A:A,Mapping!D:D,0,0)</f>
        <v>Bin</v>
      </c>
      <c r="AF211" t="str">
        <f t="shared" si="7"/>
        <v>OLD</v>
      </c>
    </row>
    <row r="212" spans="1:32" x14ac:dyDescent="0.2">
      <c r="A212" t="s">
        <v>1118</v>
      </c>
      <c r="B212" t="s">
        <v>39</v>
      </c>
      <c r="C212">
        <v>1012702702</v>
      </c>
      <c r="D212" t="s">
        <v>266</v>
      </c>
      <c r="E212" t="s">
        <v>31</v>
      </c>
      <c r="F212" s="1">
        <v>0.67291666666666672</v>
      </c>
      <c r="G212" t="s">
        <v>32</v>
      </c>
      <c r="H212" t="s">
        <v>33</v>
      </c>
      <c r="I212" t="s">
        <v>41</v>
      </c>
      <c r="J212" t="s">
        <v>62</v>
      </c>
      <c r="K212">
        <v>530</v>
      </c>
      <c r="L212">
        <v>0</v>
      </c>
      <c r="M212" t="s">
        <v>63</v>
      </c>
      <c r="N212">
        <v>150</v>
      </c>
      <c r="O212">
        <v>0</v>
      </c>
      <c r="P212">
        <v>0</v>
      </c>
      <c r="Q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 t="s">
        <v>36</v>
      </c>
      <c r="AC212" t="s">
        <v>43</v>
      </c>
      <c r="AD212" t="str">
        <f t="shared" si="6"/>
        <v>CP</v>
      </c>
      <c r="AE212" t="str">
        <f>_xlfn.XLOOKUP(D212,Mapping!A:A,Mapping!D:D,0,0)</f>
        <v>Bin</v>
      </c>
      <c r="AF212" t="str">
        <f t="shared" si="7"/>
        <v>OLD</v>
      </c>
    </row>
    <row r="213" spans="1:32" x14ac:dyDescent="0.2">
      <c r="A213" t="s">
        <v>1118</v>
      </c>
      <c r="B213" t="s">
        <v>39</v>
      </c>
      <c r="C213">
        <v>1012702712</v>
      </c>
      <c r="D213" t="s">
        <v>267</v>
      </c>
      <c r="E213" t="s">
        <v>31</v>
      </c>
      <c r="F213" s="1">
        <v>0.67291666666666672</v>
      </c>
      <c r="G213" t="s">
        <v>32</v>
      </c>
      <c r="H213" t="s">
        <v>33</v>
      </c>
      <c r="I213" t="s">
        <v>34</v>
      </c>
      <c r="J213" t="s">
        <v>84</v>
      </c>
      <c r="K213">
        <v>212</v>
      </c>
      <c r="L213">
        <v>0</v>
      </c>
      <c r="M213" t="s">
        <v>36</v>
      </c>
      <c r="N213" t="s">
        <v>37</v>
      </c>
      <c r="O213">
        <v>0</v>
      </c>
      <c r="P213">
        <v>0</v>
      </c>
      <c r="Q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 t="s">
        <v>36</v>
      </c>
      <c r="AC213" t="s">
        <v>43</v>
      </c>
      <c r="AD213" t="str">
        <f t="shared" si="6"/>
        <v>CP</v>
      </c>
      <c r="AE213" t="str">
        <f>_xlfn.XLOOKUP(D213,Mapping!A:A,Mapping!D:D,0,0)</f>
        <v>Bin</v>
      </c>
      <c r="AF213" t="str">
        <f t="shared" si="7"/>
        <v>OLD</v>
      </c>
    </row>
    <row r="214" spans="1:32" x14ac:dyDescent="0.2">
      <c r="A214" t="s">
        <v>1118</v>
      </c>
      <c r="B214" t="s">
        <v>39</v>
      </c>
      <c r="C214">
        <v>1012702722</v>
      </c>
      <c r="D214" t="s">
        <v>268</v>
      </c>
      <c r="E214" t="s">
        <v>31</v>
      </c>
      <c r="F214" s="1">
        <v>0.67291666666666672</v>
      </c>
      <c r="G214" t="s">
        <v>32</v>
      </c>
      <c r="H214" t="s">
        <v>33</v>
      </c>
      <c r="I214" t="s">
        <v>41</v>
      </c>
      <c r="J214" t="s">
        <v>62</v>
      </c>
      <c r="K214">
        <v>530</v>
      </c>
      <c r="L214">
        <v>0</v>
      </c>
      <c r="M214" t="s">
        <v>63</v>
      </c>
      <c r="N214">
        <v>150</v>
      </c>
      <c r="O214">
        <v>0</v>
      </c>
      <c r="P214">
        <v>0</v>
      </c>
      <c r="Q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 t="s">
        <v>36</v>
      </c>
      <c r="AC214" t="s">
        <v>43</v>
      </c>
      <c r="AD214" t="str">
        <f t="shared" si="6"/>
        <v>CP</v>
      </c>
      <c r="AE214" t="str">
        <f>_xlfn.XLOOKUP(D214,Mapping!A:A,Mapping!D:D,0,0)</f>
        <v>Bin</v>
      </c>
      <c r="AF214" t="str">
        <f t="shared" si="7"/>
        <v>OLD</v>
      </c>
    </row>
    <row r="215" spans="1:32" x14ac:dyDescent="0.2">
      <c r="A215" t="s">
        <v>1118</v>
      </c>
      <c r="B215" t="s">
        <v>39</v>
      </c>
      <c r="C215">
        <v>1012702732</v>
      </c>
      <c r="D215" t="s">
        <v>269</v>
      </c>
      <c r="E215" t="s">
        <v>31</v>
      </c>
      <c r="F215" s="1">
        <v>0.67291666666666672</v>
      </c>
      <c r="G215" t="s">
        <v>32</v>
      </c>
      <c r="H215" t="s">
        <v>33</v>
      </c>
      <c r="I215" t="s">
        <v>41</v>
      </c>
      <c r="J215" t="s">
        <v>62</v>
      </c>
      <c r="K215">
        <v>1010</v>
      </c>
      <c r="L215">
        <v>0</v>
      </c>
      <c r="M215" t="s">
        <v>36</v>
      </c>
      <c r="N215" t="s">
        <v>37</v>
      </c>
      <c r="O215">
        <v>0</v>
      </c>
      <c r="P215">
        <v>0</v>
      </c>
      <c r="Q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 t="s">
        <v>36</v>
      </c>
      <c r="AC215" t="s">
        <v>119</v>
      </c>
      <c r="AD215" t="str">
        <f t="shared" si="6"/>
        <v>CP</v>
      </c>
      <c r="AE215" t="str">
        <f>_xlfn.XLOOKUP(D215,Mapping!A:A,Mapping!D:D,0,0)</f>
        <v>Archive</v>
      </c>
      <c r="AF215" t="str">
        <f t="shared" si="7"/>
        <v>OLD</v>
      </c>
    </row>
    <row r="216" spans="1:32" x14ac:dyDescent="0.2">
      <c r="A216" t="s">
        <v>1118</v>
      </c>
      <c r="B216" t="s">
        <v>39</v>
      </c>
      <c r="C216">
        <v>1012702742</v>
      </c>
      <c r="D216" t="s">
        <v>270</v>
      </c>
      <c r="E216" t="s">
        <v>31</v>
      </c>
      <c r="F216" s="1">
        <v>0.67291666666666672</v>
      </c>
      <c r="G216" t="s">
        <v>32</v>
      </c>
      <c r="H216" t="s">
        <v>33</v>
      </c>
      <c r="I216" t="s">
        <v>34</v>
      </c>
      <c r="J216" t="s">
        <v>84</v>
      </c>
      <c r="K216">
        <v>356</v>
      </c>
      <c r="L216">
        <v>0</v>
      </c>
      <c r="M216" t="s">
        <v>36</v>
      </c>
      <c r="N216" t="s">
        <v>37</v>
      </c>
      <c r="O216">
        <v>0</v>
      </c>
      <c r="P216">
        <v>0</v>
      </c>
      <c r="Q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 t="s">
        <v>36</v>
      </c>
      <c r="AC216" t="s">
        <v>43</v>
      </c>
      <c r="AD216" t="str">
        <f t="shared" si="6"/>
        <v>CP</v>
      </c>
      <c r="AE216" t="str">
        <f>_xlfn.XLOOKUP(D216,Mapping!A:A,Mapping!D:D,0,0)</f>
        <v>Bin</v>
      </c>
      <c r="AF216" t="str">
        <f t="shared" si="7"/>
        <v>OLD</v>
      </c>
    </row>
    <row r="217" spans="1:32" x14ac:dyDescent="0.2">
      <c r="A217" t="s">
        <v>1118</v>
      </c>
      <c r="B217" t="s">
        <v>39</v>
      </c>
      <c r="C217">
        <v>1012702752</v>
      </c>
      <c r="D217" t="s">
        <v>271</v>
      </c>
      <c r="E217" t="s">
        <v>31</v>
      </c>
      <c r="F217" s="1">
        <v>0.67291666666666672</v>
      </c>
      <c r="G217" t="s">
        <v>32</v>
      </c>
      <c r="H217" t="s">
        <v>33</v>
      </c>
      <c r="I217" t="s">
        <v>41</v>
      </c>
      <c r="J217" t="s">
        <v>62</v>
      </c>
      <c r="K217">
        <v>530</v>
      </c>
      <c r="L217">
        <v>0</v>
      </c>
      <c r="M217" t="s">
        <v>36</v>
      </c>
      <c r="N217" t="s">
        <v>37</v>
      </c>
      <c r="O217">
        <v>0</v>
      </c>
      <c r="P217">
        <v>0</v>
      </c>
      <c r="Q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 t="s">
        <v>36</v>
      </c>
      <c r="AC217" t="s">
        <v>43</v>
      </c>
      <c r="AD217" t="str">
        <f t="shared" si="6"/>
        <v>CP</v>
      </c>
      <c r="AE217" t="str">
        <f>_xlfn.XLOOKUP(D217,Mapping!A:A,Mapping!D:D,0,0)</f>
        <v>Bin</v>
      </c>
      <c r="AF217" t="str">
        <f t="shared" si="7"/>
        <v>OLD</v>
      </c>
    </row>
    <row r="218" spans="1:32" x14ac:dyDescent="0.2">
      <c r="A218" t="s">
        <v>1118</v>
      </c>
      <c r="B218" t="s">
        <v>39</v>
      </c>
      <c r="C218">
        <v>1012702762</v>
      </c>
      <c r="D218" t="s">
        <v>272</v>
      </c>
      <c r="E218" t="s">
        <v>31</v>
      </c>
      <c r="F218" s="1">
        <v>0.67291666666666672</v>
      </c>
      <c r="G218" t="s">
        <v>32</v>
      </c>
      <c r="H218" t="s">
        <v>33</v>
      </c>
      <c r="I218" t="s">
        <v>41</v>
      </c>
      <c r="J218" t="s">
        <v>62</v>
      </c>
      <c r="K218">
        <v>280</v>
      </c>
      <c r="L218">
        <v>0</v>
      </c>
      <c r="M218" t="s">
        <v>36</v>
      </c>
      <c r="N218" t="s">
        <v>37</v>
      </c>
      <c r="O218">
        <v>0</v>
      </c>
      <c r="P218">
        <v>0</v>
      </c>
      <c r="Q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 t="s">
        <v>36</v>
      </c>
      <c r="AC218" t="s">
        <v>43</v>
      </c>
      <c r="AD218" t="str">
        <f t="shared" si="6"/>
        <v>CP</v>
      </c>
      <c r="AE218" t="str">
        <f>_xlfn.XLOOKUP(D218,Mapping!A:A,Mapping!D:D,0,0)</f>
        <v>Bin</v>
      </c>
      <c r="AF218" t="str">
        <f t="shared" si="7"/>
        <v>OLD</v>
      </c>
    </row>
    <row r="219" spans="1:32" x14ac:dyDescent="0.2">
      <c r="A219" t="s">
        <v>1118</v>
      </c>
      <c r="B219" t="s">
        <v>39</v>
      </c>
      <c r="C219">
        <v>1012702772</v>
      </c>
      <c r="D219" t="s">
        <v>273</v>
      </c>
      <c r="E219" t="s">
        <v>31</v>
      </c>
      <c r="F219" s="1">
        <v>0.67291666666666672</v>
      </c>
      <c r="G219" t="s">
        <v>32</v>
      </c>
      <c r="H219" t="s">
        <v>33</v>
      </c>
      <c r="I219" t="s">
        <v>34</v>
      </c>
      <c r="J219" t="s">
        <v>84</v>
      </c>
      <c r="K219">
        <v>356</v>
      </c>
      <c r="L219">
        <v>0</v>
      </c>
      <c r="M219" t="s">
        <v>36</v>
      </c>
      <c r="N219" t="s">
        <v>37</v>
      </c>
      <c r="O219">
        <v>0</v>
      </c>
      <c r="P219">
        <v>0</v>
      </c>
      <c r="Q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 t="s">
        <v>36</v>
      </c>
      <c r="AC219" t="s">
        <v>43</v>
      </c>
      <c r="AD219" t="str">
        <f t="shared" si="6"/>
        <v>CP</v>
      </c>
      <c r="AE219" t="str">
        <f>_xlfn.XLOOKUP(D219,Mapping!A:A,Mapping!D:D,0,0)</f>
        <v>Bin</v>
      </c>
      <c r="AF219" t="str">
        <f t="shared" si="7"/>
        <v>OLD</v>
      </c>
    </row>
    <row r="220" spans="1:32" x14ac:dyDescent="0.2">
      <c r="A220" t="s">
        <v>1118</v>
      </c>
      <c r="B220" t="s">
        <v>39</v>
      </c>
      <c r="C220">
        <v>1012702792</v>
      </c>
      <c r="D220" t="s">
        <v>274</v>
      </c>
      <c r="E220" t="s">
        <v>31</v>
      </c>
      <c r="F220" s="1">
        <v>0.67291666666666672</v>
      </c>
      <c r="G220" t="s">
        <v>32</v>
      </c>
      <c r="H220" t="s">
        <v>33</v>
      </c>
      <c r="I220" t="s">
        <v>41</v>
      </c>
      <c r="J220" t="s">
        <v>62</v>
      </c>
      <c r="K220">
        <v>530</v>
      </c>
      <c r="L220">
        <v>0</v>
      </c>
      <c r="M220" t="s">
        <v>36</v>
      </c>
      <c r="N220" t="s">
        <v>37</v>
      </c>
      <c r="O220">
        <v>0</v>
      </c>
      <c r="P220">
        <v>0</v>
      </c>
      <c r="Q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 t="s">
        <v>36</v>
      </c>
      <c r="AC220" t="s">
        <v>43</v>
      </c>
      <c r="AD220" t="str">
        <f t="shared" si="6"/>
        <v>CP</v>
      </c>
      <c r="AE220" t="str">
        <f>_xlfn.XLOOKUP(D220,Mapping!A:A,Mapping!D:D,0,0)</f>
        <v>Bin</v>
      </c>
      <c r="AF220" t="str">
        <f t="shared" si="7"/>
        <v>OLD</v>
      </c>
    </row>
    <row r="221" spans="1:32" x14ac:dyDescent="0.2">
      <c r="A221" t="s">
        <v>1118</v>
      </c>
      <c r="B221" t="s">
        <v>39</v>
      </c>
      <c r="C221">
        <v>1012702802</v>
      </c>
      <c r="D221" t="s">
        <v>275</v>
      </c>
      <c r="E221" t="s">
        <v>31</v>
      </c>
      <c r="F221" s="1">
        <v>0.67291666666666672</v>
      </c>
      <c r="G221" t="s">
        <v>32</v>
      </c>
      <c r="H221" t="s">
        <v>33</v>
      </c>
      <c r="I221" t="s">
        <v>34</v>
      </c>
      <c r="J221" t="s">
        <v>84</v>
      </c>
      <c r="K221">
        <v>356</v>
      </c>
      <c r="L221">
        <v>0</v>
      </c>
      <c r="M221" t="s">
        <v>36</v>
      </c>
      <c r="N221" t="s">
        <v>37</v>
      </c>
      <c r="O221">
        <v>0</v>
      </c>
      <c r="P221">
        <v>0</v>
      </c>
      <c r="Q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 t="s">
        <v>36</v>
      </c>
      <c r="AC221" t="s">
        <v>43</v>
      </c>
      <c r="AD221" t="str">
        <f t="shared" si="6"/>
        <v>CP</v>
      </c>
      <c r="AE221" t="str">
        <f>_xlfn.XLOOKUP(D221,Mapping!A:A,Mapping!D:D,0,0)</f>
        <v>Bin</v>
      </c>
      <c r="AF221" t="str">
        <f t="shared" si="7"/>
        <v>OLD</v>
      </c>
    </row>
    <row r="222" spans="1:32" x14ac:dyDescent="0.2">
      <c r="A222" t="s">
        <v>1118</v>
      </c>
      <c r="B222" t="s">
        <v>39</v>
      </c>
      <c r="C222">
        <v>1012702812</v>
      </c>
      <c r="D222" t="s">
        <v>276</v>
      </c>
      <c r="E222" t="s">
        <v>31</v>
      </c>
      <c r="F222" s="1">
        <v>0.67291666666666672</v>
      </c>
      <c r="G222" t="s">
        <v>32</v>
      </c>
      <c r="H222" t="s">
        <v>33</v>
      </c>
      <c r="I222" t="s">
        <v>41</v>
      </c>
      <c r="J222" t="s">
        <v>62</v>
      </c>
      <c r="K222">
        <v>530</v>
      </c>
      <c r="L222">
        <v>0</v>
      </c>
      <c r="M222" t="s">
        <v>36</v>
      </c>
      <c r="N222" t="s">
        <v>37</v>
      </c>
      <c r="O222">
        <v>0</v>
      </c>
      <c r="P222">
        <v>0</v>
      </c>
      <c r="Q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 t="s">
        <v>36</v>
      </c>
      <c r="AC222" t="s">
        <v>43</v>
      </c>
      <c r="AD222" t="str">
        <f t="shared" si="6"/>
        <v>CP</v>
      </c>
      <c r="AE222" t="str">
        <f>_xlfn.XLOOKUP(D222,Mapping!A:A,Mapping!D:D,0,0)</f>
        <v>Bin</v>
      </c>
      <c r="AF222" t="str">
        <f t="shared" si="7"/>
        <v>OLD</v>
      </c>
    </row>
    <row r="223" spans="1:32" x14ac:dyDescent="0.2">
      <c r="A223" t="s">
        <v>1118</v>
      </c>
      <c r="B223" t="s">
        <v>39</v>
      </c>
      <c r="C223">
        <v>1012702822</v>
      </c>
      <c r="D223" t="s">
        <v>277</v>
      </c>
      <c r="E223" t="s">
        <v>31</v>
      </c>
      <c r="F223" s="1">
        <v>0.67291666666666672</v>
      </c>
      <c r="G223" t="s">
        <v>32</v>
      </c>
      <c r="H223" t="s">
        <v>33</v>
      </c>
      <c r="I223" t="s">
        <v>41</v>
      </c>
      <c r="J223" t="s">
        <v>62</v>
      </c>
      <c r="K223">
        <v>530</v>
      </c>
      <c r="L223">
        <v>0</v>
      </c>
      <c r="M223" t="s">
        <v>36</v>
      </c>
      <c r="N223" t="s">
        <v>37</v>
      </c>
      <c r="O223">
        <v>0</v>
      </c>
      <c r="P223">
        <v>0</v>
      </c>
      <c r="Q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 t="s">
        <v>36</v>
      </c>
      <c r="AC223" t="s">
        <v>43</v>
      </c>
      <c r="AD223" t="str">
        <f t="shared" si="6"/>
        <v>CP</v>
      </c>
      <c r="AE223" t="str">
        <f>_xlfn.XLOOKUP(D223,Mapping!A:A,Mapping!D:D,0,0)</f>
        <v>Bin</v>
      </c>
      <c r="AF223" t="str">
        <f t="shared" si="7"/>
        <v>OLD</v>
      </c>
    </row>
    <row r="224" spans="1:32" x14ac:dyDescent="0.2">
      <c r="A224" t="s">
        <v>1118</v>
      </c>
      <c r="B224" t="s">
        <v>39</v>
      </c>
      <c r="C224">
        <v>1012702832</v>
      </c>
      <c r="D224" t="s">
        <v>278</v>
      </c>
      <c r="E224" t="s">
        <v>31</v>
      </c>
      <c r="F224" s="1">
        <v>0.67291666666666672</v>
      </c>
      <c r="G224" t="s">
        <v>32</v>
      </c>
      <c r="H224" t="s">
        <v>33</v>
      </c>
      <c r="I224" t="s">
        <v>34</v>
      </c>
      <c r="J224" t="s">
        <v>84</v>
      </c>
      <c r="K224">
        <v>356</v>
      </c>
      <c r="L224">
        <v>0</v>
      </c>
      <c r="M224" t="s">
        <v>63</v>
      </c>
      <c r="N224">
        <v>150</v>
      </c>
      <c r="O224">
        <v>0</v>
      </c>
      <c r="P224">
        <v>0</v>
      </c>
      <c r="Q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 t="s">
        <v>36</v>
      </c>
      <c r="AC224" t="s">
        <v>43</v>
      </c>
      <c r="AD224" t="str">
        <f t="shared" si="6"/>
        <v>CP</v>
      </c>
      <c r="AE224" t="str">
        <f>_xlfn.XLOOKUP(D224,Mapping!A:A,Mapping!D:D,0,0)</f>
        <v>Bin</v>
      </c>
      <c r="AF224" t="str">
        <f t="shared" si="7"/>
        <v>OLD</v>
      </c>
    </row>
    <row r="225" spans="1:32" x14ac:dyDescent="0.2">
      <c r="A225" t="s">
        <v>1118</v>
      </c>
      <c r="B225" t="s">
        <v>39</v>
      </c>
      <c r="C225">
        <v>1012702842</v>
      </c>
      <c r="D225" t="s">
        <v>279</v>
      </c>
      <c r="E225" t="s">
        <v>31</v>
      </c>
      <c r="F225" s="1">
        <v>0.67291666666666672</v>
      </c>
      <c r="G225" t="s">
        <v>32</v>
      </c>
      <c r="H225" t="s">
        <v>33</v>
      </c>
      <c r="I225" t="s">
        <v>41</v>
      </c>
      <c r="J225" t="s">
        <v>62</v>
      </c>
      <c r="K225">
        <v>280</v>
      </c>
      <c r="L225">
        <v>0</v>
      </c>
      <c r="M225" t="s">
        <v>36</v>
      </c>
      <c r="N225" t="s">
        <v>37</v>
      </c>
      <c r="O225">
        <v>0</v>
      </c>
      <c r="P225">
        <v>0</v>
      </c>
      <c r="Q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 t="s">
        <v>36</v>
      </c>
      <c r="AC225" t="s">
        <v>43</v>
      </c>
      <c r="AD225" t="str">
        <f t="shared" si="6"/>
        <v>CP</v>
      </c>
      <c r="AE225" t="str">
        <f>_xlfn.XLOOKUP(D225,Mapping!A:A,Mapping!D:D,0,0)</f>
        <v>Bin</v>
      </c>
      <c r="AF225" t="str">
        <f t="shared" si="7"/>
        <v>OLD</v>
      </c>
    </row>
    <row r="226" spans="1:32" x14ac:dyDescent="0.2">
      <c r="A226" t="s">
        <v>1118</v>
      </c>
      <c r="B226" t="s">
        <v>39</v>
      </c>
      <c r="C226">
        <v>1012702872</v>
      </c>
      <c r="D226" t="s">
        <v>280</v>
      </c>
      <c r="E226" t="s">
        <v>31</v>
      </c>
      <c r="F226" s="1">
        <v>0.67291666666666672</v>
      </c>
      <c r="G226" t="s">
        <v>32</v>
      </c>
      <c r="H226" t="s">
        <v>33</v>
      </c>
      <c r="I226" t="s">
        <v>41</v>
      </c>
      <c r="J226" t="s">
        <v>58</v>
      </c>
      <c r="K226">
        <v>40</v>
      </c>
      <c r="L226">
        <v>0</v>
      </c>
      <c r="M226" t="s">
        <v>36</v>
      </c>
      <c r="N226" t="s">
        <v>37</v>
      </c>
      <c r="O226">
        <v>0</v>
      </c>
      <c r="P226">
        <v>0</v>
      </c>
      <c r="Q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 t="s">
        <v>36</v>
      </c>
      <c r="AC226" t="s">
        <v>43</v>
      </c>
      <c r="AD226" t="str">
        <f t="shared" si="6"/>
        <v>CP</v>
      </c>
      <c r="AE226" t="str">
        <f>_xlfn.XLOOKUP(D226,Mapping!A:A,Mapping!D:D,0,0)</f>
        <v>Bin</v>
      </c>
      <c r="AF226" t="str">
        <f t="shared" si="7"/>
        <v>OLD</v>
      </c>
    </row>
    <row r="227" spans="1:32" x14ac:dyDescent="0.2">
      <c r="A227" t="s">
        <v>1118</v>
      </c>
      <c r="B227" t="s">
        <v>39</v>
      </c>
      <c r="C227">
        <v>1012703162</v>
      </c>
      <c r="D227" t="s">
        <v>281</v>
      </c>
      <c r="E227" t="s">
        <v>31</v>
      </c>
      <c r="F227" s="1">
        <v>0.67291666666666672</v>
      </c>
      <c r="G227" t="s">
        <v>32</v>
      </c>
      <c r="H227" t="s">
        <v>33</v>
      </c>
      <c r="I227" t="s">
        <v>41</v>
      </c>
      <c r="J227" t="s">
        <v>58</v>
      </c>
      <c r="K227">
        <v>40</v>
      </c>
      <c r="L227">
        <v>0</v>
      </c>
      <c r="M227" t="s">
        <v>36</v>
      </c>
      <c r="N227" t="s">
        <v>37</v>
      </c>
      <c r="O227">
        <v>0</v>
      </c>
      <c r="P227">
        <v>0</v>
      </c>
      <c r="Q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 t="s">
        <v>36</v>
      </c>
      <c r="AC227" t="s">
        <v>43</v>
      </c>
      <c r="AD227" t="str">
        <f t="shared" si="6"/>
        <v>CP</v>
      </c>
      <c r="AE227" t="str">
        <f>_xlfn.XLOOKUP(D227,Mapping!A:A,Mapping!D:D,0,0)</f>
        <v>Bin</v>
      </c>
      <c r="AF227" t="str">
        <f t="shared" si="7"/>
        <v>OLD</v>
      </c>
    </row>
    <row r="228" spans="1:32" x14ac:dyDescent="0.2">
      <c r="A228" t="s">
        <v>1118</v>
      </c>
      <c r="B228" t="s">
        <v>39</v>
      </c>
      <c r="C228">
        <v>1012703182</v>
      </c>
      <c r="D228" t="s">
        <v>282</v>
      </c>
      <c r="E228" t="s">
        <v>31</v>
      </c>
      <c r="F228" s="1">
        <v>0.67291666666666672</v>
      </c>
      <c r="G228" t="s">
        <v>32</v>
      </c>
      <c r="H228" t="s">
        <v>33</v>
      </c>
      <c r="I228" t="s">
        <v>34</v>
      </c>
      <c r="J228" t="s">
        <v>124</v>
      </c>
      <c r="K228">
        <v>16</v>
      </c>
      <c r="L228">
        <v>0</v>
      </c>
      <c r="M228" t="s">
        <v>36</v>
      </c>
      <c r="N228" t="s">
        <v>37</v>
      </c>
      <c r="O228">
        <v>0</v>
      </c>
      <c r="P228">
        <v>0</v>
      </c>
      <c r="Q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 t="s">
        <v>36</v>
      </c>
      <c r="AC228" t="s">
        <v>43</v>
      </c>
      <c r="AD228" t="str">
        <f t="shared" si="6"/>
        <v>CP</v>
      </c>
      <c r="AE228" t="str">
        <f>_xlfn.XLOOKUP(D228,Mapping!A:A,Mapping!D:D,0,0)</f>
        <v>Bin</v>
      </c>
      <c r="AF228" t="str">
        <f t="shared" si="7"/>
        <v>OLD</v>
      </c>
    </row>
    <row r="229" spans="1:32" x14ac:dyDescent="0.2">
      <c r="A229" t="s">
        <v>1118</v>
      </c>
      <c r="B229" t="s">
        <v>39</v>
      </c>
      <c r="C229">
        <v>1012703202</v>
      </c>
      <c r="D229" t="s">
        <v>283</v>
      </c>
      <c r="E229" t="s">
        <v>31</v>
      </c>
      <c r="F229" s="1">
        <v>0.67291666666666672</v>
      </c>
      <c r="G229" t="s">
        <v>32</v>
      </c>
      <c r="H229" t="s">
        <v>33</v>
      </c>
      <c r="I229" t="s">
        <v>41</v>
      </c>
      <c r="J229" t="s">
        <v>58</v>
      </c>
      <c r="K229">
        <v>40</v>
      </c>
      <c r="L229">
        <v>0</v>
      </c>
      <c r="M229" t="s">
        <v>36</v>
      </c>
      <c r="N229" t="s">
        <v>37</v>
      </c>
      <c r="O229">
        <v>0</v>
      </c>
      <c r="P229">
        <v>0</v>
      </c>
      <c r="Q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 t="s">
        <v>36</v>
      </c>
      <c r="AC229" t="s">
        <v>43</v>
      </c>
      <c r="AD229" t="str">
        <f t="shared" si="6"/>
        <v>CP</v>
      </c>
      <c r="AE229" t="str">
        <f>_xlfn.XLOOKUP(D229,Mapping!A:A,Mapping!D:D,0,0)</f>
        <v>Bin</v>
      </c>
      <c r="AF229" t="str">
        <f t="shared" si="7"/>
        <v>OLD</v>
      </c>
    </row>
    <row r="230" spans="1:32" x14ac:dyDescent="0.2">
      <c r="A230" t="s">
        <v>1118</v>
      </c>
      <c r="B230" t="s">
        <v>39</v>
      </c>
      <c r="C230">
        <v>1012703212</v>
      </c>
      <c r="D230" t="s">
        <v>284</v>
      </c>
      <c r="E230" t="s">
        <v>31</v>
      </c>
      <c r="F230" s="1">
        <v>0.67291666666666672</v>
      </c>
      <c r="G230" t="s">
        <v>32</v>
      </c>
      <c r="H230" t="s">
        <v>33</v>
      </c>
      <c r="I230" t="s">
        <v>41</v>
      </c>
      <c r="J230" t="s">
        <v>58</v>
      </c>
      <c r="K230">
        <v>40</v>
      </c>
      <c r="L230">
        <v>0</v>
      </c>
      <c r="M230" t="s">
        <v>63</v>
      </c>
      <c r="N230">
        <v>150</v>
      </c>
      <c r="O230">
        <v>0</v>
      </c>
      <c r="P230">
        <v>0</v>
      </c>
      <c r="Q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 t="s">
        <v>36</v>
      </c>
      <c r="AC230" t="s">
        <v>43</v>
      </c>
      <c r="AD230" t="str">
        <f t="shared" si="6"/>
        <v>CP</v>
      </c>
      <c r="AE230" t="str">
        <f>_xlfn.XLOOKUP(D230,Mapping!A:A,Mapping!D:D,0,0)</f>
        <v>Bin</v>
      </c>
      <c r="AF230" t="str">
        <f t="shared" si="7"/>
        <v>OLD</v>
      </c>
    </row>
    <row r="231" spans="1:32" x14ac:dyDescent="0.2">
      <c r="A231" t="s">
        <v>1118</v>
      </c>
      <c r="B231" t="s">
        <v>39</v>
      </c>
      <c r="C231">
        <v>1012703222</v>
      </c>
      <c r="D231" t="s">
        <v>285</v>
      </c>
      <c r="E231" t="s">
        <v>31</v>
      </c>
      <c r="F231" s="1">
        <v>0.67291666666666672</v>
      </c>
      <c r="G231" t="s">
        <v>32</v>
      </c>
      <c r="H231" t="s">
        <v>33</v>
      </c>
      <c r="I231" t="s">
        <v>34</v>
      </c>
      <c r="J231" t="s">
        <v>124</v>
      </c>
      <c r="K231">
        <v>16</v>
      </c>
      <c r="L231">
        <v>0</v>
      </c>
      <c r="M231" t="s">
        <v>36</v>
      </c>
      <c r="N231" t="s">
        <v>37</v>
      </c>
      <c r="O231">
        <v>0</v>
      </c>
      <c r="P231">
        <v>0</v>
      </c>
      <c r="Q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 t="s">
        <v>36</v>
      </c>
      <c r="AC231" t="s">
        <v>43</v>
      </c>
      <c r="AD231" t="str">
        <f t="shared" si="6"/>
        <v>CP</v>
      </c>
      <c r="AE231" t="str">
        <f>_xlfn.XLOOKUP(D231,Mapping!A:A,Mapping!D:D,0,0)</f>
        <v>Bin</v>
      </c>
      <c r="AF231" t="str">
        <f t="shared" si="7"/>
        <v>OLD</v>
      </c>
    </row>
    <row r="232" spans="1:32" x14ac:dyDescent="0.2">
      <c r="A232" t="s">
        <v>1118</v>
      </c>
      <c r="B232" t="s">
        <v>39</v>
      </c>
      <c r="C232">
        <v>1012703242</v>
      </c>
      <c r="D232" t="s">
        <v>286</v>
      </c>
      <c r="E232" t="s">
        <v>31</v>
      </c>
      <c r="F232" s="1">
        <v>0.67291666666666672</v>
      </c>
      <c r="G232" t="s">
        <v>32</v>
      </c>
      <c r="H232" t="s">
        <v>33</v>
      </c>
      <c r="I232" t="s">
        <v>34</v>
      </c>
      <c r="J232" t="s">
        <v>124</v>
      </c>
      <c r="K232">
        <v>16</v>
      </c>
      <c r="L232">
        <v>0</v>
      </c>
      <c r="M232" t="s">
        <v>36</v>
      </c>
      <c r="N232" t="s">
        <v>37</v>
      </c>
      <c r="O232">
        <v>0</v>
      </c>
      <c r="P232">
        <v>0</v>
      </c>
      <c r="Q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 t="s">
        <v>36</v>
      </c>
      <c r="AC232" t="s">
        <v>43</v>
      </c>
      <c r="AD232" t="str">
        <f t="shared" si="6"/>
        <v>CP</v>
      </c>
      <c r="AE232" t="str">
        <f>_xlfn.XLOOKUP(D232,Mapping!A:A,Mapping!D:D,0,0)</f>
        <v>Bin</v>
      </c>
      <c r="AF232" t="str">
        <f t="shared" si="7"/>
        <v>OLD</v>
      </c>
    </row>
    <row r="233" spans="1:32" x14ac:dyDescent="0.2">
      <c r="A233" t="s">
        <v>1118</v>
      </c>
      <c r="B233" t="s">
        <v>39</v>
      </c>
      <c r="C233">
        <v>1012703252</v>
      </c>
      <c r="D233" t="s">
        <v>287</v>
      </c>
      <c r="E233" t="s">
        <v>31</v>
      </c>
      <c r="F233" s="1">
        <v>0.67291666666666672</v>
      </c>
      <c r="G233" t="s">
        <v>32</v>
      </c>
      <c r="H233" t="s">
        <v>33</v>
      </c>
      <c r="I233" t="s">
        <v>41</v>
      </c>
      <c r="J233" t="s">
        <v>58</v>
      </c>
      <c r="K233">
        <v>40</v>
      </c>
      <c r="L233">
        <v>0</v>
      </c>
      <c r="M233" t="s">
        <v>36</v>
      </c>
      <c r="N233" t="s">
        <v>37</v>
      </c>
      <c r="O233">
        <v>0</v>
      </c>
      <c r="P233">
        <v>0</v>
      </c>
      <c r="Q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 t="s">
        <v>36</v>
      </c>
      <c r="AC233" t="s">
        <v>43</v>
      </c>
      <c r="AD233" t="str">
        <f t="shared" si="6"/>
        <v>CP</v>
      </c>
      <c r="AE233" t="str">
        <f>_xlfn.XLOOKUP(D233,Mapping!A:A,Mapping!D:D,0,0)</f>
        <v>Bin</v>
      </c>
      <c r="AF233" t="str">
        <f t="shared" si="7"/>
        <v>OLD</v>
      </c>
    </row>
    <row r="234" spans="1:32" x14ac:dyDescent="0.2">
      <c r="A234" t="s">
        <v>1118</v>
      </c>
      <c r="B234" t="s">
        <v>39</v>
      </c>
      <c r="C234">
        <v>1012703262</v>
      </c>
      <c r="D234" t="s">
        <v>288</v>
      </c>
      <c r="E234" t="s">
        <v>31</v>
      </c>
      <c r="F234" s="1">
        <v>0.67291666666666672</v>
      </c>
      <c r="G234" t="s">
        <v>32</v>
      </c>
      <c r="H234" t="s">
        <v>33</v>
      </c>
      <c r="I234" t="s">
        <v>41</v>
      </c>
      <c r="J234" t="s">
        <v>58</v>
      </c>
      <c r="K234">
        <v>40</v>
      </c>
      <c r="L234">
        <v>0</v>
      </c>
      <c r="M234" t="s">
        <v>36</v>
      </c>
      <c r="N234" t="s">
        <v>37</v>
      </c>
      <c r="O234">
        <v>0</v>
      </c>
      <c r="P234">
        <v>0</v>
      </c>
      <c r="Q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 t="s">
        <v>36</v>
      </c>
      <c r="AC234" t="s">
        <v>43</v>
      </c>
      <c r="AD234" t="str">
        <f t="shared" si="6"/>
        <v>CP</v>
      </c>
      <c r="AE234" t="str">
        <f>_xlfn.XLOOKUP(D234,Mapping!A:A,Mapping!D:D,0,0)</f>
        <v>Bin</v>
      </c>
      <c r="AF234" t="str">
        <f t="shared" si="7"/>
        <v>OLD</v>
      </c>
    </row>
    <row r="235" spans="1:32" x14ac:dyDescent="0.2">
      <c r="A235" t="s">
        <v>1118</v>
      </c>
      <c r="B235" t="s">
        <v>39</v>
      </c>
      <c r="C235">
        <v>1012703292</v>
      </c>
      <c r="D235" t="s">
        <v>289</v>
      </c>
      <c r="E235" t="s">
        <v>31</v>
      </c>
      <c r="F235" s="1">
        <v>0.67291666666666672</v>
      </c>
      <c r="G235" t="s">
        <v>32</v>
      </c>
      <c r="H235" t="s">
        <v>33</v>
      </c>
      <c r="I235" t="s">
        <v>41</v>
      </c>
      <c r="J235" t="s">
        <v>58</v>
      </c>
      <c r="K235">
        <v>40</v>
      </c>
      <c r="L235">
        <v>0</v>
      </c>
      <c r="M235" t="s">
        <v>36</v>
      </c>
      <c r="N235" t="s">
        <v>37</v>
      </c>
      <c r="O235">
        <v>0</v>
      </c>
      <c r="P235">
        <v>0</v>
      </c>
      <c r="Q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 t="s">
        <v>36</v>
      </c>
      <c r="AC235" t="s">
        <v>43</v>
      </c>
      <c r="AD235" t="str">
        <f t="shared" si="6"/>
        <v>CP</v>
      </c>
      <c r="AE235" t="str">
        <f>_xlfn.XLOOKUP(D235,Mapping!A:A,Mapping!D:D,0,0)</f>
        <v>Bin</v>
      </c>
      <c r="AF235" t="str">
        <f t="shared" si="7"/>
        <v>OLD</v>
      </c>
    </row>
    <row r="236" spans="1:32" x14ac:dyDescent="0.2">
      <c r="A236" t="s">
        <v>1118</v>
      </c>
      <c r="B236" t="s">
        <v>39</v>
      </c>
      <c r="C236">
        <v>1012703302</v>
      </c>
      <c r="D236" t="s">
        <v>290</v>
      </c>
      <c r="E236" t="s">
        <v>31</v>
      </c>
      <c r="F236" s="1">
        <v>0.67291666666666672</v>
      </c>
      <c r="G236" t="s">
        <v>32</v>
      </c>
      <c r="H236" t="s">
        <v>33</v>
      </c>
      <c r="I236" t="s">
        <v>41</v>
      </c>
      <c r="J236" t="s">
        <v>58</v>
      </c>
      <c r="K236">
        <v>40</v>
      </c>
      <c r="L236">
        <v>0</v>
      </c>
      <c r="M236" t="s">
        <v>63</v>
      </c>
      <c r="N236">
        <v>150</v>
      </c>
      <c r="O236">
        <v>0</v>
      </c>
      <c r="P236">
        <v>0</v>
      </c>
      <c r="Q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 t="s">
        <v>36</v>
      </c>
      <c r="AC236" t="s">
        <v>43</v>
      </c>
      <c r="AD236" t="str">
        <f t="shared" si="6"/>
        <v>CP</v>
      </c>
      <c r="AE236" t="str">
        <f>_xlfn.XLOOKUP(D236,Mapping!A:A,Mapping!D:D,0,0)</f>
        <v>Bin</v>
      </c>
      <c r="AF236" t="str">
        <f t="shared" si="7"/>
        <v>OLD</v>
      </c>
    </row>
    <row r="237" spans="1:32" x14ac:dyDescent="0.2">
      <c r="A237" t="s">
        <v>1118</v>
      </c>
      <c r="B237" t="s">
        <v>39</v>
      </c>
      <c r="C237">
        <v>1012703312</v>
      </c>
      <c r="D237" t="s">
        <v>291</v>
      </c>
      <c r="E237" t="s">
        <v>31</v>
      </c>
      <c r="F237" s="1">
        <v>0.67291666666666672</v>
      </c>
      <c r="G237" t="s">
        <v>32</v>
      </c>
      <c r="H237" t="s">
        <v>33</v>
      </c>
      <c r="I237" t="s">
        <v>34</v>
      </c>
      <c r="J237" t="s">
        <v>124</v>
      </c>
      <c r="K237">
        <v>16</v>
      </c>
      <c r="L237">
        <v>0</v>
      </c>
      <c r="M237" t="s">
        <v>36</v>
      </c>
      <c r="N237" t="s">
        <v>37</v>
      </c>
      <c r="O237">
        <v>0</v>
      </c>
      <c r="P237">
        <v>0</v>
      </c>
      <c r="Q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 t="s">
        <v>36</v>
      </c>
      <c r="AC237" t="s">
        <v>119</v>
      </c>
      <c r="AD237" t="str">
        <f t="shared" si="6"/>
        <v>CP</v>
      </c>
      <c r="AE237" t="str">
        <f>_xlfn.XLOOKUP(D237,Mapping!A:A,Mapping!D:D,0,0)</f>
        <v>Archive</v>
      </c>
      <c r="AF237" t="str">
        <f t="shared" si="7"/>
        <v>OLD</v>
      </c>
    </row>
    <row r="238" spans="1:32" x14ac:dyDescent="0.2">
      <c r="A238" t="s">
        <v>1118</v>
      </c>
      <c r="B238" t="s">
        <v>39</v>
      </c>
      <c r="C238">
        <v>1012703332</v>
      </c>
      <c r="D238" t="s">
        <v>292</v>
      </c>
      <c r="E238" t="s">
        <v>31</v>
      </c>
      <c r="F238" s="1">
        <v>0.67291666666666672</v>
      </c>
      <c r="G238" t="s">
        <v>32</v>
      </c>
      <c r="H238" t="s">
        <v>33</v>
      </c>
      <c r="I238" t="s">
        <v>41</v>
      </c>
      <c r="J238" t="s">
        <v>62</v>
      </c>
      <c r="K238">
        <v>530</v>
      </c>
      <c r="L238">
        <v>0</v>
      </c>
      <c r="M238" t="s">
        <v>36</v>
      </c>
      <c r="N238" t="s">
        <v>37</v>
      </c>
      <c r="O238">
        <v>0</v>
      </c>
      <c r="P238">
        <v>0</v>
      </c>
      <c r="Q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 t="s">
        <v>36</v>
      </c>
      <c r="AC238" t="s">
        <v>43</v>
      </c>
      <c r="AD238" t="str">
        <f t="shared" si="6"/>
        <v>CP</v>
      </c>
      <c r="AE238" t="str">
        <f>_xlfn.XLOOKUP(D238,Mapping!A:A,Mapping!D:D,0,0)</f>
        <v>Bin</v>
      </c>
      <c r="AF238" t="str">
        <f t="shared" si="7"/>
        <v>OLD</v>
      </c>
    </row>
    <row r="239" spans="1:32" x14ac:dyDescent="0.2">
      <c r="A239" t="s">
        <v>1118</v>
      </c>
      <c r="B239" t="s">
        <v>39</v>
      </c>
      <c r="C239">
        <v>1012703342</v>
      </c>
      <c r="D239" t="s">
        <v>293</v>
      </c>
      <c r="E239" t="s">
        <v>31</v>
      </c>
      <c r="F239" s="1">
        <v>0.67291666666666672</v>
      </c>
      <c r="G239" t="s">
        <v>32</v>
      </c>
      <c r="H239" t="s">
        <v>33</v>
      </c>
      <c r="I239" t="s">
        <v>41</v>
      </c>
      <c r="J239" t="s">
        <v>62</v>
      </c>
      <c r="K239">
        <v>530</v>
      </c>
      <c r="L239">
        <v>0</v>
      </c>
      <c r="M239" t="s">
        <v>36</v>
      </c>
      <c r="N239" t="s">
        <v>37</v>
      </c>
      <c r="O239">
        <v>0</v>
      </c>
      <c r="P239">
        <v>0</v>
      </c>
      <c r="Q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 t="s">
        <v>36</v>
      </c>
      <c r="AC239" t="s">
        <v>43</v>
      </c>
      <c r="AD239" t="str">
        <f t="shared" si="6"/>
        <v>CP</v>
      </c>
      <c r="AE239" t="str">
        <f>_xlfn.XLOOKUP(D239,Mapping!A:A,Mapping!D:D,0,0)</f>
        <v>Bin</v>
      </c>
      <c r="AF239" t="str">
        <f t="shared" si="7"/>
        <v>OLD</v>
      </c>
    </row>
    <row r="240" spans="1:32" x14ac:dyDescent="0.2">
      <c r="A240" t="s">
        <v>1118</v>
      </c>
      <c r="B240" t="s">
        <v>39</v>
      </c>
      <c r="C240">
        <v>1012703352</v>
      </c>
      <c r="D240" t="s">
        <v>294</v>
      </c>
      <c r="E240" t="s">
        <v>31</v>
      </c>
      <c r="F240" s="1">
        <v>0.67291666666666672</v>
      </c>
      <c r="G240" t="s">
        <v>32</v>
      </c>
      <c r="H240" t="s">
        <v>33</v>
      </c>
      <c r="I240" t="s">
        <v>34</v>
      </c>
      <c r="J240" t="s">
        <v>84</v>
      </c>
      <c r="K240">
        <v>212</v>
      </c>
      <c r="L240">
        <v>0</v>
      </c>
      <c r="M240" t="s">
        <v>36</v>
      </c>
      <c r="N240" t="s">
        <v>37</v>
      </c>
      <c r="O240">
        <v>0</v>
      </c>
      <c r="P240">
        <v>0</v>
      </c>
      <c r="Q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 t="s">
        <v>36</v>
      </c>
      <c r="AC240" t="s">
        <v>43</v>
      </c>
      <c r="AD240" t="str">
        <f t="shared" si="6"/>
        <v>CP</v>
      </c>
      <c r="AE240" t="str">
        <f>_xlfn.XLOOKUP(D240,Mapping!A:A,Mapping!D:D,0,0)</f>
        <v>Bin</v>
      </c>
      <c r="AF240" t="str">
        <f t="shared" si="7"/>
        <v>OLD</v>
      </c>
    </row>
    <row r="241" spans="1:32" x14ac:dyDescent="0.2">
      <c r="A241" t="s">
        <v>1118</v>
      </c>
      <c r="B241" t="s">
        <v>39</v>
      </c>
      <c r="C241">
        <v>1012703362</v>
      </c>
      <c r="D241" t="s">
        <v>295</v>
      </c>
      <c r="E241" t="s">
        <v>31</v>
      </c>
      <c r="F241" s="1">
        <v>0.67291666666666672</v>
      </c>
      <c r="G241" t="s">
        <v>32</v>
      </c>
      <c r="H241" t="s">
        <v>33</v>
      </c>
      <c r="I241" t="s">
        <v>41</v>
      </c>
      <c r="J241" t="s">
        <v>62</v>
      </c>
      <c r="K241">
        <v>530</v>
      </c>
      <c r="L241">
        <v>0</v>
      </c>
      <c r="M241" t="s">
        <v>36</v>
      </c>
      <c r="N241" t="s">
        <v>37</v>
      </c>
      <c r="O241">
        <v>0</v>
      </c>
      <c r="P241">
        <v>0</v>
      </c>
      <c r="Q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 t="s">
        <v>36</v>
      </c>
      <c r="AC241" t="s">
        <v>43</v>
      </c>
      <c r="AD241" t="str">
        <f t="shared" si="6"/>
        <v>CP</v>
      </c>
      <c r="AE241" t="str">
        <f>_xlfn.XLOOKUP(D241,Mapping!A:A,Mapping!D:D,0,0)</f>
        <v>Bin</v>
      </c>
      <c r="AF241" t="str">
        <f t="shared" si="7"/>
        <v>OLD</v>
      </c>
    </row>
    <row r="242" spans="1:32" x14ac:dyDescent="0.2">
      <c r="A242" t="s">
        <v>1118</v>
      </c>
      <c r="B242" t="s">
        <v>39</v>
      </c>
      <c r="C242">
        <v>1012703372</v>
      </c>
      <c r="D242" t="s">
        <v>296</v>
      </c>
      <c r="E242" t="s">
        <v>31</v>
      </c>
      <c r="F242" s="1">
        <v>0.67291666666666672</v>
      </c>
      <c r="G242" t="s">
        <v>32</v>
      </c>
      <c r="H242" t="s">
        <v>33</v>
      </c>
      <c r="I242" t="s">
        <v>34</v>
      </c>
      <c r="J242" t="s">
        <v>84</v>
      </c>
      <c r="K242">
        <v>212</v>
      </c>
      <c r="L242">
        <v>0</v>
      </c>
      <c r="M242" t="s">
        <v>36</v>
      </c>
      <c r="N242" t="s">
        <v>37</v>
      </c>
      <c r="O242">
        <v>0</v>
      </c>
      <c r="P242">
        <v>0</v>
      </c>
      <c r="Q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 t="s">
        <v>36</v>
      </c>
      <c r="AC242" t="s">
        <v>43</v>
      </c>
      <c r="AD242" t="str">
        <f t="shared" si="6"/>
        <v>CP</v>
      </c>
      <c r="AE242" t="str">
        <f>_xlfn.XLOOKUP(D242,Mapping!A:A,Mapping!D:D,0,0)</f>
        <v>Bin</v>
      </c>
      <c r="AF242" t="str">
        <f t="shared" si="7"/>
        <v>OLD</v>
      </c>
    </row>
    <row r="243" spans="1:32" x14ac:dyDescent="0.2">
      <c r="A243" t="s">
        <v>1118</v>
      </c>
      <c r="B243" t="s">
        <v>39</v>
      </c>
      <c r="C243">
        <v>1012703382</v>
      </c>
      <c r="D243" t="s">
        <v>297</v>
      </c>
      <c r="E243" t="s">
        <v>31</v>
      </c>
      <c r="F243" s="1">
        <v>0.67291666666666672</v>
      </c>
      <c r="G243" t="s">
        <v>32</v>
      </c>
      <c r="H243" t="s">
        <v>33</v>
      </c>
      <c r="I243" t="s">
        <v>41</v>
      </c>
      <c r="J243" t="s">
        <v>62</v>
      </c>
      <c r="K243">
        <v>530</v>
      </c>
      <c r="L243">
        <v>0</v>
      </c>
      <c r="M243" t="s">
        <v>36</v>
      </c>
      <c r="N243" t="s">
        <v>37</v>
      </c>
      <c r="O243">
        <v>0</v>
      </c>
      <c r="P243">
        <v>0</v>
      </c>
      <c r="Q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 t="s">
        <v>36</v>
      </c>
      <c r="AC243" t="s">
        <v>43</v>
      </c>
      <c r="AD243" t="str">
        <f t="shared" si="6"/>
        <v>CP</v>
      </c>
      <c r="AE243" t="str">
        <f>_xlfn.XLOOKUP(D243,Mapping!A:A,Mapping!D:D,0,0)</f>
        <v>Bin</v>
      </c>
      <c r="AF243" t="str">
        <f t="shared" si="7"/>
        <v>OLD</v>
      </c>
    </row>
    <row r="244" spans="1:32" x14ac:dyDescent="0.2">
      <c r="A244" t="s">
        <v>1118</v>
      </c>
      <c r="B244" t="s">
        <v>39</v>
      </c>
      <c r="C244">
        <v>1012703392</v>
      </c>
      <c r="D244" t="s">
        <v>298</v>
      </c>
      <c r="E244" t="s">
        <v>31</v>
      </c>
      <c r="F244" s="1">
        <v>0.67291666666666672</v>
      </c>
      <c r="G244" t="s">
        <v>32</v>
      </c>
      <c r="H244" t="s">
        <v>33</v>
      </c>
      <c r="I244" t="s">
        <v>41</v>
      </c>
      <c r="J244" t="s">
        <v>62</v>
      </c>
      <c r="K244">
        <v>530</v>
      </c>
      <c r="L244">
        <v>0</v>
      </c>
      <c r="M244" t="s">
        <v>63</v>
      </c>
      <c r="N244">
        <v>150</v>
      </c>
      <c r="O244">
        <v>0</v>
      </c>
      <c r="P244">
        <v>0</v>
      </c>
      <c r="Q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 t="s">
        <v>36</v>
      </c>
      <c r="AC244" t="s">
        <v>43</v>
      </c>
      <c r="AD244" t="str">
        <f t="shared" si="6"/>
        <v>CP</v>
      </c>
      <c r="AE244" t="str">
        <f>_xlfn.XLOOKUP(D244,Mapping!A:A,Mapping!D:D,0,0)</f>
        <v>Bin</v>
      </c>
      <c r="AF244" t="str">
        <f t="shared" si="7"/>
        <v>OLD</v>
      </c>
    </row>
    <row r="245" spans="1:32" x14ac:dyDescent="0.2">
      <c r="A245" t="s">
        <v>1118</v>
      </c>
      <c r="B245" t="s">
        <v>39</v>
      </c>
      <c r="C245">
        <v>1012703402</v>
      </c>
      <c r="D245" t="s">
        <v>299</v>
      </c>
      <c r="E245" t="s">
        <v>31</v>
      </c>
      <c r="F245" s="1">
        <v>0.67291666666666672</v>
      </c>
      <c r="G245" t="s">
        <v>32</v>
      </c>
      <c r="H245" t="s">
        <v>33</v>
      </c>
      <c r="I245" t="s">
        <v>34</v>
      </c>
      <c r="J245" t="s">
        <v>84</v>
      </c>
      <c r="K245">
        <v>212</v>
      </c>
      <c r="L245">
        <v>0</v>
      </c>
      <c r="M245" t="s">
        <v>36</v>
      </c>
      <c r="N245" t="s">
        <v>37</v>
      </c>
      <c r="O245">
        <v>0</v>
      </c>
      <c r="P245">
        <v>0</v>
      </c>
      <c r="Q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 t="s">
        <v>36</v>
      </c>
      <c r="AC245" t="s">
        <v>43</v>
      </c>
      <c r="AD245" t="str">
        <f t="shared" si="6"/>
        <v>CP</v>
      </c>
      <c r="AE245" t="str">
        <f>_xlfn.XLOOKUP(D245,Mapping!A:A,Mapping!D:D,0,0)</f>
        <v>Bin</v>
      </c>
      <c r="AF245" t="str">
        <f t="shared" si="7"/>
        <v>OLD</v>
      </c>
    </row>
    <row r="246" spans="1:32" x14ac:dyDescent="0.2">
      <c r="A246" t="s">
        <v>1118</v>
      </c>
      <c r="B246" t="s">
        <v>39</v>
      </c>
      <c r="C246">
        <v>1012703412</v>
      </c>
      <c r="D246" t="s">
        <v>300</v>
      </c>
      <c r="E246" t="s">
        <v>31</v>
      </c>
      <c r="F246" s="1">
        <v>0.67291666666666672</v>
      </c>
      <c r="G246" t="s">
        <v>32</v>
      </c>
      <c r="H246" t="s">
        <v>33</v>
      </c>
      <c r="I246" t="s">
        <v>41</v>
      </c>
      <c r="J246" t="s">
        <v>62</v>
      </c>
      <c r="K246">
        <v>530</v>
      </c>
      <c r="L246">
        <v>0</v>
      </c>
      <c r="M246" t="s">
        <v>36</v>
      </c>
      <c r="N246" t="s">
        <v>37</v>
      </c>
      <c r="O246">
        <v>0</v>
      </c>
      <c r="P246">
        <v>0</v>
      </c>
      <c r="Q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 t="s">
        <v>36</v>
      </c>
      <c r="AC246" t="s">
        <v>43</v>
      </c>
      <c r="AD246" t="str">
        <f t="shared" si="6"/>
        <v>CP</v>
      </c>
      <c r="AE246" t="str">
        <f>_xlfn.XLOOKUP(D246,Mapping!A:A,Mapping!D:D,0,0)</f>
        <v>Bin</v>
      </c>
      <c r="AF246" t="str">
        <f t="shared" si="7"/>
        <v>OLD</v>
      </c>
    </row>
    <row r="247" spans="1:32" x14ac:dyDescent="0.2">
      <c r="A247" t="s">
        <v>1118</v>
      </c>
      <c r="B247" t="s">
        <v>39</v>
      </c>
      <c r="C247">
        <v>1012703422</v>
      </c>
      <c r="D247" t="s">
        <v>301</v>
      </c>
      <c r="E247" t="s">
        <v>31</v>
      </c>
      <c r="F247" s="1">
        <v>0.67291666666666672</v>
      </c>
      <c r="G247" t="s">
        <v>32</v>
      </c>
      <c r="H247" t="s">
        <v>33</v>
      </c>
      <c r="I247" t="s">
        <v>41</v>
      </c>
      <c r="J247" t="s">
        <v>62</v>
      </c>
      <c r="K247">
        <v>280</v>
      </c>
      <c r="L247">
        <v>0</v>
      </c>
      <c r="M247" t="s">
        <v>63</v>
      </c>
      <c r="N247">
        <v>150</v>
      </c>
      <c r="O247">
        <v>0</v>
      </c>
      <c r="P247">
        <v>0</v>
      </c>
      <c r="Q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 t="s">
        <v>36</v>
      </c>
      <c r="AC247" t="s">
        <v>43</v>
      </c>
      <c r="AD247" t="str">
        <f t="shared" si="6"/>
        <v>CP</v>
      </c>
      <c r="AE247" t="str">
        <f>_xlfn.XLOOKUP(D247,Mapping!A:A,Mapping!D:D,0,0)</f>
        <v>Bin</v>
      </c>
      <c r="AF247" t="str">
        <f t="shared" si="7"/>
        <v>OLD</v>
      </c>
    </row>
    <row r="248" spans="1:32" x14ac:dyDescent="0.2">
      <c r="A248" t="s">
        <v>1118</v>
      </c>
      <c r="B248" t="s">
        <v>39</v>
      </c>
      <c r="C248">
        <v>1012703432</v>
      </c>
      <c r="D248" t="s">
        <v>302</v>
      </c>
      <c r="E248" t="s">
        <v>31</v>
      </c>
      <c r="F248" s="1">
        <v>0.67291666666666672</v>
      </c>
      <c r="G248" t="s">
        <v>32</v>
      </c>
      <c r="H248" t="s">
        <v>33</v>
      </c>
      <c r="I248" t="s">
        <v>34</v>
      </c>
      <c r="J248" t="s">
        <v>84</v>
      </c>
      <c r="K248">
        <v>404</v>
      </c>
      <c r="L248">
        <v>0</v>
      </c>
      <c r="M248" t="s">
        <v>36</v>
      </c>
      <c r="N248" t="s">
        <v>37</v>
      </c>
      <c r="O248">
        <v>0</v>
      </c>
      <c r="P248">
        <v>0</v>
      </c>
      <c r="Q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 t="s">
        <v>36</v>
      </c>
      <c r="AC248" t="s">
        <v>303</v>
      </c>
      <c r="AD248" t="str">
        <f t="shared" si="6"/>
        <v>CP</v>
      </c>
      <c r="AE248" t="str">
        <f>_xlfn.XLOOKUP(D248,Mapping!A:A,Mapping!D:D,0,0)</f>
        <v>Tests</v>
      </c>
      <c r="AF248" t="str">
        <f t="shared" si="7"/>
        <v>OLD</v>
      </c>
    </row>
    <row r="249" spans="1:32" x14ac:dyDescent="0.2">
      <c r="A249" t="s">
        <v>1118</v>
      </c>
      <c r="B249" t="s">
        <v>39</v>
      </c>
      <c r="C249">
        <v>1012703442</v>
      </c>
      <c r="D249" t="s">
        <v>304</v>
      </c>
      <c r="E249" t="s">
        <v>31</v>
      </c>
      <c r="F249" s="1">
        <v>0.67291666666666672</v>
      </c>
      <c r="G249" t="s">
        <v>32</v>
      </c>
      <c r="H249" t="s">
        <v>33</v>
      </c>
      <c r="I249" t="s">
        <v>41</v>
      </c>
      <c r="J249" t="s">
        <v>62</v>
      </c>
      <c r="K249">
        <v>530</v>
      </c>
      <c r="L249">
        <v>0</v>
      </c>
      <c r="M249" t="s">
        <v>63</v>
      </c>
      <c r="N249">
        <v>150</v>
      </c>
      <c r="O249">
        <v>0</v>
      </c>
      <c r="P249">
        <v>0</v>
      </c>
      <c r="Q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 t="s">
        <v>36</v>
      </c>
      <c r="AC249" t="s">
        <v>43</v>
      </c>
      <c r="AD249" t="str">
        <f t="shared" si="6"/>
        <v>CP</v>
      </c>
      <c r="AE249" t="str">
        <f>_xlfn.XLOOKUP(D249,Mapping!A:A,Mapping!D:D,0,0)</f>
        <v>Bin</v>
      </c>
      <c r="AF249" t="str">
        <f t="shared" si="7"/>
        <v>OLD</v>
      </c>
    </row>
    <row r="250" spans="1:32" x14ac:dyDescent="0.2">
      <c r="A250" t="s">
        <v>1118</v>
      </c>
      <c r="B250" t="s">
        <v>39</v>
      </c>
      <c r="C250">
        <v>1012703452</v>
      </c>
      <c r="D250" t="s">
        <v>305</v>
      </c>
      <c r="E250" t="s">
        <v>31</v>
      </c>
      <c r="F250" s="1">
        <v>0.67291666666666672</v>
      </c>
      <c r="G250" t="s">
        <v>32</v>
      </c>
      <c r="H250" t="s">
        <v>33</v>
      </c>
      <c r="I250" t="s">
        <v>41</v>
      </c>
      <c r="J250" t="s">
        <v>62</v>
      </c>
      <c r="K250">
        <v>530</v>
      </c>
      <c r="L250">
        <v>0</v>
      </c>
      <c r="M250" t="s">
        <v>63</v>
      </c>
      <c r="N250">
        <v>150</v>
      </c>
      <c r="O250">
        <v>0</v>
      </c>
      <c r="P250">
        <v>0</v>
      </c>
      <c r="Q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 t="s">
        <v>36</v>
      </c>
      <c r="AC250" t="s">
        <v>43</v>
      </c>
      <c r="AD250" t="str">
        <f t="shared" si="6"/>
        <v>CP</v>
      </c>
      <c r="AE250" t="str">
        <f>_xlfn.XLOOKUP(D250,Mapping!A:A,Mapping!D:D,0,0)</f>
        <v>Bin</v>
      </c>
      <c r="AF250" t="str">
        <f t="shared" si="7"/>
        <v>OLD</v>
      </c>
    </row>
    <row r="251" spans="1:32" x14ac:dyDescent="0.2">
      <c r="A251" t="s">
        <v>1118</v>
      </c>
      <c r="B251" t="s">
        <v>39</v>
      </c>
      <c r="C251">
        <v>1012703462</v>
      </c>
      <c r="D251" t="s">
        <v>306</v>
      </c>
      <c r="E251" t="s">
        <v>31</v>
      </c>
      <c r="F251" s="1">
        <v>0.67291666666666672</v>
      </c>
      <c r="G251" t="s">
        <v>32</v>
      </c>
      <c r="H251" t="s">
        <v>33</v>
      </c>
      <c r="I251" t="s">
        <v>34</v>
      </c>
      <c r="J251" t="s">
        <v>84</v>
      </c>
      <c r="K251">
        <v>212</v>
      </c>
      <c r="L251">
        <v>0</v>
      </c>
      <c r="M251" t="s">
        <v>36</v>
      </c>
      <c r="N251" t="s">
        <v>37</v>
      </c>
      <c r="O251">
        <v>0</v>
      </c>
      <c r="P251">
        <v>0</v>
      </c>
      <c r="Q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 t="s">
        <v>36</v>
      </c>
      <c r="AC251" t="s">
        <v>119</v>
      </c>
      <c r="AD251" t="str">
        <f t="shared" si="6"/>
        <v>CP</v>
      </c>
      <c r="AE251" t="str">
        <f>_xlfn.XLOOKUP(D251,Mapping!A:A,Mapping!D:D,0,0)</f>
        <v>Archive</v>
      </c>
      <c r="AF251" t="str">
        <f t="shared" si="7"/>
        <v>OLD</v>
      </c>
    </row>
    <row r="252" spans="1:32" x14ac:dyDescent="0.2">
      <c r="A252" t="s">
        <v>1118</v>
      </c>
      <c r="B252" t="s">
        <v>39</v>
      </c>
      <c r="C252">
        <v>1012703472</v>
      </c>
      <c r="D252" t="s">
        <v>307</v>
      </c>
      <c r="E252" t="s">
        <v>31</v>
      </c>
      <c r="F252" s="1">
        <v>0.67291666666666672</v>
      </c>
      <c r="G252" t="s">
        <v>32</v>
      </c>
      <c r="H252" t="s">
        <v>33</v>
      </c>
      <c r="I252" t="s">
        <v>41</v>
      </c>
      <c r="J252" t="s">
        <v>62</v>
      </c>
      <c r="K252">
        <v>280</v>
      </c>
      <c r="L252">
        <v>0</v>
      </c>
      <c r="M252" t="s">
        <v>63</v>
      </c>
      <c r="N252">
        <v>150</v>
      </c>
      <c r="O252">
        <v>0</v>
      </c>
      <c r="P252">
        <v>0</v>
      </c>
      <c r="Q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 t="s">
        <v>36</v>
      </c>
      <c r="AC252" t="s">
        <v>43</v>
      </c>
      <c r="AD252" t="str">
        <f t="shared" si="6"/>
        <v>CP</v>
      </c>
      <c r="AE252" t="str">
        <f>_xlfn.XLOOKUP(D252,Mapping!A:A,Mapping!D:D,0,0)</f>
        <v>Bin</v>
      </c>
      <c r="AF252" t="str">
        <f t="shared" si="7"/>
        <v>OLD</v>
      </c>
    </row>
    <row r="253" spans="1:32" x14ac:dyDescent="0.2">
      <c r="A253" t="s">
        <v>1118</v>
      </c>
      <c r="B253" t="s">
        <v>39</v>
      </c>
      <c r="C253">
        <v>1012703482</v>
      </c>
      <c r="D253" t="s">
        <v>308</v>
      </c>
      <c r="E253" t="s">
        <v>31</v>
      </c>
      <c r="F253" s="1">
        <v>0.67291666666666672</v>
      </c>
      <c r="G253" t="s">
        <v>32</v>
      </c>
      <c r="H253" t="s">
        <v>33</v>
      </c>
      <c r="I253" t="s">
        <v>41</v>
      </c>
      <c r="J253" t="s">
        <v>62</v>
      </c>
      <c r="K253">
        <v>530</v>
      </c>
      <c r="L253">
        <v>0</v>
      </c>
      <c r="M253" t="s">
        <v>36</v>
      </c>
      <c r="N253" t="s">
        <v>37</v>
      </c>
      <c r="O253">
        <v>0</v>
      </c>
      <c r="P253">
        <v>0</v>
      </c>
      <c r="Q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 t="s">
        <v>36</v>
      </c>
      <c r="AC253" t="s">
        <v>43</v>
      </c>
      <c r="AD253" t="str">
        <f t="shared" si="6"/>
        <v>CP</v>
      </c>
      <c r="AE253" t="str">
        <f>_xlfn.XLOOKUP(D253,Mapping!A:A,Mapping!D:D,0,0)</f>
        <v>Bin</v>
      </c>
      <c r="AF253" t="str">
        <f t="shared" si="7"/>
        <v>OLD</v>
      </c>
    </row>
    <row r="254" spans="1:32" x14ac:dyDescent="0.2">
      <c r="A254" t="s">
        <v>1118</v>
      </c>
      <c r="B254" t="s">
        <v>39</v>
      </c>
      <c r="C254">
        <v>1012703492</v>
      </c>
      <c r="D254" t="s">
        <v>309</v>
      </c>
      <c r="E254" t="s">
        <v>31</v>
      </c>
      <c r="F254" s="1">
        <v>0.67291666666666672</v>
      </c>
      <c r="G254" t="s">
        <v>32</v>
      </c>
      <c r="H254" t="s">
        <v>33</v>
      </c>
      <c r="I254" t="s">
        <v>34</v>
      </c>
      <c r="J254" t="s">
        <v>84</v>
      </c>
      <c r="K254">
        <v>112</v>
      </c>
      <c r="L254">
        <v>0</v>
      </c>
      <c r="M254" t="s">
        <v>36</v>
      </c>
      <c r="N254" t="s">
        <v>37</v>
      </c>
      <c r="O254">
        <v>0</v>
      </c>
      <c r="P254">
        <v>0</v>
      </c>
      <c r="Q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 t="s">
        <v>36</v>
      </c>
      <c r="AC254" t="s">
        <v>43</v>
      </c>
      <c r="AD254" t="str">
        <f t="shared" si="6"/>
        <v>CP</v>
      </c>
      <c r="AE254" t="str">
        <f>_xlfn.XLOOKUP(D254,Mapping!A:A,Mapping!D:D,0,0)</f>
        <v>Bin</v>
      </c>
      <c r="AF254" t="str">
        <f t="shared" si="7"/>
        <v>OLD</v>
      </c>
    </row>
    <row r="255" spans="1:32" x14ac:dyDescent="0.2">
      <c r="A255" t="s">
        <v>1118</v>
      </c>
      <c r="B255" t="s">
        <v>39</v>
      </c>
      <c r="C255">
        <v>1012703502</v>
      </c>
      <c r="D255" t="s">
        <v>310</v>
      </c>
      <c r="E255" t="s">
        <v>31</v>
      </c>
      <c r="F255" s="1">
        <v>0.67291666666666672</v>
      </c>
      <c r="G255" t="s">
        <v>32</v>
      </c>
      <c r="H255" t="s">
        <v>33</v>
      </c>
      <c r="I255" t="s">
        <v>41</v>
      </c>
      <c r="J255" t="s">
        <v>62</v>
      </c>
      <c r="K255">
        <v>530</v>
      </c>
      <c r="L255">
        <v>0</v>
      </c>
      <c r="M255" t="s">
        <v>63</v>
      </c>
      <c r="N255">
        <v>150</v>
      </c>
      <c r="O255">
        <v>0</v>
      </c>
      <c r="P255">
        <v>0</v>
      </c>
      <c r="Q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 t="s">
        <v>36</v>
      </c>
      <c r="AC255" t="s">
        <v>43</v>
      </c>
      <c r="AD255" t="str">
        <f t="shared" si="6"/>
        <v>CP</v>
      </c>
      <c r="AE255" t="str">
        <f>_xlfn.XLOOKUP(D255,Mapping!A:A,Mapping!D:D,0,0)</f>
        <v>Bin</v>
      </c>
      <c r="AF255" t="str">
        <f t="shared" si="7"/>
        <v>OLD</v>
      </c>
    </row>
    <row r="256" spans="1:32" x14ac:dyDescent="0.2">
      <c r="A256" t="s">
        <v>1118</v>
      </c>
      <c r="B256" t="s">
        <v>39</v>
      </c>
      <c r="C256">
        <v>1012703512</v>
      </c>
      <c r="D256" t="s">
        <v>311</v>
      </c>
      <c r="E256" t="s">
        <v>31</v>
      </c>
      <c r="F256" s="1">
        <v>0.67291666666666672</v>
      </c>
      <c r="G256" t="s">
        <v>32</v>
      </c>
      <c r="H256" t="s">
        <v>33</v>
      </c>
      <c r="I256" t="s">
        <v>41</v>
      </c>
      <c r="J256" t="s">
        <v>62</v>
      </c>
      <c r="K256">
        <v>530</v>
      </c>
      <c r="L256">
        <v>0</v>
      </c>
      <c r="M256" t="s">
        <v>36</v>
      </c>
      <c r="N256" t="s">
        <v>37</v>
      </c>
      <c r="O256">
        <v>0</v>
      </c>
      <c r="P256">
        <v>0</v>
      </c>
      <c r="Q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 t="s">
        <v>36</v>
      </c>
      <c r="AC256" t="s">
        <v>43</v>
      </c>
      <c r="AD256" t="str">
        <f t="shared" si="6"/>
        <v>CP</v>
      </c>
      <c r="AE256" t="str">
        <f>_xlfn.XLOOKUP(D256,Mapping!A:A,Mapping!D:D,0,0)</f>
        <v>Bin</v>
      </c>
      <c r="AF256" t="str">
        <f t="shared" si="7"/>
        <v>OLD</v>
      </c>
    </row>
    <row r="257" spans="1:32" x14ac:dyDescent="0.2">
      <c r="A257" t="s">
        <v>1118</v>
      </c>
      <c r="B257" t="s">
        <v>39</v>
      </c>
      <c r="C257">
        <v>1012703522</v>
      </c>
      <c r="D257" t="s">
        <v>312</v>
      </c>
      <c r="E257" t="s">
        <v>31</v>
      </c>
      <c r="F257" s="1">
        <v>0.67291666666666672</v>
      </c>
      <c r="G257" t="s">
        <v>32</v>
      </c>
      <c r="H257" t="s">
        <v>33</v>
      </c>
      <c r="I257" t="s">
        <v>34</v>
      </c>
      <c r="J257" t="s">
        <v>84</v>
      </c>
      <c r="K257">
        <v>404</v>
      </c>
      <c r="L257">
        <v>0</v>
      </c>
      <c r="M257" t="s">
        <v>36</v>
      </c>
      <c r="N257" t="s">
        <v>37</v>
      </c>
      <c r="O257">
        <v>0</v>
      </c>
      <c r="P257">
        <v>0</v>
      </c>
      <c r="Q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 t="s">
        <v>36</v>
      </c>
      <c r="AC257" t="s">
        <v>43</v>
      </c>
      <c r="AD257" t="str">
        <f t="shared" si="6"/>
        <v>CP</v>
      </c>
      <c r="AE257" t="str">
        <f>_xlfn.XLOOKUP(D257,Mapping!A:A,Mapping!D:D,0,0)</f>
        <v>Bin</v>
      </c>
      <c r="AF257" t="str">
        <f t="shared" si="7"/>
        <v>OLD</v>
      </c>
    </row>
    <row r="258" spans="1:32" x14ac:dyDescent="0.2">
      <c r="A258" t="s">
        <v>1118</v>
      </c>
      <c r="B258" t="s">
        <v>39</v>
      </c>
      <c r="C258">
        <v>1012703532</v>
      </c>
      <c r="D258" t="s">
        <v>313</v>
      </c>
      <c r="E258" t="s">
        <v>31</v>
      </c>
      <c r="F258" s="1">
        <v>0.67291666666666672</v>
      </c>
      <c r="G258" t="s">
        <v>32</v>
      </c>
      <c r="H258" t="s">
        <v>33</v>
      </c>
      <c r="I258" t="s">
        <v>41</v>
      </c>
      <c r="J258" t="s">
        <v>62</v>
      </c>
      <c r="K258">
        <v>530</v>
      </c>
      <c r="L258">
        <v>0</v>
      </c>
      <c r="M258" t="s">
        <v>36</v>
      </c>
      <c r="N258" t="s">
        <v>37</v>
      </c>
      <c r="O258">
        <v>0</v>
      </c>
      <c r="P258">
        <v>0</v>
      </c>
      <c r="Q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 t="s">
        <v>36</v>
      </c>
      <c r="AC258" t="s">
        <v>43</v>
      </c>
      <c r="AD258" t="str">
        <f t="shared" si="6"/>
        <v>CP</v>
      </c>
      <c r="AE258" t="str">
        <f>_xlfn.XLOOKUP(D258,Mapping!A:A,Mapping!D:D,0,0)</f>
        <v>Bin</v>
      </c>
      <c r="AF258" t="str">
        <f t="shared" si="7"/>
        <v>OLD</v>
      </c>
    </row>
    <row r="259" spans="1:32" x14ac:dyDescent="0.2">
      <c r="A259" t="s">
        <v>1118</v>
      </c>
      <c r="B259" t="s">
        <v>39</v>
      </c>
      <c r="C259">
        <v>1012703542</v>
      </c>
      <c r="D259" t="s">
        <v>314</v>
      </c>
      <c r="E259" t="s">
        <v>31</v>
      </c>
      <c r="F259" s="1">
        <v>0.67291666666666672</v>
      </c>
      <c r="G259" t="s">
        <v>32</v>
      </c>
      <c r="H259" t="s">
        <v>33</v>
      </c>
      <c r="I259" t="s">
        <v>41</v>
      </c>
      <c r="J259" t="s">
        <v>62</v>
      </c>
      <c r="K259">
        <v>530</v>
      </c>
      <c r="L259">
        <v>0</v>
      </c>
      <c r="M259" t="s">
        <v>36</v>
      </c>
      <c r="N259" t="s">
        <v>37</v>
      </c>
      <c r="O259">
        <v>0</v>
      </c>
      <c r="P259">
        <v>0</v>
      </c>
      <c r="Q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 t="s">
        <v>36</v>
      </c>
      <c r="AC259" t="s">
        <v>43</v>
      </c>
      <c r="AD259" t="str">
        <f t="shared" ref="AD259:AD322" si="8">LEFT(D259,2)</f>
        <v>CP</v>
      </c>
      <c r="AE259" t="str">
        <f>_xlfn.XLOOKUP(D259,Mapping!A:A,Mapping!D:D,0,0)</f>
        <v>Bin</v>
      </c>
      <c r="AF259" t="str">
        <f t="shared" ref="AF259:AF322" si="9">IFERROR(IF(SEARCH("_TJ",D259)&gt;0,"TJ",NA()),IFERROR(IF(SEARCH("_JB",D259)&gt;0,"JB",NA()),"OLD"))</f>
        <v>OLD</v>
      </c>
    </row>
    <row r="260" spans="1:32" x14ac:dyDescent="0.2">
      <c r="A260" t="s">
        <v>1118</v>
      </c>
      <c r="B260" t="s">
        <v>39</v>
      </c>
      <c r="C260">
        <v>1012703552</v>
      </c>
      <c r="D260" t="s">
        <v>315</v>
      </c>
      <c r="E260" t="s">
        <v>31</v>
      </c>
      <c r="F260" s="1">
        <v>0.67291666666666672</v>
      </c>
      <c r="G260" t="s">
        <v>32</v>
      </c>
      <c r="H260" t="s">
        <v>33</v>
      </c>
      <c r="I260" t="s">
        <v>34</v>
      </c>
      <c r="J260" t="s">
        <v>84</v>
      </c>
      <c r="K260">
        <v>112</v>
      </c>
      <c r="L260">
        <v>0</v>
      </c>
      <c r="M260" t="s">
        <v>36</v>
      </c>
      <c r="N260" t="s">
        <v>37</v>
      </c>
      <c r="O260">
        <v>0</v>
      </c>
      <c r="P260">
        <v>0</v>
      </c>
      <c r="Q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 t="s">
        <v>36</v>
      </c>
      <c r="AC260" t="s">
        <v>43</v>
      </c>
      <c r="AD260" t="str">
        <f t="shared" si="8"/>
        <v>CP</v>
      </c>
      <c r="AE260" t="str">
        <f>_xlfn.XLOOKUP(D260,Mapping!A:A,Mapping!D:D,0,0)</f>
        <v>Bin</v>
      </c>
      <c r="AF260" t="str">
        <f t="shared" si="9"/>
        <v>OLD</v>
      </c>
    </row>
    <row r="261" spans="1:32" x14ac:dyDescent="0.2">
      <c r="A261" t="s">
        <v>1118</v>
      </c>
      <c r="B261" t="s">
        <v>39</v>
      </c>
      <c r="C261">
        <v>1012703562</v>
      </c>
      <c r="D261" t="s">
        <v>316</v>
      </c>
      <c r="E261" t="s">
        <v>31</v>
      </c>
      <c r="F261" s="1">
        <v>0.67291666666666672</v>
      </c>
      <c r="G261" t="s">
        <v>32</v>
      </c>
      <c r="H261" t="s">
        <v>33</v>
      </c>
      <c r="I261" t="s">
        <v>41</v>
      </c>
      <c r="J261" t="s">
        <v>62</v>
      </c>
      <c r="K261">
        <v>530</v>
      </c>
      <c r="L261">
        <v>0</v>
      </c>
      <c r="M261" t="s">
        <v>36</v>
      </c>
      <c r="N261" t="s">
        <v>37</v>
      </c>
      <c r="O261">
        <v>0</v>
      </c>
      <c r="P261">
        <v>0</v>
      </c>
      <c r="Q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 t="s">
        <v>36</v>
      </c>
      <c r="AC261" t="s">
        <v>43</v>
      </c>
      <c r="AD261" t="str">
        <f t="shared" si="8"/>
        <v>CP</v>
      </c>
      <c r="AE261" t="str">
        <f>_xlfn.XLOOKUP(D261,Mapping!A:A,Mapping!D:D,0,0)</f>
        <v>Bin</v>
      </c>
      <c r="AF261" t="str">
        <f t="shared" si="9"/>
        <v>OLD</v>
      </c>
    </row>
    <row r="262" spans="1:32" x14ac:dyDescent="0.2">
      <c r="A262" t="s">
        <v>1118</v>
      </c>
      <c r="B262" t="s">
        <v>39</v>
      </c>
      <c r="C262">
        <v>1012703572</v>
      </c>
      <c r="D262" t="s">
        <v>317</v>
      </c>
      <c r="E262" t="s">
        <v>31</v>
      </c>
      <c r="F262" s="1">
        <v>0.67291666666666672</v>
      </c>
      <c r="G262" t="s">
        <v>32</v>
      </c>
      <c r="H262" t="s">
        <v>33</v>
      </c>
      <c r="I262" t="s">
        <v>41</v>
      </c>
      <c r="J262" t="s">
        <v>62</v>
      </c>
      <c r="K262">
        <v>530</v>
      </c>
      <c r="L262">
        <v>0</v>
      </c>
      <c r="M262" t="s">
        <v>36</v>
      </c>
      <c r="N262" t="s">
        <v>37</v>
      </c>
      <c r="O262">
        <v>0</v>
      </c>
      <c r="P262">
        <v>0</v>
      </c>
      <c r="Q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 t="s">
        <v>36</v>
      </c>
      <c r="AC262" t="s">
        <v>43</v>
      </c>
      <c r="AD262" t="str">
        <f t="shared" si="8"/>
        <v>CP</v>
      </c>
      <c r="AE262" t="str">
        <f>_xlfn.XLOOKUP(D262,Mapping!A:A,Mapping!D:D,0,0)</f>
        <v>Bin</v>
      </c>
      <c r="AF262" t="str">
        <f t="shared" si="9"/>
        <v>OLD</v>
      </c>
    </row>
    <row r="263" spans="1:32" x14ac:dyDescent="0.2">
      <c r="A263" t="s">
        <v>1118</v>
      </c>
      <c r="B263" t="s">
        <v>39</v>
      </c>
      <c r="C263">
        <v>1012703582</v>
      </c>
      <c r="D263" t="s">
        <v>318</v>
      </c>
      <c r="E263" t="s">
        <v>31</v>
      </c>
      <c r="F263" s="1">
        <v>0.67291666666666672</v>
      </c>
      <c r="G263" t="s">
        <v>32</v>
      </c>
      <c r="H263" t="s">
        <v>33</v>
      </c>
      <c r="I263" t="s">
        <v>34</v>
      </c>
      <c r="J263" t="s">
        <v>84</v>
      </c>
      <c r="K263">
        <v>212</v>
      </c>
      <c r="L263">
        <v>0</v>
      </c>
      <c r="M263" t="s">
        <v>36</v>
      </c>
      <c r="N263" t="s">
        <v>37</v>
      </c>
      <c r="O263">
        <v>0</v>
      </c>
      <c r="P263">
        <v>0</v>
      </c>
      <c r="Q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 t="s">
        <v>36</v>
      </c>
      <c r="AC263" t="s">
        <v>43</v>
      </c>
      <c r="AD263" t="str">
        <f t="shared" si="8"/>
        <v>CP</v>
      </c>
      <c r="AE263" t="str">
        <f>_xlfn.XLOOKUP(D263,Mapping!A:A,Mapping!D:D,0,0)</f>
        <v>Bin</v>
      </c>
      <c r="AF263" t="str">
        <f t="shared" si="9"/>
        <v>OLD</v>
      </c>
    </row>
    <row r="264" spans="1:32" x14ac:dyDescent="0.2">
      <c r="A264" t="s">
        <v>1118</v>
      </c>
      <c r="B264" t="s">
        <v>39</v>
      </c>
      <c r="C264">
        <v>1012703592</v>
      </c>
      <c r="D264" t="s">
        <v>319</v>
      </c>
      <c r="E264" t="s">
        <v>31</v>
      </c>
      <c r="F264" s="1">
        <v>0.67291666666666672</v>
      </c>
      <c r="G264" t="s">
        <v>32</v>
      </c>
      <c r="H264" t="s">
        <v>33</v>
      </c>
      <c r="I264" t="s">
        <v>41</v>
      </c>
      <c r="J264" t="s">
        <v>62</v>
      </c>
      <c r="K264">
        <v>530</v>
      </c>
      <c r="L264">
        <v>0</v>
      </c>
      <c r="M264" t="s">
        <v>36</v>
      </c>
      <c r="N264" t="s">
        <v>37</v>
      </c>
      <c r="O264">
        <v>0</v>
      </c>
      <c r="P264">
        <v>0</v>
      </c>
      <c r="Q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 t="s">
        <v>36</v>
      </c>
      <c r="AC264" t="s">
        <v>43</v>
      </c>
      <c r="AD264" t="str">
        <f t="shared" si="8"/>
        <v>CP</v>
      </c>
      <c r="AE264" t="str">
        <f>_xlfn.XLOOKUP(D264,Mapping!A:A,Mapping!D:D,0,0)</f>
        <v>Bin</v>
      </c>
      <c r="AF264" t="str">
        <f t="shared" si="9"/>
        <v>OLD</v>
      </c>
    </row>
    <row r="265" spans="1:32" x14ac:dyDescent="0.2">
      <c r="A265" t="s">
        <v>1118</v>
      </c>
      <c r="B265" t="s">
        <v>39</v>
      </c>
      <c r="C265">
        <v>1012703602</v>
      </c>
      <c r="D265" t="s">
        <v>320</v>
      </c>
      <c r="E265" t="s">
        <v>31</v>
      </c>
      <c r="F265" s="1">
        <v>0.67291666666666672</v>
      </c>
      <c r="G265" t="s">
        <v>32</v>
      </c>
      <c r="H265" t="s">
        <v>33</v>
      </c>
      <c r="I265" t="s">
        <v>41</v>
      </c>
      <c r="J265" t="s">
        <v>62</v>
      </c>
      <c r="K265">
        <v>530</v>
      </c>
      <c r="L265">
        <v>0</v>
      </c>
      <c r="M265" t="s">
        <v>36</v>
      </c>
      <c r="N265" t="s">
        <v>37</v>
      </c>
      <c r="O265">
        <v>0</v>
      </c>
      <c r="P265">
        <v>0</v>
      </c>
      <c r="Q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 t="s">
        <v>36</v>
      </c>
      <c r="AC265" t="s">
        <v>43</v>
      </c>
      <c r="AD265" t="str">
        <f t="shared" si="8"/>
        <v>CP</v>
      </c>
      <c r="AE265" t="str">
        <f>_xlfn.XLOOKUP(D265,Mapping!A:A,Mapping!D:D,0,0)</f>
        <v>Bin</v>
      </c>
      <c r="AF265" t="str">
        <f t="shared" si="9"/>
        <v>OLD</v>
      </c>
    </row>
    <row r="266" spans="1:32" x14ac:dyDescent="0.2">
      <c r="A266" t="s">
        <v>1118</v>
      </c>
      <c r="B266" t="s">
        <v>39</v>
      </c>
      <c r="C266">
        <v>1012703612</v>
      </c>
      <c r="D266" t="s">
        <v>321</v>
      </c>
      <c r="E266" t="s">
        <v>31</v>
      </c>
      <c r="F266" s="1">
        <v>0.67291666666666672</v>
      </c>
      <c r="G266" t="s">
        <v>32</v>
      </c>
      <c r="H266" t="s">
        <v>33</v>
      </c>
      <c r="I266" t="s">
        <v>34</v>
      </c>
      <c r="J266" t="s">
        <v>84</v>
      </c>
      <c r="K266">
        <v>212</v>
      </c>
      <c r="L266">
        <v>0</v>
      </c>
      <c r="M266" t="s">
        <v>63</v>
      </c>
      <c r="N266">
        <v>150</v>
      </c>
      <c r="O266">
        <v>0</v>
      </c>
      <c r="P266">
        <v>0</v>
      </c>
      <c r="Q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 t="s">
        <v>36</v>
      </c>
      <c r="AC266" t="s">
        <v>43</v>
      </c>
      <c r="AD266" t="str">
        <f t="shared" si="8"/>
        <v>CP</v>
      </c>
      <c r="AE266" t="str">
        <f>_xlfn.XLOOKUP(D266,Mapping!A:A,Mapping!D:D,0,0)</f>
        <v>Bin</v>
      </c>
      <c r="AF266" t="str">
        <f t="shared" si="9"/>
        <v>OLD</v>
      </c>
    </row>
    <row r="267" spans="1:32" x14ac:dyDescent="0.2">
      <c r="A267" t="s">
        <v>1118</v>
      </c>
      <c r="B267" t="s">
        <v>39</v>
      </c>
      <c r="C267">
        <v>1012703622</v>
      </c>
      <c r="D267" t="s">
        <v>322</v>
      </c>
      <c r="E267" t="s">
        <v>31</v>
      </c>
      <c r="F267" s="1">
        <v>0.67291666666666672</v>
      </c>
      <c r="G267" t="s">
        <v>32</v>
      </c>
      <c r="H267" t="s">
        <v>33</v>
      </c>
      <c r="I267" t="s">
        <v>41</v>
      </c>
      <c r="J267" t="s">
        <v>62</v>
      </c>
      <c r="K267">
        <v>280</v>
      </c>
      <c r="L267">
        <v>0</v>
      </c>
      <c r="M267" t="s">
        <v>36</v>
      </c>
      <c r="N267" t="s">
        <v>37</v>
      </c>
      <c r="O267">
        <v>0</v>
      </c>
      <c r="P267">
        <v>0</v>
      </c>
      <c r="Q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 t="s">
        <v>36</v>
      </c>
      <c r="AC267" t="s">
        <v>43</v>
      </c>
      <c r="AD267" t="str">
        <f t="shared" si="8"/>
        <v>CP</v>
      </c>
      <c r="AE267" t="str">
        <f>_xlfn.XLOOKUP(D267,Mapping!A:A,Mapping!D:D,0,0)</f>
        <v>Bin</v>
      </c>
      <c r="AF267" t="str">
        <f t="shared" si="9"/>
        <v>OLD</v>
      </c>
    </row>
    <row r="268" spans="1:32" x14ac:dyDescent="0.2">
      <c r="A268" t="s">
        <v>1118</v>
      </c>
      <c r="B268" t="s">
        <v>39</v>
      </c>
      <c r="C268">
        <v>1012703632</v>
      </c>
      <c r="D268" t="s">
        <v>323</v>
      </c>
      <c r="E268" t="s">
        <v>31</v>
      </c>
      <c r="F268" s="1">
        <v>0.67291666666666672</v>
      </c>
      <c r="G268" t="s">
        <v>32</v>
      </c>
      <c r="H268" t="s">
        <v>33</v>
      </c>
      <c r="I268" t="s">
        <v>41</v>
      </c>
      <c r="J268" t="s">
        <v>62</v>
      </c>
      <c r="K268">
        <v>530</v>
      </c>
      <c r="L268">
        <v>0</v>
      </c>
      <c r="M268" t="s">
        <v>36</v>
      </c>
      <c r="N268" t="s">
        <v>37</v>
      </c>
      <c r="O268">
        <v>0</v>
      </c>
      <c r="P268">
        <v>0</v>
      </c>
      <c r="Q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 t="s">
        <v>36</v>
      </c>
      <c r="AC268" t="s">
        <v>43</v>
      </c>
      <c r="AD268" t="str">
        <f t="shared" si="8"/>
        <v>CP</v>
      </c>
      <c r="AE268" t="str">
        <f>_xlfn.XLOOKUP(D268,Mapping!A:A,Mapping!D:D,0,0)</f>
        <v>Bin</v>
      </c>
      <c r="AF268" t="str">
        <f t="shared" si="9"/>
        <v>OLD</v>
      </c>
    </row>
    <row r="269" spans="1:32" x14ac:dyDescent="0.2">
      <c r="A269" t="s">
        <v>1118</v>
      </c>
      <c r="B269" t="s">
        <v>39</v>
      </c>
      <c r="C269">
        <v>1012703642</v>
      </c>
      <c r="D269" t="s">
        <v>324</v>
      </c>
      <c r="E269" t="s">
        <v>31</v>
      </c>
      <c r="F269" s="1">
        <v>0.67291666666666672</v>
      </c>
      <c r="G269" t="s">
        <v>32</v>
      </c>
      <c r="H269" t="s">
        <v>33</v>
      </c>
      <c r="I269" t="s">
        <v>34</v>
      </c>
      <c r="J269" t="s">
        <v>84</v>
      </c>
      <c r="K269">
        <v>404</v>
      </c>
      <c r="L269">
        <v>0</v>
      </c>
      <c r="M269" t="s">
        <v>36</v>
      </c>
      <c r="N269" t="s">
        <v>37</v>
      </c>
      <c r="O269">
        <v>0</v>
      </c>
      <c r="P269">
        <v>0</v>
      </c>
      <c r="Q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 t="s">
        <v>36</v>
      </c>
      <c r="AC269" t="s">
        <v>43</v>
      </c>
      <c r="AD269" t="str">
        <f t="shared" si="8"/>
        <v>CP</v>
      </c>
      <c r="AE269" t="str">
        <f>_xlfn.XLOOKUP(D269,Mapping!A:A,Mapping!D:D,0,0)</f>
        <v>Bin</v>
      </c>
      <c r="AF269" t="str">
        <f t="shared" si="9"/>
        <v>OLD</v>
      </c>
    </row>
    <row r="270" spans="1:32" x14ac:dyDescent="0.2">
      <c r="A270" t="s">
        <v>1118</v>
      </c>
      <c r="B270" t="s">
        <v>39</v>
      </c>
      <c r="C270">
        <v>1012703652</v>
      </c>
      <c r="D270" t="s">
        <v>325</v>
      </c>
      <c r="E270" t="s">
        <v>31</v>
      </c>
      <c r="F270" s="1">
        <v>0.67291666666666672</v>
      </c>
      <c r="G270" t="s">
        <v>32</v>
      </c>
      <c r="H270" t="s">
        <v>33</v>
      </c>
      <c r="I270" t="s">
        <v>41</v>
      </c>
      <c r="J270" t="s">
        <v>62</v>
      </c>
      <c r="K270">
        <v>530</v>
      </c>
      <c r="L270">
        <v>0</v>
      </c>
      <c r="M270" t="s">
        <v>36</v>
      </c>
      <c r="N270" t="s">
        <v>37</v>
      </c>
      <c r="O270">
        <v>0</v>
      </c>
      <c r="P270">
        <v>0</v>
      </c>
      <c r="Q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 t="s">
        <v>36</v>
      </c>
      <c r="AC270" t="s">
        <v>43</v>
      </c>
      <c r="AD270" t="str">
        <f t="shared" si="8"/>
        <v>CP</v>
      </c>
      <c r="AE270" t="str">
        <f>_xlfn.XLOOKUP(D270,Mapping!A:A,Mapping!D:D,0,0)</f>
        <v>Bin</v>
      </c>
      <c r="AF270" t="str">
        <f t="shared" si="9"/>
        <v>OLD</v>
      </c>
    </row>
    <row r="271" spans="1:32" x14ac:dyDescent="0.2">
      <c r="A271" t="s">
        <v>1118</v>
      </c>
      <c r="B271" t="s">
        <v>39</v>
      </c>
      <c r="C271">
        <v>1012703662</v>
      </c>
      <c r="D271" t="s">
        <v>326</v>
      </c>
      <c r="E271" t="s">
        <v>31</v>
      </c>
      <c r="F271" s="1">
        <v>0.67291666666666672</v>
      </c>
      <c r="G271" t="s">
        <v>32</v>
      </c>
      <c r="H271" t="s">
        <v>33</v>
      </c>
      <c r="I271" t="s">
        <v>41</v>
      </c>
      <c r="J271" t="s">
        <v>62</v>
      </c>
      <c r="K271">
        <v>1010</v>
      </c>
      <c r="L271">
        <v>0</v>
      </c>
      <c r="M271" t="s">
        <v>63</v>
      </c>
      <c r="N271">
        <v>150</v>
      </c>
      <c r="O271">
        <v>0</v>
      </c>
      <c r="P271">
        <v>0</v>
      </c>
      <c r="Q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 t="s">
        <v>36</v>
      </c>
      <c r="AC271" t="s">
        <v>43</v>
      </c>
      <c r="AD271" t="str">
        <f t="shared" si="8"/>
        <v>CP</v>
      </c>
      <c r="AE271" t="str">
        <f>_xlfn.XLOOKUP(D271,Mapping!A:A,Mapping!D:D,0,0)</f>
        <v>Bin</v>
      </c>
      <c r="AF271" t="str">
        <f t="shared" si="9"/>
        <v>OLD</v>
      </c>
    </row>
    <row r="272" spans="1:32" x14ac:dyDescent="0.2">
      <c r="A272" t="s">
        <v>1118</v>
      </c>
      <c r="B272" t="s">
        <v>39</v>
      </c>
      <c r="C272">
        <v>1012703672</v>
      </c>
      <c r="D272" t="s">
        <v>327</v>
      </c>
      <c r="E272" t="s">
        <v>31</v>
      </c>
      <c r="F272" s="1">
        <v>0.67291666666666672</v>
      </c>
      <c r="G272" t="s">
        <v>32</v>
      </c>
      <c r="H272" t="s">
        <v>33</v>
      </c>
      <c r="I272" t="s">
        <v>34</v>
      </c>
      <c r="J272" t="s">
        <v>84</v>
      </c>
      <c r="K272">
        <v>112</v>
      </c>
      <c r="L272">
        <v>0</v>
      </c>
      <c r="M272" t="s">
        <v>36</v>
      </c>
      <c r="N272" t="s">
        <v>37</v>
      </c>
      <c r="O272">
        <v>0</v>
      </c>
      <c r="P272">
        <v>0</v>
      </c>
      <c r="Q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 t="s">
        <v>36</v>
      </c>
      <c r="AC272" t="s">
        <v>43</v>
      </c>
      <c r="AD272" t="str">
        <f t="shared" si="8"/>
        <v>CP</v>
      </c>
      <c r="AE272" t="str">
        <f>_xlfn.XLOOKUP(D272,Mapping!A:A,Mapping!D:D,0,0)</f>
        <v>Bin</v>
      </c>
      <c r="AF272" t="str">
        <f t="shared" si="9"/>
        <v>OLD</v>
      </c>
    </row>
    <row r="273" spans="1:32" x14ac:dyDescent="0.2">
      <c r="A273" t="s">
        <v>1118</v>
      </c>
      <c r="B273" t="s">
        <v>39</v>
      </c>
      <c r="C273">
        <v>1012703682</v>
      </c>
      <c r="D273" t="s">
        <v>328</v>
      </c>
      <c r="E273" t="s">
        <v>31</v>
      </c>
      <c r="F273" s="1">
        <v>0.67291666666666672</v>
      </c>
      <c r="G273" t="s">
        <v>32</v>
      </c>
      <c r="H273" t="s">
        <v>33</v>
      </c>
      <c r="I273" t="s">
        <v>41</v>
      </c>
      <c r="J273" t="s">
        <v>62</v>
      </c>
      <c r="K273">
        <v>530</v>
      </c>
      <c r="L273">
        <v>0</v>
      </c>
      <c r="M273" t="s">
        <v>63</v>
      </c>
      <c r="N273">
        <v>150</v>
      </c>
      <c r="O273">
        <v>0</v>
      </c>
      <c r="P273">
        <v>0</v>
      </c>
      <c r="Q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 t="s">
        <v>36</v>
      </c>
      <c r="AC273" t="s">
        <v>43</v>
      </c>
      <c r="AD273" t="str">
        <f t="shared" si="8"/>
        <v>CP</v>
      </c>
      <c r="AE273" t="str">
        <f>_xlfn.XLOOKUP(D273,Mapping!A:A,Mapping!D:D,0,0)</f>
        <v>Bin</v>
      </c>
      <c r="AF273" t="str">
        <f t="shared" si="9"/>
        <v>OLD</v>
      </c>
    </row>
    <row r="274" spans="1:32" x14ac:dyDescent="0.2">
      <c r="A274" t="s">
        <v>1118</v>
      </c>
      <c r="B274" t="s">
        <v>39</v>
      </c>
      <c r="C274">
        <v>1012707882</v>
      </c>
      <c r="D274" t="s">
        <v>254</v>
      </c>
      <c r="E274" t="s">
        <v>31</v>
      </c>
      <c r="F274" s="1">
        <v>0.67291666666666672</v>
      </c>
      <c r="G274" t="s">
        <v>32</v>
      </c>
      <c r="H274" t="s">
        <v>33</v>
      </c>
      <c r="I274" t="s">
        <v>41</v>
      </c>
      <c r="J274" t="s">
        <v>84</v>
      </c>
      <c r="K274">
        <v>298</v>
      </c>
      <c r="L274">
        <v>0</v>
      </c>
      <c r="M274" t="s">
        <v>63</v>
      </c>
      <c r="N274">
        <v>250</v>
      </c>
      <c r="O274">
        <v>0</v>
      </c>
      <c r="P274">
        <v>0</v>
      </c>
      <c r="Q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 t="s">
        <v>36</v>
      </c>
      <c r="AC274" t="s">
        <v>43</v>
      </c>
      <c r="AD274" t="str">
        <f t="shared" si="8"/>
        <v>CP</v>
      </c>
      <c r="AE274" t="str">
        <f>_xlfn.XLOOKUP(D274,Mapping!A:A,Mapping!D:D,0,0)</f>
        <v>Bin</v>
      </c>
      <c r="AF274" t="str">
        <f t="shared" si="9"/>
        <v>OLD</v>
      </c>
    </row>
    <row r="275" spans="1:32" x14ac:dyDescent="0.2">
      <c r="A275" t="s">
        <v>1118</v>
      </c>
      <c r="B275" t="s">
        <v>39</v>
      </c>
      <c r="C275">
        <v>1012707892</v>
      </c>
      <c r="D275" t="s">
        <v>329</v>
      </c>
      <c r="E275" t="s">
        <v>31</v>
      </c>
      <c r="F275" s="1">
        <v>0.67291666666666672</v>
      </c>
      <c r="G275" t="s">
        <v>32</v>
      </c>
      <c r="H275" t="s">
        <v>33</v>
      </c>
      <c r="I275" t="s">
        <v>41</v>
      </c>
      <c r="J275" t="s">
        <v>84</v>
      </c>
      <c r="K275">
        <v>280</v>
      </c>
      <c r="L275">
        <v>0</v>
      </c>
      <c r="M275" t="s">
        <v>36</v>
      </c>
      <c r="N275" t="s">
        <v>37</v>
      </c>
      <c r="O275">
        <v>0</v>
      </c>
      <c r="P275">
        <v>0</v>
      </c>
      <c r="Q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 t="s">
        <v>36</v>
      </c>
      <c r="AC275" t="s">
        <v>43</v>
      </c>
      <c r="AD275" t="str">
        <f t="shared" si="8"/>
        <v>CP</v>
      </c>
      <c r="AE275" t="str">
        <f>_xlfn.XLOOKUP(D275,Mapping!A:A,Mapping!D:D,0,0)</f>
        <v>Bin</v>
      </c>
      <c r="AF275" t="str">
        <f t="shared" si="9"/>
        <v>OLD</v>
      </c>
    </row>
    <row r="276" spans="1:32" x14ac:dyDescent="0.2">
      <c r="A276" t="s">
        <v>1118</v>
      </c>
      <c r="B276" t="s">
        <v>39</v>
      </c>
      <c r="C276">
        <v>1012707912</v>
      </c>
      <c r="D276" t="s">
        <v>330</v>
      </c>
      <c r="E276" t="s">
        <v>31</v>
      </c>
      <c r="F276" s="1">
        <v>0.67291666666666672</v>
      </c>
      <c r="G276" t="s">
        <v>32</v>
      </c>
      <c r="H276" t="s">
        <v>33</v>
      </c>
      <c r="I276" t="s">
        <v>41</v>
      </c>
      <c r="J276" t="s">
        <v>84</v>
      </c>
      <c r="K276">
        <v>280</v>
      </c>
      <c r="L276">
        <v>0</v>
      </c>
      <c r="M276" t="s">
        <v>36</v>
      </c>
      <c r="N276" t="s">
        <v>37</v>
      </c>
      <c r="O276">
        <v>0</v>
      </c>
      <c r="P276">
        <v>0</v>
      </c>
      <c r="Q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 t="s">
        <v>36</v>
      </c>
      <c r="AC276" t="s">
        <v>43</v>
      </c>
      <c r="AD276" t="str">
        <f t="shared" si="8"/>
        <v>CP</v>
      </c>
      <c r="AE276" t="str">
        <f>_xlfn.XLOOKUP(D276,Mapping!A:A,Mapping!D:D,0,0)</f>
        <v>Bin</v>
      </c>
      <c r="AF276" t="str">
        <f t="shared" si="9"/>
        <v>OLD</v>
      </c>
    </row>
    <row r="277" spans="1:32" x14ac:dyDescent="0.2">
      <c r="A277" t="s">
        <v>1118</v>
      </c>
      <c r="B277" t="s">
        <v>39</v>
      </c>
      <c r="C277">
        <v>1012707922</v>
      </c>
      <c r="D277" t="s">
        <v>331</v>
      </c>
      <c r="E277" t="s">
        <v>31</v>
      </c>
      <c r="F277" s="1">
        <v>0.67291666666666672</v>
      </c>
      <c r="G277" t="s">
        <v>32</v>
      </c>
      <c r="H277" t="s">
        <v>33</v>
      </c>
      <c r="I277" t="s">
        <v>41</v>
      </c>
      <c r="J277" t="s">
        <v>84</v>
      </c>
      <c r="K277">
        <v>598</v>
      </c>
      <c r="L277">
        <v>0</v>
      </c>
      <c r="M277" t="s">
        <v>63</v>
      </c>
      <c r="N277">
        <v>250</v>
      </c>
      <c r="O277">
        <v>0</v>
      </c>
      <c r="P277">
        <v>0</v>
      </c>
      <c r="Q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 t="s">
        <v>36</v>
      </c>
      <c r="AC277" t="s">
        <v>43</v>
      </c>
      <c r="AD277" t="str">
        <f t="shared" si="8"/>
        <v>CP</v>
      </c>
      <c r="AE277" t="str">
        <f>_xlfn.XLOOKUP(D277,Mapping!A:A,Mapping!D:D,0,0)</f>
        <v>Bin</v>
      </c>
      <c r="AF277" t="str">
        <f t="shared" si="9"/>
        <v>OLD</v>
      </c>
    </row>
    <row r="278" spans="1:32" x14ac:dyDescent="0.2">
      <c r="A278" t="s">
        <v>1118</v>
      </c>
      <c r="B278" t="s">
        <v>39</v>
      </c>
      <c r="C278">
        <v>1012707932</v>
      </c>
      <c r="D278" t="s">
        <v>332</v>
      </c>
      <c r="E278" t="s">
        <v>31</v>
      </c>
      <c r="F278" s="1">
        <v>0.67291666666666672</v>
      </c>
      <c r="G278" t="s">
        <v>32</v>
      </c>
      <c r="H278" t="s">
        <v>33</v>
      </c>
      <c r="I278" t="s">
        <v>41</v>
      </c>
      <c r="J278" t="s">
        <v>84</v>
      </c>
      <c r="K278">
        <v>598</v>
      </c>
      <c r="L278">
        <v>0</v>
      </c>
      <c r="M278" t="s">
        <v>63</v>
      </c>
      <c r="N278">
        <v>250</v>
      </c>
      <c r="O278">
        <v>0</v>
      </c>
      <c r="P278">
        <v>0</v>
      </c>
      <c r="Q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 t="s">
        <v>36</v>
      </c>
      <c r="AC278" t="s">
        <v>43</v>
      </c>
      <c r="AD278" t="str">
        <f t="shared" si="8"/>
        <v>CP</v>
      </c>
      <c r="AE278" t="str">
        <f>_xlfn.XLOOKUP(D278,Mapping!A:A,Mapping!D:D,0,0)</f>
        <v>Bin</v>
      </c>
      <c r="AF278" t="str">
        <f t="shared" si="9"/>
        <v>OLD</v>
      </c>
    </row>
    <row r="279" spans="1:32" x14ac:dyDescent="0.2">
      <c r="A279" t="s">
        <v>1118</v>
      </c>
      <c r="B279" t="s">
        <v>39</v>
      </c>
      <c r="C279">
        <v>1012710692</v>
      </c>
      <c r="D279" t="s">
        <v>333</v>
      </c>
      <c r="E279" t="s">
        <v>31</v>
      </c>
      <c r="F279" s="1">
        <v>0.67291666666666672</v>
      </c>
      <c r="G279" t="s">
        <v>32</v>
      </c>
      <c r="H279" t="s">
        <v>33</v>
      </c>
      <c r="I279" t="s">
        <v>41</v>
      </c>
      <c r="J279" t="s">
        <v>255</v>
      </c>
      <c r="K279">
        <v>1050</v>
      </c>
      <c r="L279">
        <v>0</v>
      </c>
      <c r="M279" t="s">
        <v>36</v>
      </c>
      <c r="N279" t="s">
        <v>37</v>
      </c>
      <c r="O279">
        <v>0</v>
      </c>
      <c r="P279">
        <v>0</v>
      </c>
      <c r="Q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 t="s">
        <v>36</v>
      </c>
      <c r="AC279" t="s">
        <v>43</v>
      </c>
      <c r="AD279" t="str">
        <f t="shared" si="8"/>
        <v>CP</v>
      </c>
      <c r="AE279" t="str">
        <f>_xlfn.XLOOKUP(D279,Mapping!A:A,Mapping!D:D,0,0)</f>
        <v>Bin</v>
      </c>
      <c r="AF279" t="str">
        <f t="shared" si="9"/>
        <v>OLD</v>
      </c>
    </row>
    <row r="280" spans="1:32" x14ac:dyDescent="0.2">
      <c r="A280" t="s">
        <v>1118</v>
      </c>
      <c r="B280" t="s">
        <v>39</v>
      </c>
      <c r="C280">
        <v>1012710702</v>
      </c>
      <c r="D280" t="s">
        <v>334</v>
      </c>
      <c r="E280" t="s">
        <v>31</v>
      </c>
      <c r="F280" s="1">
        <v>0.67291666666666672</v>
      </c>
      <c r="G280" t="s">
        <v>32</v>
      </c>
      <c r="H280" t="s">
        <v>33</v>
      </c>
      <c r="I280" t="s">
        <v>41</v>
      </c>
      <c r="J280" t="s">
        <v>62</v>
      </c>
      <c r="K280">
        <v>280</v>
      </c>
      <c r="L280">
        <v>0</v>
      </c>
      <c r="M280" t="s">
        <v>36</v>
      </c>
      <c r="N280" t="s">
        <v>37</v>
      </c>
      <c r="O280">
        <v>0</v>
      </c>
      <c r="P280">
        <v>0</v>
      </c>
      <c r="Q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 t="s">
        <v>36</v>
      </c>
      <c r="AC280" t="s">
        <v>43</v>
      </c>
      <c r="AD280" t="str">
        <f t="shared" si="8"/>
        <v>CP</v>
      </c>
      <c r="AE280" t="str">
        <f>_xlfn.XLOOKUP(D280,Mapping!A:A,Mapping!D:D,0,0)</f>
        <v>Bin</v>
      </c>
      <c r="AF280" t="str">
        <f t="shared" si="9"/>
        <v>OLD</v>
      </c>
    </row>
    <row r="281" spans="1:32" x14ac:dyDescent="0.2">
      <c r="A281" t="s">
        <v>1118</v>
      </c>
      <c r="B281" t="s">
        <v>39</v>
      </c>
      <c r="C281">
        <v>1012710722</v>
      </c>
      <c r="D281" t="s">
        <v>335</v>
      </c>
      <c r="E281" t="s">
        <v>31</v>
      </c>
      <c r="F281" s="1">
        <v>0.67291666666666672</v>
      </c>
      <c r="G281" t="s">
        <v>32</v>
      </c>
      <c r="H281" t="s">
        <v>33</v>
      </c>
      <c r="I281" t="s">
        <v>34</v>
      </c>
      <c r="J281" t="s">
        <v>84</v>
      </c>
      <c r="K281">
        <v>112</v>
      </c>
      <c r="L281">
        <v>0</v>
      </c>
      <c r="M281" t="s">
        <v>36</v>
      </c>
      <c r="N281" t="s">
        <v>37</v>
      </c>
      <c r="O281">
        <v>0</v>
      </c>
      <c r="P281">
        <v>0</v>
      </c>
      <c r="Q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 t="s">
        <v>36</v>
      </c>
      <c r="AC281" t="s">
        <v>43</v>
      </c>
      <c r="AD281" t="str">
        <f t="shared" si="8"/>
        <v>CP</v>
      </c>
      <c r="AE281" t="str">
        <f>_xlfn.XLOOKUP(D281,Mapping!A:A,Mapping!D:D,0,0)</f>
        <v>Bin</v>
      </c>
      <c r="AF281" t="str">
        <f t="shared" si="9"/>
        <v>OLD</v>
      </c>
    </row>
    <row r="282" spans="1:32" x14ac:dyDescent="0.2">
      <c r="A282" t="s">
        <v>1118</v>
      </c>
      <c r="B282" t="s">
        <v>39</v>
      </c>
      <c r="C282">
        <v>1012710732</v>
      </c>
      <c r="D282" t="s">
        <v>336</v>
      </c>
      <c r="E282" t="s">
        <v>31</v>
      </c>
      <c r="F282" s="1">
        <v>0.67291666666666672</v>
      </c>
      <c r="G282" t="s">
        <v>32</v>
      </c>
      <c r="H282" t="s">
        <v>33</v>
      </c>
      <c r="I282" t="s">
        <v>41</v>
      </c>
      <c r="J282" t="s">
        <v>62</v>
      </c>
      <c r="K282">
        <v>930</v>
      </c>
      <c r="L282">
        <v>0</v>
      </c>
      <c r="M282" t="s">
        <v>36</v>
      </c>
      <c r="N282" t="s">
        <v>37</v>
      </c>
      <c r="O282">
        <v>0</v>
      </c>
      <c r="P282">
        <v>0</v>
      </c>
      <c r="Q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 t="s">
        <v>36</v>
      </c>
      <c r="AC282" t="s">
        <v>43</v>
      </c>
      <c r="AD282" t="str">
        <f t="shared" si="8"/>
        <v>CP</v>
      </c>
      <c r="AE282" t="str">
        <f>_xlfn.XLOOKUP(D282,Mapping!A:A,Mapping!D:D,0,0)</f>
        <v>Bin</v>
      </c>
      <c r="AF282" t="str">
        <f t="shared" si="9"/>
        <v>OLD</v>
      </c>
    </row>
    <row r="283" spans="1:32" x14ac:dyDescent="0.2">
      <c r="A283" t="s">
        <v>1118</v>
      </c>
      <c r="B283" t="s">
        <v>39</v>
      </c>
      <c r="C283">
        <v>1012710742</v>
      </c>
      <c r="D283" t="s">
        <v>337</v>
      </c>
      <c r="E283" t="s">
        <v>31</v>
      </c>
      <c r="F283" s="1">
        <v>0.67291666666666672</v>
      </c>
      <c r="G283" t="s">
        <v>32</v>
      </c>
      <c r="H283" t="s">
        <v>33</v>
      </c>
      <c r="I283" t="s">
        <v>41</v>
      </c>
      <c r="J283" t="s">
        <v>62</v>
      </c>
      <c r="K283">
        <v>930</v>
      </c>
      <c r="L283">
        <v>0</v>
      </c>
      <c r="M283" t="s">
        <v>36</v>
      </c>
      <c r="N283" t="s">
        <v>37</v>
      </c>
      <c r="O283">
        <v>0</v>
      </c>
      <c r="P283">
        <v>0</v>
      </c>
      <c r="Q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 t="s">
        <v>36</v>
      </c>
      <c r="AC283" t="s">
        <v>43</v>
      </c>
      <c r="AD283" t="str">
        <f t="shared" si="8"/>
        <v>CP</v>
      </c>
      <c r="AE283" t="str">
        <f>_xlfn.XLOOKUP(D283,Mapping!A:A,Mapping!D:D,0,0)</f>
        <v>Bin</v>
      </c>
      <c r="AF283" t="str">
        <f t="shared" si="9"/>
        <v>OLD</v>
      </c>
    </row>
    <row r="284" spans="1:32" x14ac:dyDescent="0.2">
      <c r="A284" t="s">
        <v>1118</v>
      </c>
      <c r="B284" t="s">
        <v>39</v>
      </c>
      <c r="C284">
        <v>1012710752</v>
      </c>
      <c r="D284" t="s">
        <v>338</v>
      </c>
      <c r="E284" t="s">
        <v>31</v>
      </c>
      <c r="F284" s="1">
        <v>0.67291666666666672</v>
      </c>
      <c r="G284" t="s">
        <v>32</v>
      </c>
      <c r="H284" t="s">
        <v>33</v>
      </c>
      <c r="I284" t="s">
        <v>34</v>
      </c>
      <c r="J284" t="s">
        <v>84</v>
      </c>
      <c r="K284">
        <v>112</v>
      </c>
      <c r="L284">
        <v>0</v>
      </c>
      <c r="M284" t="s">
        <v>36</v>
      </c>
      <c r="N284" t="s">
        <v>37</v>
      </c>
      <c r="O284">
        <v>0</v>
      </c>
      <c r="P284">
        <v>0</v>
      </c>
      <c r="Q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 t="s">
        <v>36</v>
      </c>
      <c r="AC284" t="s">
        <v>43</v>
      </c>
      <c r="AD284" t="str">
        <f t="shared" si="8"/>
        <v>CP</v>
      </c>
      <c r="AE284" t="str">
        <f>_xlfn.XLOOKUP(D284,Mapping!A:A,Mapping!D:D,0,0)</f>
        <v>Bin</v>
      </c>
      <c r="AF284" t="str">
        <f t="shared" si="9"/>
        <v>OLD</v>
      </c>
    </row>
    <row r="285" spans="1:32" x14ac:dyDescent="0.2">
      <c r="A285" t="s">
        <v>1118</v>
      </c>
      <c r="B285" t="s">
        <v>39</v>
      </c>
      <c r="C285">
        <v>1012710762</v>
      </c>
      <c r="D285" t="s">
        <v>339</v>
      </c>
      <c r="E285" t="s">
        <v>31</v>
      </c>
      <c r="F285" s="1">
        <v>0.67291666666666672</v>
      </c>
      <c r="G285" t="s">
        <v>32</v>
      </c>
      <c r="H285" t="s">
        <v>33</v>
      </c>
      <c r="I285" t="s">
        <v>41</v>
      </c>
      <c r="J285" t="s">
        <v>62</v>
      </c>
      <c r="K285">
        <v>930</v>
      </c>
      <c r="L285">
        <v>0</v>
      </c>
      <c r="M285" t="s">
        <v>36</v>
      </c>
      <c r="N285" t="s">
        <v>37</v>
      </c>
      <c r="O285">
        <v>0</v>
      </c>
      <c r="P285">
        <v>0</v>
      </c>
      <c r="Q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 t="s">
        <v>36</v>
      </c>
      <c r="AC285" t="s">
        <v>43</v>
      </c>
      <c r="AD285" t="str">
        <f t="shared" si="8"/>
        <v>CP</v>
      </c>
      <c r="AE285" t="str">
        <f>_xlfn.XLOOKUP(D285,Mapping!A:A,Mapping!D:D,0,0)</f>
        <v>Bin</v>
      </c>
      <c r="AF285" t="str">
        <f t="shared" si="9"/>
        <v>OLD</v>
      </c>
    </row>
    <row r="286" spans="1:32" x14ac:dyDescent="0.2">
      <c r="A286" t="s">
        <v>1118</v>
      </c>
      <c r="B286" t="s">
        <v>39</v>
      </c>
      <c r="C286">
        <v>1012710772</v>
      </c>
      <c r="D286" t="s">
        <v>340</v>
      </c>
      <c r="E286" t="s">
        <v>31</v>
      </c>
      <c r="F286" s="1">
        <v>0.67291666666666672</v>
      </c>
      <c r="G286" t="s">
        <v>32</v>
      </c>
      <c r="H286" t="s">
        <v>33</v>
      </c>
      <c r="I286" t="s">
        <v>41</v>
      </c>
      <c r="J286" t="s">
        <v>62</v>
      </c>
      <c r="K286">
        <v>570</v>
      </c>
      <c r="L286">
        <v>0</v>
      </c>
      <c r="M286" t="s">
        <v>36</v>
      </c>
      <c r="N286" t="s">
        <v>37</v>
      </c>
      <c r="O286">
        <v>0</v>
      </c>
      <c r="P286">
        <v>0</v>
      </c>
      <c r="Q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 t="s">
        <v>36</v>
      </c>
      <c r="AC286" t="s">
        <v>43</v>
      </c>
      <c r="AD286" t="str">
        <f t="shared" si="8"/>
        <v>CP</v>
      </c>
      <c r="AE286" t="str">
        <f>_xlfn.XLOOKUP(D286,Mapping!A:A,Mapping!D:D,0,0)</f>
        <v>Bin</v>
      </c>
      <c r="AF286" t="str">
        <f t="shared" si="9"/>
        <v>OLD</v>
      </c>
    </row>
    <row r="287" spans="1:32" x14ac:dyDescent="0.2">
      <c r="A287" t="s">
        <v>1118</v>
      </c>
      <c r="B287" t="s">
        <v>39</v>
      </c>
      <c r="C287">
        <v>1012710782</v>
      </c>
      <c r="D287" t="s">
        <v>341</v>
      </c>
      <c r="E287" t="s">
        <v>31</v>
      </c>
      <c r="F287" s="1">
        <v>0.67291666666666672</v>
      </c>
      <c r="G287" t="s">
        <v>32</v>
      </c>
      <c r="H287" t="s">
        <v>33</v>
      </c>
      <c r="I287" t="s">
        <v>34</v>
      </c>
      <c r="J287" t="s">
        <v>84</v>
      </c>
      <c r="K287">
        <v>228</v>
      </c>
      <c r="L287">
        <v>0</v>
      </c>
      <c r="M287" t="s">
        <v>36</v>
      </c>
      <c r="N287" t="s">
        <v>37</v>
      </c>
      <c r="O287">
        <v>0</v>
      </c>
      <c r="P287">
        <v>0</v>
      </c>
      <c r="Q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 t="s">
        <v>36</v>
      </c>
      <c r="AC287" t="s">
        <v>43</v>
      </c>
      <c r="AD287" t="str">
        <f t="shared" si="8"/>
        <v>CP</v>
      </c>
      <c r="AE287" t="str">
        <f>_xlfn.XLOOKUP(D287,Mapping!A:A,Mapping!D:D,0,0)</f>
        <v>Bin</v>
      </c>
      <c r="AF287" t="str">
        <f t="shared" si="9"/>
        <v>OLD</v>
      </c>
    </row>
    <row r="288" spans="1:32" x14ac:dyDescent="0.2">
      <c r="A288" t="s">
        <v>1118</v>
      </c>
      <c r="B288" t="s">
        <v>39</v>
      </c>
      <c r="C288">
        <v>1012710792</v>
      </c>
      <c r="D288" t="s">
        <v>342</v>
      </c>
      <c r="E288" t="s">
        <v>31</v>
      </c>
      <c r="F288" s="1">
        <v>0.67291666666666672</v>
      </c>
      <c r="G288" t="s">
        <v>32</v>
      </c>
      <c r="H288" t="s">
        <v>33</v>
      </c>
      <c r="I288" t="s">
        <v>41</v>
      </c>
      <c r="J288" t="s">
        <v>62</v>
      </c>
      <c r="K288">
        <v>570</v>
      </c>
      <c r="L288">
        <v>0</v>
      </c>
      <c r="M288" t="s">
        <v>36</v>
      </c>
      <c r="N288" t="s">
        <v>37</v>
      </c>
      <c r="O288">
        <v>0</v>
      </c>
      <c r="P288">
        <v>0</v>
      </c>
      <c r="Q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 t="s">
        <v>36</v>
      </c>
      <c r="AC288" t="s">
        <v>43</v>
      </c>
      <c r="AD288" t="str">
        <f t="shared" si="8"/>
        <v>CP</v>
      </c>
      <c r="AE288" t="str">
        <f>_xlfn.XLOOKUP(D288,Mapping!A:A,Mapping!D:D,0,0)</f>
        <v>Bin</v>
      </c>
      <c r="AF288" t="str">
        <f t="shared" si="9"/>
        <v>OLD</v>
      </c>
    </row>
    <row r="289" spans="1:32" x14ac:dyDescent="0.2">
      <c r="A289" t="s">
        <v>1118</v>
      </c>
      <c r="B289" t="s">
        <v>39</v>
      </c>
      <c r="C289">
        <v>1012710802</v>
      </c>
      <c r="D289" t="s">
        <v>343</v>
      </c>
      <c r="E289" t="s">
        <v>31</v>
      </c>
      <c r="F289" s="1">
        <v>0.67291666666666672</v>
      </c>
      <c r="G289" t="s">
        <v>32</v>
      </c>
      <c r="H289" t="s">
        <v>33</v>
      </c>
      <c r="I289" t="s">
        <v>41</v>
      </c>
      <c r="J289" t="s">
        <v>62</v>
      </c>
      <c r="K289">
        <v>930</v>
      </c>
      <c r="L289">
        <v>0</v>
      </c>
      <c r="M289" t="s">
        <v>36</v>
      </c>
      <c r="N289" t="s">
        <v>37</v>
      </c>
      <c r="O289">
        <v>0</v>
      </c>
      <c r="P289">
        <v>0</v>
      </c>
      <c r="Q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 t="s">
        <v>36</v>
      </c>
      <c r="AC289" t="s">
        <v>119</v>
      </c>
      <c r="AD289" t="str">
        <f t="shared" si="8"/>
        <v>CP</v>
      </c>
      <c r="AE289" t="str">
        <f>_xlfn.XLOOKUP(D289,Mapping!A:A,Mapping!D:D,0,0)</f>
        <v>Archive</v>
      </c>
      <c r="AF289" t="str">
        <f t="shared" si="9"/>
        <v>OLD</v>
      </c>
    </row>
    <row r="290" spans="1:32" x14ac:dyDescent="0.2">
      <c r="A290" t="s">
        <v>1118</v>
      </c>
      <c r="B290" t="s">
        <v>39</v>
      </c>
      <c r="C290">
        <v>1012710812</v>
      </c>
      <c r="D290" t="s">
        <v>344</v>
      </c>
      <c r="E290" t="s">
        <v>31</v>
      </c>
      <c r="F290" s="1">
        <v>0.67291666666666672</v>
      </c>
      <c r="G290" t="s">
        <v>32</v>
      </c>
      <c r="H290" t="s">
        <v>33</v>
      </c>
      <c r="I290" t="s">
        <v>34</v>
      </c>
      <c r="J290" t="s">
        <v>84</v>
      </c>
      <c r="K290">
        <v>372</v>
      </c>
      <c r="L290">
        <v>0</v>
      </c>
      <c r="M290" t="s">
        <v>63</v>
      </c>
      <c r="N290">
        <v>150</v>
      </c>
      <c r="O290">
        <v>0</v>
      </c>
      <c r="P290">
        <v>0</v>
      </c>
      <c r="Q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 t="s">
        <v>36</v>
      </c>
      <c r="AC290" t="s">
        <v>43</v>
      </c>
      <c r="AD290" t="str">
        <f t="shared" si="8"/>
        <v>CP</v>
      </c>
      <c r="AE290" t="str">
        <f>_xlfn.XLOOKUP(D290,Mapping!A:A,Mapping!D:D,0,0)</f>
        <v>Bin</v>
      </c>
      <c r="AF290" t="str">
        <f t="shared" si="9"/>
        <v>OLD</v>
      </c>
    </row>
    <row r="291" spans="1:32" x14ac:dyDescent="0.2">
      <c r="A291" t="s">
        <v>1118</v>
      </c>
      <c r="B291" t="s">
        <v>39</v>
      </c>
      <c r="C291">
        <v>1012710822</v>
      </c>
      <c r="D291" t="s">
        <v>345</v>
      </c>
      <c r="E291" t="s">
        <v>31</v>
      </c>
      <c r="F291" s="1">
        <v>0.67291666666666672</v>
      </c>
      <c r="G291" t="s">
        <v>32</v>
      </c>
      <c r="H291" t="s">
        <v>33</v>
      </c>
      <c r="I291" t="s">
        <v>41</v>
      </c>
      <c r="J291" t="s">
        <v>62</v>
      </c>
      <c r="K291">
        <v>280</v>
      </c>
      <c r="L291">
        <v>0</v>
      </c>
      <c r="M291" t="s">
        <v>36</v>
      </c>
      <c r="N291" t="s">
        <v>37</v>
      </c>
      <c r="O291">
        <v>0</v>
      </c>
      <c r="P291">
        <v>0</v>
      </c>
      <c r="Q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 t="s">
        <v>36</v>
      </c>
      <c r="AC291" t="s">
        <v>43</v>
      </c>
      <c r="AD291" t="str">
        <f t="shared" si="8"/>
        <v>CP</v>
      </c>
      <c r="AE291" t="str">
        <f>_xlfn.XLOOKUP(D291,Mapping!A:A,Mapping!D:D,0,0)</f>
        <v>Bin</v>
      </c>
      <c r="AF291" t="str">
        <f t="shared" si="9"/>
        <v>OLD</v>
      </c>
    </row>
    <row r="292" spans="1:32" x14ac:dyDescent="0.2">
      <c r="A292" t="s">
        <v>1118</v>
      </c>
      <c r="B292" t="s">
        <v>39</v>
      </c>
      <c r="C292">
        <v>1012710832</v>
      </c>
      <c r="D292" t="s">
        <v>346</v>
      </c>
      <c r="E292" t="s">
        <v>31</v>
      </c>
      <c r="F292" s="1">
        <v>0.67291666666666672</v>
      </c>
      <c r="G292" t="s">
        <v>32</v>
      </c>
      <c r="H292" t="s">
        <v>33</v>
      </c>
      <c r="I292" t="s">
        <v>41</v>
      </c>
      <c r="J292" t="s">
        <v>62</v>
      </c>
      <c r="K292">
        <v>280</v>
      </c>
      <c r="L292">
        <v>0</v>
      </c>
      <c r="M292" t="s">
        <v>63</v>
      </c>
      <c r="N292">
        <v>150</v>
      </c>
      <c r="O292">
        <v>0</v>
      </c>
      <c r="P292">
        <v>0</v>
      </c>
      <c r="Q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 t="s">
        <v>36</v>
      </c>
      <c r="AC292" t="s">
        <v>43</v>
      </c>
      <c r="AD292" t="str">
        <f t="shared" si="8"/>
        <v>CP</v>
      </c>
      <c r="AE292" t="str">
        <f>_xlfn.XLOOKUP(D292,Mapping!A:A,Mapping!D:D,0,0)</f>
        <v>Bin</v>
      </c>
      <c r="AF292" t="str">
        <f t="shared" si="9"/>
        <v>OLD</v>
      </c>
    </row>
    <row r="293" spans="1:32" x14ac:dyDescent="0.2">
      <c r="A293" t="s">
        <v>1118</v>
      </c>
      <c r="B293" t="s">
        <v>29</v>
      </c>
      <c r="C293">
        <v>1012710842</v>
      </c>
      <c r="D293" t="s">
        <v>347</v>
      </c>
      <c r="E293" t="s">
        <v>31</v>
      </c>
      <c r="F293" s="1">
        <v>0.67291666666666672</v>
      </c>
      <c r="G293" t="s">
        <v>32</v>
      </c>
      <c r="H293" t="s">
        <v>33</v>
      </c>
      <c r="I293" t="s">
        <v>34</v>
      </c>
      <c r="J293" t="s">
        <v>84</v>
      </c>
      <c r="K293">
        <v>36</v>
      </c>
      <c r="L293">
        <v>0</v>
      </c>
      <c r="M293" t="s">
        <v>36</v>
      </c>
      <c r="N293" t="s">
        <v>37</v>
      </c>
      <c r="O293">
        <v>10741</v>
      </c>
      <c r="P293">
        <v>379</v>
      </c>
      <c r="Q293">
        <v>3.52854</v>
      </c>
      <c r="R293">
        <v>0</v>
      </c>
      <c r="S293">
        <v>13.37</v>
      </c>
      <c r="T293">
        <v>1.2450000000000001</v>
      </c>
      <c r="U293">
        <v>3.5000000000000003E-2</v>
      </c>
      <c r="V293">
        <v>0</v>
      </c>
      <c r="W293">
        <v>1</v>
      </c>
      <c r="X293">
        <v>0</v>
      </c>
      <c r="Y293" t="s">
        <v>36</v>
      </c>
      <c r="Z293">
        <v>10741</v>
      </c>
      <c r="AA293">
        <v>7728</v>
      </c>
      <c r="AB293">
        <v>1405</v>
      </c>
      <c r="AC293" t="s">
        <v>348</v>
      </c>
      <c r="AD293" t="str">
        <f t="shared" si="8"/>
        <v>CP</v>
      </c>
      <c r="AE293" t="str">
        <f>_xlfn.XLOOKUP(D293,Mapping!A:A,Mapping!D:D,0,0)</f>
        <v>Keyword - Preroll</v>
      </c>
      <c r="AF293" t="str">
        <f t="shared" si="9"/>
        <v>OLD</v>
      </c>
    </row>
    <row r="294" spans="1:32" x14ac:dyDescent="0.2">
      <c r="A294" t="s">
        <v>1118</v>
      </c>
      <c r="B294" t="s">
        <v>39</v>
      </c>
      <c r="C294">
        <v>1012710862</v>
      </c>
      <c r="D294" t="s">
        <v>349</v>
      </c>
      <c r="E294" t="s">
        <v>31</v>
      </c>
      <c r="F294" s="1">
        <v>0.67291666666666672</v>
      </c>
      <c r="G294" t="s">
        <v>32</v>
      </c>
      <c r="H294" t="s">
        <v>33</v>
      </c>
      <c r="I294" t="s">
        <v>41</v>
      </c>
      <c r="J294" t="s">
        <v>62</v>
      </c>
      <c r="K294">
        <v>930</v>
      </c>
      <c r="L294">
        <v>0</v>
      </c>
      <c r="M294" t="s">
        <v>36</v>
      </c>
      <c r="N294" t="s">
        <v>37</v>
      </c>
      <c r="O294">
        <v>0</v>
      </c>
      <c r="P294">
        <v>0</v>
      </c>
      <c r="Q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 t="s">
        <v>36</v>
      </c>
      <c r="AC294" t="s">
        <v>43</v>
      </c>
      <c r="AD294" t="str">
        <f t="shared" si="8"/>
        <v>CP</v>
      </c>
      <c r="AE294" t="str">
        <f>_xlfn.XLOOKUP(D294,Mapping!A:A,Mapping!D:D,0,0)</f>
        <v>Bin</v>
      </c>
      <c r="AF294" t="str">
        <f t="shared" si="9"/>
        <v>OLD</v>
      </c>
    </row>
    <row r="295" spans="1:32" x14ac:dyDescent="0.2">
      <c r="A295" t="s">
        <v>1118</v>
      </c>
      <c r="B295" t="s">
        <v>39</v>
      </c>
      <c r="C295">
        <v>1012710872</v>
      </c>
      <c r="D295" t="s">
        <v>350</v>
      </c>
      <c r="E295" t="s">
        <v>31</v>
      </c>
      <c r="F295" s="1">
        <v>0.67291666666666672</v>
      </c>
      <c r="G295" t="s">
        <v>32</v>
      </c>
      <c r="H295" t="s">
        <v>33</v>
      </c>
      <c r="I295" t="s">
        <v>41</v>
      </c>
      <c r="J295" t="s">
        <v>62</v>
      </c>
      <c r="K295">
        <v>930</v>
      </c>
      <c r="L295">
        <v>0</v>
      </c>
      <c r="M295" t="s">
        <v>36</v>
      </c>
      <c r="N295" t="s">
        <v>37</v>
      </c>
      <c r="O295">
        <v>0</v>
      </c>
      <c r="P295">
        <v>0</v>
      </c>
      <c r="Q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 t="s">
        <v>36</v>
      </c>
      <c r="AC295" t="s">
        <v>43</v>
      </c>
      <c r="AD295" t="str">
        <f t="shared" si="8"/>
        <v>CP</v>
      </c>
      <c r="AE295" t="str">
        <f>_xlfn.XLOOKUP(D295,Mapping!A:A,Mapping!D:D,0,0)</f>
        <v>Bin</v>
      </c>
      <c r="AF295" t="str">
        <f t="shared" si="9"/>
        <v>OLD</v>
      </c>
    </row>
    <row r="296" spans="1:32" x14ac:dyDescent="0.2">
      <c r="A296" t="s">
        <v>1118</v>
      </c>
      <c r="B296" t="s">
        <v>39</v>
      </c>
      <c r="C296">
        <v>1012710882</v>
      </c>
      <c r="D296" t="s">
        <v>351</v>
      </c>
      <c r="E296" t="s">
        <v>31</v>
      </c>
      <c r="F296" s="1">
        <v>0.67291666666666672</v>
      </c>
      <c r="G296" t="s">
        <v>32</v>
      </c>
      <c r="H296" t="s">
        <v>33</v>
      </c>
      <c r="I296" t="s">
        <v>34</v>
      </c>
      <c r="J296" t="s">
        <v>84</v>
      </c>
      <c r="K296">
        <v>228</v>
      </c>
      <c r="L296">
        <v>0</v>
      </c>
      <c r="M296" t="s">
        <v>36</v>
      </c>
      <c r="N296" t="s">
        <v>37</v>
      </c>
      <c r="O296">
        <v>0</v>
      </c>
      <c r="P296">
        <v>0</v>
      </c>
      <c r="Q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 t="s">
        <v>36</v>
      </c>
      <c r="AC296" t="s">
        <v>43</v>
      </c>
      <c r="AD296" t="str">
        <f t="shared" si="8"/>
        <v>CP</v>
      </c>
      <c r="AE296" t="str">
        <f>_xlfn.XLOOKUP(D296,Mapping!A:A,Mapping!D:D,0,0)</f>
        <v>Keyword - Preroll</v>
      </c>
      <c r="AF296" t="str">
        <f t="shared" si="9"/>
        <v>OLD</v>
      </c>
    </row>
    <row r="297" spans="1:32" x14ac:dyDescent="0.2">
      <c r="A297" t="s">
        <v>1118</v>
      </c>
      <c r="B297" t="s">
        <v>39</v>
      </c>
      <c r="C297">
        <v>1012710892</v>
      </c>
      <c r="D297" t="s">
        <v>352</v>
      </c>
      <c r="E297" t="s">
        <v>31</v>
      </c>
      <c r="F297" s="1">
        <v>0.67291666666666672</v>
      </c>
      <c r="G297" t="s">
        <v>32</v>
      </c>
      <c r="H297" t="s">
        <v>33</v>
      </c>
      <c r="I297" t="s">
        <v>41</v>
      </c>
      <c r="J297" t="s">
        <v>62</v>
      </c>
      <c r="K297">
        <v>930</v>
      </c>
      <c r="L297">
        <v>0</v>
      </c>
      <c r="M297" t="s">
        <v>36</v>
      </c>
      <c r="N297" t="s">
        <v>37</v>
      </c>
      <c r="O297">
        <v>0</v>
      </c>
      <c r="P297">
        <v>0</v>
      </c>
      <c r="Q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 t="s">
        <v>36</v>
      </c>
      <c r="AC297" t="s">
        <v>43</v>
      </c>
      <c r="AD297" t="str">
        <f t="shared" si="8"/>
        <v>CP</v>
      </c>
      <c r="AE297" t="str">
        <f>_xlfn.XLOOKUP(D297,Mapping!A:A,Mapping!D:D,0,0)</f>
        <v>Bin</v>
      </c>
      <c r="AF297" t="str">
        <f t="shared" si="9"/>
        <v>OLD</v>
      </c>
    </row>
    <row r="298" spans="1:32" x14ac:dyDescent="0.2">
      <c r="A298" t="s">
        <v>1118</v>
      </c>
      <c r="B298" t="s">
        <v>39</v>
      </c>
      <c r="C298">
        <v>1012710902</v>
      </c>
      <c r="D298" t="s">
        <v>353</v>
      </c>
      <c r="E298" t="s">
        <v>31</v>
      </c>
      <c r="F298" s="1">
        <v>0.67291666666666672</v>
      </c>
      <c r="G298" t="s">
        <v>32</v>
      </c>
      <c r="H298" t="s">
        <v>33</v>
      </c>
      <c r="I298" t="s">
        <v>41</v>
      </c>
      <c r="J298" t="s">
        <v>62</v>
      </c>
      <c r="K298">
        <v>570</v>
      </c>
      <c r="L298">
        <v>0</v>
      </c>
      <c r="M298" t="s">
        <v>36</v>
      </c>
      <c r="N298" t="s">
        <v>37</v>
      </c>
      <c r="O298">
        <v>0</v>
      </c>
      <c r="P298">
        <v>0</v>
      </c>
      <c r="Q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 t="s">
        <v>36</v>
      </c>
      <c r="AC298" t="s">
        <v>43</v>
      </c>
      <c r="AD298" t="str">
        <f t="shared" si="8"/>
        <v>CP</v>
      </c>
      <c r="AE298" t="str">
        <f>_xlfn.XLOOKUP(D298,Mapping!A:A,Mapping!D:D,0,0)</f>
        <v>Bin</v>
      </c>
      <c r="AF298" t="str">
        <f t="shared" si="9"/>
        <v>OLD</v>
      </c>
    </row>
    <row r="299" spans="1:32" x14ac:dyDescent="0.2">
      <c r="A299" t="s">
        <v>1118</v>
      </c>
      <c r="B299" t="s">
        <v>39</v>
      </c>
      <c r="C299">
        <v>1012710912</v>
      </c>
      <c r="D299" t="s">
        <v>354</v>
      </c>
      <c r="E299" t="s">
        <v>31</v>
      </c>
      <c r="F299" s="1">
        <v>0.67291666666666672</v>
      </c>
      <c r="G299" t="s">
        <v>32</v>
      </c>
      <c r="H299" t="s">
        <v>33</v>
      </c>
      <c r="I299" t="s">
        <v>34</v>
      </c>
      <c r="J299" t="s">
        <v>84</v>
      </c>
      <c r="K299">
        <v>228</v>
      </c>
      <c r="L299">
        <v>0</v>
      </c>
      <c r="M299" t="s">
        <v>36</v>
      </c>
      <c r="N299" t="s">
        <v>37</v>
      </c>
      <c r="O299">
        <v>0</v>
      </c>
      <c r="P299">
        <v>0</v>
      </c>
      <c r="Q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 t="s">
        <v>36</v>
      </c>
      <c r="AC299" t="s">
        <v>43</v>
      </c>
      <c r="AD299" t="str">
        <f t="shared" si="8"/>
        <v>CP</v>
      </c>
      <c r="AE299" t="str">
        <f>_xlfn.XLOOKUP(D299,Mapping!A:A,Mapping!D:D,0,0)</f>
        <v>Keyword - Preroll</v>
      </c>
      <c r="AF299" t="str">
        <f t="shared" si="9"/>
        <v>OLD</v>
      </c>
    </row>
    <row r="300" spans="1:32" x14ac:dyDescent="0.2">
      <c r="A300" t="s">
        <v>1118</v>
      </c>
      <c r="B300" t="s">
        <v>39</v>
      </c>
      <c r="C300">
        <v>1012710922</v>
      </c>
      <c r="D300" t="s">
        <v>355</v>
      </c>
      <c r="E300" t="s">
        <v>31</v>
      </c>
      <c r="F300" s="1">
        <v>0.67291666666666672</v>
      </c>
      <c r="G300" t="s">
        <v>32</v>
      </c>
      <c r="H300" t="s">
        <v>33</v>
      </c>
      <c r="I300" t="s">
        <v>41</v>
      </c>
      <c r="J300" t="s">
        <v>62</v>
      </c>
      <c r="K300">
        <v>570</v>
      </c>
      <c r="L300">
        <v>0</v>
      </c>
      <c r="M300" t="s">
        <v>36</v>
      </c>
      <c r="N300" t="s">
        <v>37</v>
      </c>
      <c r="O300">
        <v>0</v>
      </c>
      <c r="P300">
        <v>0</v>
      </c>
      <c r="Q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 t="s">
        <v>36</v>
      </c>
      <c r="AC300" t="s">
        <v>43</v>
      </c>
      <c r="AD300" t="str">
        <f t="shared" si="8"/>
        <v>CP</v>
      </c>
      <c r="AE300" t="str">
        <f>_xlfn.XLOOKUP(D300,Mapping!A:A,Mapping!D:D,0,0)</f>
        <v>Bin</v>
      </c>
      <c r="AF300" t="str">
        <f t="shared" si="9"/>
        <v>OLD</v>
      </c>
    </row>
    <row r="301" spans="1:32" x14ac:dyDescent="0.2">
      <c r="A301" t="s">
        <v>1118</v>
      </c>
      <c r="B301" t="s">
        <v>39</v>
      </c>
      <c r="C301">
        <v>1012710932</v>
      </c>
      <c r="D301" t="s">
        <v>356</v>
      </c>
      <c r="E301" t="s">
        <v>31</v>
      </c>
      <c r="F301" s="1">
        <v>0.67291666666666672</v>
      </c>
      <c r="G301" t="s">
        <v>32</v>
      </c>
      <c r="H301" t="s">
        <v>33</v>
      </c>
      <c r="I301" t="s">
        <v>41</v>
      </c>
      <c r="J301" t="s">
        <v>62</v>
      </c>
      <c r="K301">
        <v>90</v>
      </c>
      <c r="L301">
        <v>0</v>
      </c>
      <c r="M301" t="s">
        <v>36</v>
      </c>
      <c r="N301" t="s">
        <v>37</v>
      </c>
      <c r="O301">
        <v>0</v>
      </c>
      <c r="P301">
        <v>0</v>
      </c>
      <c r="Q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 t="s">
        <v>36</v>
      </c>
      <c r="AC301" t="s">
        <v>348</v>
      </c>
      <c r="AD301" t="str">
        <f t="shared" si="8"/>
        <v>CP</v>
      </c>
      <c r="AE301" t="str">
        <f>_xlfn.XLOOKUP(D301,Mapping!A:A,Mapping!D:D,0,0)</f>
        <v>Missionary</v>
      </c>
      <c r="AF301" t="str">
        <f t="shared" si="9"/>
        <v>OLD</v>
      </c>
    </row>
    <row r="302" spans="1:32" x14ac:dyDescent="0.2">
      <c r="A302" t="s">
        <v>1118</v>
      </c>
      <c r="B302" t="s">
        <v>39</v>
      </c>
      <c r="C302">
        <v>1012710942</v>
      </c>
      <c r="D302" t="s">
        <v>357</v>
      </c>
      <c r="E302" t="s">
        <v>31</v>
      </c>
      <c r="F302" s="1">
        <v>0.67291666666666672</v>
      </c>
      <c r="G302" t="s">
        <v>32</v>
      </c>
      <c r="H302" t="s">
        <v>33</v>
      </c>
      <c r="I302" t="s">
        <v>34</v>
      </c>
      <c r="J302" t="s">
        <v>84</v>
      </c>
      <c r="K302">
        <v>112</v>
      </c>
      <c r="L302">
        <v>0</v>
      </c>
      <c r="M302" t="s">
        <v>36</v>
      </c>
      <c r="N302" t="s">
        <v>37</v>
      </c>
      <c r="O302">
        <v>0</v>
      </c>
      <c r="P302">
        <v>0</v>
      </c>
      <c r="Q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 t="s">
        <v>36</v>
      </c>
      <c r="AC302" t="s">
        <v>43</v>
      </c>
      <c r="AD302" t="str">
        <f t="shared" si="8"/>
        <v>CP</v>
      </c>
      <c r="AE302" t="str">
        <f>_xlfn.XLOOKUP(D302,Mapping!A:A,Mapping!D:D,0,0)</f>
        <v>Bin</v>
      </c>
      <c r="AF302" t="str">
        <f t="shared" si="9"/>
        <v>OLD</v>
      </c>
    </row>
    <row r="303" spans="1:32" x14ac:dyDescent="0.2">
      <c r="A303" t="s">
        <v>1118</v>
      </c>
      <c r="B303" t="s">
        <v>39</v>
      </c>
      <c r="C303">
        <v>1012710962</v>
      </c>
      <c r="D303" t="s">
        <v>358</v>
      </c>
      <c r="E303" t="s">
        <v>31</v>
      </c>
      <c r="F303" s="1">
        <v>0.67291666666666672</v>
      </c>
      <c r="G303" t="s">
        <v>32</v>
      </c>
      <c r="H303" t="s">
        <v>33</v>
      </c>
      <c r="I303" t="s">
        <v>34</v>
      </c>
      <c r="J303" t="s">
        <v>84</v>
      </c>
      <c r="K303">
        <v>372</v>
      </c>
      <c r="L303">
        <v>0</v>
      </c>
      <c r="M303" t="s">
        <v>63</v>
      </c>
      <c r="N303">
        <v>150</v>
      </c>
      <c r="O303">
        <v>0</v>
      </c>
      <c r="P303">
        <v>0</v>
      </c>
      <c r="Q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 t="s">
        <v>36</v>
      </c>
      <c r="AC303" t="s">
        <v>43</v>
      </c>
      <c r="AD303" t="str">
        <f t="shared" si="8"/>
        <v>CP</v>
      </c>
      <c r="AE303" t="str">
        <f>_xlfn.XLOOKUP(D303,Mapping!A:A,Mapping!D:D,0,0)</f>
        <v>Bin</v>
      </c>
      <c r="AF303" t="str">
        <f t="shared" si="9"/>
        <v>OLD</v>
      </c>
    </row>
    <row r="304" spans="1:32" x14ac:dyDescent="0.2">
      <c r="A304" t="s">
        <v>1118</v>
      </c>
      <c r="B304" t="s">
        <v>39</v>
      </c>
      <c r="C304">
        <v>1012710972</v>
      </c>
      <c r="D304" t="s">
        <v>359</v>
      </c>
      <c r="E304" t="s">
        <v>31</v>
      </c>
      <c r="F304" s="1">
        <v>0.67291666666666672</v>
      </c>
      <c r="G304" t="s">
        <v>32</v>
      </c>
      <c r="H304" t="s">
        <v>33</v>
      </c>
      <c r="I304" t="s">
        <v>41</v>
      </c>
      <c r="J304" t="s">
        <v>62</v>
      </c>
      <c r="K304">
        <v>930</v>
      </c>
      <c r="L304">
        <v>0</v>
      </c>
      <c r="M304" t="s">
        <v>36</v>
      </c>
      <c r="N304" t="s">
        <v>37</v>
      </c>
      <c r="O304">
        <v>0</v>
      </c>
      <c r="P304">
        <v>0</v>
      </c>
      <c r="Q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 t="s">
        <v>36</v>
      </c>
      <c r="AC304" t="s">
        <v>43</v>
      </c>
      <c r="AD304" t="str">
        <f t="shared" si="8"/>
        <v>CP</v>
      </c>
      <c r="AE304" t="str">
        <f>_xlfn.XLOOKUP(D304,Mapping!A:A,Mapping!D:D,0,0)</f>
        <v>Bin</v>
      </c>
      <c r="AF304" t="str">
        <f t="shared" si="9"/>
        <v>OLD</v>
      </c>
    </row>
    <row r="305" spans="1:32" x14ac:dyDescent="0.2">
      <c r="A305" t="s">
        <v>1118</v>
      </c>
      <c r="B305" t="s">
        <v>39</v>
      </c>
      <c r="C305">
        <v>1012710982</v>
      </c>
      <c r="D305" t="s">
        <v>360</v>
      </c>
      <c r="E305" t="s">
        <v>31</v>
      </c>
      <c r="F305" s="1">
        <v>0.67291666666666672</v>
      </c>
      <c r="G305" t="s">
        <v>32</v>
      </c>
      <c r="H305" t="s">
        <v>33</v>
      </c>
      <c r="I305" t="s">
        <v>41</v>
      </c>
      <c r="J305" t="s">
        <v>62</v>
      </c>
      <c r="K305">
        <v>930</v>
      </c>
      <c r="L305">
        <v>0</v>
      </c>
      <c r="M305" t="s">
        <v>36</v>
      </c>
      <c r="N305" t="s">
        <v>37</v>
      </c>
      <c r="O305">
        <v>0</v>
      </c>
      <c r="P305">
        <v>0</v>
      </c>
      <c r="Q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 t="s">
        <v>36</v>
      </c>
      <c r="AC305" t="s">
        <v>172</v>
      </c>
      <c r="AD305" t="str">
        <f t="shared" si="8"/>
        <v>CP</v>
      </c>
      <c r="AE305" t="str">
        <f>_xlfn.XLOOKUP(D305,Mapping!A:A,Mapping!D:D,0,0)</f>
        <v>Ocean</v>
      </c>
      <c r="AF305" t="str">
        <f t="shared" si="9"/>
        <v>OLD</v>
      </c>
    </row>
    <row r="306" spans="1:32" x14ac:dyDescent="0.2">
      <c r="A306" t="s">
        <v>1118</v>
      </c>
      <c r="B306" t="s">
        <v>39</v>
      </c>
      <c r="C306">
        <v>1012710992</v>
      </c>
      <c r="D306" t="s">
        <v>361</v>
      </c>
      <c r="E306" t="s">
        <v>31</v>
      </c>
      <c r="F306" s="1">
        <v>0.67291666666666672</v>
      </c>
      <c r="G306" t="s">
        <v>32</v>
      </c>
      <c r="H306" t="s">
        <v>33</v>
      </c>
      <c r="I306" t="s">
        <v>34</v>
      </c>
      <c r="J306" t="s">
        <v>84</v>
      </c>
      <c r="K306">
        <v>372</v>
      </c>
      <c r="L306">
        <v>0</v>
      </c>
      <c r="M306" t="s">
        <v>36</v>
      </c>
      <c r="N306" t="s">
        <v>37</v>
      </c>
      <c r="O306">
        <v>0</v>
      </c>
      <c r="P306">
        <v>0</v>
      </c>
      <c r="Q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 t="s">
        <v>36</v>
      </c>
      <c r="AC306" t="s">
        <v>43</v>
      </c>
      <c r="AD306" t="str">
        <f t="shared" si="8"/>
        <v>CP</v>
      </c>
      <c r="AE306" t="str">
        <f>_xlfn.XLOOKUP(D306,Mapping!A:A,Mapping!D:D,0,0)</f>
        <v>Bin</v>
      </c>
      <c r="AF306" t="str">
        <f t="shared" si="9"/>
        <v>OLD</v>
      </c>
    </row>
    <row r="307" spans="1:32" x14ac:dyDescent="0.2">
      <c r="A307" t="s">
        <v>1118</v>
      </c>
      <c r="B307" t="s">
        <v>39</v>
      </c>
      <c r="C307">
        <v>1012711002</v>
      </c>
      <c r="D307" t="s">
        <v>362</v>
      </c>
      <c r="E307" t="s">
        <v>31</v>
      </c>
      <c r="F307" s="1">
        <v>0.67291666666666672</v>
      </c>
      <c r="G307" t="s">
        <v>32</v>
      </c>
      <c r="H307" t="s">
        <v>33</v>
      </c>
      <c r="I307" t="s">
        <v>41</v>
      </c>
      <c r="J307" t="s">
        <v>62</v>
      </c>
      <c r="K307">
        <v>930</v>
      </c>
      <c r="L307">
        <v>0</v>
      </c>
      <c r="M307" t="s">
        <v>36</v>
      </c>
      <c r="N307" t="s">
        <v>37</v>
      </c>
      <c r="O307">
        <v>0</v>
      </c>
      <c r="P307">
        <v>0</v>
      </c>
      <c r="Q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 t="s">
        <v>36</v>
      </c>
      <c r="AC307" t="s">
        <v>43</v>
      </c>
      <c r="AD307" t="str">
        <f t="shared" si="8"/>
        <v>CP</v>
      </c>
      <c r="AE307" t="str">
        <f>_xlfn.XLOOKUP(D307,Mapping!A:A,Mapping!D:D,0,0)</f>
        <v>Bin</v>
      </c>
      <c r="AF307" t="str">
        <f t="shared" si="9"/>
        <v>OLD</v>
      </c>
    </row>
    <row r="308" spans="1:32" x14ac:dyDescent="0.2">
      <c r="A308" t="s">
        <v>1118</v>
      </c>
      <c r="B308" t="s">
        <v>29</v>
      </c>
      <c r="C308">
        <v>1012711012</v>
      </c>
      <c r="D308" t="s">
        <v>363</v>
      </c>
      <c r="E308" t="s">
        <v>31</v>
      </c>
      <c r="F308" s="1">
        <v>0.67291666666666672</v>
      </c>
      <c r="G308" t="s">
        <v>32</v>
      </c>
      <c r="H308" t="s">
        <v>33</v>
      </c>
      <c r="I308" t="s">
        <v>41</v>
      </c>
      <c r="J308" t="s">
        <v>62</v>
      </c>
      <c r="K308">
        <v>810</v>
      </c>
      <c r="L308">
        <v>0</v>
      </c>
      <c r="M308" t="s">
        <v>36</v>
      </c>
      <c r="N308" t="s">
        <v>37</v>
      </c>
      <c r="O308">
        <v>1129</v>
      </c>
      <c r="P308">
        <v>55</v>
      </c>
      <c r="Q308">
        <v>4.8715700000000002</v>
      </c>
      <c r="R308">
        <v>0</v>
      </c>
      <c r="S308">
        <v>1.61</v>
      </c>
      <c r="T308">
        <v>1.4279999999999999</v>
      </c>
      <c r="U308">
        <v>2.9000000000000001E-2</v>
      </c>
      <c r="V308">
        <v>0</v>
      </c>
      <c r="W308">
        <v>1</v>
      </c>
      <c r="X308">
        <v>0</v>
      </c>
      <c r="Y308" t="s">
        <v>36</v>
      </c>
      <c r="Z308">
        <v>1130</v>
      </c>
      <c r="AA308">
        <v>992</v>
      </c>
      <c r="AB308">
        <v>102</v>
      </c>
      <c r="AC308" t="s">
        <v>172</v>
      </c>
      <c r="AD308" t="str">
        <f t="shared" si="8"/>
        <v>CP</v>
      </c>
      <c r="AE308" t="str">
        <f>_xlfn.XLOOKUP(D308,Mapping!A:A,Mapping!D:D,0,0)</f>
        <v>Ocean</v>
      </c>
      <c r="AF308" t="str">
        <f t="shared" si="9"/>
        <v>OLD</v>
      </c>
    </row>
    <row r="309" spans="1:32" x14ac:dyDescent="0.2">
      <c r="A309" t="s">
        <v>1118</v>
      </c>
      <c r="B309" t="s">
        <v>39</v>
      </c>
      <c r="C309">
        <v>1012711022</v>
      </c>
      <c r="D309" t="s">
        <v>364</v>
      </c>
      <c r="E309" t="s">
        <v>31</v>
      </c>
      <c r="F309" s="1">
        <v>0.67291666666666672</v>
      </c>
      <c r="G309" t="s">
        <v>32</v>
      </c>
      <c r="H309" t="s">
        <v>33</v>
      </c>
      <c r="I309" t="s">
        <v>41</v>
      </c>
      <c r="J309" t="s">
        <v>62</v>
      </c>
      <c r="K309">
        <v>930</v>
      </c>
      <c r="L309">
        <v>0</v>
      </c>
      <c r="M309" t="s">
        <v>36</v>
      </c>
      <c r="N309" t="s">
        <v>37</v>
      </c>
      <c r="O309">
        <v>0</v>
      </c>
      <c r="P309">
        <v>0</v>
      </c>
      <c r="Q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 t="s">
        <v>36</v>
      </c>
      <c r="AC309" t="s">
        <v>43</v>
      </c>
      <c r="AD309" t="str">
        <f t="shared" si="8"/>
        <v>CP</v>
      </c>
      <c r="AE309" t="str">
        <f>_xlfn.XLOOKUP(D309,Mapping!A:A,Mapping!D:D,0,0)</f>
        <v>Bin</v>
      </c>
      <c r="AF309" t="str">
        <f t="shared" si="9"/>
        <v>OLD</v>
      </c>
    </row>
    <row r="310" spans="1:32" x14ac:dyDescent="0.2">
      <c r="A310" t="s">
        <v>1118</v>
      </c>
      <c r="B310" t="s">
        <v>29</v>
      </c>
      <c r="C310">
        <v>1012711032</v>
      </c>
      <c r="D310" t="s">
        <v>365</v>
      </c>
      <c r="E310" t="s">
        <v>31</v>
      </c>
      <c r="F310" s="1">
        <v>0.67291666666666672</v>
      </c>
      <c r="G310" t="s">
        <v>32</v>
      </c>
      <c r="H310" t="s">
        <v>33</v>
      </c>
      <c r="I310" t="s">
        <v>34</v>
      </c>
      <c r="J310" t="s">
        <v>84</v>
      </c>
      <c r="K310">
        <v>372</v>
      </c>
      <c r="L310">
        <v>0</v>
      </c>
      <c r="M310" t="s">
        <v>36</v>
      </c>
      <c r="N310" t="s">
        <v>37</v>
      </c>
      <c r="O310">
        <v>2299</v>
      </c>
      <c r="P310">
        <v>74</v>
      </c>
      <c r="Q310">
        <v>3.2187899999999998</v>
      </c>
      <c r="R310">
        <v>0</v>
      </c>
      <c r="S310">
        <v>7.02</v>
      </c>
      <c r="T310">
        <v>3.0529999999999999</v>
      </c>
      <c r="U310">
        <v>9.5000000000000001E-2</v>
      </c>
      <c r="V310">
        <v>0</v>
      </c>
      <c r="W310">
        <v>1</v>
      </c>
      <c r="X310">
        <v>0</v>
      </c>
      <c r="Y310" t="s">
        <v>36</v>
      </c>
      <c r="Z310">
        <v>2300</v>
      </c>
      <c r="AA310">
        <v>1896</v>
      </c>
      <c r="AB310">
        <v>229</v>
      </c>
      <c r="AC310" t="s">
        <v>172</v>
      </c>
      <c r="AD310" t="str">
        <f t="shared" si="8"/>
        <v>CP</v>
      </c>
      <c r="AE310" t="str">
        <f>_xlfn.XLOOKUP(D310,Mapping!A:A,Mapping!D:D,0,0)</f>
        <v>Keyword - Preroll</v>
      </c>
      <c r="AF310" t="str">
        <f t="shared" si="9"/>
        <v>OLD</v>
      </c>
    </row>
    <row r="311" spans="1:32" x14ac:dyDescent="0.2">
      <c r="A311" t="s">
        <v>1118</v>
      </c>
      <c r="B311" t="s">
        <v>39</v>
      </c>
      <c r="C311">
        <v>1012711042</v>
      </c>
      <c r="D311" t="s">
        <v>366</v>
      </c>
      <c r="E311" t="s">
        <v>31</v>
      </c>
      <c r="F311" s="1">
        <v>0.67291666666666672</v>
      </c>
      <c r="G311" t="s">
        <v>32</v>
      </c>
      <c r="H311" t="s">
        <v>33</v>
      </c>
      <c r="I311" t="s">
        <v>41</v>
      </c>
      <c r="J311" t="s">
        <v>62</v>
      </c>
      <c r="K311">
        <v>930</v>
      </c>
      <c r="L311">
        <v>0</v>
      </c>
      <c r="M311" t="s">
        <v>36</v>
      </c>
      <c r="N311" t="s">
        <v>37</v>
      </c>
      <c r="O311">
        <v>0</v>
      </c>
      <c r="P311">
        <v>0</v>
      </c>
      <c r="Q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 t="s">
        <v>36</v>
      </c>
      <c r="AC311" t="s">
        <v>43</v>
      </c>
      <c r="AD311" t="str">
        <f t="shared" si="8"/>
        <v>CP</v>
      </c>
      <c r="AE311" t="str">
        <f>_xlfn.XLOOKUP(D311,Mapping!A:A,Mapping!D:D,0,0)</f>
        <v>Bin</v>
      </c>
      <c r="AF311" t="str">
        <f t="shared" si="9"/>
        <v>OLD</v>
      </c>
    </row>
    <row r="312" spans="1:32" x14ac:dyDescent="0.2">
      <c r="A312" t="s">
        <v>1118</v>
      </c>
      <c r="B312" t="s">
        <v>39</v>
      </c>
      <c r="C312">
        <v>1012711052</v>
      </c>
      <c r="D312" t="s">
        <v>367</v>
      </c>
      <c r="E312" t="s">
        <v>31</v>
      </c>
      <c r="F312" s="1">
        <v>0.67291666666666672</v>
      </c>
      <c r="G312" t="s">
        <v>32</v>
      </c>
      <c r="H312" t="s">
        <v>33</v>
      </c>
      <c r="I312" t="s">
        <v>41</v>
      </c>
      <c r="J312" t="s">
        <v>62</v>
      </c>
      <c r="K312">
        <v>930</v>
      </c>
      <c r="L312">
        <v>0</v>
      </c>
      <c r="M312" t="s">
        <v>36</v>
      </c>
      <c r="N312" t="s">
        <v>37</v>
      </c>
      <c r="O312">
        <v>0</v>
      </c>
      <c r="P312">
        <v>0</v>
      </c>
      <c r="Q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 t="s">
        <v>36</v>
      </c>
      <c r="AC312" t="s">
        <v>43</v>
      </c>
      <c r="AD312" t="str">
        <f t="shared" si="8"/>
        <v>CP</v>
      </c>
      <c r="AE312" t="str">
        <f>_xlfn.XLOOKUP(D312,Mapping!A:A,Mapping!D:D,0,0)</f>
        <v>Bin</v>
      </c>
      <c r="AF312" t="str">
        <f t="shared" si="9"/>
        <v>OLD</v>
      </c>
    </row>
    <row r="313" spans="1:32" x14ac:dyDescent="0.2">
      <c r="A313" t="s">
        <v>1118</v>
      </c>
      <c r="B313" t="s">
        <v>39</v>
      </c>
      <c r="C313">
        <v>1012711062</v>
      </c>
      <c r="D313" t="s">
        <v>368</v>
      </c>
      <c r="E313" t="s">
        <v>31</v>
      </c>
      <c r="F313" s="1">
        <v>0.67291666666666672</v>
      </c>
      <c r="G313" t="s">
        <v>32</v>
      </c>
      <c r="H313" t="s">
        <v>33</v>
      </c>
      <c r="I313" t="s">
        <v>34</v>
      </c>
      <c r="J313" t="s">
        <v>84</v>
      </c>
      <c r="K313">
        <v>372</v>
      </c>
      <c r="L313">
        <v>0</v>
      </c>
      <c r="M313" t="s">
        <v>36</v>
      </c>
      <c r="N313" t="s">
        <v>37</v>
      </c>
      <c r="O313">
        <v>0</v>
      </c>
      <c r="P313">
        <v>0</v>
      </c>
      <c r="Q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 t="s">
        <v>36</v>
      </c>
      <c r="AC313" t="s">
        <v>43</v>
      </c>
      <c r="AD313" t="str">
        <f t="shared" si="8"/>
        <v>CP</v>
      </c>
      <c r="AE313" t="str">
        <f>_xlfn.XLOOKUP(D313,Mapping!A:A,Mapping!D:D,0,0)</f>
        <v>Bin</v>
      </c>
      <c r="AF313" t="str">
        <f t="shared" si="9"/>
        <v>OLD</v>
      </c>
    </row>
    <row r="314" spans="1:32" x14ac:dyDescent="0.2">
      <c r="A314" t="s">
        <v>1118</v>
      </c>
      <c r="B314" t="s">
        <v>39</v>
      </c>
      <c r="C314">
        <v>1012711072</v>
      </c>
      <c r="D314" t="s">
        <v>369</v>
      </c>
      <c r="E314" t="s">
        <v>31</v>
      </c>
      <c r="F314" s="1">
        <v>0.67291666666666672</v>
      </c>
      <c r="G314" t="s">
        <v>32</v>
      </c>
      <c r="H314" t="s">
        <v>33</v>
      </c>
      <c r="I314" t="s">
        <v>41</v>
      </c>
      <c r="J314" t="s">
        <v>62</v>
      </c>
      <c r="K314">
        <v>930</v>
      </c>
      <c r="L314">
        <v>0</v>
      </c>
      <c r="M314" t="s">
        <v>36</v>
      </c>
      <c r="N314" t="s">
        <v>37</v>
      </c>
      <c r="O314">
        <v>0</v>
      </c>
      <c r="P314">
        <v>0</v>
      </c>
      <c r="Q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 t="s">
        <v>36</v>
      </c>
      <c r="AC314" t="s">
        <v>43</v>
      </c>
      <c r="AD314" t="str">
        <f t="shared" si="8"/>
        <v>CP</v>
      </c>
      <c r="AE314" t="str">
        <f>_xlfn.XLOOKUP(D314,Mapping!A:A,Mapping!D:D,0,0)</f>
        <v>Bin</v>
      </c>
      <c r="AF314" t="str">
        <f t="shared" si="9"/>
        <v>OLD</v>
      </c>
    </row>
    <row r="315" spans="1:32" x14ac:dyDescent="0.2">
      <c r="A315" t="s">
        <v>1118</v>
      </c>
      <c r="B315" t="s">
        <v>39</v>
      </c>
      <c r="C315">
        <v>1012711082</v>
      </c>
      <c r="D315" t="s">
        <v>370</v>
      </c>
      <c r="E315" t="s">
        <v>31</v>
      </c>
      <c r="F315" s="1">
        <v>0.67291666666666672</v>
      </c>
      <c r="G315" t="s">
        <v>32</v>
      </c>
      <c r="H315" t="s">
        <v>33</v>
      </c>
      <c r="I315" t="s">
        <v>41</v>
      </c>
      <c r="J315" t="s">
        <v>84</v>
      </c>
      <c r="K315">
        <v>558</v>
      </c>
      <c r="L315">
        <v>0</v>
      </c>
      <c r="M315" t="s">
        <v>63</v>
      </c>
      <c r="N315">
        <v>250</v>
      </c>
      <c r="O315">
        <v>0</v>
      </c>
      <c r="P315">
        <v>0</v>
      </c>
      <c r="Q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 t="s">
        <v>36</v>
      </c>
      <c r="AC315" t="s">
        <v>43</v>
      </c>
      <c r="AD315" t="str">
        <f t="shared" si="8"/>
        <v>CP</v>
      </c>
      <c r="AE315" t="str">
        <f>_xlfn.XLOOKUP(D315,Mapping!A:A,Mapping!D:D,0,0)</f>
        <v>Bin</v>
      </c>
      <c r="AF315" t="str">
        <f t="shared" si="9"/>
        <v>OLD</v>
      </c>
    </row>
    <row r="316" spans="1:32" x14ac:dyDescent="0.2">
      <c r="A316" t="s">
        <v>1118</v>
      </c>
      <c r="B316" t="s">
        <v>39</v>
      </c>
      <c r="C316">
        <v>1012718322</v>
      </c>
      <c r="D316" t="s">
        <v>371</v>
      </c>
      <c r="E316" t="s">
        <v>31</v>
      </c>
      <c r="F316" s="1">
        <v>0.67291666666666672</v>
      </c>
      <c r="G316" t="s">
        <v>32</v>
      </c>
      <c r="H316" t="s">
        <v>33</v>
      </c>
      <c r="I316" t="s">
        <v>41</v>
      </c>
      <c r="J316" t="s">
        <v>84</v>
      </c>
      <c r="K316">
        <v>614</v>
      </c>
      <c r="L316">
        <v>0</v>
      </c>
      <c r="M316" t="s">
        <v>63</v>
      </c>
      <c r="N316">
        <v>250</v>
      </c>
      <c r="O316">
        <v>0</v>
      </c>
      <c r="P316">
        <v>0</v>
      </c>
      <c r="Q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 t="s">
        <v>36</v>
      </c>
      <c r="AC316" t="s">
        <v>43</v>
      </c>
      <c r="AD316" t="str">
        <f t="shared" si="8"/>
        <v>CP</v>
      </c>
      <c r="AE316" t="str">
        <f>_xlfn.XLOOKUP(D316,Mapping!A:A,Mapping!D:D,0,0)</f>
        <v>Bin</v>
      </c>
      <c r="AF316" t="str">
        <f t="shared" si="9"/>
        <v>OLD</v>
      </c>
    </row>
    <row r="317" spans="1:32" x14ac:dyDescent="0.2">
      <c r="A317" t="s">
        <v>1118</v>
      </c>
      <c r="B317" t="s">
        <v>39</v>
      </c>
      <c r="C317">
        <v>1012718332</v>
      </c>
      <c r="D317" t="s">
        <v>372</v>
      </c>
      <c r="E317" t="s">
        <v>31</v>
      </c>
      <c r="F317" s="1">
        <v>0.67291666666666672</v>
      </c>
      <c r="G317" t="s">
        <v>32</v>
      </c>
      <c r="H317" t="s">
        <v>33</v>
      </c>
      <c r="I317" t="s">
        <v>41</v>
      </c>
      <c r="J317" t="s">
        <v>84</v>
      </c>
      <c r="K317">
        <v>614</v>
      </c>
      <c r="L317">
        <v>0</v>
      </c>
      <c r="M317" t="s">
        <v>36</v>
      </c>
      <c r="N317" t="s">
        <v>37</v>
      </c>
      <c r="O317">
        <v>0</v>
      </c>
      <c r="P317">
        <v>0</v>
      </c>
      <c r="Q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 t="s">
        <v>36</v>
      </c>
      <c r="AC317" t="s">
        <v>43</v>
      </c>
      <c r="AD317" t="str">
        <f t="shared" si="8"/>
        <v>CP</v>
      </c>
      <c r="AE317" t="str">
        <f>_xlfn.XLOOKUP(D317,Mapping!A:A,Mapping!D:D,0,0)</f>
        <v>Bin</v>
      </c>
      <c r="AF317" t="str">
        <f t="shared" si="9"/>
        <v>OLD</v>
      </c>
    </row>
    <row r="318" spans="1:32" x14ac:dyDescent="0.2">
      <c r="A318" t="s">
        <v>1118</v>
      </c>
      <c r="B318" t="s">
        <v>39</v>
      </c>
      <c r="C318">
        <v>1012718342</v>
      </c>
      <c r="D318" t="s">
        <v>373</v>
      </c>
      <c r="E318" t="s">
        <v>31</v>
      </c>
      <c r="F318" s="1">
        <v>0.67291666666666672</v>
      </c>
      <c r="G318" t="s">
        <v>32</v>
      </c>
      <c r="H318" t="s">
        <v>33</v>
      </c>
      <c r="I318" t="s">
        <v>41</v>
      </c>
      <c r="J318" t="s">
        <v>84</v>
      </c>
      <c r="K318">
        <v>254</v>
      </c>
      <c r="L318">
        <v>0</v>
      </c>
      <c r="M318" t="s">
        <v>36</v>
      </c>
      <c r="N318" t="s">
        <v>37</v>
      </c>
      <c r="O318">
        <v>0</v>
      </c>
      <c r="P318">
        <v>0</v>
      </c>
      <c r="Q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 t="s">
        <v>36</v>
      </c>
      <c r="AC318" t="s">
        <v>43</v>
      </c>
      <c r="AD318" t="str">
        <f t="shared" si="8"/>
        <v>CP</v>
      </c>
      <c r="AE318" t="str">
        <f>_xlfn.XLOOKUP(D318,Mapping!A:A,Mapping!D:D,0,0)</f>
        <v>Bin</v>
      </c>
      <c r="AF318" t="str">
        <f t="shared" si="9"/>
        <v>OLD</v>
      </c>
    </row>
    <row r="319" spans="1:32" x14ac:dyDescent="0.2">
      <c r="A319" t="s">
        <v>1118</v>
      </c>
      <c r="B319" t="s">
        <v>39</v>
      </c>
      <c r="C319">
        <v>1012718362</v>
      </c>
      <c r="D319" t="s">
        <v>374</v>
      </c>
      <c r="E319" t="s">
        <v>31</v>
      </c>
      <c r="F319" s="1">
        <v>0.67291666666666672</v>
      </c>
      <c r="G319" t="s">
        <v>32</v>
      </c>
      <c r="H319" t="s">
        <v>33</v>
      </c>
      <c r="I319" t="s">
        <v>41</v>
      </c>
      <c r="J319" t="s">
        <v>84</v>
      </c>
      <c r="K319">
        <v>254</v>
      </c>
      <c r="L319">
        <v>0</v>
      </c>
      <c r="M319" t="s">
        <v>63</v>
      </c>
      <c r="N319">
        <v>250</v>
      </c>
      <c r="O319">
        <v>0</v>
      </c>
      <c r="P319">
        <v>0</v>
      </c>
      <c r="Q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 t="s">
        <v>36</v>
      </c>
      <c r="AC319" t="s">
        <v>43</v>
      </c>
      <c r="AD319" t="str">
        <f t="shared" si="8"/>
        <v>CP</v>
      </c>
      <c r="AE319" t="str">
        <f>_xlfn.XLOOKUP(D319,Mapping!A:A,Mapping!D:D,0,0)</f>
        <v>Bin</v>
      </c>
      <c r="AF319" t="str">
        <f t="shared" si="9"/>
        <v>OLD</v>
      </c>
    </row>
    <row r="320" spans="1:32" x14ac:dyDescent="0.2">
      <c r="A320" t="s">
        <v>1118</v>
      </c>
      <c r="B320" t="s">
        <v>39</v>
      </c>
      <c r="C320">
        <v>1012718372</v>
      </c>
      <c r="D320" t="s">
        <v>375</v>
      </c>
      <c r="E320" t="s">
        <v>31</v>
      </c>
      <c r="F320" s="1">
        <v>0.67291666666666672</v>
      </c>
      <c r="G320" t="s">
        <v>32</v>
      </c>
      <c r="H320" t="s">
        <v>33</v>
      </c>
      <c r="I320" t="s">
        <v>41</v>
      </c>
      <c r="J320" t="s">
        <v>84</v>
      </c>
      <c r="K320">
        <v>120</v>
      </c>
      <c r="L320">
        <v>0</v>
      </c>
      <c r="M320" t="s">
        <v>36</v>
      </c>
      <c r="N320" t="s">
        <v>37</v>
      </c>
      <c r="O320">
        <v>0</v>
      </c>
      <c r="P320">
        <v>0</v>
      </c>
      <c r="Q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 t="s">
        <v>36</v>
      </c>
      <c r="AC320" t="s">
        <v>43</v>
      </c>
      <c r="AD320" t="str">
        <f t="shared" si="8"/>
        <v>CP</v>
      </c>
      <c r="AE320" t="str">
        <f>_xlfn.XLOOKUP(D320,Mapping!A:A,Mapping!D:D,0,0)</f>
        <v>Bin</v>
      </c>
      <c r="AF320" t="str">
        <f t="shared" si="9"/>
        <v>OLD</v>
      </c>
    </row>
    <row r="321" spans="1:32" x14ac:dyDescent="0.2">
      <c r="A321" t="s">
        <v>1118</v>
      </c>
      <c r="B321" t="s">
        <v>39</v>
      </c>
      <c r="C321">
        <v>1012718382</v>
      </c>
      <c r="D321" t="s">
        <v>376</v>
      </c>
      <c r="E321" t="s">
        <v>31</v>
      </c>
      <c r="F321" s="1">
        <v>0.67291666666666672</v>
      </c>
      <c r="G321" t="s">
        <v>32</v>
      </c>
      <c r="H321" t="s">
        <v>33</v>
      </c>
      <c r="I321" t="s">
        <v>41</v>
      </c>
      <c r="J321" t="s">
        <v>84</v>
      </c>
      <c r="K321">
        <v>254</v>
      </c>
      <c r="L321">
        <v>0</v>
      </c>
      <c r="M321" t="s">
        <v>63</v>
      </c>
      <c r="N321">
        <v>250</v>
      </c>
      <c r="O321">
        <v>0</v>
      </c>
      <c r="P321">
        <v>0</v>
      </c>
      <c r="Q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 t="s">
        <v>36</v>
      </c>
      <c r="AC321" t="s">
        <v>43</v>
      </c>
      <c r="AD321" t="str">
        <f t="shared" si="8"/>
        <v>CP</v>
      </c>
      <c r="AE321" t="str">
        <f>_xlfn.XLOOKUP(D321,Mapping!A:A,Mapping!D:D,0,0)</f>
        <v>Bin</v>
      </c>
      <c r="AF321" t="str">
        <f t="shared" si="9"/>
        <v>OLD</v>
      </c>
    </row>
    <row r="322" spans="1:32" x14ac:dyDescent="0.2">
      <c r="A322" t="s">
        <v>1118</v>
      </c>
      <c r="B322" t="s">
        <v>39</v>
      </c>
      <c r="C322">
        <v>1012718502</v>
      </c>
      <c r="D322" t="s">
        <v>377</v>
      </c>
      <c r="E322" t="s">
        <v>31</v>
      </c>
      <c r="F322" s="1">
        <v>0.67291666666666672</v>
      </c>
      <c r="G322" t="s">
        <v>32</v>
      </c>
      <c r="H322" t="s">
        <v>33</v>
      </c>
      <c r="I322" t="s">
        <v>41</v>
      </c>
      <c r="J322" t="s">
        <v>84</v>
      </c>
      <c r="K322">
        <v>280</v>
      </c>
      <c r="L322">
        <v>0</v>
      </c>
      <c r="M322" t="s">
        <v>36</v>
      </c>
      <c r="N322" t="s">
        <v>37</v>
      </c>
      <c r="O322">
        <v>0</v>
      </c>
      <c r="P322">
        <v>0</v>
      </c>
      <c r="Q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 t="s">
        <v>36</v>
      </c>
      <c r="AC322" t="s">
        <v>43</v>
      </c>
      <c r="AD322" t="str">
        <f t="shared" si="8"/>
        <v>CP</v>
      </c>
      <c r="AE322" t="str">
        <f>_xlfn.XLOOKUP(D322,Mapping!A:A,Mapping!D:D,0,0)</f>
        <v>Bin</v>
      </c>
      <c r="AF322" t="str">
        <f t="shared" si="9"/>
        <v>OLD</v>
      </c>
    </row>
    <row r="323" spans="1:32" x14ac:dyDescent="0.2">
      <c r="A323" t="s">
        <v>1118</v>
      </c>
      <c r="B323" t="s">
        <v>39</v>
      </c>
      <c r="C323">
        <v>1012718512</v>
      </c>
      <c r="D323" t="s">
        <v>378</v>
      </c>
      <c r="E323" t="s">
        <v>31</v>
      </c>
      <c r="F323" s="1">
        <v>0.67291666666666672</v>
      </c>
      <c r="G323" t="s">
        <v>32</v>
      </c>
      <c r="H323" t="s">
        <v>33</v>
      </c>
      <c r="I323" t="s">
        <v>41</v>
      </c>
      <c r="J323" t="s">
        <v>84</v>
      </c>
      <c r="K323">
        <v>254</v>
      </c>
      <c r="L323">
        <v>0</v>
      </c>
      <c r="M323" t="s">
        <v>63</v>
      </c>
      <c r="N323">
        <v>250</v>
      </c>
      <c r="O323">
        <v>0</v>
      </c>
      <c r="P323">
        <v>0</v>
      </c>
      <c r="Q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 t="s">
        <v>36</v>
      </c>
      <c r="AC323" t="s">
        <v>43</v>
      </c>
      <c r="AD323" t="str">
        <f t="shared" ref="AD323:AD386" si="10">LEFT(D323,2)</f>
        <v>CP</v>
      </c>
      <c r="AE323" t="str">
        <f>_xlfn.XLOOKUP(D323,Mapping!A:A,Mapping!D:D,0,0)</f>
        <v>Bin</v>
      </c>
      <c r="AF323" t="str">
        <f t="shared" ref="AF323:AF386" si="11">IFERROR(IF(SEARCH("_TJ",D323)&gt;0,"TJ",NA()),IFERROR(IF(SEARCH("_JB",D323)&gt;0,"JB",NA()),"OLD"))</f>
        <v>OLD</v>
      </c>
    </row>
    <row r="324" spans="1:32" x14ac:dyDescent="0.2">
      <c r="A324" t="s">
        <v>1118</v>
      </c>
      <c r="B324" t="s">
        <v>39</v>
      </c>
      <c r="C324">
        <v>1012719952</v>
      </c>
      <c r="D324" t="s">
        <v>379</v>
      </c>
      <c r="E324" t="s">
        <v>31</v>
      </c>
      <c r="F324" s="1">
        <v>0.67291666666666672</v>
      </c>
      <c r="G324" t="s">
        <v>32</v>
      </c>
      <c r="H324" t="s">
        <v>33</v>
      </c>
      <c r="I324" t="s">
        <v>41</v>
      </c>
      <c r="J324" t="s">
        <v>84</v>
      </c>
      <c r="K324">
        <v>280</v>
      </c>
      <c r="L324">
        <v>0</v>
      </c>
      <c r="M324" t="s">
        <v>36</v>
      </c>
      <c r="N324" t="s">
        <v>37</v>
      </c>
      <c r="O324">
        <v>0</v>
      </c>
      <c r="P324">
        <v>0</v>
      </c>
      <c r="Q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 t="s">
        <v>36</v>
      </c>
      <c r="AC324" t="s">
        <v>43</v>
      </c>
      <c r="AD324" t="str">
        <f t="shared" si="10"/>
        <v>CP</v>
      </c>
      <c r="AE324" t="str">
        <f>_xlfn.XLOOKUP(D324,Mapping!A:A,Mapping!D:D,0,0)</f>
        <v>Bin</v>
      </c>
      <c r="AF324" t="str">
        <f t="shared" si="11"/>
        <v>OLD</v>
      </c>
    </row>
    <row r="325" spans="1:32" x14ac:dyDescent="0.2">
      <c r="A325" t="s">
        <v>1118</v>
      </c>
      <c r="B325" t="s">
        <v>39</v>
      </c>
      <c r="C325">
        <v>1012719972</v>
      </c>
      <c r="D325" t="s">
        <v>380</v>
      </c>
      <c r="E325" t="s">
        <v>31</v>
      </c>
      <c r="F325" s="1">
        <v>0.67291666666666672</v>
      </c>
      <c r="G325" t="s">
        <v>32</v>
      </c>
      <c r="H325" t="s">
        <v>33</v>
      </c>
      <c r="I325" t="s">
        <v>41</v>
      </c>
      <c r="J325" t="s">
        <v>84</v>
      </c>
      <c r="K325">
        <v>644</v>
      </c>
      <c r="L325">
        <v>0</v>
      </c>
      <c r="M325" t="s">
        <v>63</v>
      </c>
      <c r="N325">
        <v>150</v>
      </c>
      <c r="O325">
        <v>0</v>
      </c>
      <c r="P325">
        <v>0</v>
      </c>
      <c r="Q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 t="s">
        <v>36</v>
      </c>
      <c r="AC325" t="s">
        <v>43</v>
      </c>
      <c r="AD325" t="str">
        <f t="shared" si="10"/>
        <v>CP</v>
      </c>
      <c r="AE325" t="str">
        <f>_xlfn.XLOOKUP(D325,Mapping!A:A,Mapping!D:D,0,0)</f>
        <v>Bin</v>
      </c>
      <c r="AF325" t="str">
        <f t="shared" si="11"/>
        <v>OLD</v>
      </c>
    </row>
    <row r="326" spans="1:32" x14ac:dyDescent="0.2">
      <c r="A326" t="s">
        <v>1118</v>
      </c>
      <c r="B326" t="s">
        <v>39</v>
      </c>
      <c r="C326">
        <v>1012719982</v>
      </c>
      <c r="D326" t="s">
        <v>381</v>
      </c>
      <c r="E326" t="s">
        <v>31</v>
      </c>
      <c r="F326" s="1">
        <v>0.67291666666666672</v>
      </c>
      <c r="G326" t="s">
        <v>32</v>
      </c>
      <c r="H326" t="s">
        <v>33</v>
      </c>
      <c r="I326" t="s">
        <v>41</v>
      </c>
      <c r="J326" t="s">
        <v>84</v>
      </c>
      <c r="K326">
        <v>644</v>
      </c>
      <c r="L326">
        <v>0</v>
      </c>
      <c r="M326" t="s">
        <v>63</v>
      </c>
      <c r="N326">
        <v>250</v>
      </c>
      <c r="O326">
        <v>0</v>
      </c>
      <c r="P326">
        <v>0</v>
      </c>
      <c r="Q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 t="s">
        <v>36</v>
      </c>
      <c r="AC326" t="s">
        <v>43</v>
      </c>
      <c r="AD326" t="str">
        <f t="shared" si="10"/>
        <v>CP</v>
      </c>
      <c r="AE326" t="str">
        <f>_xlfn.XLOOKUP(D326,Mapping!A:A,Mapping!D:D,0,0)</f>
        <v>Bin</v>
      </c>
      <c r="AF326" t="str">
        <f t="shared" si="11"/>
        <v>OLD</v>
      </c>
    </row>
    <row r="327" spans="1:32" x14ac:dyDescent="0.2">
      <c r="A327" t="s">
        <v>1118</v>
      </c>
      <c r="B327" t="s">
        <v>39</v>
      </c>
      <c r="C327">
        <v>1012726522</v>
      </c>
      <c r="D327" t="s">
        <v>382</v>
      </c>
      <c r="E327" t="s">
        <v>31</v>
      </c>
      <c r="F327" s="1">
        <v>0.67291666666666672</v>
      </c>
      <c r="G327" t="s">
        <v>32</v>
      </c>
      <c r="H327" t="s">
        <v>33</v>
      </c>
      <c r="I327" t="s">
        <v>41</v>
      </c>
      <c r="J327" t="s">
        <v>62</v>
      </c>
      <c r="K327">
        <v>280</v>
      </c>
      <c r="L327">
        <v>0</v>
      </c>
      <c r="M327" t="s">
        <v>36</v>
      </c>
      <c r="N327" t="s">
        <v>37</v>
      </c>
      <c r="O327">
        <v>0</v>
      </c>
      <c r="P327">
        <v>0</v>
      </c>
      <c r="Q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 t="s">
        <v>36</v>
      </c>
      <c r="AC327" t="s">
        <v>43</v>
      </c>
      <c r="AD327" t="str">
        <f t="shared" si="10"/>
        <v>CP</v>
      </c>
      <c r="AE327" t="str">
        <f>_xlfn.XLOOKUP(D327,Mapping!A:A,Mapping!D:D,0,0)</f>
        <v>Bin</v>
      </c>
      <c r="AF327" t="str">
        <f t="shared" si="11"/>
        <v>OLD</v>
      </c>
    </row>
    <row r="328" spans="1:32" x14ac:dyDescent="0.2">
      <c r="A328" t="s">
        <v>1118</v>
      </c>
      <c r="B328" t="s">
        <v>39</v>
      </c>
      <c r="C328">
        <v>1012726532</v>
      </c>
      <c r="D328" t="s">
        <v>383</v>
      </c>
      <c r="E328" t="s">
        <v>31</v>
      </c>
      <c r="F328" s="1">
        <v>0.67291666666666672</v>
      </c>
      <c r="G328" t="s">
        <v>32</v>
      </c>
      <c r="H328" t="s">
        <v>33</v>
      </c>
      <c r="I328" t="s">
        <v>34</v>
      </c>
      <c r="J328" t="s">
        <v>84</v>
      </c>
      <c r="K328">
        <v>112</v>
      </c>
      <c r="L328">
        <v>0</v>
      </c>
      <c r="M328" t="s">
        <v>36</v>
      </c>
      <c r="N328" t="s">
        <v>37</v>
      </c>
      <c r="O328">
        <v>0</v>
      </c>
      <c r="P328">
        <v>0</v>
      </c>
      <c r="Q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 t="s">
        <v>36</v>
      </c>
      <c r="AC328" t="s">
        <v>43</v>
      </c>
      <c r="AD328" t="str">
        <f t="shared" si="10"/>
        <v>CP</v>
      </c>
      <c r="AE328" t="str">
        <f>_xlfn.XLOOKUP(D328,Mapping!A:A,Mapping!D:D,0,0)</f>
        <v>Bin</v>
      </c>
      <c r="AF328" t="str">
        <f t="shared" si="11"/>
        <v>OLD</v>
      </c>
    </row>
    <row r="329" spans="1:32" x14ac:dyDescent="0.2">
      <c r="A329" t="s">
        <v>1118</v>
      </c>
      <c r="B329" t="s">
        <v>39</v>
      </c>
      <c r="C329">
        <v>1012726582</v>
      </c>
      <c r="D329" t="s">
        <v>384</v>
      </c>
      <c r="E329" t="s">
        <v>31</v>
      </c>
      <c r="F329" s="1">
        <v>0.67291666666666672</v>
      </c>
      <c r="G329" t="s">
        <v>32</v>
      </c>
      <c r="H329" t="s">
        <v>33</v>
      </c>
      <c r="I329" t="s">
        <v>41</v>
      </c>
      <c r="J329" t="s">
        <v>62</v>
      </c>
      <c r="K329">
        <v>280</v>
      </c>
      <c r="L329">
        <v>0</v>
      </c>
      <c r="M329" t="s">
        <v>63</v>
      </c>
      <c r="N329">
        <v>150</v>
      </c>
      <c r="O329">
        <v>0</v>
      </c>
      <c r="P329">
        <v>0</v>
      </c>
      <c r="Q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 t="s">
        <v>36</v>
      </c>
      <c r="AC329" t="s">
        <v>43</v>
      </c>
      <c r="AD329" t="str">
        <f t="shared" si="10"/>
        <v>CP</v>
      </c>
      <c r="AE329" t="str">
        <f>_xlfn.XLOOKUP(D329,Mapping!A:A,Mapping!D:D,0,0)</f>
        <v>Bin</v>
      </c>
      <c r="AF329" t="str">
        <f t="shared" si="11"/>
        <v>OLD</v>
      </c>
    </row>
    <row r="330" spans="1:32" x14ac:dyDescent="0.2">
      <c r="A330" t="s">
        <v>1118</v>
      </c>
      <c r="B330" t="s">
        <v>39</v>
      </c>
      <c r="C330">
        <v>1012726592</v>
      </c>
      <c r="D330" t="s">
        <v>385</v>
      </c>
      <c r="E330" t="s">
        <v>31</v>
      </c>
      <c r="F330" s="1">
        <v>0.67291666666666672</v>
      </c>
      <c r="G330" t="s">
        <v>32</v>
      </c>
      <c r="H330" t="s">
        <v>33</v>
      </c>
      <c r="I330" t="s">
        <v>41</v>
      </c>
      <c r="J330" t="s">
        <v>62</v>
      </c>
      <c r="K330">
        <v>280</v>
      </c>
      <c r="L330">
        <v>0</v>
      </c>
      <c r="M330" t="s">
        <v>36</v>
      </c>
      <c r="N330" t="s">
        <v>37</v>
      </c>
      <c r="O330">
        <v>0</v>
      </c>
      <c r="P330">
        <v>0</v>
      </c>
      <c r="Q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 t="s">
        <v>36</v>
      </c>
      <c r="AC330" t="s">
        <v>43</v>
      </c>
      <c r="AD330" t="str">
        <f t="shared" si="10"/>
        <v>(c</v>
      </c>
      <c r="AE330" t="str">
        <f>_xlfn.XLOOKUP(D330,Mapping!A:A,Mapping!D:D,0,0)</f>
        <v>Bin</v>
      </c>
      <c r="AF330" t="str">
        <f t="shared" si="11"/>
        <v>OLD</v>
      </c>
    </row>
    <row r="331" spans="1:32" x14ac:dyDescent="0.2">
      <c r="A331" t="s">
        <v>1118</v>
      </c>
      <c r="B331" t="s">
        <v>39</v>
      </c>
      <c r="C331">
        <v>1012726602</v>
      </c>
      <c r="D331" t="s">
        <v>386</v>
      </c>
      <c r="E331" t="s">
        <v>31</v>
      </c>
      <c r="F331" s="1">
        <v>0.67291666666666672</v>
      </c>
      <c r="G331" t="s">
        <v>32</v>
      </c>
      <c r="H331" t="s">
        <v>33</v>
      </c>
      <c r="I331" t="s">
        <v>41</v>
      </c>
      <c r="J331" t="s">
        <v>62</v>
      </c>
      <c r="K331">
        <v>280</v>
      </c>
      <c r="L331">
        <v>0</v>
      </c>
      <c r="M331" t="s">
        <v>36</v>
      </c>
      <c r="N331" t="s">
        <v>37</v>
      </c>
      <c r="O331">
        <v>0</v>
      </c>
      <c r="P331">
        <v>0</v>
      </c>
      <c r="Q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 t="s">
        <v>36</v>
      </c>
      <c r="AC331" t="s">
        <v>43</v>
      </c>
      <c r="AD331" t="str">
        <f t="shared" si="10"/>
        <v>CP</v>
      </c>
      <c r="AE331" t="str">
        <f>_xlfn.XLOOKUP(D331,Mapping!A:A,Mapping!D:D,0,0)</f>
        <v>Bin</v>
      </c>
      <c r="AF331" t="str">
        <f t="shared" si="11"/>
        <v>OLD</v>
      </c>
    </row>
    <row r="332" spans="1:32" x14ac:dyDescent="0.2">
      <c r="A332" t="s">
        <v>1118</v>
      </c>
      <c r="B332" t="s">
        <v>39</v>
      </c>
      <c r="C332">
        <v>1012726612</v>
      </c>
      <c r="D332" t="s">
        <v>387</v>
      </c>
      <c r="E332" t="s">
        <v>31</v>
      </c>
      <c r="F332" s="1">
        <v>0.67291666666666672</v>
      </c>
      <c r="G332" t="s">
        <v>32</v>
      </c>
      <c r="H332" t="s">
        <v>33</v>
      </c>
      <c r="I332" t="s">
        <v>41</v>
      </c>
      <c r="J332" t="s">
        <v>62</v>
      </c>
      <c r="K332">
        <v>280</v>
      </c>
      <c r="L332">
        <v>0</v>
      </c>
      <c r="M332" t="s">
        <v>36</v>
      </c>
      <c r="N332" t="s">
        <v>37</v>
      </c>
      <c r="O332">
        <v>0</v>
      </c>
      <c r="P332">
        <v>0</v>
      </c>
      <c r="Q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 t="s">
        <v>36</v>
      </c>
      <c r="AC332" t="s">
        <v>43</v>
      </c>
      <c r="AD332" t="str">
        <f t="shared" si="10"/>
        <v>CP</v>
      </c>
      <c r="AE332" t="str">
        <f>_xlfn.XLOOKUP(D332,Mapping!A:A,Mapping!D:D,0,0)</f>
        <v>Bin</v>
      </c>
      <c r="AF332" t="str">
        <f t="shared" si="11"/>
        <v>OLD</v>
      </c>
    </row>
    <row r="333" spans="1:32" x14ac:dyDescent="0.2">
      <c r="A333" t="s">
        <v>1118</v>
      </c>
      <c r="B333" t="s">
        <v>39</v>
      </c>
      <c r="C333">
        <v>1012726622</v>
      </c>
      <c r="D333" t="s">
        <v>388</v>
      </c>
      <c r="E333" t="s">
        <v>31</v>
      </c>
      <c r="F333" s="1">
        <v>0.67291666666666672</v>
      </c>
      <c r="G333" t="s">
        <v>32</v>
      </c>
      <c r="H333" t="s">
        <v>33</v>
      </c>
      <c r="I333" t="s">
        <v>34</v>
      </c>
      <c r="J333" t="s">
        <v>84</v>
      </c>
      <c r="K333">
        <v>112</v>
      </c>
      <c r="L333">
        <v>0</v>
      </c>
      <c r="M333" t="s">
        <v>36</v>
      </c>
      <c r="N333" t="s">
        <v>37</v>
      </c>
      <c r="O333">
        <v>0</v>
      </c>
      <c r="P333">
        <v>0</v>
      </c>
      <c r="Q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 t="s">
        <v>36</v>
      </c>
      <c r="AC333" t="s">
        <v>43</v>
      </c>
      <c r="AD333" t="str">
        <f t="shared" si="10"/>
        <v>CP</v>
      </c>
      <c r="AE333" t="str">
        <f>_xlfn.XLOOKUP(D333,Mapping!A:A,Mapping!D:D,0,0)</f>
        <v>Bin</v>
      </c>
      <c r="AF333" t="str">
        <f t="shared" si="11"/>
        <v>OLD</v>
      </c>
    </row>
    <row r="334" spans="1:32" x14ac:dyDescent="0.2">
      <c r="A334" t="s">
        <v>1118</v>
      </c>
      <c r="B334" t="s">
        <v>39</v>
      </c>
      <c r="C334">
        <v>1012726642</v>
      </c>
      <c r="D334" t="s">
        <v>389</v>
      </c>
      <c r="E334" t="s">
        <v>31</v>
      </c>
      <c r="F334" s="1">
        <v>0.67291666666666672</v>
      </c>
      <c r="G334" t="s">
        <v>32</v>
      </c>
      <c r="H334" t="s">
        <v>33</v>
      </c>
      <c r="I334" t="s">
        <v>41</v>
      </c>
      <c r="J334" t="s">
        <v>62</v>
      </c>
      <c r="K334">
        <v>280</v>
      </c>
      <c r="L334">
        <v>0</v>
      </c>
      <c r="M334" t="s">
        <v>36</v>
      </c>
      <c r="N334" t="s">
        <v>37</v>
      </c>
      <c r="O334">
        <v>0</v>
      </c>
      <c r="P334">
        <v>0</v>
      </c>
      <c r="Q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 t="s">
        <v>36</v>
      </c>
      <c r="AC334" t="s">
        <v>43</v>
      </c>
      <c r="AD334" t="str">
        <f t="shared" si="10"/>
        <v>CP</v>
      </c>
      <c r="AE334" t="str">
        <f>_xlfn.XLOOKUP(D334,Mapping!A:A,Mapping!D:D,0,0)</f>
        <v>Bin</v>
      </c>
      <c r="AF334" t="str">
        <f t="shared" si="11"/>
        <v>OLD</v>
      </c>
    </row>
    <row r="335" spans="1:32" x14ac:dyDescent="0.2">
      <c r="A335" t="s">
        <v>1118</v>
      </c>
      <c r="B335" t="s">
        <v>39</v>
      </c>
      <c r="C335">
        <v>1012726652</v>
      </c>
      <c r="D335" t="s">
        <v>390</v>
      </c>
      <c r="E335" t="s">
        <v>31</v>
      </c>
      <c r="F335" s="1">
        <v>0.67291666666666672</v>
      </c>
      <c r="G335" t="s">
        <v>32</v>
      </c>
      <c r="H335" t="s">
        <v>33</v>
      </c>
      <c r="I335" t="s">
        <v>41</v>
      </c>
      <c r="J335" t="s">
        <v>62</v>
      </c>
      <c r="K335">
        <v>280</v>
      </c>
      <c r="L335">
        <v>0</v>
      </c>
      <c r="M335" t="s">
        <v>36</v>
      </c>
      <c r="N335" t="s">
        <v>37</v>
      </c>
      <c r="O335">
        <v>0</v>
      </c>
      <c r="P335">
        <v>0</v>
      </c>
      <c r="Q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 t="s">
        <v>36</v>
      </c>
      <c r="AC335" t="s">
        <v>43</v>
      </c>
      <c r="AD335" t="str">
        <f t="shared" si="10"/>
        <v>CP</v>
      </c>
      <c r="AE335" t="str">
        <f>_xlfn.XLOOKUP(D335,Mapping!A:A,Mapping!D:D,0,0)</f>
        <v>Bin</v>
      </c>
      <c r="AF335" t="str">
        <f t="shared" si="11"/>
        <v>OLD</v>
      </c>
    </row>
    <row r="336" spans="1:32" x14ac:dyDescent="0.2">
      <c r="A336" t="s">
        <v>1118</v>
      </c>
      <c r="B336" t="s">
        <v>39</v>
      </c>
      <c r="C336">
        <v>1012726662</v>
      </c>
      <c r="D336" t="s">
        <v>391</v>
      </c>
      <c r="E336" t="s">
        <v>31</v>
      </c>
      <c r="F336" s="1">
        <v>0.67291666666666672</v>
      </c>
      <c r="G336" t="s">
        <v>32</v>
      </c>
      <c r="H336" t="s">
        <v>33</v>
      </c>
      <c r="I336" t="s">
        <v>34</v>
      </c>
      <c r="J336" t="s">
        <v>84</v>
      </c>
      <c r="K336">
        <v>112</v>
      </c>
      <c r="L336">
        <v>0</v>
      </c>
      <c r="M336" t="s">
        <v>36</v>
      </c>
      <c r="N336" t="s">
        <v>37</v>
      </c>
      <c r="O336">
        <v>0</v>
      </c>
      <c r="P336">
        <v>0</v>
      </c>
      <c r="Q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 t="s">
        <v>36</v>
      </c>
      <c r="AC336" t="s">
        <v>43</v>
      </c>
      <c r="AD336" t="str">
        <f t="shared" si="10"/>
        <v>CP</v>
      </c>
      <c r="AE336" t="str">
        <f>_xlfn.XLOOKUP(D336,Mapping!A:A,Mapping!D:D,0,0)</f>
        <v>Bin</v>
      </c>
      <c r="AF336" t="str">
        <f t="shared" si="11"/>
        <v>OLD</v>
      </c>
    </row>
    <row r="337" spans="1:32" x14ac:dyDescent="0.2">
      <c r="A337" t="s">
        <v>1118</v>
      </c>
      <c r="B337" t="s">
        <v>39</v>
      </c>
      <c r="C337">
        <v>1012726672</v>
      </c>
      <c r="D337" t="s">
        <v>392</v>
      </c>
      <c r="E337" t="s">
        <v>31</v>
      </c>
      <c r="F337" s="1">
        <v>0.67291666666666672</v>
      </c>
      <c r="G337" t="s">
        <v>32</v>
      </c>
      <c r="H337" t="s">
        <v>33</v>
      </c>
      <c r="I337" t="s">
        <v>41</v>
      </c>
      <c r="J337" t="s">
        <v>62</v>
      </c>
      <c r="K337">
        <v>280</v>
      </c>
      <c r="L337">
        <v>0</v>
      </c>
      <c r="M337" t="s">
        <v>36</v>
      </c>
      <c r="N337" t="s">
        <v>37</v>
      </c>
      <c r="O337">
        <v>0</v>
      </c>
      <c r="P337">
        <v>0</v>
      </c>
      <c r="Q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 t="s">
        <v>36</v>
      </c>
      <c r="AC337" t="s">
        <v>43</v>
      </c>
      <c r="AD337" t="str">
        <f t="shared" si="10"/>
        <v>CP</v>
      </c>
      <c r="AE337" t="str">
        <f>_xlfn.XLOOKUP(D337,Mapping!A:A,Mapping!D:D,0,0)</f>
        <v>Bin</v>
      </c>
      <c r="AF337" t="str">
        <f t="shared" si="11"/>
        <v>OLD</v>
      </c>
    </row>
    <row r="338" spans="1:32" x14ac:dyDescent="0.2">
      <c r="A338" t="s">
        <v>1118</v>
      </c>
      <c r="B338" t="s">
        <v>39</v>
      </c>
      <c r="C338">
        <v>1012726682</v>
      </c>
      <c r="D338" t="s">
        <v>393</v>
      </c>
      <c r="E338" t="s">
        <v>31</v>
      </c>
      <c r="F338" s="1">
        <v>0.67291666666666672</v>
      </c>
      <c r="G338" t="s">
        <v>32</v>
      </c>
      <c r="H338" t="s">
        <v>33</v>
      </c>
      <c r="I338" t="s">
        <v>41</v>
      </c>
      <c r="J338" t="s">
        <v>62</v>
      </c>
      <c r="K338">
        <v>280</v>
      </c>
      <c r="L338">
        <v>0</v>
      </c>
      <c r="M338" t="s">
        <v>36</v>
      </c>
      <c r="N338" t="s">
        <v>37</v>
      </c>
      <c r="O338">
        <v>0</v>
      </c>
      <c r="P338">
        <v>0</v>
      </c>
      <c r="Q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 t="s">
        <v>36</v>
      </c>
      <c r="AC338" t="s">
        <v>43</v>
      </c>
      <c r="AD338" t="str">
        <f t="shared" si="10"/>
        <v>CP</v>
      </c>
      <c r="AE338" t="str">
        <f>_xlfn.XLOOKUP(D338,Mapping!A:A,Mapping!D:D,0,0)</f>
        <v>Bin</v>
      </c>
      <c r="AF338" t="str">
        <f t="shared" si="11"/>
        <v>OLD</v>
      </c>
    </row>
    <row r="339" spans="1:32" x14ac:dyDescent="0.2">
      <c r="A339" t="s">
        <v>1118</v>
      </c>
      <c r="B339" t="s">
        <v>39</v>
      </c>
      <c r="C339">
        <v>1012726692</v>
      </c>
      <c r="D339" t="s">
        <v>394</v>
      </c>
      <c r="E339" t="s">
        <v>31</v>
      </c>
      <c r="F339" s="1">
        <v>0.67291666666666672</v>
      </c>
      <c r="G339" t="s">
        <v>32</v>
      </c>
      <c r="H339" t="s">
        <v>33</v>
      </c>
      <c r="I339" t="s">
        <v>34</v>
      </c>
      <c r="J339" t="s">
        <v>84</v>
      </c>
      <c r="K339">
        <v>112</v>
      </c>
      <c r="L339">
        <v>0</v>
      </c>
      <c r="M339" t="s">
        <v>63</v>
      </c>
      <c r="N339">
        <v>150</v>
      </c>
      <c r="O339">
        <v>0</v>
      </c>
      <c r="P339">
        <v>0</v>
      </c>
      <c r="Q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 t="s">
        <v>36</v>
      </c>
      <c r="AC339" t="s">
        <v>43</v>
      </c>
      <c r="AD339" t="str">
        <f t="shared" si="10"/>
        <v>CP</v>
      </c>
      <c r="AE339" t="str">
        <f>_xlfn.XLOOKUP(D339,Mapping!A:A,Mapping!D:D,0,0)</f>
        <v>Bin</v>
      </c>
      <c r="AF339" t="str">
        <f t="shared" si="11"/>
        <v>OLD</v>
      </c>
    </row>
    <row r="340" spans="1:32" x14ac:dyDescent="0.2">
      <c r="A340" t="s">
        <v>1118</v>
      </c>
      <c r="B340" t="s">
        <v>39</v>
      </c>
      <c r="C340">
        <v>1012726702</v>
      </c>
      <c r="D340" t="s">
        <v>395</v>
      </c>
      <c r="E340" t="s">
        <v>31</v>
      </c>
      <c r="F340" s="1">
        <v>0.67291666666666672</v>
      </c>
      <c r="G340" t="s">
        <v>32</v>
      </c>
      <c r="H340" t="s">
        <v>33</v>
      </c>
      <c r="I340" t="s">
        <v>41</v>
      </c>
      <c r="J340" t="s">
        <v>62</v>
      </c>
      <c r="K340">
        <v>280</v>
      </c>
      <c r="L340">
        <v>0</v>
      </c>
      <c r="M340" t="s">
        <v>36</v>
      </c>
      <c r="N340" t="s">
        <v>37</v>
      </c>
      <c r="O340">
        <v>0</v>
      </c>
      <c r="P340">
        <v>0</v>
      </c>
      <c r="Q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 t="s">
        <v>36</v>
      </c>
      <c r="AC340" t="s">
        <v>43</v>
      </c>
      <c r="AD340" t="str">
        <f t="shared" si="10"/>
        <v>CP</v>
      </c>
      <c r="AE340" t="str">
        <f>_xlfn.XLOOKUP(D340,Mapping!A:A,Mapping!D:D,0,0)</f>
        <v>Bin</v>
      </c>
      <c r="AF340" t="str">
        <f t="shared" si="11"/>
        <v>OLD</v>
      </c>
    </row>
    <row r="341" spans="1:32" x14ac:dyDescent="0.2">
      <c r="A341" t="s">
        <v>1118</v>
      </c>
      <c r="B341" t="s">
        <v>39</v>
      </c>
      <c r="C341">
        <v>1012726712</v>
      </c>
      <c r="D341" t="s">
        <v>396</v>
      </c>
      <c r="E341" t="s">
        <v>31</v>
      </c>
      <c r="F341" s="1">
        <v>0.67291666666666672</v>
      </c>
      <c r="G341" t="s">
        <v>32</v>
      </c>
      <c r="H341" t="s">
        <v>33</v>
      </c>
      <c r="I341" t="s">
        <v>41</v>
      </c>
      <c r="J341" t="s">
        <v>62</v>
      </c>
      <c r="K341">
        <v>280</v>
      </c>
      <c r="L341">
        <v>0</v>
      </c>
      <c r="M341" t="s">
        <v>36</v>
      </c>
      <c r="N341" t="s">
        <v>37</v>
      </c>
      <c r="O341">
        <v>0</v>
      </c>
      <c r="P341">
        <v>0</v>
      </c>
      <c r="Q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 t="s">
        <v>36</v>
      </c>
      <c r="AC341" t="s">
        <v>43</v>
      </c>
      <c r="AD341" t="str">
        <f t="shared" si="10"/>
        <v>CP</v>
      </c>
      <c r="AE341" t="str">
        <f>_xlfn.XLOOKUP(D341,Mapping!A:A,Mapping!D:D,0,0)</f>
        <v>Bin</v>
      </c>
      <c r="AF341" t="str">
        <f t="shared" si="11"/>
        <v>OLD</v>
      </c>
    </row>
    <row r="342" spans="1:32" x14ac:dyDescent="0.2">
      <c r="A342" t="s">
        <v>1118</v>
      </c>
      <c r="B342" t="s">
        <v>39</v>
      </c>
      <c r="C342">
        <v>1012726722</v>
      </c>
      <c r="D342" t="s">
        <v>397</v>
      </c>
      <c r="E342" t="s">
        <v>31</v>
      </c>
      <c r="F342" s="1">
        <v>0.67291666666666672</v>
      </c>
      <c r="G342" t="s">
        <v>32</v>
      </c>
      <c r="H342" t="s">
        <v>33</v>
      </c>
      <c r="I342" t="s">
        <v>34</v>
      </c>
      <c r="J342" t="s">
        <v>84</v>
      </c>
      <c r="K342">
        <v>112</v>
      </c>
      <c r="L342">
        <v>0</v>
      </c>
      <c r="M342" t="s">
        <v>36</v>
      </c>
      <c r="N342" t="s">
        <v>37</v>
      </c>
      <c r="O342">
        <v>0</v>
      </c>
      <c r="P342">
        <v>0</v>
      </c>
      <c r="Q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 t="s">
        <v>36</v>
      </c>
      <c r="AC342" t="s">
        <v>43</v>
      </c>
      <c r="AD342" t="str">
        <f t="shared" si="10"/>
        <v>CP</v>
      </c>
      <c r="AE342" t="str">
        <f>_xlfn.XLOOKUP(D342,Mapping!A:A,Mapping!D:D,0,0)</f>
        <v>Keyword - Preroll</v>
      </c>
      <c r="AF342" t="str">
        <f t="shared" si="11"/>
        <v>OLD</v>
      </c>
    </row>
    <row r="343" spans="1:32" x14ac:dyDescent="0.2">
      <c r="A343" t="s">
        <v>1118</v>
      </c>
      <c r="B343" t="s">
        <v>39</v>
      </c>
      <c r="C343">
        <v>1012726732</v>
      </c>
      <c r="D343" t="s">
        <v>398</v>
      </c>
      <c r="E343" t="s">
        <v>31</v>
      </c>
      <c r="F343" s="1">
        <v>0.67291666666666672</v>
      </c>
      <c r="G343" t="s">
        <v>32</v>
      </c>
      <c r="H343" t="s">
        <v>33</v>
      </c>
      <c r="I343" t="s">
        <v>41</v>
      </c>
      <c r="J343" t="s">
        <v>62</v>
      </c>
      <c r="K343">
        <v>280</v>
      </c>
      <c r="L343">
        <v>0</v>
      </c>
      <c r="M343" t="s">
        <v>36</v>
      </c>
      <c r="N343" t="s">
        <v>37</v>
      </c>
      <c r="O343">
        <v>0</v>
      </c>
      <c r="P343">
        <v>0</v>
      </c>
      <c r="Q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 t="s">
        <v>36</v>
      </c>
      <c r="AC343" t="s">
        <v>43</v>
      </c>
      <c r="AD343" t="str">
        <f t="shared" si="10"/>
        <v>CP</v>
      </c>
      <c r="AE343" t="str">
        <f>_xlfn.XLOOKUP(D343,Mapping!A:A,Mapping!D:D,0,0)</f>
        <v>Bin</v>
      </c>
      <c r="AF343" t="str">
        <f t="shared" si="11"/>
        <v>OLD</v>
      </c>
    </row>
    <row r="344" spans="1:32" x14ac:dyDescent="0.2">
      <c r="A344" t="s">
        <v>1118</v>
      </c>
      <c r="B344" t="s">
        <v>39</v>
      </c>
      <c r="C344">
        <v>1012726742</v>
      </c>
      <c r="D344" t="s">
        <v>399</v>
      </c>
      <c r="E344" t="s">
        <v>31</v>
      </c>
      <c r="F344" s="1">
        <v>0.67291666666666672</v>
      </c>
      <c r="G344" t="s">
        <v>32</v>
      </c>
      <c r="H344" t="s">
        <v>33</v>
      </c>
      <c r="I344" t="s">
        <v>41</v>
      </c>
      <c r="J344" t="s">
        <v>62</v>
      </c>
      <c r="K344">
        <v>280</v>
      </c>
      <c r="L344">
        <v>0</v>
      </c>
      <c r="M344" t="s">
        <v>36</v>
      </c>
      <c r="N344" t="s">
        <v>37</v>
      </c>
      <c r="O344">
        <v>0</v>
      </c>
      <c r="P344">
        <v>0</v>
      </c>
      <c r="Q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 t="s">
        <v>36</v>
      </c>
      <c r="AC344" t="s">
        <v>43</v>
      </c>
      <c r="AD344" t="str">
        <f t="shared" si="10"/>
        <v>CP</v>
      </c>
      <c r="AE344" t="str">
        <f>_xlfn.XLOOKUP(D344,Mapping!A:A,Mapping!D:D,0,0)</f>
        <v>Bin</v>
      </c>
      <c r="AF344" t="str">
        <f t="shared" si="11"/>
        <v>OLD</v>
      </c>
    </row>
    <row r="345" spans="1:32" x14ac:dyDescent="0.2">
      <c r="A345" t="s">
        <v>1118</v>
      </c>
      <c r="B345" t="s">
        <v>29</v>
      </c>
      <c r="C345">
        <v>1012726752</v>
      </c>
      <c r="D345" t="s">
        <v>400</v>
      </c>
      <c r="E345" t="s">
        <v>31</v>
      </c>
      <c r="F345" s="1">
        <v>0.67291666666666672</v>
      </c>
      <c r="G345" t="s">
        <v>32</v>
      </c>
      <c r="H345" t="s">
        <v>33</v>
      </c>
      <c r="I345" t="s">
        <v>34</v>
      </c>
      <c r="J345" t="s">
        <v>84</v>
      </c>
      <c r="K345">
        <v>112</v>
      </c>
      <c r="L345">
        <v>0</v>
      </c>
      <c r="M345" t="s">
        <v>36</v>
      </c>
      <c r="N345" t="s">
        <v>37</v>
      </c>
      <c r="O345">
        <v>6559</v>
      </c>
      <c r="P345">
        <v>244</v>
      </c>
      <c r="Q345">
        <v>3.7200799999999998</v>
      </c>
      <c r="R345">
        <v>0</v>
      </c>
      <c r="S345">
        <v>9.51</v>
      </c>
      <c r="T345">
        <v>1.4490000000000001</v>
      </c>
      <c r="U345">
        <v>3.9E-2</v>
      </c>
      <c r="V345">
        <v>0</v>
      </c>
      <c r="W345">
        <v>1</v>
      </c>
      <c r="X345">
        <v>0</v>
      </c>
      <c r="Y345" t="s">
        <v>36</v>
      </c>
      <c r="Z345">
        <v>6559</v>
      </c>
      <c r="AA345">
        <v>4881</v>
      </c>
      <c r="AB345">
        <v>794</v>
      </c>
      <c r="AC345" t="s">
        <v>401</v>
      </c>
      <c r="AD345" t="str">
        <f t="shared" si="10"/>
        <v>CP</v>
      </c>
      <c r="AE345" t="str">
        <f>_xlfn.XLOOKUP(D345,Mapping!A:A,Mapping!D:D,0,0)</f>
        <v>Keyword - Preroll</v>
      </c>
      <c r="AF345" t="str">
        <f t="shared" si="11"/>
        <v>OLD</v>
      </c>
    </row>
    <row r="346" spans="1:32" x14ac:dyDescent="0.2">
      <c r="A346" t="s">
        <v>1118</v>
      </c>
      <c r="B346" t="s">
        <v>39</v>
      </c>
      <c r="C346">
        <v>1012726762</v>
      </c>
      <c r="D346" t="s">
        <v>402</v>
      </c>
      <c r="E346" t="s">
        <v>31</v>
      </c>
      <c r="F346" s="1">
        <v>0.67291666666666672</v>
      </c>
      <c r="G346" t="s">
        <v>32</v>
      </c>
      <c r="H346" t="s">
        <v>33</v>
      </c>
      <c r="I346" t="s">
        <v>41</v>
      </c>
      <c r="J346" t="s">
        <v>62</v>
      </c>
      <c r="K346">
        <v>280</v>
      </c>
      <c r="L346">
        <v>0</v>
      </c>
      <c r="M346" t="s">
        <v>36</v>
      </c>
      <c r="N346" t="s">
        <v>37</v>
      </c>
      <c r="O346">
        <v>0</v>
      </c>
      <c r="P346">
        <v>0</v>
      </c>
      <c r="Q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 t="s">
        <v>36</v>
      </c>
      <c r="AC346" t="s">
        <v>43</v>
      </c>
      <c r="AD346" t="str">
        <f t="shared" si="10"/>
        <v>CP</v>
      </c>
      <c r="AE346" t="str">
        <f>_xlfn.XLOOKUP(D346,Mapping!A:A,Mapping!D:D,0,0)</f>
        <v>Bin</v>
      </c>
      <c r="AF346" t="str">
        <f t="shared" si="11"/>
        <v>OLD</v>
      </c>
    </row>
    <row r="347" spans="1:32" x14ac:dyDescent="0.2">
      <c r="A347" t="s">
        <v>1118</v>
      </c>
      <c r="B347" t="s">
        <v>39</v>
      </c>
      <c r="C347">
        <v>1012726802</v>
      </c>
      <c r="D347" t="s">
        <v>403</v>
      </c>
      <c r="E347" t="s">
        <v>31</v>
      </c>
      <c r="F347" s="1">
        <v>0.67291666666666672</v>
      </c>
      <c r="G347" t="s">
        <v>32</v>
      </c>
      <c r="H347" t="s">
        <v>33</v>
      </c>
      <c r="I347" t="s">
        <v>41</v>
      </c>
      <c r="J347" t="s">
        <v>62</v>
      </c>
      <c r="K347">
        <v>280</v>
      </c>
      <c r="L347">
        <v>0</v>
      </c>
      <c r="M347" t="s">
        <v>36</v>
      </c>
      <c r="N347" t="s">
        <v>37</v>
      </c>
      <c r="O347">
        <v>0</v>
      </c>
      <c r="P347">
        <v>0</v>
      </c>
      <c r="Q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 t="s">
        <v>36</v>
      </c>
      <c r="AC347" t="s">
        <v>43</v>
      </c>
      <c r="AD347" t="str">
        <f t="shared" si="10"/>
        <v>CP</v>
      </c>
      <c r="AE347" t="str">
        <f>_xlfn.XLOOKUP(D347,Mapping!A:A,Mapping!D:D,0,0)</f>
        <v>Bin</v>
      </c>
      <c r="AF347" t="str">
        <f t="shared" si="11"/>
        <v>OLD</v>
      </c>
    </row>
    <row r="348" spans="1:32" x14ac:dyDescent="0.2">
      <c r="A348" t="s">
        <v>1118</v>
      </c>
      <c r="B348" t="s">
        <v>39</v>
      </c>
      <c r="C348">
        <v>1012726812</v>
      </c>
      <c r="D348" t="s">
        <v>404</v>
      </c>
      <c r="E348" t="s">
        <v>31</v>
      </c>
      <c r="F348" s="1">
        <v>0.67291666666666672</v>
      </c>
      <c r="G348" t="s">
        <v>32</v>
      </c>
      <c r="H348" t="s">
        <v>33</v>
      </c>
      <c r="I348" t="s">
        <v>34</v>
      </c>
      <c r="J348" t="s">
        <v>84</v>
      </c>
      <c r="K348">
        <v>112</v>
      </c>
      <c r="L348">
        <v>0</v>
      </c>
      <c r="M348" t="s">
        <v>36</v>
      </c>
      <c r="N348" t="s">
        <v>37</v>
      </c>
      <c r="O348">
        <v>0</v>
      </c>
      <c r="P348">
        <v>0</v>
      </c>
      <c r="Q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 t="s">
        <v>36</v>
      </c>
      <c r="AC348" t="s">
        <v>43</v>
      </c>
      <c r="AD348" t="str">
        <f t="shared" si="10"/>
        <v>CP</v>
      </c>
      <c r="AE348" t="str">
        <f>_xlfn.XLOOKUP(D348,Mapping!A:A,Mapping!D:D,0,0)</f>
        <v>Keyword - Preroll</v>
      </c>
      <c r="AF348" t="str">
        <f t="shared" si="11"/>
        <v>OLD</v>
      </c>
    </row>
    <row r="349" spans="1:32" x14ac:dyDescent="0.2">
      <c r="A349" t="s">
        <v>1118</v>
      </c>
      <c r="B349" t="s">
        <v>39</v>
      </c>
      <c r="C349">
        <v>1012726822</v>
      </c>
      <c r="D349" t="s">
        <v>405</v>
      </c>
      <c r="E349" t="s">
        <v>31</v>
      </c>
      <c r="F349" s="1">
        <v>0.67291666666666672</v>
      </c>
      <c r="G349" t="s">
        <v>32</v>
      </c>
      <c r="H349" t="s">
        <v>33</v>
      </c>
      <c r="I349" t="s">
        <v>41</v>
      </c>
      <c r="J349" t="s">
        <v>62</v>
      </c>
      <c r="K349">
        <v>280</v>
      </c>
      <c r="L349">
        <v>0</v>
      </c>
      <c r="M349" t="s">
        <v>36</v>
      </c>
      <c r="N349" t="s">
        <v>37</v>
      </c>
      <c r="O349">
        <v>0</v>
      </c>
      <c r="P349">
        <v>0</v>
      </c>
      <c r="Q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 t="s">
        <v>36</v>
      </c>
      <c r="AC349" t="s">
        <v>43</v>
      </c>
      <c r="AD349" t="str">
        <f t="shared" si="10"/>
        <v>CP</v>
      </c>
      <c r="AE349" t="str">
        <f>_xlfn.XLOOKUP(D349,Mapping!A:A,Mapping!D:D,0,0)</f>
        <v>Bin</v>
      </c>
      <c r="AF349" t="str">
        <f t="shared" si="11"/>
        <v>OLD</v>
      </c>
    </row>
    <row r="350" spans="1:32" x14ac:dyDescent="0.2">
      <c r="A350" t="s">
        <v>1118</v>
      </c>
      <c r="B350" t="s">
        <v>39</v>
      </c>
      <c r="C350">
        <v>1012726842</v>
      </c>
      <c r="D350" t="s">
        <v>406</v>
      </c>
      <c r="E350" t="s">
        <v>31</v>
      </c>
      <c r="F350" s="1">
        <v>0.67291666666666672</v>
      </c>
      <c r="G350" t="s">
        <v>32</v>
      </c>
      <c r="H350" t="s">
        <v>33</v>
      </c>
      <c r="I350" t="s">
        <v>41</v>
      </c>
      <c r="J350" t="s">
        <v>62</v>
      </c>
      <c r="K350">
        <v>280</v>
      </c>
      <c r="L350">
        <v>0</v>
      </c>
      <c r="M350" t="s">
        <v>36</v>
      </c>
      <c r="N350" t="s">
        <v>37</v>
      </c>
      <c r="O350">
        <v>0</v>
      </c>
      <c r="P350">
        <v>0</v>
      </c>
      <c r="Q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 t="s">
        <v>36</v>
      </c>
      <c r="AC350" t="s">
        <v>43</v>
      </c>
      <c r="AD350" t="str">
        <f t="shared" si="10"/>
        <v>CP</v>
      </c>
      <c r="AE350" t="str">
        <f>_xlfn.XLOOKUP(D350,Mapping!A:A,Mapping!D:D,0,0)</f>
        <v>Bin</v>
      </c>
      <c r="AF350" t="str">
        <f t="shared" si="11"/>
        <v>OLD</v>
      </c>
    </row>
    <row r="351" spans="1:32" x14ac:dyDescent="0.2">
      <c r="A351" t="s">
        <v>1118</v>
      </c>
      <c r="B351" t="s">
        <v>39</v>
      </c>
      <c r="C351">
        <v>1012726852</v>
      </c>
      <c r="D351" t="s">
        <v>407</v>
      </c>
      <c r="E351" t="s">
        <v>31</v>
      </c>
      <c r="F351" s="1">
        <v>0.67291666666666672</v>
      </c>
      <c r="G351" t="s">
        <v>32</v>
      </c>
      <c r="H351" t="s">
        <v>33</v>
      </c>
      <c r="I351" t="s">
        <v>34</v>
      </c>
      <c r="J351" t="s">
        <v>84</v>
      </c>
      <c r="K351">
        <v>112</v>
      </c>
      <c r="L351">
        <v>0</v>
      </c>
      <c r="M351" t="s">
        <v>36</v>
      </c>
      <c r="N351" t="s">
        <v>37</v>
      </c>
      <c r="O351">
        <v>0</v>
      </c>
      <c r="P351">
        <v>0</v>
      </c>
      <c r="Q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 t="s">
        <v>36</v>
      </c>
      <c r="AC351" t="s">
        <v>43</v>
      </c>
      <c r="AD351" t="str">
        <f t="shared" si="10"/>
        <v>CP</v>
      </c>
      <c r="AE351" t="str">
        <f>_xlfn.XLOOKUP(D351,Mapping!A:A,Mapping!D:D,0,0)</f>
        <v>Keyword - Preroll</v>
      </c>
      <c r="AF351" t="str">
        <f t="shared" si="11"/>
        <v>OLD</v>
      </c>
    </row>
    <row r="352" spans="1:32" x14ac:dyDescent="0.2">
      <c r="A352" t="s">
        <v>1118</v>
      </c>
      <c r="B352" t="s">
        <v>39</v>
      </c>
      <c r="C352">
        <v>1012726862</v>
      </c>
      <c r="D352" t="s">
        <v>408</v>
      </c>
      <c r="E352" t="s">
        <v>31</v>
      </c>
      <c r="F352" s="1">
        <v>0.67291666666666672</v>
      </c>
      <c r="G352" t="s">
        <v>32</v>
      </c>
      <c r="H352" t="s">
        <v>33</v>
      </c>
      <c r="I352" t="s">
        <v>41</v>
      </c>
      <c r="J352" t="s">
        <v>62</v>
      </c>
      <c r="K352">
        <v>280</v>
      </c>
      <c r="L352">
        <v>0</v>
      </c>
      <c r="M352" t="s">
        <v>36</v>
      </c>
      <c r="N352" t="s">
        <v>37</v>
      </c>
      <c r="O352">
        <v>0</v>
      </c>
      <c r="P352">
        <v>0</v>
      </c>
      <c r="Q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 t="s">
        <v>36</v>
      </c>
      <c r="AC352" t="s">
        <v>43</v>
      </c>
      <c r="AD352" t="str">
        <f t="shared" si="10"/>
        <v>CP</v>
      </c>
      <c r="AE352" t="str">
        <f>_xlfn.XLOOKUP(D352,Mapping!A:A,Mapping!D:D,0,0)</f>
        <v>Bin</v>
      </c>
      <c r="AF352" t="str">
        <f t="shared" si="11"/>
        <v>OLD</v>
      </c>
    </row>
    <row r="353" spans="1:32" x14ac:dyDescent="0.2">
      <c r="A353" t="s">
        <v>1118</v>
      </c>
      <c r="B353" t="s">
        <v>39</v>
      </c>
      <c r="C353">
        <v>1012726882</v>
      </c>
      <c r="D353" t="s">
        <v>409</v>
      </c>
      <c r="E353" t="s">
        <v>31</v>
      </c>
      <c r="F353" s="1">
        <v>0.67291666666666672</v>
      </c>
      <c r="G353" t="s">
        <v>32</v>
      </c>
      <c r="H353" t="s">
        <v>33</v>
      </c>
      <c r="I353" t="s">
        <v>41</v>
      </c>
      <c r="J353" t="s">
        <v>62</v>
      </c>
      <c r="K353">
        <v>280</v>
      </c>
      <c r="L353">
        <v>0</v>
      </c>
      <c r="M353" t="s">
        <v>63</v>
      </c>
      <c r="N353">
        <v>150</v>
      </c>
      <c r="O353">
        <v>0</v>
      </c>
      <c r="P353">
        <v>0</v>
      </c>
      <c r="Q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 t="s">
        <v>36</v>
      </c>
      <c r="AC353" t="s">
        <v>43</v>
      </c>
      <c r="AD353" t="str">
        <f t="shared" si="10"/>
        <v>CP</v>
      </c>
      <c r="AE353" t="str">
        <f>_xlfn.XLOOKUP(D353,Mapping!A:A,Mapping!D:D,0,0)</f>
        <v>Bin</v>
      </c>
      <c r="AF353" t="str">
        <f t="shared" si="11"/>
        <v>OLD</v>
      </c>
    </row>
    <row r="354" spans="1:32" x14ac:dyDescent="0.2">
      <c r="A354" t="s">
        <v>1118</v>
      </c>
      <c r="B354" t="s">
        <v>39</v>
      </c>
      <c r="C354">
        <v>1012726892</v>
      </c>
      <c r="D354" t="s">
        <v>410</v>
      </c>
      <c r="E354" t="s">
        <v>31</v>
      </c>
      <c r="F354" s="1">
        <v>0.67291666666666672</v>
      </c>
      <c r="G354" t="s">
        <v>32</v>
      </c>
      <c r="H354" t="s">
        <v>33</v>
      </c>
      <c r="I354" t="s">
        <v>34</v>
      </c>
      <c r="J354" t="s">
        <v>84</v>
      </c>
      <c r="K354">
        <v>112</v>
      </c>
      <c r="L354">
        <v>0</v>
      </c>
      <c r="M354" t="s">
        <v>36</v>
      </c>
      <c r="N354" t="s">
        <v>37</v>
      </c>
      <c r="O354">
        <v>0</v>
      </c>
      <c r="P354">
        <v>0</v>
      </c>
      <c r="Q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 t="s">
        <v>36</v>
      </c>
      <c r="AC354" t="s">
        <v>43</v>
      </c>
      <c r="AD354" t="str">
        <f t="shared" si="10"/>
        <v>CP</v>
      </c>
      <c r="AE354" t="str">
        <f>_xlfn.XLOOKUP(D354,Mapping!A:A,Mapping!D:D,0,0)</f>
        <v>Bin</v>
      </c>
      <c r="AF354" t="str">
        <f t="shared" si="11"/>
        <v>OLD</v>
      </c>
    </row>
    <row r="355" spans="1:32" x14ac:dyDescent="0.2">
      <c r="A355" t="s">
        <v>1118</v>
      </c>
      <c r="B355" t="s">
        <v>39</v>
      </c>
      <c r="C355">
        <v>1012726902</v>
      </c>
      <c r="D355" t="s">
        <v>411</v>
      </c>
      <c r="E355" t="s">
        <v>31</v>
      </c>
      <c r="F355" s="1">
        <v>0.67291666666666672</v>
      </c>
      <c r="G355" t="s">
        <v>32</v>
      </c>
      <c r="H355" t="s">
        <v>33</v>
      </c>
      <c r="I355" t="s">
        <v>41</v>
      </c>
      <c r="J355" t="s">
        <v>62</v>
      </c>
      <c r="K355">
        <v>280</v>
      </c>
      <c r="L355">
        <v>0</v>
      </c>
      <c r="M355" t="s">
        <v>36</v>
      </c>
      <c r="N355" t="s">
        <v>37</v>
      </c>
      <c r="O355">
        <v>0</v>
      </c>
      <c r="P355">
        <v>0</v>
      </c>
      <c r="Q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 t="s">
        <v>36</v>
      </c>
      <c r="AC355" t="s">
        <v>43</v>
      </c>
      <c r="AD355" t="str">
        <f t="shared" si="10"/>
        <v>CP</v>
      </c>
      <c r="AE355" t="str">
        <f>_xlfn.XLOOKUP(D355,Mapping!A:A,Mapping!D:D,0,0)</f>
        <v>Bin</v>
      </c>
      <c r="AF355" t="str">
        <f t="shared" si="11"/>
        <v>OLD</v>
      </c>
    </row>
    <row r="356" spans="1:32" x14ac:dyDescent="0.2">
      <c r="A356" t="s">
        <v>1118</v>
      </c>
      <c r="B356" t="s">
        <v>39</v>
      </c>
      <c r="C356">
        <v>1012726912</v>
      </c>
      <c r="D356" t="s">
        <v>412</v>
      </c>
      <c r="E356" t="s">
        <v>31</v>
      </c>
      <c r="F356" s="1">
        <v>0.67291666666666672</v>
      </c>
      <c r="G356" t="s">
        <v>32</v>
      </c>
      <c r="H356" t="s">
        <v>33</v>
      </c>
      <c r="I356" t="s">
        <v>41</v>
      </c>
      <c r="J356" t="s">
        <v>62</v>
      </c>
      <c r="K356">
        <v>280</v>
      </c>
      <c r="L356">
        <v>0</v>
      </c>
      <c r="M356" t="s">
        <v>36</v>
      </c>
      <c r="N356" t="s">
        <v>37</v>
      </c>
      <c r="O356">
        <v>0</v>
      </c>
      <c r="P356">
        <v>0</v>
      </c>
      <c r="Q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 t="s">
        <v>36</v>
      </c>
      <c r="AC356" t="s">
        <v>43</v>
      </c>
      <c r="AD356" t="str">
        <f t="shared" si="10"/>
        <v>CP</v>
      </c>
      <c r="AE356" t="str">
        <f>_xlfn.XLOOKUP(D356,Mapping!A:A,Mapping!D:D,0,0)</f>
        <v>Bin</v>
      </c>
      <c r="AF356" t="str">
        <f t="shared" si="11"/>
        <v>OLD</v>
      </c>
    </row>
    <row r="357" spans="1:32" x14ac:dyDescent="0.2">
      <c r="A357" t="s">
        <v>1118</v>
      </c>
      <c r="B357" t="s">
        <v>39</v>
      </c>
      <c r="C357">
        <v>1012726922</v>
      </c>
      <c r="D357" t="s">
        <v>413</v>
      </c>
      <c r="E357" t="s">
        <v>31</v>
      </c>
      <c r="F357" s="1">
        <v>0.67291666666666672</v>
      </c>
      <c r="G357" t="s">
        <v>32</v>
      </c>
      <c r="H357" t="s">
        <v>33</v>
      </c>
      <c r="I357" t="s">
        <v>34</v>
      </c>
      <c r="J357" t="s">
        <v>84</v>
      </c>
      <c r="K357">
        <v>112</v>
      </c>
      <c r="L357">
        <v>0</v>
      </c>
      <c r="M357" t="s">
        <v>36</v>
      </c>
      <c r="N357" t="s">
        <v>37</v>
      </c>
      <c r="O357">
        <v>0</v>
      </c>
      <c r="P357">
        <v>0</v>
      </c>
      <c r="Q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 t="s">
        <v>36</v>
      </c>
      <c r="AC357" t="s">
        <v>43</v>
      </c>
      <c r="AD357" t="str">
        <f t="shared" si="10"/>
        <v>CP</v>
      </c>
      <c r="AE357" t="str">
        <f>_xlfn.XLOOKUP(D357,Mapping!A:A,Mapping!D:D,0,0)</f>
        <v>Bin</v>
      </c>
      <c r="AF357" t="str">
        <f t="shared" si="11"/>
        <v>OLD</v>
      </c>
    </row>
    <row r="358" spans="1:32" x14ac:dyDescent="0.2">
      <c r="A358" t="s">
        <v>1118</v>
      </c>
      <c r="B358" t="s">
        <v>39</v>
      </c>
      <c r="C358">
        <v>1012726932</v>
      </c>
      <c r="D358" t="s">
        <v>414</v>
      </c>
      <c r="E358" t="s">
        <v>31</v>
      </c>
      <c r="F358" s="1">
        <v>0.67291666666666672</v>
      </c>
      <c r="G358" t="s">
        <v>32</v>
      </c>
      <c r="H358" t="s">
        <v>33</v>
      </c>
      <c r="I358" t="s">
        <v>41</v>
      </c>
      <c r="J358" t="s">
        <v>62</v>
      </c>
      <c r="K358">
        <v>280</v>
      </c>
      <c r="L358">
        <v>0</v>
      </c>
      <c r="M358" t="s">
        <v>36</v>
      </c>
      <c r="N358" t="s">
        <v>37</v>
      </c>
      <c r="O358">
        <v>0</v>
      </c>
      <c r="P358">
        <v>0</v>
      </c>
      <c r="Q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 t="s">
        <v>36</v>
      </c>
      <c r="AC358" t="s">
        <v>43</v>
      </c>
      <c r="AD358" t="str">
        <f t="shared" si="10"/>
        <v>CP</v>
      </c>
      <c r="AE358" t="str">
        <f>_xlfn.XLOOKUP(D358,Mapping!A:A,Mapping!D:D,0,0)</f>
        <v>Bin</v>
      </c>
      <c r="AF358" t="str">
        <f t="shared" si="11"/>
        <v>OLD</v>
      </c>
    </row>
    <row r="359" spans="1:32" x14ac:dyDescent="0.2">
      <c r="A359" t="s">
        <v>1118</v>
      </c>
      <c r="B359" t="s">
        <v>39</v>
      </c>
      <c r="C359">
        <v>1012726942</v>
      </c>
      <c r="D359" t="s">
        <v>415</v>
      </c>
      <c r="E359" t="s">
        <v>31</v>
      </c>
      <c r="F359" s="1">
        <v>0.67291666666666672</v>
      </c>
      <c r="G359" t="s">
        <v>32</v>
      </c>
      <c r="H359" t="s">
        <v>33</v>
      </c>
      <c r="I359" t="s">
        <v>41</v>
      </c>
      <c r="J359" t="s">
        <v>62</v>
      </c>
      <c r="K359">
        <v>280</v>
      </c>
      <c r="L359">
        <v>0</v>
      </c>
      <c r="M359" t="s">
        <v>36</v>
      </c>
      <c r="N359" t="s">
        <v>37</v>
      </c>
      <c r="O359">
        <v>0</v>
      </c>
      <c r="P359">
        <v>0</v>
      </c>
      <c r="Q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 t="s">
        <v>36</v>
      </c>
      <c r="AC359" t="s">
        <v>43</v>
      </c>
      <c r="AD359" t="str">
        <f t="shared" si="10"/>
        <v>CP</v>
      </c>
      <c r="AE359" t="str">
        <f>_xlfn.XLOOKUP(D359,Mapping!A:A,Mapping!D:D,0,0)</f>
        <v>Bin</v>
      </c>
      <c r="AF359" t="str">
        <f t="shared" si="11"/>
        <v>OLD</v>
      </c>
    </row>
    <row r="360" spans="1:32" x14ac:dyDescent="0.2">
      <c r="A360" t="s">
        <v>1118</v>
      </c>
      <c r="B360" t="s">
        <v>39</v>
      </c>
      <c r="C360">
        <v>1012726952</v>
      </c>
      <c r="D360" t="s">
        <v>416</v>
      </c>
      <c r="E360" t="s">
        <v>31</v>
      </c>
      <c r="F360" s="1">
        <v>0.67291666666666672</v>
      </c>
      <c r="G360" t="s">
        <v>32</v>
      </c>
      <c r="H360" t="s">
        <v>33</v>
      </c>
      <c r="I360" t="s">
        <v>34</v>
      </c>
      <c r="J360" t="s">
        <v>84</v>
      </c>
      <c r="K360">
        <v>112</v>
      </c>
      <c r="L360">
        <v>0</v>
      </c>
      <c r="M360" t="s">
        <v>36</v>
      </c>
      <c r="N360" t="s">
        <v>37</v>
      </c>
      <c r="O360">
        <v>0</v>
      </c>
      <c r="P360">
        <v>0</v>
      </c>
      <c r="Q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 t="s">
        <v>36</v>
      </c>
      <c r="AC360" t="s">
        <v>43</v>
      </c>
      <c r="AD360" t="str">
        <f t="shared" si="10"/>
        <v>CP</v>
      </c>
      <c r="AE360" t="str">
        <f>_xlfn.XLOOKUP(D360,Mapping!A:A,Mapping!D:D,0,0)</f>
        <v>Bin</v>
      </c>
      <c r="AF360" t="str">
        <f t="shared" si="11"/>
        <v>OLD</v>
      </c>
    </row>
    <row r="361" spans="1:32" x14ac:dyDescent="0.2">
      <c r="A361" t="s">
        <v>1118</v>
      </c>
      <c r="B361" t="s">
        <v>39</v>
      </c>
      <c r="C361">
        <v>1012726962</v>
      </c>
      <c r="D361" t="s">
        <v>417</v>
      </c>
      <c r="E361" t="s">
        <v>31</v>
      </c>
      <c r="F361" s="1">
        <v>0.67291666666666672</v>
      </c>
      <c r="G361" t="s">
        <v>32</v>
      </c>
      <c r="H361" t="s">
        <v>33</v>
      </c>
      <c r="I361" t="s">
        <v>41</v>
      </c>
      <c r="J361" t="s">
        <v>62</v>
      </c>
      <c r="K361">
        <v>280</v>
      </c>
      <c r="L361">
        <v>0</v>
      </c>
      <c r="M361" t="s">
        <v>36</v>
      </c>
      <c r="N361" t="s">
        <v>37</v>
      </c>
      <c r="O361">
        <v>0</v>
      </c>
      <c r="P361">
        <v>0</v>
      </c>
      <c r="Q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 t="s">
        <v>36</v>
      </c>
      <c r="AC361" t="s">
        <v>43</v>
      </c>
      <c r="AD361" t="str">
        <f t="shared" si="10"/>
        <v>CP</v>
      </c>
      <c r="AE361" t="str">
        <f>_xlfn.XLOOKUP(D361,Mapping!A:A,Mapping!D:D,0,0)</f>
        <v>Bin</v>
      </c>
      <c r="AF361" t="str">
        <f t="shared" si="11"/>
        <v>OLD</v>
      </c>
    </row>
    <row r="362" spans="1:32" x14ac:dyDescent="0.2">
      <c r="A362" t="s">
        <v>1118</v>
      </c>
      <c r="B362" t="s">
        <v>39</v>
      </c>
      <c r="C362">
        <v>1012726972</v>
      </c>
      <c r="D362" t="s">
        <v>418</v>
      </c>
      <c r="E362" t="s">
        <v>31</v>
      </c>
      <c r="F362" s="1">
        <v>0.67291666666666672</v>
      </c>
      <c r="G362" t="s">
        <v>32</v>
      </c>
      <c r="H362" t="s">
        <v>33</v>
      </c>
      <c r="I362" t="s">
        <v>41</v>
      </c>
      <c r="J362" t="s">
        <v>62</v>
      </c>
      <c r="K362">
        <v>280</v>
      </c>
      <c r="L362">
        <v>0</v>
      </c>
      <c r="M362" t="s">
        <v>63</v>
      </c>
      <c r="N362">
        <v>150</v>
      </c>
      <c r="O362">
        <v>0</v>
      </c>
      <c r="P362">
        <v>0</v>
      </c>
      <c r="Q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 t="s">
        <v>36</v>
      </c>
      <c r="AC362" t="s">
        <v>43</v>
      </c>
      <c r="AD362" t="str">
        <f t="shared" si="10"/>
        <v>CP</v>
      </c>
      <c r="AE362" t="str">
        <f>_xlfn.XLOOKUP(D362,Mapping!A:A,Mapping!D:D,0,0)</f>
        <v>Bin</v>
      </c>
      <c r="AF362" t="str">
        <f t="shared" si="11"/>
        <v>OLD</v>
      </c>
    </row>
    <row r="363" spans="1:32" x14ac:dyDescent="0.2">
      <c r="A363" t="s">
        <v>1118</v>
      </c>
      <c r="B363" t="s">
        <v>39</v>
      </c>
      <c r="C363">
        <v>1012726982</v>
      </c>
      <c r="D363" t="s">
        <v>419</v>
      </c>
      <c r="E363" t="s">
        <v>31</v>
      </c>
      <c r="F363" s="1">
        <v>0.67291666666666672</v>
      </c>
      <c r="G363" t="s">
        <v>32</v>
      </c>
      <c r="H363" t="s">
        <v>33</v>
      </c>
      <c r="I363" t="s">
        <v>34</v>
      </c>
      <c r="J363" t="s">
        <v>84</v>
      </c>
      <c r="K363">
        <v>112</v>
      </c>
      <c r="L363">
        <v>0</v>
      </c>
      <c r="M363" t="s">
        <v>63</v>
      </c>
      <c r="N363">
        <v>150</v>
      </c>
      <c r="O363">
        <v>0</v>
      </c>
      <c r="P363">
        <v>0</v>
      </c>
      <c r="Q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 t="s">
        <v>36</v>
      </c>
      <c r="AC363" t="s">
        <v>43</v>
      </c>
      <c r="AD363" t="str">
        <f t="shared" si="10"/>
        <v>CP</v>
      </c>
      <c r="AE363" t="str">
        <f>_xlfn.XLOOKUP(D363,Mapping!A:A,Mapping!D:D,0,0)</f>
        <v>Bin</v>
      </c>
      <c r="AF363" t="str">
        <f t="shared" si="11"/>
        <v>OLD</v>
      </c>
    </row>
    <row r="364" spans="1:32" x14ac:dyDescent="0.2">
      <c r="A364" t="s">
        <v>1118</v>
      </c>
      <c r="B364" t="s">
        <v>39</v>
      </c>
      <c r="C364">
        <v>1012726992</v>
      </c>
      <c r="D364" t="s">
        <v>420</v>
      </c>
      <c r="E364" t="s">
        <v>31</v>
      </c>
      <c r="F364" s="1">
        <v>0.67291666666666672</v>
      </c>
      <c r="G364" t="s">
        <v>32</v>
      </c>
      <c r="H364" t="s">
        <v>33</v>
      </c>
      <c r="I364" t="s">
        <v>41</v>
      </c>
      <c r="J364" t="s">
        <v>62</v>
      </c>
      <c r="K364">
        <v>280</v>
      </c>
      <c r="L364">
        <v>0</v>
      </c>
      <c r="M364" t="s">
        <v>36</v>
      </c>
      <c r="N364" t="s">
        <v>37</v>
      </c>
      <c r="O364">
        <v>0</v>
      </c>
      <c r="P364">
        <v>0</v>
      </c>
      <c r="Q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 t="s">
        <v>36</v>
      </c>
      <c r="AC364" t="s">
        <v>43</v>
      </c>
      <c r="AD364" t="str">
        <f t="shared" si="10"/>
        <v>CP</v>
      </c>
      <c r="AE364" t="str">
        <f>_xlfn.XLOOKUP(D364,Mapping!A:A,Mapping!D:D,0,0)</f>
        <v>Bin</v>
      </c>
      <c r="AF364" t="str">
        <f t="shared" si="11"/>
        <v>OLD</v>
      </c>
    </row>
    <row r="365" spans="1:32" x14ac:dyDescent="0.2">
      <c r="A365" t="s">
        <v>1118</v>
      </c>
      <c r="B365" t="s">
        <v>39</v>
      </c>
      <c r="C365">
        <v>1012727002</v>
      </c>
      <c r="D365" t="s">
        <v>421</v>
      </c>
      <c r="E365" t="s">
        <v>31</v>
      </c>
      <c r="F365" s="1">
        <v>0.67291666666666672</v>
      </c>
      <c r="G365" t="s">
        <v>32</v>
      </c>
      <c r="H365" t="s">
        <v>33</v>
      </c>
      <c r="I365" t="s">
        <v>41</v>
      </c>
      <c r="J365" t="s">
        <v>62</v>
      </c>
      <c r="K365">
        <v>280</v>
      </c>
      <c r="L365">
        <v>0</v>
      </c>
      <c r="M365" t="s">
        <v>36</v>
      </c>
      <c r="N365" t="s">
        <v>37</v>
      </c>
      <c r="O365">
        <v>0</v>
      </c>
      <c r="P365">
        <v>0</v>
      </c>
      <c r="Q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 t="s">
        <v>36</v>
      </c>
      <c r="AC365" t="s">
        <v>43</v>
      </c>
      <c r="AD365" t="str">
        <f t="shared" si="10"/>
        <v>CP</v>
      </c>
      <c r="AE365" t="str">
        <f>_xlfn.XLOOKUP(D365,Mapping!A:A,Mapping!D:D,0,0)</f>
        <v>Bin</v>
      </c>
      <c r="AF365" t="str">
        <f t="shared" si="11"/>
        <v>OLD</v>
      </c>
    </row>
    <row r="366" spans="1:32" x14ac:dyDescent="0.2">
      <c r="A366" t="s">
        <v>1118</v>
      </c>
      <c r="B366" t="s">
        <v>29</v>
      </c>
      <c r="C366">
        <v>1012727012</v>
      </c>
      <c r="D366" t="s">
        <v>422</v>
      </c>
      <c r="E366" t="s">
        <v>31</v>
      </c>
      <c r="F366" s="1">
        <v>0.67291666666666672</v>
      </c>
      <c r="G366" t="s">
        <v>32</v>
      </c>
      <c r="H366" t="s">
        <v>33</v>
      </c>
      <c r="I366" t="s">
        <v>34</v>
      </c>
      <c r="J366" t="s">
        <v>84</v>
      </c>
      <c r="K366">
        <v>112</v>
      </c>
      <c r="L366">
        <v>0</v>
      </c>
      <c r="M366" t="s">
        <v>63</v>
      </c>
      <c r="N366">
        <v>150</v>
      </c>
      <c r="O366">
        <v>1845</v>
      </c>
      <c r="P366">
        <v>73</v>
      </c>
      <c r="Q366">
        <v>3.9566400000000002</v>
      </c>
      <c r="R366">
        <v>0</v>
      </c>
      <c r="S366">
        <v>3.64</v>
      </c>
      <c r="T366">
        <v>1.9710000000000001</v>
      </c>
      <c r="U366">
        <v>0.05</v>
      </c>
      <c r="V366">
        <v>0</v>
      </c>
      <c r="W366">
        <v>1</v>
      </c>
      <c r="X366">
        <v>0</v>
      </c>
      <c r="Y366" t="s">
        <v>36</v>
      </c>
      <c r="Z366">
        <v>1845</v>
      </c>
      <c r="AA366">
        <v>1504</v>
      </c>
      <c r="AB366">
        <v>204</v>
      </c>
      <c r="AC366" t="s">
        <v>423</v>
      </c>
      <c r="AD366" t="str">
        <f t="shared" si="10"/>
        <v>CP</v>
      </c>
      <c r="AE366" t="str">
        <f>_xlfn.XLOOKUP(D366,Mapping!A:A,Mapping!D:D,0,0)</f>
        <v>Trans</v>
      </c>
      <c r="AF366" t="str">
        <f t="shared" si="11"/>
        <v>OLD</v>
      </c>
    </row>
    <row r="367" spans="1:32" x14ac:dyDescent="0.2">
      <c r="A367" t="s">
        <v>1118</v>
      </c>
      <c r="B367" t="s">
        <v>39</v>
      </c>
      <c r="C367">
        <v>1012727022</v>
      </c>
      <c r="D367" t="s">
        <v>424</v>
      </c>
      <c r="E367" t="s">
        <v>31</v>
      </c>
      <c r="F367" s="1">
        <v>0.67291666666666672</v>
      </c>
      <c r="G367" t="s">
        <v>32</v>
      </c>
      <c r="H367" t="s">
        <v>33</v>
      </c>
      <c r="I367" t="s">
        <v>41</v>
      </c>
      <c r="J367" t="s">
        <v>62</v>
      </c>
      <c r="K367">
        <v>280</v>
      </c>
      <c r="L367">
        <v>0</v>
      </c>
      <c r="M367" t="s">
        <v>36</v>
      </c>
      <c r="N367" t="s">
        <v>37</v>
      </c>
      <c r="O367">
        <v>0</v>
      </c>
      <c r="P367">
        <v>0</v>
      </c>
      <c r="Q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 t="s">
        <v>36</v>
      </c>
      <c r="AC367" t="s">
        <v>43</v>
      </c>
      <c r="AD367" t="str">
        <f t="shared" si="10"/>
        <v>CP</v>
      </c>
      <c r="AE367" t="str">
        <f>_xlfn.XLOOKUP(D367,Mapping!A:A,Mapping!D:D,0,0)</f>
        <v>Bin</v>
      </c>
      <c r="AF367" t="str">
        <f t="shared" si="11"/>
        <v>OLD</v>
      </c>
    </row>
    <row r="368" spans="1:32" x14ac:dyDescent="0.2">
      <c r="A368" t="s">
        <v>1118</v>
      </c>
      <c r="B368" t="s">
        <v>39</v>
      </c>
      <c r="C368">
        <v>1012727032</v>
      </c>
      <c r="D368" t="s">
        <v>425</v>
      </c>
      <c r="E368" t="s">
        <v>31</v>
      </c>
      <c r="F368" s="1">
        <v>0.67291666666666672</v>
      </c>
      <c r="G368" t="s">
        <v>32</v>
      </c>
      <c r="H368" t="s">
        <v>33</v>
      </c>
      <c r="I368" t="s">
        <v>41</v>
      </c>
      <c r="J368" t="s">
        <v>62</v>
      </c>
      <c r="K368">
        <v>280</v>
      </c>
      <c r="L368">
        <v>0</v>
      </c>
      <c r="M368" t="s">
        <v>36</v>
      </c>
      <c r="N368" t="s">
        <v>37</v>
      </c>
      <c r="O368">
        <v>0</v>
      </c>
      <c r="P368">
        <v>0</v>
      </c>
      <c r="Q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 t="s">
        <v>36</v>
      </c>
      <c r="AC368" t="s">
        <v>43</v>
      </c>
      <c r="AD368" t="str">
        <f t="shared" si="10"/>
        <v>CP</v>
      </c>
      <c r="AE368" t="str">
        <f>_xlfn.XLOOKUP(D368,Mapping!A:A,Mapping!D:D,0,0)</f>
        <v>Bin</v>
      </c>
      <c r="AF368" t="str">
        <f t="shared" si="11"/>
        <v>OLD</v>
      </c>
    </row>
    <row r="369" spans="1:32" x14ac:dyDescent="0.2">
      <c r="A369" t="s">
        <v>1118</v>
      </c>
      <c r="B369" t="s">
        <v>29</v>
      </c>
      <c r="C369">
        <v>1012727042</v>
      </c>
      <c r="D369" t="s">
        <v>426</v>
      </c>
      <c r="E369" t="s">
        <v>31</v>
      </c>
      <c r="F369" s="1">
        <v>0.67291666666666672</v>
      </c>
      <c r="G369" t="s">
        <v>32</v>
      </c>
      <c r="H369" t="s">
        <v>33</v>
      </c>
      <c r="I369" t="s">
        <v>34</v>
      </c>
      <c r="J369" t="s">
        <v>84</v>
      </c>
      <c r="K369">
        <v>160</v>
      </c>
      <c r="L369">
        <v>0</v>
      </c>
      <c r="M369" t="s">
        <v>36</v>
      </c>
      <c r="N369" t="s">
        <v>37</v>
      </c>
      <c r="O369">
        <v>7667</v>
      </c>
      <c r="P369">
        <v>271</v>
      </c>
      <c r="Q369">
        <v>3.5346299999999999</v>
      </c>
      <c r="R369">
        <v>0</v>
      </c>
      <c r="S369">
        <v>22.88</v>
      </c>
      <c r="T369">
        <v>2.984</v>
      </c>
      <c r="U369">
        <v>8.4000000000000005E-2</v>
      </c>
      <c r="V369">
        <v>0</v>
      </c>
      <c r="W369">
        <v>1</v>
      </c>
      <c r="X369">
        <v>0</v>
      </c>
      <c r="Y369" t="s">
        <v>36</v>
      </c>
      <c r="Z369">
        <v>7668</v>
      </c>
      <c r="AA369">
        <v>6230</v>
      </c>
      <c r="AB369">
        <v>721</v>
      </c>
      <c r="AC369" t="s">
        <v>423</v>
      </c>
      <c r="AD369" t="str">
        <f t="shared" si="10"/>
        <v>CP</v>
      </c>
      <c r="AE369" t="str">
        <f>_xlfn.XLOOKUP(D369,Mapping!A:A,Mapping!D:D,0,0)</f>
        <v>Trans</v>
      </c>
      <c r="AF369" t="str">
        <f t="shared" si="11"/>
        <v>OLD</v>
      </c>
    </row>
    <row r="370" spans="1:32" x14ac:dyDescent="0.2">
      <c r="A370" t="s">
        <v>1118</v>
      </c>
      <c r="B370" t="s">
        <v>39</v>
      </c>
      <c r="C370">
        <v>1012727052</v>
      </c>
      <c r="D370" t="s">
        <v>427</v>
      </c>
      <c r="E370" t="s">
        <v>31</v>
      </c>
      <c r="F370" s="1">
        <v>0.67291666666666672</v>
      </c>
      <c r="G370" t="s">
        <v>32</v>
      </c>
      <c r="H370" t="s">
        <v>33</v>
      </c>
      <c r="I370" t="s">
        <v>41</v>
      </c>
      <c r="J370" t="s">
        <v>62</v>
      </c>
      <c r="K370">
        <v>280</v>
      </c>
      <c r="L370">
        <v>0</v>
      </c>
      <c r="M370" t="s">
        <v>36</v>
      </c>
      <c r="N370" t="s">
        <v>37</v>
      </c>
      <c r="O370">
        <v>0</v>
      </c>
      <c r="P370">
        <v>0</v>
      </c>
      <c r="Q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 t="s">
        <v>36</v>
      </c>
      <c r="AC370" t="s">
        <v>43</v>
      </c>
      <c r="AD370" t="str">
        <f t="shared" si="10"/>
        <v>CP</v>
      </c>
      <c r="AE370" t="str">
        <f>_xlfn.XLOOKUP(D370,Mapping!A:A,Mapping!D:D,0,0)</f>
        <v>Bin</v>
      </c>
      <c r="AF370" t="str">
        <f t="shared" si="11"/>
        <v>OLD</v>
      </c>
    </row>
    <row r="371" spans="1:32" x14ac:dyDescent="0.2">
      <c r="A371" t="s">
        <v>1118</v>
      </c>
      <c r="B371" t="s">
        <v>39</v>
      </c>
      <c r="C371">
        <v>1012727062</v>
      </c>
      <c r="D371" t="s">
        <v>428</v>
      </c>
      <c r="E371" t="s">
        <v>31</v>
      </c>
      <c r="F371" s="1">
        <v>0.67291666666666672</v>
      </c>
      <c r="G371" t="s">
        <v>32</v>
      </c>
      <c r="H371" t="s">
        <v>33</v>
      </c>
      <c r="I371" t="s">
        <v>41</v>
      </c>
      <c r="J371" t="s">
        <v>62</v>
      </c>
      <c r="K371">
        <v>280</v>
      </c>
      <c r="L371">
        <v>0</v>
      </c>
      <c r="M371" t="s">
        <v>36</v>
      </c>
      <c r="N371" t="s">
        <v>37</v>
      </c>
      <c r="O371">
        <v>0</v>
      </c>
      <c r="P371">
        <v>0</v>
      </c>
      <c r="Q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 t="s">
        <v>36</v>
      </c>
      <c r="AC371" t="s">
        <v>43</v>
      </c>
      <c r="AD371" t="str">
        <f t="shared" si="10"/>
        <v>CP</v>
      </c>
      <c r="AE371" t="str">
        <f>_xlfn.XLOOKUP(D371,Mapping!A:A,Mapping!D:D,0,0)</f>
        <v>Bin</v>
      </c>
      <c r="AF371" t="str">
        <f t="shared" si="11"/>
        <v>OLD</v>
      </c>
    </row>
    <row r="372" spans="1:32" x14ac:dyDescent="0.2">
      <c r="A372" t="s">
        <v>1118</v>
      </c>
      <c r="B372" t="s">
        <v>39</v>
      </c>
      <c r="C372">
        <v>1012727072</v>
      </c>
      <c r="D372" t="s">
        <v>429</v>
      </c>
      <c r="E372" t="s">
        <v>31</v>
      </c>
      <c r="F372" s="1">
        <v>0.67291666666666672</v>
      </c>
      <c r="G372" t="s">
        <v>32</v>
      </c>
      <c r="H372" t="s">
        <v>33</v>
      </c>
      <c r="I372" t="s">
        <v>34</v>
      </c>
      <c r="J372" t="s">
        <v>84</v>
      </c>
      <c r="K372">
        <v>112</v>
      </c>
      <c r="L372">
        <v>0</v>
      </c>
      <c r="M372" t="s">
        <v>36</v>
      </c>
      <c r="N372" t="s">
        <v>37</v>
      </c>
      <c r="O372">
        <v>0</v>
      </c>
      <c r="P372">
        <v>0</v>
      </c>
      <c r="Q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 t="s">
        <v>36</v>
      </c>
      <c r="AC372" t="s">
        <v>43</v>
      </c>
      <c r="AD372" t="str">
        <f t="shared" si="10"/>
        <v>CP</v>
      </c>
      <c r="AE372" t="str">
        <f>_xlfn.XLOOKUP(D372,Mapping!A:A,Mapping!D:D,0,0)</f>
        <v>Bin</v>
      </c>
      <c r="AF372" t="str">
        <f t="shared" si="11"/>
        <v>OLD</v>
      </c>
    </row>
    <row r="373" spans="1:32" x14ac:dyDescent="0.2">
      <c r="A373" t="s">
        <v>1118</v>
      </c>
      <c r="B373" t="s">
        <v>39</v>
      </c>
      <c r="C373">
        <v>1012727082</v>
      </c>
      <c r="D373" t="s">
        <v>430</v>
      </c>
      <c r="E373" t="s">
        <v>31</v>
      </c>
      <c r="F373" s="1">
        <v>0.67291666666666672</v>
      </c>
      <c r="G373" t="s">
        <v>32</v>
      </c>
      <c r="H373" t="s">
        <v>33</v>
      </c>
      <c r="I373" t="s">
        <v>41</v>
      </c>
      <c r="J373" t="s">
        <v>62</v>
      </c>
      <c r="K373">
        <v>280</v>
      </c>
      <c r="L373">
        <v>0</v>
      </c>
      <c r="M373" t="s">
        <v>36</v>
      </c>
      <c r="N373" t="s">
        <v>37</v>
      </c>
      <c r="O373">
        <v>0</v>
      </c>
      <c r="P373">
        <v>0</v>
      </c>
      <c r="Q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 t="s">
        <v>36</v>
      </c>
      <c r="AC373" t="s">
        <v>43</v>
      </c>
      <c r="AD373" t="str">
        <f t="shared" si="10"/>
        <v>CP</v>
      </c>
      <c r="AE373" t="str">
        <f>_xlfn.XLOOKUP(D373,Mapping!A:A,Mapping!D:D,0,0)</f>
        <v>Bin</v>
      </c>
      <c r="AF373" t="str">
        <f t="shared" si="11"/>
        <v>OLD</v>
      </c>
    </row>
    <row r="374" spans="1:32" x14ac:dyDescent="0.2">
      <c r="A374" t="s">
        <v>1118</v>
      </c>
      <c r="B374" t="s">
        <v>39</v>
      </c>
      <c r="C374">
        <v>1012727092</v>
      </c>
      <c r="D374" t="s">
        <v>431</v>
      </c>
      <c r="E374" t="s">
        <v>31</v>
      </c>
      <c r="F374" s="1">
        <v>0.67291666666666672</v>
      </c>
      <c r="G374" t="s">
        <v>32</v>
      </c>
      <c r="H374" t="s">
        <v>33</v>
      </c>
      <c r="I374" t="s">
        <v>41</v>
      </c>
      <c r="J374" t="s">
        <v>62</v>
      </c>
      <c r="K374">
        <v>280</v>
      </c>
      <c r="L374">
        <v>0</v>
      </c>
      <c r="M374" t="s">
        <v>36</v>
      </c>
      <c r="N374" t="s">
        <v>37</v>
      </c>
      <c r="O374">
        <v>0</v>
      </c>
      <c r="P374">
        <v>0</v>
      </c>
      <c r="Q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 t="s">
        <v>36</v>
      </c>
      <c r="AC374" t="s">
        <v>43</v>
      </c>
      <c r="AD374" t="str">
        <f t="shared" si="10"/>
        <v>CP</v>
      </c>
      <c r="AE374" t="str">
        <f>_xlfn.XLOOKUP(D374,Mapping!A:A,Mapping!D:D,0,0)</f>
        <v>Trans</v>
      </c>
      <c r="AF374" t="str">
        <f t="shared" si="11"/>
        <v>OLD</v>
      </c>
    </row>
    <row r="375" spans="1:32" x14ac:dyDescent="0.2">
      <c r="A375" t="s">
        <v>1118</v>
      </c>
      <c r="B375" t="s">
        <v>29</v>
      </c>
      <c r="C375">
        <v>1012727102</v>
      </c>
      <c r="D375" t="s">
        <v>432</v>
      </c>
      <c r="E375" t="s">
        <v>31</v>
      </c>
      <c r="F375" s="1">
        <v>0.67291666666666672</v>
      </c>
      <c r="G375" t="s">
        <v>32</v>
      </c>
      <c r="H375" t="s">
        <v>33</v>
      </c>
      <c r="I375" t="s">
        <v>34</v>
      </c>
      <c r="J375" t="s">
        <v>84</v>
      </c>
      <c r="K375">
        <v>112</v>
      </c>
      <c r="L375">
        <v>0</v>
      </c>
      <c r="M375" t="s">
        <v>36</v>
      </c>
      <c r="N375" t="s">
        <v>37</v>
      </c>
      <c r="O375">
        <v>4967</v>
      </c>
      <c r="P375">
        <v>147</v>
      </c>
      <c r="Q375">
        <v>2.95953</v>
      </c>
      <c r="R375">
        <v>0</v>
      </c>
      <c r="S375">
        <v>10.66</v>
      </c>
      <c r="T375">
        <v>2.1459999999999999</v>
      </c>
      <c r="U375">
        <v>7.2999999999999995E-2</v>
      </c>
      <c r="V375">
        <v>0</v>
      </c>
      <c r="W375">
        <v>1</v>
      </c>
      <c r="X375">
        <v>0</v>
      </c>
      <c r="Y375" t="s">
        <v>36</v>
      </c>
      <c r="Z375">
        <v>4967</v>
      </c>
      <c r="AA375">
        <v>3746</v>
      </c>
      <c r="AB375">
        <v>548</v>
      </c>
      <c r="AC375" t="s">
        <v>423</v>
      </c>
      <c r="AD375" t="str">
        <f t="shared" si="10"/>
        <v>CP</v>
      </c>
      <c r="AE375" t="str">
        <f>_xlfn.XLOOKUP(D375,Mapping!A:A,Mapping!D:D,0,0)</f>
        <v>Trans</v>
      </c>
      <c r="AF375" t="str">
        <f t="shared" si="11"/>
        <v>OLD</v>
      </c>
    </row>
    <row r="376" spans="1:32" x14ac:dyDescent="0.2">
      <c r="A376" t="s">
        <v>1118</v>
      </c>
      <c r="B376" t="s">
        <v>39</v>
      </c>
      <c r="C376">
        <v>1012727112</v>
      </c>
      <c r="D376" t="s">
        <v>433</v>
      </c>
      <c r="E376" t="s">
        <v>31</v>
      </c>
      <c r="F376" s="1">
        <v>0.67291666666666672</v>
      </c>
      <c r="G376" t="s">
        <v>32</v>
      </c>
      <c r="H376" t="s">
        <v>33</v>
      </c>
      <c r="I376" t="s">
        <v>41</v>
      </c>
      <c r="J376" t="s">
        <v>62</v>
      </c>
      <c r="K376">
        <v>280</v>
      </c>
      <c r="L376">
        <v>0</v>
      </c>
      <c r="M376" t="s">
        <v>36</v>
      </c>
      <c r="N376" t="s">
        <v>37</v>
      </c>
      <c r="O376">
        <v>0</v>
      </c>
      <c r="P376">
        <v>0</v>
      </c>
      <c r="Q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 t="s">
        <v>36</v>
      </c>
      <c r="AC376" t="s">
        <v>43</v>
      </c>
      <c r="AD376" t="str">
        <f t="shared" si="10"/>
        <v>CP</v>
      </c>
      <c r="AE376" t="str">
        <f>_xlfn.XLOOKUP(D376,Mapping!A:A,Mapping!D:D,0,0)</f>
        <v>Bin</v>
      </c>
      <c r="AF376" t="str">
        <f t="shared" si="11"/>
        <v>OLD</v>
      </c>
    </row>
    <row r="377" spans="1:32" x14ac:dyDescent="0.2">
      <c r="A377" t="s">
        <v>1118</v>
      </c>
      <c r="B377" t="s">
        <v>39</v>
      </c>
      <c r="C377">
        <v>1012732752</v>
      </c>
      <c r="D377" t="s">
        <v>434</v>
      </c>
      <c r="E377" t="s">
        <v>31</v>
      </c>
      <c r="F377" s="1">
        <v>0.67291666666666672</v>
      </c>
      <c r="G377" t="s">
        <v>32</v>
      </c>
      <c r="H377" t="s">
        <v>33</v>
      </c>
      <c r="I377" t="s">
        <v>41</v>
      </c>
      <c r="J377" t="s">
        <v>84</v>
      </c>
      <c r="K377">
        <v>280</v>
      </c>
      <c r="L377">
        <v>0</v>
      </c>
      <c r="M377" t="s">
        <v>36</v>
      </c>
      <c r="N377" t="s">
        <v>37</v>
      </c>
      <c r="O377">
        <v>0</v>
      </c>
      <c r="P377">
        <v>0</v>
      </c>
      <c r="Q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 t="s">
        <v>36</v>
      </c>
      <c r="AC377" t="s">
        <v>43</v>
      </c>
      <c r="AD377" t="str">
        <f t="shared" si="10"/>
        <v>CP</v>
      </c>
      <c r="AE377" t="str">
        <f>_xlfn.XLOOKUP(D377,Mapping!A:A,Mapping!D:D,0,0)</f>
        <v>Bin</v>
      </c>
      <c r="AF377" t="str">
        <f t="shared" si="11"/>
        <v>OLD</v>
      </c>
    </row>
    <row r="378" spans="1:32" x14ac:dyDescent="0.2">
      <c r="A378" t="s">
        <v>1118</v>
      </c>
      <c r="B378" t="s">
        <v>39</v>
      </c>
      <c r="C378">
        <v>1012732782</v>
      </c>
      <c r="D378" t="s">
        <v>435</v>
      </c>
      <c r="E378" t="s">
        <v>31</v>
      </c>
      <c r="F378" s="1">
        <v>0.67291666666666672</v>
      </c>
      <c r="G378" t="s">
        <v>32</v>
      </c>
      <c r="H378" t="s">
        <v>33</v>
      </c>
      <c r="I378" t="s">
        <v>41</v>
      </c>
      <c r="J378" t="s">
        <v>84</v>
      </c>
      <c r="K378">
        <v>280</v>
      </c>
      <c r="L378">
        <v>0</v>
      </c>
      <c r="M378" t="s">
        <v>63</v>
      </c>
      <c r="N378">
        <v>250</v>
      </c>
      <c r="O378">
        <v>0</v>
      </c>
      <c r="P378">
        <v>0</v>
      </c>
      <c r="Q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 t="s">
        <v>36</v>
      </c>
      <c r="AC378" t="s">
        <v>43</v>
      </c>
      <c r="AD378" t="str">
        <f t="shared" si="10"/>
        <v>CP</v>
      </c>
      <c r="AE378" t="str">
        <f>_xlfn.XLOOKUP(D378,Mapping!A:A,Mapping!D:D,0,0)</f>
        <v>Bin</v>
      </c>
      <c r="AF378" t="str">
        <f t="shared" si="11"/>
        <v>OLD</v>
      </c>
    </row>
    <row r="379" spans="1:32" x14ac:dyDescent="0.2">
      <c r="A379" t="s">
        <v>1118</v>
      </c>
      <c r="B379" t="s">
        <v>29</v>
      </c>
      <c r="C379">
        <v>1012732792</v>
      </c>
      <c r="D379" t="s">
        <v>436</v>
      </c>
      <c r="E379" t="s">
        <v>31</v>
      </c>
      <c r="F379" s="1">
        <v>0.67291666666666672</v>
      </c>
      <c r="G379" t="s">
        <v>32</v>
      </c>
      <c r="H379" t="s">
        <v>33</v>
      </c>
      <c r="I379" t="s">
        <v>41</v>
      </c>
      <c r="J379" t="s">
        <v>84</v>
      </c>
      <c r="K379">
        <v>280</v>
      </c>
      <c r="L379">
        <v>0</v>
      </c>
      <c r="M379" t="s">
        <v>36</v>
      </c>
      <c r="N379" t="s">
        <v>37</v>
      </c>
      <c r="O379">
        <v>87</v>
      </c>
      <c r="P379">
        <v>6</v>
      </c>
      <c r="Q379">
        <v>6.8965500000000004</v>
      </c>
      <c r="R379">
        <v>0</v>
      </c>
      <c r="S379">
        <v>0.13</v>
      </c>
      <c r="T379">
        <v>1.448</v>
      </c>
      <c r="U379">
        <v>2.1000000000000001E-2</v>
      </c>
      <c r="V379">
        <v>0</v>
      </c>
      <c r="W379">
        <v>1</v>
      </c>
      <c r="X379">
        <v>0</v>
      </c>
      <c r="Y379" t="s">
        <v>36</v>
      </c>
      <c r="Z379">
        <v>87</v>
      </c>
      <c r="AA379">
        <v>74</v>
      </c>
      <c r="AB379">
        <v>10</v>
      </c>
      <c r="AC379" t="s">
        <v>303</v>
      </c>
      <c r="AD379" t="str">
        <f t="shared" si="10"/>
        <v>CP</v>
      </c>
      <c r="AE379" t="str">
        <f>_xlfn.XLOOKUP(D379,Mapping!A:A,Mapping!D:D,0,0)</f>
        <v>Keyword - Preroll</v>
      </c>
      <c r="AF379" t="str">
        <f t="shared" si="11"/>
        <v>OLD</v>
      </c>
    </row>
    <row r="380" spans="1:32" x14ac:dyDescent="0.2">
      <c r="A380" t="s">
        <v>1118</v>
      </c>
      <c r="B380" t="s">
        <v>39</v>
      </c>
      <c r="C380">
        <v>1012732802</v>
      </c>
      <c r="D380" t="s">
        <v>437</v>
      </c>
      <c r="E380" t="s">
        <v>31</v>
      </c>
      <c r="F380" s="1">
        <v>0.67291666666666672</v>
      </c>
      <c r="G380" t="s">
        <v>32</v>
      </c>
      <c r="H380" t="s">
        <v>33</v>
      </c>
      <c r="I380" t="s">
        <v>41</v>
      </c>
      <c r="J380" t="s">
        <v>84</v>
      </c>
      <c r="K380">
        <v>280</v>
      </c>
      <c r="L380">
        <v>0</v>
      </c>
      <c r="M380" t="s">
        <v>63</v>
      </c>
      <c r="N380">
        <v>250</v>
      </c>
      <c r="O380">
        <v>0</v>
      </c>
      <c r="P380">
        <v>0</v>
      </c>
      <c r="Q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 t="s">
        <v>36</v>
      </c>
      <c r="AC380" t="s">
        <v>43</v>
      </c>
      <c r="AD380" t="str">
        <f t="shared" si="10"/>
        <v>CP</v>
      </c>
      <c r="AE380" t="str">
        <f>_xlfn.XLOOKUP(D380,Mapping!A:A,Mapping!D:D,0,0)</f>
        <v>Bin</v>
      </c>
      <c r="AF380" t="str">
        <f t="shared" si="11"/>
        <v>OLD</v>
      </c>
    </row>
    <row r="381" spans="1:32" x14ac:dyDescent="0.2">
      <c r="A381" t="s">
        <v>1118</v>
      </c>
      <c r="B381" t="s">
        <v>39</v>
      </c>
      <c r="C381">
        <v>1012732812</v>
      </c>
      <c r="D381" t="s">
        <v>438</v>
      </c>
      <c r="E381" t="s">
        <v>31</v>
      </c>
      <c r="F381" s="1">
        <v>0.67291666666666672</v>
      </c>
      <c r="G381" t="s">
        <v>32</v>
      </c>
      <c r="H381" t="s">
        <v>33</v>
      </c>
      <c r="I381" t="s">
        <v>41</v>
      </c>
      <c r="J381" t="s">
        <v>84</v>
      </c>
      <c r="K381">
        <v>280</v>
      </c>
      <c r="L381">
        <v>0</v>
      </c>
      <c r="M381" t="s">
        <v>63</v>
      </c>
      <c r="N381">
        <v>250</v>
      </c>
      <c r="O381">
        <v>0</v>
      </c>
      <c r="P381">
        <v>0</v>
      </c>
      <c r="Q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 t="s">
        <v>36</v>
      </c>
      <c r="AC381" t="s">
        <v>43</v>
      </c>
      <c r="AD381" t="str">
        <f t="shared" si="10"/>
        <v>CP</v>
      </c>
      <c r="AE381" t="str">
        <f>_xlfn.XLOOKUP(D381,Mapping!A:A,Mapping!D:D,0,0)</f>
        <v>Bin</v>
      </c>
      <c r="AF381" t="str">
        <f t="shared" si="11"/>
        <v>OLD</v>
      </c>
    </row>
    <row r="382" spans="1:32" x14ac:dyDescent="0.2">
      <c r="A382" t="s">
        <v>1118</v>
      </c>
      <c r="B382" t="s">
        <v>39</v>
      </c>
      <c r="C382">
        <v>1012732822</v>
      </c>
      <c r="D382" t="s">
        <v>439</v>
      </c>
      <c r="E382" t="s">
        <v>31</v>
      </c>
      <c r="F382" s="1">
        <v>0.67291666666666672</v>
      </c>
      <c r="G382" t="s">
        <v>32</v>
      </c>
      <c r="H382" t="s">
        <v>33</v>
      </c>
      <c r="I382" t="s">
        <v>41</v>
      </c>
      <c r="J382" t="s">
        <v>84</v>
      </c>
      <c r="K382">
        <v>280</v>
      </c>
      <c r="L382">
        <v>0</v>
      </c>
      <c r="M382" t="s">
        <v>63</v>
      </c>
      <c r="N382">
        <v>250</v>
      </c>
      <c r="O382">
        <v>0</v>
      </c>
      <c r="P382">
        <v>0</v>
      </c>
      <c r="Q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 t="s">
        <v>36</v>
      </c>
      <c r="AC382" t="s">
        <v>43</v>
      </c>
      <c r="AD382" t="str">
        <f t="shared" si="10"/>
        <v>CP</v>
      </c>
      <c r="AE382" t="str">
        <f>_xlfn.XLOOKUP(D382,Mapping!A:A,Mapping!D:D,0,0)</f>
        <v>Bin</v>
      </c>
      <c r="AF382" t="str">
        <f t="shared" si="11"/>
        <v>OLD</v>
      </c>
    </row>
    <row r="383" spans="1:32" x14ac:dyDescent="0.2">
      <c r="A383" t="s">
        <v>1118</v>
      </c>
      <c r="B383" t="s">
        <v>39</v>
      </c>
      <c r="C383">
        <v>1012732832</v>
      </c>
      <c r="D383" t="s">
        <v>440</v>
      </c>
      <c r="E383" t="s">
        <v>31</v>
      </c>
      <c r="F383" s="1">
        <v>0.67291666666666672</v>
      </c>
      <c r="G383" t="s">
        <v>32</v>
      </c>
      <c r="H383" t="s">
        <v>33</v>
      </c>
      <c r="I383" t="s">
        <v>41</v>
      </c>
      <c r="J383" t="s">
        <v>84</v>
      </c>
      <c r="K383">
        <v>280</v>
      </c>
      <c r="L383">
        <v>0</v>
      </c>
      <c r="M383" t="s">
        <v>63</v>
      </c>
      <c r="N383">
        <v>250</v>
      </c>
      <c r="O383">
        <v>0</v>
      </c>
      <c r="P383">
        <v>0</v>
      </c>
      <c r="Q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 t="s">
        <v>36</v>
      </c>
      <c r="AC383" t="s">
        <v>43</v>
      </c>
      <c r="AD383" t="str">
        <f t="shared" si="10"/>
        <v>CP</v>
      </c>
      <c r="AE383" t="str">
        <f>_xlfn.XLOOKUP(D383,Mapping!A:A,Mapping!D:D,0,0)</f>
        <v>Bin</v>
      </c>
      <c r="AF383" t="str">
        <f t="shared" si="11"/>
        <v>OLD</v>
      </c>
    </row>
    <row r="384" spans="1:32" x14ac:dyDescent="0.2">
      <c r="A384" t="s">
        <v>1118</v>
      </c>
      <c r="B384" t="s">
        <v>39</v>
      </c>
      <c r="C384">
        <v>1012732842</v>
      </c>
      <c r="D384" t="s">
        <v>441</v>
      </c>
      <c r="E384" t="s">
        <v>31</v>
      </c>
      <c r="F384" s="1">
        <v>0.67291666666666672</v>
      </c>
      <c r="G384" t="s">
        <v>32</v>
      </c>
      <c r="H384" t="s">
        <v>33</v>
      </c>
      <c r="I384" t="s">
        <v>41</v>
      </c>
      <c r="J384" t="s">
        <v>84</v>
      </c>
      <c r="K384">
        <v>280</v>
      </c>
      <c r="L384">
        <v>0</v>
      </c>
      <c r="M384" t="s">
        <v>63</v>
      </c>
      <c r="N384">
        <v>250</v>
      </c>
      <c r="O384">
        <v>0</v>
      </c>
      <c r="P384">
        <v>0</v>
      </c>
      <c r="Q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 t="s">
        <v>36</v>
      </c>
      <c r="AC384" t="s">
        <v>43</v>
      </c>
      <c r="AD384" t="str">
        <f t="shared" si="10"/>
        <v>CP</v>
      </c>
      <c r="AE384" t="str">
        <f>_xlfn.XLOOKUP(D384,Mapping!A:A,Mapping!D:D,0,0)</f>
        <v>Bin</v>
      </c>
      <c r="AF384" t="str">
        <f t="shared" si="11"/>
        <v>OLD</v>
      </c>
    </row>
    <row r="385" spans="1:32" x14ac:dyDescent="0.2">
      <c r="A385" t="s">
        <v>1118</v>
      </c>
      <c r="B385" t="s">
        <v>39</v>
      </c>
      <c r="C385">
        <v>1012732852</v>
      </c>
      <c r="D385" t="s">
        <v>442</v>
      </c>
      <c r="E385" t="s">
        <v>31</v>
      </c>
      <c r="F385" s="1">
        <v>0.67291666666666672</v>
      </c>
      <c r="G385" t="s">
        <v>32</v>
      </c>
      <c r="H385" t="s">
        <v>33</v>
      </c>
      <c r="I385" t="s">
        <v>41</v>
      </c>
      <c r="J385" t="s">
        <v>84</v>
      </c>
      <c r="K385">
        <v>280</v>
      </c>
      <c r="L385">
        <v>0</v>
      </c>
      <c r="M385" t="s">
        <v>63</v>
      </c>
      <c r="N385">
        <v>250</v>
      </c>
      <c r="O385">
        <v>0</v>
      </c>
      <c r="P385">
        <v>0</v>
      </c>
      <c r="Q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 t="s">
        <v>36</v>
      </c>
      <c r="AC385" t="s">
        <v>43</v>
      </c>
      <c r="AD385" t="str">
        <f t="shared" si="10"/>
        <v>CP</v>
      </c>
      <c r="AE385" t="str">
        <f>_xlfn.XLOOKUP(D385,Mapping!A:A,Mapping!D:D,0,0)</f>
        <v>Bin</v>
      </c>
      <c r="AF385" t="str">
        <f t="shared" si="11"/>
        <v>OLD</v>
      </c>
    </row>
    <row r="386" spans="1:32" x14ac:dyDescent="0.2">
      <c r="A386" t="s">
        <v>1118</v>
      </c>
      <c r="B386" t="s">
        <v>39</v>
      </c>
      <c r="C386">
        <v>1012732862</v>
      </c>
      <c r="D386" t="s">
        <v>443</v>
      </c>
      <c r="E386" t="s">
        <v>31</v>
      </c>
      <c r="F386" s="1">
        <v>0.67291666666666672</v>
      </c>
      <c r="G386" t="s">
        <v>32</v>
      </c>
      <c r="H386" t="s">
        <v>33</v>
      </c>
      <c r="I386" t="s">
        <v>41</v>
      </c>
      <c r="J386" t="s">
        <v>84</v>
      </c>
      <c r="K386">
        <v>280</v>
      </c>
      <c r="L386">
        <v>0</v>
      </c>
      <c r="M386" t="s">
        <v>63</v>
      </c>
      <c r="N386">
        <v>250</v>
      </c>
      <c r="O386">
        <v>0</v>
      </c>
      <c r="P386">
        <v>0</v>
      </c>
      <c r="Q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 t="s">
        <v>36</v>
      </c>
      <c r="AC386" t="s">
        <v>43</v>
      </c>
      <c r="AD386" t="str">
        <f t="shared" si="10"/>
        <v>CP</v>
      </c>
      <c r="AE386" t="str">
        <f>_xlfn.XLOOKUP(D386,Mapping!A:A,Mapping!D:D,0,0)</f>
        <v>Bin</v>
      </c>
      <c r="AF386" t="str">
        <f t="shared" si="11"/>
        <v>OLD</v>
      </c>
    </row>
    <row r="387" spans="1:32" x14ac:dyDescent="0.2">
      <c r="A387" t="s">
        <v>1118</v>
      </c>
      <c r="B387" t="s">
        <v>39</v>
      </c>
      <c r="C387">
        <v>1012732872</v>
      </c>
      <c r="D387" t="s">
        <v>444</v>
      </c>
      <c r="E387" t="s">
        <v>31</v>
      </c>
      <c r="F387" s="1">
        <v>0.67291666666666672</v>
      </c>
      <c r="G387" t="s">
        <v>32</v>
      </c>
      <c r="H387" t="s">
        <v>33</v>
      </c>
      <c r="I387" t="s">
        <v>41</v>
      </c>
      <c r="J387" t="s">
        <v>84</v>
      </c>
      <c r="K387">
        <v>280</v>
      </c>
      <c r="L387">
        <v>0</v>
      </c>
      <c r="M387" t="s">
        <v>63</v>
      </c>
      <c r="N387">
        <v>250</v>
      </c>
      <c r="O387">
        <v>0</v>
      </c>
      <c r="P387">
        <v>0</v>
      </c>
      <c r="Q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 t="s">
        <v>36</v>
      </c>
      <c r="AC387" t="s">
        <v>43</v>
      </c>
      <c r="AD387" t="str">
        <f t="shared" ref="AD387:AD450" si="12">LEFT(D387,2)</f>
        <v>CP</v>
      </c>
      <c r="AE387" t="str">
        <f>_xlfn.XLOOKUP(D387,Mapping!A:A,Mapping!D:D,0,0)</f>
        <v>Bin</v>
      </c>
      <c r="AF387" t="str">
        <f t="shared" ref="AF387:AF450" si="13">IFERROR(IF(SEARCH("_TJ",D387)&gt;0,"TJ",NA()),IFERROR(IF(SEARCH("_JB",D387)&gt;0,"JB",NA()),"OLD"))</f>
        <v>OLD</v>
      </c>
    </row>
    <row r="388" spans="1:32" x14ac:dyDescent="0.2">
      <c r="A388" t="s">
        <v>1118</v>
      </c>
      <c r="B388" t="s">
        <v>39</v>
      </c>
      <c r="C388">
        <v>1012732882</v>
      </c>
      <c r="D388" t="s">
        <v>445</v>
      </c>
      <c r="E388" t="s">
        <v>31</v>
      </c>
      <c r="F388" s="1">
        <v>0.67291666666666672</v>
      </c>
      <c r="G388" t="s">
        <v>32</v>
      </c>
      <c r="H388" t="s">
        <v>33</v>
      </c>
      <c r="I388" t="s">
        <v>41</v>
      </c>
      <c r="J388" t="s">
        <v>84</v>
      </c>
      <c r="K388">
        <v>280</v>
      </c>
      <c r="L388">
        <v>0</v>
      </c>
      <c r="M388" t="s">
        <v>63</v>
      </c>
      <c r="N388">
        <v>250</v>
      </c>
      <c r="O388">
        <v>0</v>
      </c>
      <c r="P388">
        <v>0</v>
      </c>
      <c r="Q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 t="s">
        <v>36</v>
      </c>
      <c r="AC388" t="s">
        <v>43</v>
      </c>
      <c r="AD388" t="str">
        <f t="shared" si="12"/>
        <v>CP</v>
      </c>
      <c r="AE388" t="str">
        <f>_xlfn.XLOOKUP(D388,Mapping!A:A,Mapping!D:D,0,0)</f>
        <v>Bin</v>
      </c>
      <c r="AF388" t="str">
        <f t="shared" si="13"/>
        <v>OLD</v>
      </c>
    </row>
    <row r="389" spans="1:32" x14ac:dyDescent="0.2">
      <c r="A389" t="s">
        <v>1118</v>
      </c>
      <c r="B389" t="s">
        <v>39</v>
      </c>
      <c r="C389">
        <v>1012732892</v>
      </c>
      <c r="D389" t="s">
        <v>446</v>
      </c>
      <c r="E389" t="s">
        <v>31</v>
      </c>
      <c r="F389" s="1">
        <v>0.67291666666666672</v>
      </c>
      <c r="G389" t="s">
        <v>32</v>
      </c>
      <c r="H389" t="s">
        <v>33</v>
      </c>
      <c r="I389" t="s">
        <v>41</v>
      </c>
      <c r="J389" t="s">
        <v>84</v>
      </c>
      <c r="K389">
        <v>280</v>
      </c>
      <c r="L389">
        <v>0</v>
      </c>
      <c r="M389" t="s">
        <v>63</v>
      </c>
      <c r="N389">
        <v>250</v>
      </c>
      <c r="O389">
        <v>0</v>
      </c>
      <c r="P389">
        <v>0</v>
      </c>
      <c r="Q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 t="s">
        <v>36</v>
      </c>
      <c r="AC389" t="s">
        <v>43</v>
      </c>
      <c r="AD389" t="str">
        <f t="shared" si="12"/>
        <v>CP</v>
      </c>
      <c r="AE389" t="str">
        <f>_xlfn.XLOOKUP(D389,Mapping!A:A,Mapping!D:D,0,0)</f>
        <v>Bin</v>
      </c>
      <c r="AF389" t="str">
        <f t="shared" si="13"/>
        <v>OLD</v>
      </c>
    </row>
    <row r="390" spans="1:32" x14ac:dyDescent="0.2">
      <c r="A390" t="s">
        <v>1118</v>
      </c>
      <c r="B390" t="s">
        <v>39</v>
      </c>
      <c r="C390">
        <v>1012732902</v>
      </c>
      <c r="D390" t="s">
        <v>447</v>
      </c>
      <c r="E390" t="s">
        <v>31</v>
      </c>
      <c r="F390" s="1">
        <v>0.67291666666666672</v>
      </c>
      <c r="G390" t="s">
        <v>32</v>
      </c>
      <c r="H390" t="s">
        <v>33</v>
      </c>
      <c r="I390" t="s">
        <v>41</v>
      </c>
      <c r="J390" t="s">
        <v>84</v>
      </c>
      <c r="K390">
        <v>280</v>
      </c>
      <c r="L390">
        <v>0</v>
      </c>
      <c r="M390" t="s">
        <v>36</v>
      </c>
      <c r="N390" t="s">
        <v>37</v>
      </c>
      <c r="O390">
        <v>0</v>
      </c>
      <c r="P390">
        <v>0</v>
      </c>
      <c r="Q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 t="s">
        <v>36</v>
      </c>
      <c r="AC390" t="s">
        <v>43</v>
      </c>
      <c r="AD390" t="str">
        <f t="shared" si="12"/>
        <v>CP</v>
      </c>
      <c r="AE390" t="str">
        <f>_xlfn.XLOOKUP(D390,Mapping!A:A,Mapping!D:D,0,0)</f>
        <v>Bin</v>
      </c>
      <c r="AF390" t="str">
        <f t="shared" si="13"/>
        <v>OLD</v>
      </c>
    </row>
    <row r="391" spans="1:32" x14ac:dyDescent="0.2">
      <c r="A391" t="s">
        <v>1118</v>
      </c>
      <c r="B391" t="s">
        <v>39</v>
      </c>
      <c r="C391">
        <v>1012732912</v>
      </c>
      <c r="D391" t="s">
        <v>448</v>
      </c>
      <c r="E391" t="s">
        <v>31</v>
      </c>
      <c r="F391" s="1">
        <v>0.67291666666666672</v>
      </c>
      <c r="G391" t="s">
        <v>32</v>
      </c>
      <c r="H391" t="s">
        <v>33</v>
      </c>
      <c r="I391" t="s">
        <v>41</v>
      </c>
      <c r="J391" t="s">
        <v>84</v>
      </c>
      <c r="K391">
        <v>280</v>
      </c>
      <c r="L391">
        <v>0</v>
      </c>
      <c r="M391" t="s">
        <v>36</v>
      </c>
      <c r="N391" t="s">
        <v>37</v>
      </c>
      <c r="O391">
        <v>0</v>
      </c>
      <c r="P391">
        <v>0</v>
      </c>
      <c r="Q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 t="s">
        <v>36</v>
      </c>
      <c r="AC391" t="s">
        <v>43</v>
      </c>
      <c r="AD391" t="str">
        <f t="shared" si="12"/>
        <v>CP</v>
      </c>
      <c r="AE391" t="str">
        <f>_xlfn.XLOOKUP(D391,Mapping!A:A,Mapping!D:D,0,0)</f>
        <v>Bin</v>
      </c>
      <c r="AF391" t="str">
        <f t="shared" si="13"/>
        <v>OLD</v>
      </c>
    </row>
    <row r="392" spans="1:32" x14ac:dyDescent="0.2">
      <c r="A392" t="s">
        <v>1118</v>
      </c>
      <c r="B392" t="s">
        <v>39</v>
      </c>
      <c r="C392">
        <v>1012732922</v>
      </c>
      <c r="D392" t="s">
        <v>449</v>
      </c>
      <c r="E392" t="s">
        <v>31</v>
      </c>
      <c r="F392" s="1">
        <v>0.67291666666666672</v>
      </c>
      <c r="G392" t="s">
        <v>32</v>
      </c>
      <c r="H392" t="s">
        <v>33</v>
      </c>
      <c r="I392" t="s">
        <v>41</v>
      </c>
      <c r="J392" t="s">
        <v>84</v>
      </c>
      <c r="K392">
        <v>280</v>
      </c>
      <c r="L392">
        <v>0</v>
      </c>
      <c r="M392" t="s">
        <v>63</v>
      </c>
      <c r="N392">
        <v>250</v>
      </c>
      <c r="O392">
        <v>0</v>
      </c>
      <c r="P392">
        <v>0</v>
      </c>
      <c r="Q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 t="s">
        <v>36</v>
      </c>
      <c r="AC392" t="s">
        <v>43</v>
      </c>
      <c r="AD392" t="str">
        <f t="shared" si="12"/>
        <v>CP</v>
      </c>
      <c r="AE392" t="str">
        <f>_xlfn.XLOOKUP(D392,Mapping!A:A,Mapping!D:D,0,0)</f>
        <v>Bin</v>
      </c>
      <c r="AF392" t="str">
        <f t="shared" si="13"/>
        <v>OLD</v>
      </c>
    </row>
    <row r="393" spans="1:32" x14ac:dyDescent="0.2">
      <c r="A393" t="s">
        <v>1118</v>
      </c>
      <c r="B393" t="s">
        <v>39</v>
      </c>
      <c r="C393">
        <v>1012732932</v>
      </c>
      <c r="D393" t="s">
        <v>450</v>
      </c>
      <c r="E393" t="s">
        <v>31</v>
      </c>
      <c r="F393" s="1">
        <v>0.67291666666666672</v>
      </c>
      <c r="G393" t="s">
        <v>32</v>
      </c>
      <c r="H393" t="s">
        <v>33</v>
      </c>
      <c r="I393" t="s">
        <v>41</v>
      </c>
      <c r="J393" t="s">
        <v>84</v>
      </c>
      <c r="K393">
        <v>280</v>
      </c>
      <c r="L393">
        <v>0</v>
      </c>
      <c r="M393" t="s">
        <v>63</v>
      </c>
      <c r="N393">
        <v>250</v>
      </c>
      <c r="O393">
        <v>0</v>
      </c>
      <c r="P393">
        <v>0</v>
      </c>
      <c r="Q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 t="s">
        <v>36</v>
      </c>
      <c r="AC393" t="s">
        <v>43</v>
      </c>
      <c r="AD393" t="str">
        <f t="shared" si="12"/>
        <v>CP</v>
      </c>
      <c r="AE393" t="str">
        <f>_xlfn.XLOOKUP(D393,Mapping!A:A,Mapping!D:D,0,0)</f>
        <v>Bin</v>
      </c>
      <c r="AF393" t="str">
        <f t="shared" si="13"/>
        <v>OLD</v>
      </c>
    </row>
    <row r="394" spans="1:32" x14ac:dyDescent="0.2">
      <c r="A394" t="s">
        <v>1118</v>
      </c>
      <c r="B394" t="s">
        <v>39</v>
      </c>
      <c r="C394">
        <v>1012732942</v>
      </c>
      <c r="D394" t="s">
        <v>451</v>
      </c>
      <c r="E394" t="s">
        <v>31</v>
      </c>
      <c r="F394" s="1">
        <v>0.67291666666666672</v>
      </c>
      <c r="G394" t="s">
        <v>32</v>
      </c>
      <c r="H394" t="s">
        <v>33</v>
      </c>
      <c r="I394" t="s">
        <v>41</v>
      </c>
      <c r="J394" t="s">
        <v>84</v>
      </c>
      <c r="K394">
        <v>280</v>
      </c>
      <c r="L394">
        <v>0</v>
      </c>
      <c r="M394" t="s">
        <v>63</v>
      </c>
      <c r="N394">
        <v>250</v>
      </c>
      <c r="O394">
        <v>0</v>
      </c>
      <c r="P394">
        <v>0</v>
      </c>
      <c r="Q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 t="s">
        <v>36</v>
      </c>
      <c r="AC394" t="s">
        <v>43</v>
      </c>
      <c r="AD394" t="str">
        <f t="shared" si="12"/>
        <v>CP</v>
      </c>
      <c r="AE394" t="str">
        <f>_xlfn.XLOOKUP(D394,Mapping!A:A,Mapping!D:D,0,0)</f>
        <v>Bin</v>
      </c>
      <c r="AF394" t="str">
        <f t="shared" si="13"/>
        <v>OLD</v>
      </c>
    </row>
    <row r="395" spans="1:32" x14ac:dyDescent="0.2">
      <c r="A395" t="s">
        <v>1118</v>
      </c>
      <c r="B395" t="s">
        <v>39</v>
      </c>
      <c r="C395">
        <v>1012732962</v>
      </c>
      <c r="D395" t="s">
        <v>452</v>
      </c>
      <c r="E395" t="s">
        <v>31</v>
      </c>
      <c r="F395" s="1">
        <v>0.67291666666666672</v>
      </c>
      <c r="G395" t="s">
        <v>32</v>
      </c>
      <c r="H395" t="s">
        <v>33</v>
      </c>
      <c r="I395" t="s">
        <v>41</v>
      </c>
      <c r="J395" t="s">
        <v>84</v>
      </c>
      <c r="K395">
        <v>280</v>
      </c>
      <c r="L395">
        <v>0</v>
      </c>
      <c r="M395" t="s">
        <v>63</v>
      </c>
      <c r="N395">
        <v>250</v>
      </c>
      <c r="O395">
        <v>0</v>
      </c>
      <c r="P395">
        <v>0</v>
      </c>
      <c r="Q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 t="s">
        <v>36</v>
      </c>
      <c r="AC395" t="s">
        <v>43</v>
      </c>
      <c r="AD395" t="str">
        <f t="shared" si="12"/>
        <v>CP</v>
      </c>
      <c r="AE395" t="str">
        <f>_xlfn.XLOOKUP(D395,Mapping!A:A,Mapping!D:D,0,0)</f>
        <v>Bin</v>
      </c>
      <c r="AF395" t="str">
        <f t="shared" si="13"/>
        <v>OLD</v>
      </c>
    </row>
    <row r="396" spans="1:32" x14ac:dyDescent="0.2">
      <c r="A396" t="s">
        <v>1118</v>
      </c>
      <c r="B396" t="s">
        <v>39</v>
      </c>
      <c r="C396">
        <v>1012732972</v>
      </c>
      <c r="D396" t="s">
        <v>453</v>
      </c>
      <c r="E396" t="s">
        <v>31</v>
      </c>
      <c r="F396" s="1">
        <v>0.67291666666666672</v>
      </c>
      <c r="G396" t="s">
        <v>32</v>
      </c>
      <c r="H396" t="s">
        <v>33</v>
      </c>
      <c r="I396" t="s">
        <v>41</v>
      </c>
      <c r="J396" t="s">
        <v>84</v>
      </c>
      <c r="K396">
        <v>280</v>
      </c>
      <c r="L396">
        <v>0</v>
      </c>
      <c r="M396" t="s">
        <v>36</v>
      </c>
      <c r="N396" t="s">
        <v>37</v>
      </c>
      <c r="O396">
        <v>0</v>
      </c>
      <c r="P396">
        <v>0</v>
      </c>
      <c r="Q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 t="s">
        <v>36</v>
      </c>
      <c r="AC396" t="s">
        <v>43</v>
      </c>
      <c r="AD396" t="str">
        <f t="shared" si="12"/>
        <v>CP</v>
      </c>
      <c r="AE396" t="str">
        <f>_xlfn.XLOOKUP(D396,Mapping!A:A,Mapping!D:D,0,0)</f>
        <v>Bin</v>
      </c>
      <c r="AF396" t="str">
        <f t="shared" si="13"/>
        <v>OLD</v>
      </c>
    </row>
    <row r="397" spans="1:32" x14ac:dyDescent="0.2">
      <c r="A397" t="s">
        <v>1118</v>
      </c>
      <c r="B397" t="s">
        <v>39</v>
      </c>
      <c r="C397">
        <v>1012732982</v>
      </c>
      <c r="D397" t="s">
        <v>454</v>
      </c>
      <c r="E397" t="s">
        <v>31</v>
      </c>
      <c r="F397" s="1">
        <v>0.67291666666666672</v>
      </c>
      <c r="G397" t="s">
        <v>32</v>
      </c>
      <c r="H397" t="s">
        <v>33</v>
      </c>
      <c r="I397" t="s">
        <v>41</v>
      </c>
      <c r="J397" t="s">
        <v>84</v>
      </c>
      <c r="K397">
        <v>280</v>
      </c>
      <c r="L397">
        <v>0</v>
      </c>
      <c r="M397" t="s">
        <v>63</v>
      </c>
      <c r="N397">
        <v>250</v>
      </c>
      <c r="O397">
        <v>0</v>
      </c>
      <c r="P397">
        <v>0</v>
      </c>
      <c r="Q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 t="s">
        <v>36</v>
      </c>
      <c r="AC397" t="s">
        <v>43</v>
      </c>
      <c r="AD397" t="str">
        <f t="shared" si="12"/>
        <v>CP</v>
      </c>
      <c r="AE397" t="str">
        <f>_xlfn.XLOOKUP(D397,Mapping!A:A,Mapping!D:D,0,0)</f>
        <v>Bin</v>
      </c>
      <c r="AF397" t="str">
        <f t="shared" si="13"/>
        <v>OLD</v>
      </c>
    </row>
    <row r="398" spans="1:32" x14ac:dyDescent="0.2">
      <c r="A398" t="s">
        <v>1118</v>
      </c>
      <c r="B398" t="s">
        <v>39</v>
      </c>
      <c r="C398">
        <v>1012732992</v>
      </c>
      <c r="D398" t="s">
        <v>455</v>
      </c>
      <c r="E398" t="s">
        <v>31</v>
      </c>
      <c r="F398" s="1">
        <v>0.67291666666666672</v>
      </c>
      <c r="G398" t="s">
        <v>32</v>
      </c>
      <c r="H398" t="s">
        <v>33</v>
      </c>
      <c r="I398" t="s">
        <v>41</v>
      </c>
      <c r="J398" t="s">
        <v>84</v>
      </c>
      <c r="K398">
        <v>280</v>
      </c>
      <c r="L398">
        <v>0</v>
      </c>
      <c r="M398" t="s">
        <v>36</v>
      </c>
      <c r="N398" t="s">
        <v>37</v>
      </c>
      <c r="O398">
        <v>0</v>
      </c>
      <c r="P398">
        <v>0</v>
      </c>
      <c r="Q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 t="s">
        <v>36</v>
      </c>
      <c r="AC398" t="s">
        <v>43</v>
      </c>
      <c r="AD398" t="str">
        <f t="shared" si="12"/>
        <v>CP</v>
      </c>
      <c r="AE398" t="str">
        <f>_xlfn.XLOOKUP(D398,Mapping!A:A,Mapping!D:D,0,0)</f>
        <v>Bin</v>
      </c>
      <c r="AF398" t="str">
        <f t="shared" si="13"/>
        <v>OLD</v>
      </c>
    </row>
    <row r="399" spans="1:32" x14ac:dyDescent="0.2">
      <c r="A399" t="s">
        <v>1118</v>
      </c>
      <c r="B399" t="s">
        <v>39</v>
      </c>
      <c r="C399">
        <v>1012733002</v>
      </c>
      <c r="D399" t="s">
        <v>456</v>
      </c>
      <c r="E399" t="s">
        <v>31</v>
      </c>
      <c r="F399" s="1">
        <v>0.67291666666666672</v>
      </c>
      <c r="G399" t="s">
        <v>32</v>
      </c>
      <c r="H399" t="s">
        <v>33</v>
      </c>
      <c r="I399" t="s">
        <v>41</v>
      </c>
      <c r="J399" t="s">
        <v>84</v>
      </c>
      <c r="K399">
        <v>280</v>
      </c>
      <c r="L399">
        <v>0</v>
      </c>
      <c r="M399" t="s">
        <v>63</v>
      </c>
      <c r="N399">
        <v>250</v>
      </c>
      <c r="O399">
        <v>0</v>
      </c>
      <c r="P399">
        <v>0</v>
      </c>
      <c r="Q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 t="s">
        <v>36</v>
      </c>
      <c r="AC399" t="s">
        <v>43</v>
      </c>
      <c r="AD399" t="str">
        <f t="shared" si="12"/>
        <v>CP</v>
      </c>
      <c r="AE399" t="str">
        <f>_xlfn.XLOOKUP(D399,Mapping!A:A,Mapping!D:D,0,0)</f>
        <v>Bin</v>
      </c>
      <c r="AF399" t="str">
        <f t="shared" si="13"/>
        <v>OLD</v>
      </c>
    </row>
    <row r="400" spans="1:32" x14ac:dyDescent="0.2">
      <c r="A400" t="s">
        <v>1118</v>
      </c>
      <c r="B400" t="s">
        <v>39</v>
      </c>
      <c r="C400">
        <v>1012733012</v>
      </c>
      <c r="D400" t="s">
        <v>457</v>
      </c>
      <c r="E400" t="s">
        <v>31</v>
      </c>
      <c r="F400" s="1">
        <v>0.67291666666666672</v>
      </c>
      <c r="G400" t="s">
        <v>32</v>
      </c>
      <c r="H400" t="s">
        <v>33</v>
      </c>
      <c r="I400" t="s">
        <v>41</v>
      </c>
      <c r="J400" t="s">
        <v>84</v>
      </c>
      <c r="K400">
        <v>280</v>
      </c>
      <c r="L400">
        <v>0</v>
      </c>
      <c r="M400" t="s">
        <v>63</v>
      </c>
      <c r="N400">
        <v>250</v>
      </c>
      <c r="O400">
        <v>0</v>
      </c>
      <c r="P400">
        <v>0</v>
      </c>
      <c r="Q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 t="s">
        <v>36</v>
      </c>
      <c r="AC400" t="s">
        <v>43</v>
      </c>
      <c r="AD400" t="str">
        <f t="shared" si="12"/>
        <v>CP</v>
      </c>
      <c r="AE400" t="str">
        <f>_xlfn.XLOOKUP(D400,Mapping!A:A,Mapping!D:D,0,0)</f>
        <v>Bin</v>
      </c>
      <c r="AF400" t="str">
        <f t="shared" si="13"/>
        <v>OLD</v>
      </c>
    </row>
    <row r="401" spans="1:32" x14ac:dyDescent="0.2">
      <c r="A401" t="s">
        <v>1118</v>
      </c>
      <c r="B401" t="s">
        <v>39</v>
      </c>
      <c r="C401">
        <v>1012733022</v>
      </c>
      <c r="D401" t="s">
        <v>227</v>
      </c>
      <c r="E401" t="s">
        <v>31</v>
      </c>
      <c r="F401" s="1">
        <v>0.67291666666666672</v>
      </c>
      <c r="G401" t="s">
        <v>32</v>
      </c>
      <c r="H401" t="s">
        <v>33</v>
      </c>
      <c r="I401" t="s">
        <v>41</v>
      </c>
      <c r="J401" t="s">
        <v>84</v>
      </c>
      <c r="K401">
        <v>280</v>
      </c>
      <c r="L401">
        <v>0</v>
      </c>
      <c r="M401" t="s">
        <v>63</v>
      </c>
      <c r="N401">
        <v>250</v>
      </c>
      <c r="O401">
        <v>0</v>
      </c>
      <c r="P401">
        <v>0</v>
      </c>
      <c r="Q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 t="s">
        <v>36</v>
      </c>
      <c r="AC401" t="s">
        <v>43</v>
      </c>
      <c r="AD401" t="str">
        <f t="shared" si="12"/>
        <v>CP</v>
      </c>
      <c r="AE401" t="str">
        <f>_xlfn.XLOOKUP(D401,Mapping!A:A,Mapping!D:D,0,0)</f>
        <v>Bin</v>
      </c>
      <c r="AF401" t="str">
        <f t="shared" si="13"/>
        <v>OLD</v>
      </c>
    </row>
    <row r="402" spans="1:32" x14ac:dyDescent="0.2">
      <c r="A402" t="s">
        <v>1118</v>
      </c>
      <c r="B402" t="s">
        <v>39</v>
      </c>
      <c r="C402">
        <v>1012733032</v>
      </c>
      <c r="D402" t="s">
        <v>458</v>
      </c>
      <c r="E402" t="s">
        <v>31</v>
      </c>
      <c r="F402" s="1">
        <v>0.67291666666666672</v>
      </c>
      <c r="G402" t="s">
        <v>32</v>
      </c>
      <c r="H402" t="s">
        <v>33</v>
      </c>
      <c r="I402" t="s">
        <v>41</v>
      </c>
      <c r="J402" t="s">
        <v>84</v>
      </c>
      <c r="K402">
        <v>280</v>
      </c>
      <c r="L402">
        <v>0</v>
      </c>
      <c r="M402" t="s">
        <v>63</v>
      </c>
      <c r="N402">
        <v>250</v>
      </c>
      <c r="O402">
        <v>0</v>
      </c>
      <c r="P402">
        <v>0</v>
      </c>
      <c r="Q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 t="s">
        <v>36</v>
      </c>
      <c r="AC402" t="s">
        <v>43</v>
      </c>
      <c r="AD402" t="str">
        <f t="shared" si="12"/>
        <v>CP</v>
      </c>
      <c r="AE402" t="str">
        <f>_xlfn.XLOOKUP(D402,Mapping!A:A,Mapping!D:D,0,0)</f>
        <v>Bin</v>
      </c>
      <c r="AF402" t="str">
        <f t="shared" si="13"/>
        <v>OLD</v>
      </c>
    </row>
    <row r="403" spans="1:32" x14ac:dyDescent="0.2">
      <c r="A403" t="s">
        <v>1118</v>
      </c>
      <c r="B403" t="s">
        <v>39</v>
      </c>
      <c r="C403">
        <v>1012733042</v>
      </c>
      <c r="D403" t="s">
        <v>459</v>
      </c>
      <c r="E403" t="s">
        <v>31</v>
      </c>
      <c r="F403" s="1">
        <v>0.67291666666666672</v>
      </c>
      <c r="G403" t="s">
        <v>32</v>
      </c>
      <c r="H403" t="s">
        <v>33</v>
      </c>
      <c r="I403" t="s">
        <v>41</v>
      </c>
      <c r="J403" t="s">
        <v>84</v>
      </c>
      <c r="K403">
        <v>280</v>
      </c>
      <c r="L403">
        <v>0</v>
      </c>
      <c r="M403" t="s">
        <v>63</v>
      </c>
      <c r="N403">
        <v>250</v>
      </c>
      <c r="O403">
        <v>0</v>
      </c>
      <c r="P403">
        <v>0</v>
      </c>
      <c r="Q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 t="s">
        <v>36</v>
      </c>
      <c r="AC403" t="s">
        <v>43</v>
      </c>
      <c r="AD403" t="str">
        <f t="shared" si="12"/>
        <v>CP</v>
      </c>
      <c r="AE403" t="str">
        <f>_xlfn.XLOOKUP(D403,Mapping!A:A,Mapping!D:D,0,0)</f>
        <v>Bin</v>
      </c>
      <c r="AF403" t="str">
        <f t="shared" si="13"/>
        <v>OLD</v>
      </c>
    </row>
    <row r="404" spans="1:32" x14ac:dyDescent="0.2">
      <c r="A404" t="s">
        <v>1118</v>
      </c>
      <c r="B404" t="s">
        <v>39</v>
      </c>
      <c r="C404">
        <v>1012733052</v>
      </c>
      <c r="D404" t="s">
        <v>460</v>
      </c>
      <c r="E404" t="s">
        <v>31</v>
      </c>
      <c r="F404" s="1">
        <v>0.67291666666666672</v>
      </c>
      <c r="G404" t="s">
        <v>32</v>
      </c>
      <c r="H404" t="s">
        <v>33</v>
      </c>
      <c r="I404" t="s">
        <v>41</v>
      </c>
      <c r="J404" t="s">
        <v>84</v>
      </c>
      <c r="K404">
        <v>280</v>
      </c>
      <c r="L404">
        <v>0</v>
      </c>
      <c r="M404" t="s">
        <v>63</v>
      </c>
      <c r="N404">
        <v>250</v>
      </c>
      <c r="O404">
        <v>0</v>
      </c>
      <c r="P404">
        <v>0</v>
      </c>
      <c r="Q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 t="s">
        <v>36</v>
      </c>
      <c r="AC404" t="s">
        <v>43</v>
      </c>
      <c r="AD404" t="str">
        <f t="shared" si="12"/>
        <v>CP</v>
      </c>
      <c r="AE404" t="str">
        <f>_xlfn.XLOOKUP(D404,Mapping!A:A,Mapping!D:D,0,0)</f>
        <v>Bin</v>
      </c>
      <c r="AF404" t="str">
        <f t="shared" si="13"/>
        <v>OLD</v>
      </c>
    </row>
    <row r="405" spans="1:32" x14ac:dyDescent="0.2">
      <c r="A405" t="s">
        <v>1118</v>
      </c>
      <c r="B405" t="s">
        <v>39</v>
      </c>
      <c r="C405">
        <v>1012733062</v>
      </c>
      <c r="D405" t="s">
        <v>461</v>
      </c>
      <c r="E405" t="s">
        <v>31</v>
      </c>
      <c r="F405" s="1">
        <v>0.67291666666666672</v>
      </c>
      <c r="G405" t="s">
        <v>32</v>
      </c>
      <c r="H405" t="s">
        <v>33</v>
      </c>
      <c r="I405" t="s">
        <v>41</v>
      </c>
      <c r="J405" t="s">
        <v>84</v>
      </c>
      <c r="K405">
        <v>280</v>
      </c>
      <c r="L405">
        <v>0</v>
      </c>
      <c r="M405" t="s">
        <v>36</v>
      </c>
      <c r="N405" t="s">
        <v>37</v>
      </c>
      <c r="O405">
        <v>0</v>
      </c>
      <c r="P405">
        <v>0</v>
      </c>
      <c r="Q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 t="s">
        <v>36</v>
      </c>
      <c r="AC405" t="s">
        <v>43</v>
      </c>
      <c r="AD405" t="str">
        <f t="shared" si="12"/>
        <v>CP</v>
      </c>
      <c r="AE405" t="str">
        <f>_xlfn.XLOOKUP(D405,Mapping!A:A,Mapping!D:D,0,0)</f>
        <v>Bin</v>
      </c>
      <c r="AF405" t="str">
        <f t="shared" si="13"/>
        <v>OLD</v>
      </c>
    </row>
    <row r="406" spans="1:32" x14ac:dyDescent="0.2">
      <c r="A406" t="s">
        <v>1118</v>
      </c>
      <c r="B406" t="s">
        <v>39</v>
      </c>
      <c r="C406">
        <v>1012733072</v>
      </c>
      <c r="D406" t="s">
        <v>462</v>
      </c>
      <c r="E406" t="s">
        <v>31</v>
      </c>
      <c r="F406" s="1">
        <v>0.67291666666666672</v>
      </c>
      <c r="G406" t="s">
        <v>32</v>
      </c>
      <c r="H406" t="s">
        <v>33</v>
      </c>
      <c r="I406" t="s">
        <v>41</v>
      </c>
      <c r="J406" t="s">
        <v>84</v>
      </c>
      <c r="K406">
        <v>280</v>
      </c>
      <c r="L406">
        <v>0</v>
      </c>
      <c r="M406" t="s">
        <v>63</v>
      </c>
      <c r="N406">
        <v>250</v>
      </c>
      <c r="O406">
        <v>0</v>
      </c>
      <c r="P406">
        <v>0</v>
      </c>
      <c r="Q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 t="s">
        <v>36</v>
      </c>
      <c r="AC406" t="s">
        <v>43</v>
      </c>
      <c r="AD406" t="str">
        <f t="shared" si="12"/>
        <v>CP</v>
      </c>
      <c r="AE406" t="str">
        <f>_xlfn.XLOOKUP(D406,Mapping!A:A,Mapping!D:D,0,0)</f>
        <v>Bin</v>
      </c>
      <c r="AF406" t="str">
        <f t="shared" si="13"/>
        <v>OLD</v>
      </c>
    </row>
    <row r="407" spans="1:32" x14ac:dyDescent="0.2">
      <c r="A407" t="s">
        <v>1118</v>
      </c>
      <c r="B407" t="s">
        <v>39</v>
      </c>
      <c r="C407">
        <v>1012733082</v>
      </c>
      <c r="D407" t="s">
        <v>463</v>
      </c>
      <c r="E407" t="s">
        <v>31</v>
      </c>
      <c r="F407" s="1">
        <v>0.67291666666666672</v>
      </c>
      <c r="G407" t="s">
        <v>32</v>
      </c>
      <c r="H407" t="s">
        <v>33</v>
      </c>
      <c r="I407" t="s">
        <v>41</v>
      </c>
      <c r="J407" t="s">
        <v>84</v>
      </c>
      <c r="K407">
        <v>280</v>
      </c>
      <c r="L407">
        <v>0</v>
      </c>
      <c r="M407" t="s">
        <v>36</v>
      </c>
      <c r="N407" t="s">
        <v>37</v>
      </c>
      <c r="O407">
        <v>0</v>
      </c>
      <c r="P407">
        <v>0</v>
      </c>
      <c r="Q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 t="s">
        <v>36</v>
      </c>
      <c r="AC407" t="s">
        <v>303</v>
      </c>
      <c r="AD407" t="str">
        <f t="shared" si="12"/>
        <v>CP</v>
      </c>
      <c r="AE407" t="str">
        <f>_xlfn.XLOOKUP(D407,Mapping!A:A,Mapping!D:D,0,0)</f>
        <v>Tests</v>
      </c>
      <c r="AF407" t="str">
        <f t="shared" si="13"/>
        <v>OLD</v>
      </c>
    </row>
    <row r="408" spans="1:32" x14ac:dyDescent="0.2">
      <c r="A408" t="s">
        <v>1118</v>
      </c>
      <c r="B408" t="s">
        <v>39</v>
      </c>
      <c r="C408">
        <v>1012733092</v>
      </c>
      <c r="D408" t="s">
        <v>464</v>
      </c>
      <c r="E408" t="s">
        <v>31</v>
      </c>
      <c r="F408" s="1">
        <v>0.67291666666666672</v>
      </c>
      <c r="G408" t="s">
        <v>32</v>
      </c>
      <c r="H408" t="s">
        <v>33</v>
      </c>
      <c r="I408" t="s">
        <v>41</v>
      </c>
      <c r="J408" t="s">
        <v>84</v>
      </c>
      <c r="K408">
        <v>280</v>
      </c>
      <c r="L408">
        <v>0</v>
      </c>
      <c r="M408" t="s">
        <v>63</v>
      </c>
      <c r="N408">
        <v>250</v>
      </c>
      <c r="O408">
        <v>0</v>
      </c>
      <c r="P408">
        <v>0</v>
      </c>
      <c r="Q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 t="s">
        <v>36</v>
      </c>
      <c r="AC408" t="s">
        <v>43</v>
      </c>
      <c r="AD408" t="str">
        <f t="shared" si="12"/>
        <v>CP</v>
      </c>
      <c r="AE408" t="str">
        <f>_xlfn.XLOOKUP(D408,Mapping!A:A,Mapping!D:D,0,0)</f>
        <v>Bin</v>
      </c>
      <c r="AF408" t="str">
        <f t="shared" si="13"/>
        <v>OLD</v>
      </c>
    </row>
    <row r="409" spans="1:32" x14ac:dyDescent="0.2">
      <c r="A409" t="s">
        <v>1118</v>
      </c>
      <c r="B409" t="s">
        <v>39</v>
      </c>
      <c r="C409">
        <v>1012733112</v>
      </c>
      <c r="D409" t="s">
        <v>465</v>
      </c>
      <c r="E409" t="s">
        <v>31</v>
      </c>
      <c r="F409" s="1">
        <v>0.67291666666666672</v>
      </c>
      <c r="G409" t="s">
        <v>32</v>
      </c>
      <c r="H409" t="s">
        <v>33</v>
      </c>
      <c r="I409" t="s">
        <v>41</v>
      </c>
      <c r="J409" t="s">
        <v>84</v>
      </c>
      <c r="K409">
        <v>280</v>
      </c>
      <c r="L409">
        <v>0</v>
      </c>
      <c r="M409" t="s">
        <v>36</v>
      </c>
      <c r="N409" t="s">
        <v>37</v>
      </c>
      <c r="O409">
        <v>0</v>
      </c>
      <c r="P409">
        <v>0</v>
      </c>
      <c r="Q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 t="s">
        <v>36</v>
      </c>
      <c r="AC409" t="s">
        <v>303</v>
      </c>
      <c r="AD409" t="str">
        <f t="shared" si="12"/>
        <v>CP</v>
      </c>
      <c r="AE409" t="str">
        <f>_xlfn.XLOOKUP(D409,Mapping!A:A,Mapping!D:D,0,0)</f>
        <v>Tests</v>
      </c>
      <c r="AF409" t="str">
        <f t="shared" si="13"/>
        <v>OLD</v>
      </c>
    </row>
    <row r="410" spans="1:32" x14ac:dyDescent="0.2">
      <c r="A410" t="s">
        <v>1118</v>
      </c>
      <c r="B410" t="s">
        <v>39</v>
      </c>
      <c r="C410">
        <v>1012733122</v>
      </c>
      <c r="D410" t="s">
        <v>466</v>
      </c>
      <c r="E410" t="s">
        <v>31</v>
      </c>
      <c r="F410" s="1">
        <v>0.67291666666666672</v>
      </c>
      <c r="G410" t="s">
        <v>32</v>
      </c>
      <c r="H410" t="s">
        <v>33</v>
      </c>
      <c r="I410" t="s">
        <v>41</v>
      </c>
      <c r="J410" t="s">
        <v>84</v>
      </c>
      <c r="K410">
        <v>280</v>
      </c>
      <c r="L410">
        <v>0</v>
      </c>
      <c r="M410" t="s">
        <v>63</v>
      </c>
      <c r="N410">
        <v>250</v>
      </c>
      <c r="O410">
        <v>0</v>
      </c>
      <c r="P410">
        <v>0</v>
      </c>
      <c r="Q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 t="s">
        <v>36</v>
      </c>
      <c r="AC410" t="s">
        <v>43</v>
      </c>
      <c r="AD410" t="str">
        <f t="shared" si="12"/>
        <v>CP</v>
      </c>
      <c r="AE410" t="str">
        <f>_xlfn.XLOOKUP(D410,Mapping!A:A,Mapping!D:D,0,0)</f>
        <v>Bin</v>
      </c>
      <c r="AF410" t="str">
        <f t="shared" si="13"/>
        <v>OLD</v>
      </c>
    </row>
    <row r="411" spans="1:32" x14ac:dyDescent="0.2">
      <c r="A411" t="s">
        <v>1118</v>
      </c>
      <c r="B411" t="s">
        <v>39</v>
      </c>
      <c r="C411">
        <v>1012733132</v>
      </c>
      <c r="D411" t="s">
        <v>467</v>
      </c>
      <c r="E411" t="s">
        <v>31</v>
      </c>
      <c r="F411" s="1">
        <v>0.67291666666666672</v>
      </c>
      <c r="G411" t="s">
        <v>32</v>
      </c>
      <c r="H411" t="s">
        <v>33</v>
      </c>
      <c r="I411" t="s">
        <v>41</v>
      </c>
      <c r="J411" t="s">
        <v>84</v>
      </c>
      <c r="K411">
        <v>280</v>
      </c>
      <c r="L411">
        <v>0</v>
      </c>
      <c r="M411" t="s">
        <v>63</v>
      </c>
      <c r="N411">
        <v>250</v>
      </c>
      <c r="O411">
        <v>0</v>
      </c>
      <c r="P411">
        <v>0</v>
      </c>
      <c r="Q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 t="s">
        <v>36</v>
      </c>
      <c r="AC411" t="s">
        <v>43</v>
      </c>
      <c r="AD411" t="str">
        <f t="shared" si="12"/>
        <v>CP</v>
      </c>
      <c r="AE411" t="str">
        <f>_xlfn.XLOOKUP(D411,Mapping!A:A,Mapping!D:D,0,0)</f>
        <v>Bin</v>
      </c>
      <c r="AF411" t="str">
        <f t="shared" si="13"/>
        <v>OLD</v>
      </c>
    </row>
    <row r="412" spans="1:32" x14ac:dyDescent="0.2">
      <c r="A412" t="s">
        <v>1118</v>
      </c>
      <c r="B412" t="s">
        <v>39</v>
      </c>
      <c r="C412">
        <v>1012733142</v>
      </c>
      <c r="D412" t="s">
        <v>468</v>
      </c>
      <c r="E412" t="s">
        <v>31</v>
      </c>
      <c r="F412" s="1">
        <v>0.67291666666666672</v>
      </c>
      <c r="G412" t="s">
        <v>32</v>
      </c>
      <c r="H412" t="s">
        <v>33</v>
      </c>
      <c r="I412" t="s">
        <v>41</v>
      </c>
      <c r="J412" t="s">
        <v>84</v>
      </c>
      <c r="K412">
        <v>280</v>
      </c>
      <c r="L412">
        <v>0</v>
      </c>
      <c r="M412" t="s">
        <v>63</v>
      </c>
      <c r="N412">
        <v>250</v>
      </c>
      <c r="O412">
        <v>0</v>
      </c>
      <c r="P412">
        <v>0</v>
      </c>
      <c r="Q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 t="s">
        <v>36</v>
      </c>
      <c r="AC412" t="s">
        <v>43</v>
      </c>
      <c r="AD412" t="str">
        <f t="shared" si="12"/>
        <v>CP</v>
      </c>
      <c r="AE412" t="str">
        <f>_xlfn.XLOOKUP(D412,Mapping!A:A,Mapping!D:D,0,0)</f>
        <v>Bin</v>
      </c>
      <c r="AF412" t="str">
        <f t="shared" si="13"/>
        <v>OLD</v>
      </c>
    </row>
    <row r="413" spans="1:32" x14ac:dyDescent="0.2">
      <c r="A413" t="s">
        <v>1118</v>
      </c>
      <c r="B413" t="s">
        <v>39</v>
      </c>
      <c r="C413">
        <v>1012733152</v>
      </c>
      <c r="D413" t="s">
        <v>469</v>
      </c>
      <c r="E413" t="s">
        <v>31</v>
      </c>
      <c r="F413" s="1">
        <v>0.67291666666666672</v>
      </c>
      <c r="G413" t="s">
        <v>32</v>
      </c>
      <c r="H413" t="s">
        <v>33</v>
      </c>
      <c r="I413" t="s">
        <v>41</v>
      </c>
      <c r="J413" t="s">
        <v>84</v>
      </c>
      <c r="K413">
        <v>280</v>
      </c>
      <c r="L413">
        <v>0</v>
      </c>
      <c r="M413" t="s">
        <v>63</v>
      </c>
      <c r="N413">
        <v>250</v>
      </c>
      <c r="O413">
        <v>0</v>
      </c>
      <c r="P413">
        <v>0</v>
      </c>
      <c r="Q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 t="s">
        <v>36</v>
      </c>
      <c r="AC413" t="s">
        <v>43</v>
      </c>
      <c r="AD413" t="str">
        <f t="shared" si="12"/>
        <v>CP</v>
      </c>
      <c r="AE413" t="str">
        <f>_xlfn.XLOOKUP(D413,Mapping!A:A,Mapping!D:D,0,0)</f>
        <v>Bin</v>
      </c>
      <c r="AF413" t="str">
        <f t="shared" si="13"/>
        <v>OLD</v>
      </c>
    </row>
    <row r="414" spans="1:32" x14ac:dyDescent="0.2">
      <c r="A414" t="s">
        <v>1118</v>
      </c>
      <c r="B414" t="s">
        <v>39</v>
      </c>
      <c r="C414">
        <v>1012733172</v>
      </c>
      <c r="D414" t="s">
        <v>470</v>
      </c>
      <c r="E414" t="s">
        <v>31</v>
      </c>
      <c r="F414" s="1">
        <v>0.67291666666666672</v>
      </c>
      <c r="G414" t="s">
        <v>32</v>
      </c>
      <c r="H414" t="s">
        <v>33</v>
      </c>
      <c r="I414" t="s">
        <v>41</v>
      </c>
      <c r="J414" t="s">
        <v>84</v>
      </c>
      <c r="K414">
        <v>280</v>
      </c>
      <c r="L414">
        <v>0</v>
      </c>
      <c r="M414" t="s">
        <v>63</v>
      </c>
      <c r="N414">
        <v>250</v>
      </c>
      <c r="O414">
        <v>0</v>
      </c>
      <c r="P414">
        <v>0</v>
      </c>
      <c r="Q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 t="s">
        <v>36</v>
      </c>
      <c r="AC414" t="s">
        <v>43</v>
      </c>
      <c r="AD414" t="str">
        <f t="shared" si="12"/>
        <v>CP</v>
      </c>
      <c r="AE414" t="str">
        <f>_xlfn.XLOOKUP(D414,Mapping!A:A,Mapping!D:D,0,0)</f>
        <v>Bin</v>
      </c>
      <c r="AF414" t="str">
        <f t="shared" si="13"/>
        <v>OLD</v>
      </c>
    </row>
    <row r="415" spans="1:32" x14ac:dyDescent="0.2">
      <c r="A415" t="s">
        <v>1118</v>
      </c>
      <c r="B415" t="s">
        <v>39</v>
      </c>
      <c r="C415">
        <v>1012733182</v>
      </c>
      <c r="D415" t="s">
        <v>471</v>
      </c>
      <c r="E415" t="s">
        <v>31</v>
      </c>
      <c r="F415" s="1">
        <v>0.67291666666666672</v>
      </c>
      <c r="G415" t="s">
        <v>32</v>
      </c>
      <c r="H415" t="s">
        <v>33</v>
      </c>
      <c r="I415" t="s">
        <v>41</v>
      </c>
      <c r="J415" t="s">
        <v>84</v>
      </c>
      <c r="K415">
        <v>280</v>
      </c>
      <c r="L415">
        <v>0</v>
      </c>
      <c r="M415" t="s">
        <v>63</v>
      </c>
      <c r="N415">
        <v>250</v>
      </c>
      <c r="O415">
        <v>0</v>
      </c>
      <c r="P415">
        <v>0</v>
      </c>
      <c r="Q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 t="s">
        <v>36</v>
      </c>
      <c r="AC415" t="s">
        <v>43</v>
      </c>
      <c r="AD415" t="str">
        <f t="shared" si="12"/>
        <v>CP</v>
      </c>
      <c r="AE415" t="str">
        <f>_xlfn.XLOOKUP(D415,Mapping!A:A,Mapping!D:D,0,0)</f>
        <v>Bin</v>
      </c>
      <c r="AF415" t="str">
        <f t="shared" si="13"/>
        <v>OLD</v>
      </c>
    </row>
    <row r="416" spans="1:32" x14ac:dyDescent="0.2">
      <c r="A416" t="s">
        <v>1118</v>
      </c>
      <c r="B416" t="s">
        <v>39</v>
      </c>
      <c r="C416">
        <v>1012733192</v>
      </c>
      <c r="D416" t="s">
        <v>472</v>
      </c>
      <c r="E416" t="s">
        <v>31</v>
      </c>
      <c r="F416" s="1">
        <v>0.67291666666666672</v>
      </c>
      <c r="G416" t="s">
        <v>32</v>
      </c>
      <c r="H416" t="s">
        <v>33</v>
      </c>
      <c r="I416" t="s">
        <v>41</v>
      </c>
      <c r="J416" t="s">
        <v>84</v>
      </c>
      <c r="K416">
        <v>280</v>
      </c>
      <c r="L416">
        <v>0</v>
      </c>
      <c r="M416" t="s">
        <v>63</v>
      </c>
      <c r="N416">
        <v>250</v>
      </c>
      <c r="O416">
        <v>0</v>
      </c>
      <c r="P416">
        <v>0</v>
      </c>
      <c r="Q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 t="s">
        <v>36</v>
      </c>
      <c r="AC416" t="s">
        <v>43</v>
      </c>
      <c r="AD416" t="str">
        <f t="shared" si="12"/>
        <v>CP</v>
      </c>
      <c r="AE416" t="str">
        <f>_xlfn.XLOOKUP(D416,Mapping!A:A,Mapping!D:D,0,0)</f>
        <v>Bin</v>
      </c>
      <c r="AF416" t="str">
        <f t="shared" si="13"/>
        <v>OLD</v>
      </c>
    </row>
    <row r="417" spans="1:32" x14ac:dyDescent="0.2">
      <c r="A417" t="s">
        <v>1118</v>
      </c>
      <c r="B417" t="s">
        <v>39</v>
      </c>
      <c r="C417">
        <v>1012733212</v>
      </c>
      <c r="D417" t="s">
        <v>473</v>
      </c>
      <c r="E417" t="s">
        <v>31</v>
      </c>
      <c r="F417" s="1">
        <v>0.67291666666666672</v>
      </c>
      <c r="G417" t="s">
        <v>32</v>
      </c>
      <c r="H417" t="s">
        <v>33</v>
      </c>
      <c r="I417" t="s">
        <v>41</v>
      </c>
      <c r="J417" t="s">
        <v>84</v>
      </c>
      <c r="K417">
        <v>280</v>
      </c>
      <c r="L417">
        <v>0</v>
      </c>
      <c r="M417" t="s">
        <v>36</v>
      </c>
      <c r="N417" t="s">
        <v>37</v>
      </c>
      <c r="O417">
        <v>0</v>
      </c>
      <c r="P417">
        <v>0</v>
      </c>
      <c r="Q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 t="s">
        <v>36</v>
      </c>
      <c r="AC417" t="s">
        <v>303</v>
      </c>
      <c r="AD417" t="str">
        <f t="shared" si="12"/>
        <v>CP</v>
      </c>
      <c r="AE417" t="str">
        <f>_xlfn.XLOOKUP(D417,Mapping!A:A,Mapping!D:D,0,0)</f>
        <v>Tests</v>
      </c>
      <c r="AF417" t="str">
        <f t="shared" si="13"/>
        <v>OLD</v>
      </c>
    </row>
    <row r="418" spans="1:32" x14ac:dyDescent="0.2">
      <c r="A418" t="s">
        <v>1118</v>
      </c>
      <c r="B418" t="s">
        <v>39</v>
      </c>
      <c r="C418">
        <v>1012733222</v>
      </c>
      <c r="D418" t="s">
        <v>474</v>
      </c>
      <c r="E418" t="s">
        <v>31</v>
      </c>
      <c r="F418" s="1">
        <v>0.67291666666666672</v>
      </c>
      <c r="G418" t="s">
        <v>32</v>
      </c>
      <c r="H418" t="s">
        <v>33</v>
      </c>
      <c r="I418" t="s">
        <v>41</v>
      </c>
      <c r="J418" t="s">
        <v>84</v>
      </c>
      <c r="K418">
        <v>280</v>
      </c>
      <c r="L418">
        <v>0</v>
      </c>
      <c r="M418" t="s">
        <v>63</v>
      </c>
      <c r="N418">
        <v>250</v>
      </c>
      <c r="O418">
        <v>0</v>
      </c>
      <c r="P418">
        <v>0</v>
      </c>
      <c r="Q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 t="s">
        <v>36</v>
      </c>
      <c r="AC418" t="s">
        <v>43</v>
      </c>
      <c r="AD418" t="str">
        <f t="shared" si="12"/>
        <v>CP</v>
      </c>
      <c r="AE418" t="str">
        <f>_xlfn.XLOOKUP(D418,Mapping!A:A,Mapping!D:D,0,0)</f>
        <v>Bin</v>
      </c>
      <c r="AF418" t="str">
        <f t="shared" si="13"/>
        <v>OLD</v>
      </c>
    </row>
    <row r="419" spans="1:32" x14ac:dyDescent="0.2">
      <c r="A419" t="s">
        <v>1118</v>
      </c>
      <c r="B419" t="s">
        <v>39</v>
      </c>
      <c r="C419">
        <v>1012733232</v>
      </c>
      <c r="D419" t="s">
        <v>234</v>
      </c>
      <c r="E419" t="s">
        <v>31</v>
      </c>
      <c r="F419" s="1">
        <v>0.67291666666666672</v>
      </c>
      <c r="G419" t="s">
        <v>32</v>
      </c>
      <c r="H419" t="s">
        <v>33</v>
      </c>
      <c r="I419" t="s">
        <v>41</v>
      </c>
      <c r="J419" t="s">
        <v>84</v>
      </c>
      <c r="K419">
        <v>280</v>
      </c>
      <c r="L419">
        <v>0</v>
      </c>
      <c r="M419" t="s">
        <v>63</v>
      </c>
      <c r="N419">
        <v>250</v>
      </c>
      <c r="O419">
        <v>0</v>
      </c>
      <c r="P419">
        <v>0</v>
      </c>
      <c r="Q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 t="s">
        <v>36</v>
      </c>
      <c r="AC419" t="s">
        <v>43</v>
      </c>
      <c r="AD419" t="str">
        <f t="shared" si="12"/>
        <v>CP</v>
      </c>
      <c r="AE419" t="str">
        <f>_xlfn.XLOOKUP(D419,Mapping!A:A,Mapping!D:D,0,0)</f>
        <v>Bin</v>
      </c>
      <c r="AF419" t="str">
        <f t="shared" si="13"/>
        <v>OLD</v>
      </c>
    </row>
    <row r="420" spans="1:32" x14ac:dyDescent="0.2">
      <c r="A420" t="s">
        <v>1118</v>
      </c>
      <c r="B420" t="s">
        <v>39</v>
      </c>
      <c r="C420">
        <v>1012733242</v>
      </c>
      <c r="D420" t="s">
        <v>475</v>
      </c>
      <c r="E420" t="s">
        <v>31</v>
      </c>
      <c r="F420" s="1">
        <v>0.67291666666666672</v>
      </c>
      <c r="G420" t="s">
        <v>32</v>
      </c>
      <c r="H420" t="s">
        <v>33</v>
      </c>
      <c r="I420" t="s">
        <v>41</v>
      </c>
      <c r="J420" t="s">
        <v>84</v>
      </c>
      <c r="K420">
        <v>280</v>
      </c>
      <c r="L420">
        <v>0</v>
      </c>
      <c r="M420" t="s">
        <v>36</v>
      </c>
      <c r="N420" t="s">
        <v>37</v>
      </c>
      <c r="O420">
        <v>0</v>
      </c>
      <c r="P420">
        <v>0</v>
      </c>
      <c r="Q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 t="s">
        <v>36</v>
      </c>
      <c r="AC420" t="s">
        <v>43</v>
      </c>
      <c r="AD420" t="str">
        <f t="shared" si="12"/>
        <v>CP</v>
      </c>
      <c r="AE420" t="str">
        <f>_xlfn.XLOOKUP(D420,Mapping!A:A,Mapping!D:D,0,0)</f>
        <v>Bin</v>
      </c>
      <c r="AF420" t="str">
        <f t="shared" si="13"/>
        <v>OLD</v>
      </c>
    </row>
    <row r="421" spans="1:32" x14ac:dyDescent="0.2">
      <c r="A421" t="s">
        <v>1118</v>
      </c>
      <c r="B421" t="s">
        <v>39</v>
      </c>
      <c r="C421">
        <v>1012733252</v>
      </c>
      <c r="D421" t="s">
        <v>476</v>
      </c>
      <c r="E421" t="s">
        <v>31</v>
      </c>
      <c r="F421" s="1">
        <v>0.67291666666666672</v>
      </c>
      <c r="G421" t="s">
        <v>32</v>
      </c>
      <c r="H421" t="s">
        <v>33</v>
      </c>
      <c r="I421" t="s">
        <v>41</v>
      </c>
      <c r="J421" t="s">
        <v>84</v>
      </c>
      <c r="K421">
        <v>280</v>
      </c>
      <c r="L421">
        <v>0</v>
      </c>
      <c r="M421" t="s">
        <v>63</v>
      </c>
      <c r="N421">
        <v>250</v>
      </c>
      <c r="O421">
        <v>0</v>
      </c>
      <c r="P421">
        <v>0</v>
      </c>
      <c r="Q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 t="s">
        <v>36</v>
      </c>
      <c r="AC421" t="s">
        <v>43</v>
      </c>
      <c r="AD421" t="str">
        <f t="shared" si="12"/>
        <v>CP</v>
      </c>
      <c r="AE421" t="str">
        <f>_xlfn.XLOOKUP(D421,Mapping!A:A,Mapping!D:D,0,0)</f>
        <v>Bin</v>
      </c>
      <c r="AF421" t="str">
        <f t="shared" si="13"/>
        <v>OLD</v>
      </c>
    </row>
    <row r="422" spans="1:32" x14ac:dyDescent="0.2">
      <c r="A422" t="s">
        <v>1118</v>
      </c>
      <c r="B422" t="s">
        <v>39</v>
      </c>
      <c r="C422">
        <v>1012733262</v>
      </c>
      <c r="D422" t="s">
        <v>477</v>
      </c>
      <c r="E422" t="s">
        <v>31</v>
      </c>
      <c r="F422" s="1">
        <v>0.67291666666666672</v>
      </c>
      <c r="G422" t="s">
        <v>32</v>
      </c>
      <c r="H422" t="s">
        <v>33</v>
      </c>
      <c r="I422" t="s">
        <v>41</v>
      </c>
      <c r="J422" t="s">
        <v>84</v>
      </c>
      <c r="K422">
        <v>280</v>
      </c>
      <c r="L422">
        <v>0</v>
      </c>
      <c r="M422" t="s">
        <v>63</v>
      </c>
      <c r="N422">
        <v>250</v>
      </c>
      <c r="O422">
        <v>0</v>
      </c>
      <c r="P422">
        <v>0</v>
      </c>
      <c r="Q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 t="s">
        <v>36</v>
      </c>
      <c r="AC422" t="s">
        <v>43</v>
      </c>
      <c r="AD422" t="str">
        <f t="shared" si="12"/>
        <v>CP</v>
      </c>
      <c r="AE422" t="str">
        <f>_xlfn.XLOOKUP(D422,Mapping!A:A,Mapping!D:D,0,0)</f>
        <v>Bin</v>
      </c>
      <c r="AF422" t="str">
        <f t="shared" si="13"/>
        <v>OLD</v>
      </c>
    </row>
    <row r="423" spans="1:32" x14ac:dyDescent="0.2">
      <c r="A423" t="s">
        <v>1118</v>
      </c>
      <c r="B423" t="s">
        <v>39</v>
      </c>
      <c r="C423">
        <v>1012733272</v>
      </c>
      <c r="D423" t="s">
        <v>478</v>
      </c>
      <c r="E423" t="s">
        <v>31</v>
      </c>
      <c r="F423" s="1">
        <v>0.67291666666666672</v>
      </c>
      <c r="G423" t="s">
        <v>32</v>
      </c>
      <c r="H423" t="s">
        <v>33</v>
      </c>
      <c r="I423" t="s">
        <v>41</v>
      </c>
      <c r="J423" t="s">
        <v>84</v>
      </c>
      <c r="K423">
        <v>280</v>
      </c>
      <c r="L423">
        <v>0</v>
      </c>
      <c r="M423" t="s">
        <v>63</v>
      </c>
      <c r="N423">
        <v>250</v>
      </c>
      <c r="O423">
        <v>0</v>
      </c>
      <c r="P423">
        <v>0</v>
      </c>
      <c r="Q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 t="s">
        <v>36</v>
      </c>
      <c r="AC423" t="s">
        <v>43</v>
      </c>
      <c r="AD423" t="str">
        <f t="shared" si="12"/>
        <v>CP</v>
      </c>
      <c r="AE423" t="str">
        <f>_xlfn.XLOOKUP(D423,Mapping!A:A,Mapping!D:D,0,0)</f>
        <v>Bin</v>
      </c>
      <c r="AF423" t="str">
        <f t="shared" si="13"/>
        <v>OLD</v>
      </c>
    </row>
    <row r="424" spans="1:32" x14ac:dyDescent="0.2">
      <c r="A424" t="s">
        <v>1118</v>
      </c>
      <c r="B424" t="s">
        <v>39</v>
      </c>
      <c r="C424">
        <v>1012733282</v>
      </c>
      <c r="D424" t="s">
        <v>479</v>
      </c>
      <c r="E424" t="s">
        <v>31</v>
      </c>
      <c r="F424" s="1">
        <v>0.67291666666666672</v>
      </c>
      <c r="G424" t="s">
        <v>32</v>
      </c>
      <c r="H424" t="s">
        <v>33</v>
      </c>
      <c r="I424" t="s">
        <v>41</v>
      </c>
      <c r="J424" t="s">
        <v>84</v>
      </c>
      <c r="K424">
        <v>280</v>
      </c>
      <c r="L424">
        <v>0</v>
      </c>
      <c r="M424" t="s">
        <v>63</v>
      </c>
      <c r="N424">
        <v>250</v>
      </c>
      <c r="O424">
        <v>0</v>
      </c>
      <c r="P424">
        <v>0</v>
      </c>
      <c r="Q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 t="s">
        <v>36</v>
      </c>
      <c r="AC424" t="s">
        <v>43</v>
      </c>
      <c r="AD424" t="str">
        <f t="shared" si="12"/>
        <v>CP</v>
      </c>
      <c r="AE424" t="str">
        <f>_xlfn.XLOOKUP(D424,Mapping!A:A,Mapping!D:D,0,0)</f>
        <v>Bin</v>
      </c>
      <c r="AF424" t="str">
        <f t="shared" si="13"/>
        <v>OLD</v>
      </c>
    </row>
    <row r="425" spans="1:32" x14ac:dyDescent="0.2">
      <c r="A425" t="s">
        <v>1118</v>
      </c>
      <c r="B425" t="s">
        <v>39</v>
      </c>
      <c r="C425">
        <v>1012733292</v>
      </c>
      <c r="D425" t="s">
        <v>480</v>
      </c>
      <c r="E425" t="s">
        <v>31</v>
      </c>
      <c r="F425" s="1">
        <v>0.67291666666666672</v>
      </c>
      <c r="G425" t="s">
        <v>32</v>
      </c>
      <c r="H425" t="s">
        <v>33</v>
      </c>
      <c r="I425" t="s">
        <v>41</v>
      </c>
      <c r="J425" t="s">
        <v>84</v>
      </c>
      <c r="K425">
        <v>280</v>
      </c>
      <c r="L425">
        <v>0</v>
      </c>
      <c r="M425" t="s">
        <v>36</v>
      </c>
      <c r="N425" t="s">
        <v>37</v>
      </c>
      <c r="O425">
        <v>0</v>
      </c>
      <c r="P425">
        <v>0</v>
      </c>
      <c r="Q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 t="s">
        <v>36</v>
      </c>
      <c r="AC425" t="s">
        <v>43</v>
      </c>
      <c r="AD425" t="str">
        <f t="shared" si="12"/>
        <v>CP</v>
      </c>
      <c r="AE425" t="str">
        <f>_xlfn.XLOOKUP(D425,Mapping!A:A,Mapping!D:D,0,0)</f>
        <v>Bin</v>
      </c>
      <c r="AF425" t="str">
        <f t="shared" si="13"/>
        <v>OLD</v>
      </c>
    </row>
    <row r="426" spans="1:32" x14ac:dyDescent="0.2">
      <c r="A426" t="s">
        <v>1118</v>
      </c>
      <c r="B426" t="s">
        <v>39</v>
      </c>
      <c r="C426">
        <v>1012733302</v>
      </c>
      <c r="D426" t="s">
        <v>481</v>
      </c>
      <c r="E426" t="s">
        <v>31</v>
      </c>
      <c r="F426" s="1">
        <v>0.67291666666666672</v>
      </c>
      <c r="G426" t="s">
        <v>32</v>
      </c>
      <c r="H426" t="s">
        <v>33</v>
      </c>
      <c r="I426" t="s">
        <v>41</v>
      </c>
      <c r="J426" t="s">
        <v>84</v>
      </c>
      <c r="K426">
        <v>280</v>
      </c>
      <c r="L426">
        <v>0</v>
      </c>
      <c r="M426" t="s">
        <v>63</v>
      </c>
      <c r="N426">
        <v>250</v>
      </c>
      <c r="O426">
        <v>0</v>
      </c>
      <c r="P426">
        <v>0</v>
      </c>
      <c r="Q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 t="s">
        <v>36</v>
      </c>
      <c r="AC426" t="s">
        <v>43</v>
      </c>
      <c r="AD426" t="str">
        <f t="shared" si="12"/>
        <v>CP</v>
      </c>
      <c r="AE426" t="str">
        <f>_xlfn.XLOOKUP(D426,Mapping!A:A,Mapping!D:D,0,0)</f>
        <v>Bin</v>
      </c>
      <c r="AF426" t="str">
        <f t="shared" si="13"/>
        <v>OLD</v>
      </c>
    </row>
    <row r="427" spans="1:32" x14ac:dyDescent="0.2">
      <c r="A427" t="s">
        <v>1118</v>
      </c>
      <c r="B427" t="s">
        <v>39</v>
      </c>
      <c r="C427">
        <v>1012733312</v>
      </c>
      <c r="D427" t="s">
        <v>482</v>
      </c>
      <c r="E427" t="s">
        <v>31</v>
      </c>
      <c r="F427" s="1">
        <v>0.67291666666666672</v>
      </c>
      <c r="G427" t="s">
        <v>32</v>
      </c>
      <c r="H427" t="s">
        <v>33</v>
      </c>
      <c r="I427" t="s">
        <v>41</v>
      </c>
      <c r="J427" t="s">
        <v>84</v>
      </c>
      <c r="K427">
        <v>280</v>
      </c>
      <c r="L427">
        <v>0</v>
      </c>
      <c r="M427" t="s">
        <v>63</v>
      </c>
      <c r="N427">
        <v>250</v>
      </c>
      <c r="O427">
        <v>0</v>
      </c>
      <c r="P427">
        <v>0</v>
      </c>
      <c r="Q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 t="s">
        <v>36</v>
      </c>
      <c r="AC427" t="s">
        <v>43</v>
      </c>
      <c r="AD427" t="str">
        <f t="shared" si="12"/>
        <v>CP</v>
      </c>
      <c r="AE427" t="str">
        <f>_xlfn.XLOOKUP(D427,Mapping!A:A,Mapping!D:D,0,0)</f>
        <v>Bin</v>
      </c>
      <c r="AF427" t="str">
        <f t="shared" si="13"/>
        <v>OLD</v>
      </c>
    </row>
    <row r="428" spans="1:32" x14ac:dyDescent="0.2">
      <c r="A428" t="s">
        <v>1118</v>
      </c>
      <c r="B428" t="s">
        <v>39</v>
      </c>
      <c r="C428">
        <v>1012733322</v>
      </c>
      <c r="D428" t="s">
        <v>483</v>
      </c>
      <c r="E428" t="s">
        <v>31</v>
      </c>
      <c r="F428" s="1">
        <v>0.67291666666666672</v>
      </c>
      <c r="G428" t="s">
        <v>32</v>
      </c>
      <c r="H428" t="s">
        <v>33</v>
      </c>
      <c r="I428" t="s">
        <v>41</v>
      </c>
      <c r="J428" t="s">
        <v>62</v>
      </c>
      <c r="K428">
        <v>280</v>
      </c>
      <c r="L428">
        <v>0</v>
      </c>
      <c r="M428" t="s">
        <v>36</v>
      </c>
      <c r="N428" t="s">
        <v>37</v>
      </c>
      <c r="O428">
        <v>0</v>
      </c>
      <c r="P428">
        <v>0</v>
      </c>
      <c r="Q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 t="s">
        <v>36</v>
      </c>
      <c r="AC428" t="s">
        <v>484</v>
      </c>
      <c r="AD428" t="str">
        <f t="shared" si="12"/>
        <v>CP</v>
      </c>
      <c r="AE428" t="str">
        <f>_xlfn.XLOOKUP(D428,Mapping!A:A,Mapping!D:D,0,0)</f>
        <v>Marvel</v>
      </c>
      <c r="AF428" t="str">
        <f t="shared" si="13"/>
        <v>OLD</v>
      </c>
    </row>
    <row r="429" spans="1:32" x14ac:dyDescent="0.2">
      <c r="A429" t="s">
        <v>1118</v>
      </c>
      <c r="B429" t="s">
        <v>39</v>
      </c>
      <c r="C429">
        <v>1012733332</v>
      </c>
      <c r="D429" t="s">
        <v>485</v>
      </c>
      <c r="E429" t="s">
        <v>31</v>
      </c>
      <c r="F429" s="1">
        <v>0.67291666666666672</v>
      </c>
      <c r="G429" t="s">
        <v>32</v>
      </c>
      <c r="H429" t="s">
        <v>33</v>
      </c>
      <c r="I429" t="s">
        <v>41</v>
      </c>
      <c r="J429" t="s">
        <v>84</v>
      </c>
      <c r="K429">
        <v>280</v>
      </c>
      <c r="L429">
        <v>0</v>
      </c>
      <c r="M429" t="s">
        <v>63</v>
      </c>
      <c r="N429">
        <v>250</v>
      </c>
      <c r="O429">
        <v>0</v>
      </c>
      <c r="P429">
        <v>0</v>
      </c>
      <c r="Q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 t="s">
        <v>36</v>
      </c>
      <c r="AC429" t="s">
        <v>43</v>
      </c>
      <c r="AD429" t="str">
        <f t="shared" si="12"/>
        <v>CP</v>
      </c>
      <c r="AE429" t="str">
        <f>_xlfn.XLOOKUP(D429,Mapping!A:A,Mapping!D:D,0,0)</f>
        <v>Bin</v>
      </c>
      <c r="AF429" t="str">
        <f t="shared" si="13"/>
        <v>OLD</v>
      </c>
    </row>
    <row r="430" spans="1:32" x14ac:dyDescent="0.2">
      <c r="A430" t="s">
        <v>1118</v>
      </c>
      <c r="B430" t="s">
        <v>39</v>
      </c>
      <c r="C430">
        <v>1012733342</v>
      </c>
      <c r="D430" t="s">
        <v>486</v>
      </c>
      <c r="E430" t="s">
        <v>31</v>
      </c>
      <c r="F430" s="1">
        <v>0.67291666666666672</v>
      </c>
      <c r="G430" t="s">
        <v>32</v>
      </c>
      <c r="H430" t="s">
        <v>33</v>
      </c>
      <c r="I430" t="s">
        <v>41</v>
      </c>
      <c r="J430" t="s">
        <v>84</v>
      </c>
      <c r="K430">
        <v>280</v>
      </c>
      <c r="L430">
        <v>0</v>
      </c>
      <c r="M430" t="s">
        <v>63</v>
      </c>
      <c r="N430">
        <v>250</v>
      </c>
      <c r="O430">
        <v>0</v>
      </c>
      <c r="P430">
        <v>0</v>
      </c>
      <c r="Q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 t="s">
        <v>36</v>
      </c>
      <c r="AC430" t="s">
        <v>43</v>
      </c>
      <c r="AD430" t="str">
        <f t="shared" si="12"/>
        <v>CP</v>
      </c>
      <c r="AE430" t="str">
        <f>_xlfn.XLOOKUP(D430,Mapping!A:A,Mapping!D:D,0,0)</f>
        <v>Bin</v>
      </c>
      <c r="AF430" t="str">
        <f t="shared" si="13"/>
        <v>OLD</v>
      </c>
    </row>
    <row r="431" spans="1:32" x14ac:dyDescent="0.2">
      <c r="A431" t="s">
        <v>1118</v>
      </c>
      <c r="B431" t="s">
        <v>39</v>
      </c>
      <c r="C431">
        <v>1012733352</v>
      </c>
      <c r="D431" t="s">
        <v>487</v>
      </c>
      <c r="E431" t="s">
        <v>31</v>
      </c>
      <c r="F431" s="1">
        <v>0.67291666666666672</v>
      </c>
      <c r="G431" t="s">
        <v>32</v>
      </c>
      <c r="H431" t="s">
        <v>33</v>
      </c>
      <c r="I431" t="s">
        <v>41</v>
      </c>
      <c r="J431" t="s">
        <v>84</v>
      </c>
      <c r="K431">
        <v>280</v>
      </c>
      <c r="L431">
        <v>0</v>
      </c>
      <c r="M431" t="s">
        <v>36</v>
      </c>
      <c r="N431" t="s">
        <v>37</v>
      </c>
      <c r="O431">
        <v>0</v>
      </c>
      <c r="P431">
        <v>0</v>
      </c>
      <c r="Q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 t="s">
        <v>36</v>
      </c>
      <c r="AC431" t="s">
        <v>43</v>
      </c>
      <c r="AD431" t="str">
        <f t="shared" si="12"/>
        <v>CP</v>
      </c>
      <c r="AE431" t="str">
        <f>_xlfn.XLOOKUP(D431,Mapping!A:A,Mapping!D:D,0,0)</f>
        <v>Bin</v>
      </c>
      <c r="AF431" t="str">
        <f t="shared" si="13"/>
        <v>OLD</v>
      </c>
    </row>
    <row r="432" spans="1:32" x14ac:dyDescent="0.2">
      <c r="A432" t="s">
        <v>1118</v>
      </c>
      <c r="B432" t="s">
        <v>39</v>
      </c>
      <c r="C432">
        <v>1012733522</v>
      </c>
      <c r="D432" t="s">
        <v>488</v>
      </c>
      <c r="E432" t="s">
        <v>31</v>
      </c>
      <c r="F432" s="1">
        <v>0.67291666666666672</v>
      </c>
      <c r="G432" t="s">
        <v>32</v>
      </c>
      <c r="H432" t="s">
        <v>33</v>
      </c>
      <c r="I432" t="s">
        <v>41</v>
      </c>
      <c r="J432" t="s">
        <v>84</v>
      </c>
      <c r="K432">
        <v>280</v>
      </c>
      <c r="L432">
        <v>0</v>
      </c>
      <c r="M432" t="s">
        <v>63</v>
      </c>
      <c r="N432">
        <v>250</v>
      </c>
      <c r="O432">
        <v>0</v>
      </c>
      <c r="P432">
        <v>0</v>
      </c>
      <c r="Q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 t="s">
        <v>36</v>
      </c>
      <c r="AC432" t="s">
        <v>43</v>
      </c>
      <c r="AD432" t="str">
        <f t="shared" si="12"/>
        <v>CP</v>
      </c>
      <c r="AE432" t="str">
        <f>_xlfn.XLOOKUP(D432,Mapping!A:A,Mapping!D:D,0,0)</f>
        <v>Bin</v>
      </c>
      <c r="AF432" t="str">
        <f t="shared" si="13"/>
        <v>OLD</v>
      </c>
    </row>
    <row r="433" spans="1:32" x14ac:dyDescent="0.2">
      <c r="A433" t="s">
        <v>1118</v>
      </c>
      <c r="B433" t="s">
        <v>39</v>
      </c>
      <c r="C433">
        <v>1012733532</v>
      </c>
      <c r="D433" t="s">
        <v>489</v>
      </c>
      <c r="E433" t="s">
        <v>31</v>
      </c>
      <c r="F433" s="1">
        <v>0.67291666666666672</v>
      </c>
      <c r="G433" t="s">
        <v>32</v>
      </c>
      <c r="H433" t="s">
        <v>33</v>
      </c>
      <c r="I433" t="s">
        <v>41</v>
      </c>
      <c r="J433" t="s">
        <v>84</v>
      </c>
      <c r="K433">
        <v>280</v>
      </c>
      <c r="L433">
        <v>0</v>
      </c>
      <c r="M433" t="s">
        <v>63</v>
      </c>
      <c r="N433">
        <v>250</v>
      </c>
      <c r="O433">
        <v>0</v>
      </c>
      <c r="P433">
        <v>0</v>
      </c>
      <c r="Q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 t="s">
        <v>36</v>
      </c>
      <c r="AC433" t="s">
        <v>43</v>
      </c>
      <c r="AD433" t="str">
        <f t="shared" si="12"/>
        <v>CP</v>
      </c>
      <c r="AE433" t="str">
        <f>_xlfn.XLOOKUP(D433,Mapping!A:A,Mapping!D:D,0,0)</f>
        <v>Bin</v>
      </c>
      <c r="AF433" t="str">
        <f t="shared" si="13"/>
        <v>OLD</v>
      </c>
    </row>
    <row r="434" spans="1:32" x14ac:dyDescent="0.2">
      <c r="A434" t="s">
        <v>1118</v>
      </c>
      <c r="B434" t="s">
        <v>39</v>
      </c>
      <c r="C434">
        <v>1012733542</v>
      </c>
      <c r="D434" t="s">
        <v>490</v>
      </c>
      <c r="E434" t="s">
        <v>31</v>
      </c>
      <c r="F434" s="1">
        <v>0.67291666666666672</v>
      </c>
      <c r="G434" t="s">
        <v>32</v>
      </c>
      <c r="H434" t="s">
        <v>33</v>
      </c>
      <c r="I434" t="s">
        <v>41</v>
      </c>
      <c r="J434" t="s">
        <v>84</v>
      </c>
      <c r="K434">
        <v>280</v>
      </c>
      <c r="L434">
        <v>0</v>
      </c>
      <c r="M434" t="s">
        <v>63</v>
      </c>
      <c r="N434">
        <v>250</v>
      </c>
      <c r="O434">
        <v>0</v>
      </c>
      <c r="P434">
        <v>0</v>
      </c>
      <c r="Q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 t="s">
        <v>36</v>
      </c>
      <c r="AC434" t="s">
        <v>43</v>
      </c>
      <c r="AD434" t="str">
        <f t="shared" si="12"/>
        <v>CP</v>
      </c>
      <c r="AE434" t="str">
        <f>_xlfn.XLOOKUP(D434,Mapping!A:A,Mapping!D:D,0,0)</f>
        <v>Bin</v>
      </c>
      <c r="AF434" t="str">
        <f t="shared" si="13"/>
        <v>OLD</v>
      </c>
    </row>
    <row r="435" spans="1:32" x14ac:dyDescent="0.2">
      <c r="A435" t="s">
        <v>1118</v>
      </c>
      <c r="B435" t="s">
        <v>39</v>
      </c>
      <c r="C435">
        <v>1012733562</v>
      </c>
      <c r="D435" t="s">
        <v>491</v>
      </c>
      <c r="E435" t="s">
        <v>31</v>
      </c>
      <c r="F435" s="1">
        <v>0.67291666666666672</v>
      </c>
      <c r="G435" t="s">
        <v>32</v>
      </c>
      <c r="H435" t="s">
        <v>33</v>
      </c>
      <c r="I435" t="s">
        <v>41</v>
      </c>
      <c r="J435" t="s">
        <v>84</v>
      </c>
      <c r="K435">
        <v>280</v>
      </c>
      <c r="L435">
        <v>0</v>
      </c>
      <c r="M435" t="s">
        <v>63</v>
      </c>
      <c r="N435">
        <v>250</v>
      </c>
      <c r="O435">
        <v>0</v>
      </c>
      <c r="P435">
        <v>0</v>
      </c>
      <c r="Q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 t="s">
        <v>36</v>
      </c>
      <c r="AC435" t="s">
        <v>43</v>
      </c>
      <c r="AD435" t="str">
        <f t="shared" si="12"/>
        <v>CP</v>
      </c>
      <c r="AE435" t="str">
        <f>_xlfn.XLOOKUP(D435,Mapping!A:A,Mapping!D:D,0,0)</f>
        <v>Bin</v>
      </c>
      <c r="AF435" t="str">
        <f t="shared" si="13"/>
        <v>OLD</v>
      </c>
    </row>
    <row r="436" spans="1:32" x14ac:dyDescent="0.2">
      <c r="A436" t="s">
        <v>1118</v>
      </c>
      <c r="B436" t="s">
        <v>29</v>
      </c>
      <c r="C436">
        <v>1012733572</v>
      </c>
      <c r="D436" t="s">
        <v>492</v>
      </c>
      <c r="E436" t="s">
        <v>31</v>
      </c>
      <c r="F436" s="1">
        <v>0.67291666666666672</v>
      </c>
      <c r="G436" t="s">
        <v>32</v>
      </c>
      <c r="H436" t="s">
        <v>33</v>
      </c>
      <c r="I436" t="s">
        <v>41</v>
      </c>
      <c r="J436" t="s">
        <v>84</v>
      </c>
      <c r="K436">
        <v>280</v>
      </c>
      <c r="L436">
        <v>0</v>
      </c>
      <c r="M436" t="s">
        <v>36</v>
      </c>
      <c r="N436" t="s">
        <v>37</v>
      </c>
      <c r="O436">
        <v>106</v>
      </c>
      <c r="P436">
        <v>3</v>
      </c>
      <c r="Q436">
        <v>2.83019</v>
      </c>
      <c r="R436">
        <v>0</v>
      </c>
      <c r="S436">
        <v>0.17</v>
      </c>
      <c r="T436">
        <v>1.5840000000000001</v>
      </c>
      <c r="U436">
        <v>5.6000000000000001E-2</v>
      </c>
      <c r="V436">
        <v>0</v>
      </c>
      <c r="W436">
        <v>1</v>
      </c>
      <c r="X436">
        <v>0</v>
      </c>
      <c r="Y436" t="s">
        <v>36</v>
      </c>
      <c r="Z436">
        <v>106</v>
      </c>
      <c r="AA436">
        <v>99</v>
      </c>
      <c r="AB436">
        <v>3</v>
      </c>
      <c r="AC436" t="s">
        <v>303</v>
      </c>
      <c r="AD436" t="str">
        <f t="shared" si="12"/>
        <v>CP</v>
      </c>
      <c r="AE436" t="str">
        <f>_xlfn.XLOOKUP(D436,Mapping!A:A,Mapping!D:D,0,0)</f>
        <v>Keyword - Preroll</v>
      </c>
      <c r="AF436" t="str">
        <f t="shared" si="13"/>
        <v>OLD</v>
      </c>
    </row>
    <row r="437" spans="1:32" x14ac:dyDescent="0.2">
      <c r="A437" t="s">
        <v>1118</v>
      </c>
      <c r="B437" t="s">
        <v>39</v>
      </c>
      <c r="C437">
        <v>1012741762</v>
      </c>
      <c r="D437" t="s">
        <v>108</v>
      </c>
      <c r="E437" t="s">
        <v>31</v>
      </c>
      <c r="F437" s="1">
        <v>0.67291666666666672</v>
      </c>
      <c r="G437" t="s">
        <v>32</v>
      </c>
      <c r="H437" t="s">
        <v>33</v>
      </c>
      <c r="I437" t="s">
        <v>41</v>
      </c>
      <c r="J437" t="s">
        <v>62</v>
      </c>
      <c r="K437">
        <v>280</v>
      </c>
      <c r="L437">
        <v>0</v>
      </c>
      <c r="M437" t="s">
        <v>63</v>
      </c>
      <c r="N437">
        <v>250</v>
      </c>
      <c r="O437">
        <v>0</v>
      </c>
      <c r="P437">
        <v>0</v>
      </c>
      <c r="Q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 t="s">
        <v>36</v>
      </c>
      <c r="AC437" t="s">
        <v>43</v>
      </c>
      <c r="AD437" t="str">
        <f t="shared" si="12"/>
        <v>CP</v>
      </c>
      <c r="AE437" t="str">
        <f>_xlfn.XLOOKUP(D437,Mapping!A:A,Mapping!D:D,0,0)</f>
        <v>Bin</v>
      </c>
      <c r="AF437" t="str">
        <f t="shared" si="13"/>
        <v>OLD</v>
      </c>
    </row>
    <row r="438" spans="1:32" x14ac:dyDescent="0.2">
      <c r="A438" t="s">
        <v>1118</v>
      </c>
      <c r="B438" t="s">
        <v>39</v>
      </c>
      <c r="C438">
        <v>1012741772</v>
      </c>
      <c r="D438" t="s">
        <v>493</v>
      </c>
      <c r="E438" t="s">
        <v>31</v>
      </c>
      <c r="F438" s="1">
        <v>0.67291666666666672</v>
      </c>
      <c r="G438" t="s">
        <v>32</v>
      </c>
      <c r="H438" t="s">
        <v>33</v>
      </c>
      <c r="I438" t="s">
        <v>41</v>
      </c>
      <c r="J438" t="s">
        <v>62</v>
      </c>
      <c r="K438">
        <v>280</v>
      </c>
      <c r="L438">
        <v>0</v>
      </c>
      <c r="M438" t="s">
        <v>63</v>
      </c>
      <c r="N438">
        <v>250</v>
      </c>
      <c r="O438">
        <v>0</v>
      </c>
      <c r="P438">
        <v>0</v>
      </c>
      <c r="Q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 t="s">
        <v>36</v>
      </c>
      <c r="AC438" t="s">
        <v>43</v>
      </c>
      <c r="AD438" t="str">
        <f t="shared" si="12"/>
        <v>CP</v>
      </c>
      <c r="AE438" t="str">
        <f>_xlfn.XLOOKUP(D438,Mapping!A:A,Mapping!D:D,0,0)</f>
        <v>Bin</v>
      </c>
      <c r="AF438" t="str">
        <f t="shared" si="13"/>
        <v>OLD</v>
      </c>
    </row>
    <row r="439" spans="1:32" x14ac:dyDescent="0.2">
      <c r="A439" t="s">
        <v>1118</v>
      </c>
      <c r="B439" t="s">
        <v>39</v>
      </c>
      <c r="C439">
        <v>1012741792</v>
      </c>
      <c r="D439" t="s">
        <v>494</v>
      </c>
      <c r="E439" t="s">
        <v>31</v>
      </c>
      <c r="F439" s="1">
        <v>0.67291666666666672</v>
      </c>
      <c r="G439" t="s">
        <v>32</v>
      </c>
      <c r="H439" t="s">
        <v>33</v>
      </c>
      <c r="I439" t="s">
        <v>34</v>
      </c>
      <c r="J439" t="s">
        <v>84</v>
      </c>
      <c r="K439">
        <v>112</v>
      </c>
      <c r="L439">
        <v>0</v>
      </c>
      <c r="M439" t="s">
        <v>63</v>
      </c>
      <c r="N439">
        <v>250</v>
      </c>
      <c r="O439">
        <v>0</v>
      </c>
      <c r="P439">
        <v>0</v>
      </c>
      <c r="Q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 t="s">
        <v>36</v>
      </c>
      <c r="AC439" t="s">
        <v>43</v>
      </c>
      <c r="AD439" t="str">
        <f t="shared" si="12"/>
        <v>CP</v>
      </c>
      <c r="AE439" t="str">
        <f>_xlfn.XLOOKUP(D439,Mapping!A:A,Mapping!D:D,0,0)</f>
        <v>Bin</v>
      </c>
      <c r="AF439" t="str">
        <f t="shared" si="13"/>
        <v>OLD</v>
      </c>
    </row>
    <row r="440" spans="1:32" x14ac:dyDescent="0.2">
      <c r="A440" t="s">
        <v>1118</v>
      </c>
      <c r="B440" t="s">
        <v>39</v>
      </c>
      <c r="C440">
        <v>1012750232</v>
      </c>
      <c r="D440" t="s">
        <v>495</v>
      </c>
      <c r="E440" t="s">
        <v>31</v>
      </c>
      <c r="F440" s="1">
        <v>0.67291666666666672</v>
      </c>
      <c r="G440" t="s">
        <v>32</v>
      </c>
      <c r="H440" t="s">
        <v>33</v>
      </c>
      <c r="I440" t="s">
        <v>34</v>
      </c>
      <c r="J440" t="s">
        <v>84</v>
      </c>
      <c r="K440">
        <v>112</v>
      </c>
      <c r="L440">
        <v>0</v>
      </c>
      <c r="M440" t="s">
        <v>63</v>
      </c>
      <c r="N440">
        <v>250</v>
      </c>
      <c r="O440">
        <v>0</v>
      </c>
      <c r="P440">
        <v>0</v>
      </c>
      <c r="Q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 t="s">
        <v>36</v>
      </c>
      <c r="AC440" t="s">
        <v>43</v>
      </c>
      <c r="AD440" t="str">
        <f t="shared" si="12"/>
        <v>CP</v>
      </c>
      <c r="AE440" t="str">
        <f>_xlfn.XLOOKUP(D440,Mapping!A:A,Mapping!D:D,0,0)</f>
        <v>Bin</v>
      </c>
      <c r="AF440" t="str">
        <f t="shared" si="13"/>
        <v>OLD</v>
      </c>
    </row>
    <row r="441" spans="1:32" x14ac:dyDescent="0.2">
      <c r="A441" t="s">
        <v>1118</v>
      </c>
      <c r="B441" t="s">
        <v>39</v>
      </c>
      <c r="C441">
        <v>1012750242</v>
      </c>
      <c r="D441" t="s">
        <v>496</v>
      </c>
      <c r="E441" t="s">
        <v>31</v>
      </c>
      <c r="F441" s="1">
        <v>0.67291666666666672</v>
      </c>
      <c r="G441" t="s">
        <v>32</v>
      </c>
      <c r="H441" t="s">
        <v>33</v>
      </c>
      <c r="I441" t="s">
        <v>41</v>
      </c>
      <c r="J441" t="s">
        <v>62</v>
      </c>
      <c r="K441">
        <v>280</v>
      </c>
      <c r="L441">
        <v>0</v>
      </c>
      <c r="M441" t="s">
        <v>63</v>
      </c>
      <c r="N441">
        <v>250</v>
      </c>
      <c r="O441">
        <v>0</v>
      </c>
      <c r="P441">
        <v>0</v>
      </c>
      <c r="Q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 t="s">
        <v>36</v>
      </c>
      <c r="AC441" t="s">
        <v>43</v>
      </c>
      <c r="AD441" t="str">
        <f t="shared" si="12"/>
        <v>CP</v>
      </c>
      <c r="AE441" t="str">
        <f>_xlfn.XLOOKUP(D441,Mapping!A:A,Mapping!D:D,0,0)</f>
        <v>Bin</v>
      </c>
      <c r="AF441" t="str">
        <f t="shared" si="13"/>
        <v>OLD</v>
      </c>
    </row>
    <row r="442" spans="1:32" x14ac:dyDescent="0.2">
      <c r="A442" t="s">
        <v>1118</v>
      </c>
      <c r="B442" t="s">
        <v>39</v>
      </c>
      <c r="C442">
        <v>1012750252</v>
      </c>
      <c r="D442" t="s">
        <v>497</v>
      </c>
      <c r="E442" t="s">
        <v>31</v>
      </c>
      <c r="F442" s="1">
        <v>0.67291666666666672</v>
      </c>
      <c r="G442" t="s">
        <v>32</v>
      </c>
      <c r="H442" t="s">
        <v>33</v>
      </c>
      <c r="I442" t="s">
        <v>41</v>
      </c>
      <c r="J442" t="s">
        <v>62</v>
      </c>
      <c r="K442">
        <v>280</v>
      </c>
      <c r="L442">
        <v>0</v>
      </c>
      <c r="M442" t="s">
        <v>63</v>
      </c>
      <c r="N442">
        <v>250</v>
      </c>
      <c r="O442">
        <v>0</v>
      </c>
      <c r="P442">
        <v>0</v>
      </c>
      <c r="Q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 t="s">
        <v>36</v>
      </c>
      <c r="AC442" t="s">
        <v>43</v>
      </c>
      <c r="AD442" t="str">
        <f t="shared" si="12"/>
        <v>CP</v>
      </c>
      <c r="AE442" t="str">
        <f>_xlfn.XLOOKUP(D442,Mapping!A:A,Mapping!D:D,0,0)</f>
        <v>Bin</v>
      </c>
      <c r="AF442" t="str">
        <f t="shared" si="13"/>
        <v>OLD</v>
      </c>
    </row>
    <row r="443" spans="1:32" x14ac:dyDescent="0.2">
      <c r="A443" t="s">
        <v>1118</v>
      </c>
      <c r="B443" t="s">
        <v>39</v>
      </c>
      <c r="C443">
        <v>1012750262</v>
      </c>
      <c r="D443" t="s">
        <v>498</v>
      </c>
      <c r="E443" t="s">
        <v>31</v>
      </c>
      <c r="F443" s="1">
        <v>0.67291666666666672</v>
      </c>
      <c r="G443" t="s">
        <v>32</v>
      </c>
      <c r="H443" t="s">
        <v>33</v>
      </c>
      <c r="I443" t="s">
        <v>41</v>
      </c>
      <c r="J443" t="s">
        <v>62</v>
      </c>
      <c r="K443">
        <v>280</v>
      </c>
      <c r="L443">
        <v>0</v>
      </c>
      <c r="M443" t="s">
        <v>63</v>
      </c>
      <c r="N443">
        <v>250</v>
      </c>
      <c r="O443">
        <v>0</v>
      </c>
      <c r="P443">
        <v>0</v>
      </c>
      <c r="Q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 t="s">
        <v>36</v>
      </c>
      <c r="AC443" t="s">
        <v>43</v>
      </c>
      <c r="AD443" t="str">
        <f t="shared" si="12"/>
        <v>CP</v>
      </c>
      <c r="AE443" t="str">
        <f>_xlfn.XLOOKUP(D443,Mapping!A:A,Mapping!D:D,0,0)</f>
        <v>Bin</v>
      </c>
      <c r="AF443" t="str">
        <f t="shared" si="13"/>
        <v>OLD</v>
      </c>
    </row>
    <row r="444" spans="1:32" x14ac:dyDescent="0.2">
      <c r="A444" t="s">
        <v>1118</v>
      </c>
      <c r="B444" t="s">
        <v>39</v>
      </c>
      <c r="C444">
        <v>1012750272</v>
      </c>
      <c r="D444" t="s">
        <v>499</v>
      </c>
      <c r="E444" t="s">
        <v>31</v>
      </c>
      <c r="F444" s="1">
        <v>0.67291666666666672</v>
      </c>
      <c r="G444" t="s">
        <v>32</v>
      </c>
      <c r="H444" t="s">
        <v>33</v>
      </c>
      <c r="I444" t="s">
        <v>41</v>
      </c>
      <c r="J444" t="s">
        <v>62</v>
      </c>
      <c r="K444">
        <v>280</v>
      </c>
      <c r="L444">
        <v>0</v>
      </c>
      <c r="M444" t="s">
        <v>63</v>
      </c>
      <c r="N444">
        <v>250</v>
      </c>
      <c r="O444">
        <v>0</v>
      </c>
      <c r="P444">
        <v>0</v>
      </c>
      <c r="Q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 t="s">
        <v>36</v>
      </c>
      <c r="AC444" t="s">
        <v>43</v>
      </c>
      <c r="AD444" t="str">
        <f t="shared" si="12"/>
        <v>CP</v>
      </c>
      <c r="AE444" t="str">
        <f>_xlfn.XLOOKUP(D444,Mapping!A:A,Mapping!D:D,0,0)</f>
        <v>Bin</v>
      </c>
      <c r="AF444" t="str">
        <f t="shared" si="13"/>
        <v>OLD</v>
      </c>
    </row>
    <row r="445" spans="1:32" x14ac:dyDescent="0.2">
      <c r="A445" t="s">
        <v>1118</v>
      </c>
      <c r="B445" t="s">
        <v>39</v>
      </c>
      <c r="C445">
        <v>1012750282</v>
      </c>
      <c r="D445" t="s">
        <v>500</v>
      </c>
      <c r="E445" t="s">
        <v>31</v>
      </c>
      <c r="F445" s="1">
        <v>0.67291666666666672</v>
      </c>
      <c r="G445" t="s">
        <v>32</v>
      </c>
      <c r="H445" t="s">
        <v>33</v>
      </c>
      <c r="I445" t="s">
        <v>34</v>
      </c>
      <c r="J445" t="s">
        <v>84</v>
      </c>
      <c r="K445">
        <v>112</v>
      </c>
      <c r="L445">
        <v>0</v>
      </c>
      <c r="M445" t="s">
        <v>63</v>
      </c>
      <c r="N445">
        <v>250</v>
      </c>
      <c r="O445">
        <v>0</v>
      </c>
      <c r="P445">
        <v>0</v>
      </c>
      <c r="Q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 t="s">
        <v>36</v>
      </c>
      <c r="AC445" t="s">
        <v>43</v>
      </c>
      <c r="AD445" t="str">
        <f t="shared" si="12"/>
        <v>CP</v>
      </c>
      <c r="AE445" t="str">
        <f>_xlfn.XLOOKUP(D445,Mapping!A:A,Mapping!D:D,0,0)</f>
        <v>Bin</v>
      </c>
      <c r="AF445" t="str">
        <f t="shared" si="13"/>
        <v>OLD</v>
      </c>
    </row>
    <row r="446" spans="1:32" x14ac:dyDescent="0.2">
      <c r="A446" t="s">
        <v>1118</v>
      </c>
      <c r="B446" t="s">
        <v>39</v>
      </c>
      <c r="C446">
        <v>1012750292</v>
      </c>
      <c r="D446" t="s">
        <v>501</v>
      </c>
      <c r="E446" t="s">
        <v>31</v>
      </c>
      <c r="F446" s="1">
        <v>0.67291666666666672</v>
      </c>
      <c r="G446" t="s">
        <v>32</v>
      </c>
      <c r="H446" t="s">
        <v>33</v>
      </c>
      <c r="I446" t="s">
        <v>34</v>
      </c>
      <c r="J446" t="s">
        <v>84</v>
      </c>
      <c r="K446">
        <v>112</v>
      </c>
      <c r="L446">
        <v>0</v>
      </c>
      <c r="M446" t="s">
        <v>63</v>
      </c>
      <c r="N446">
        <v>250</v>
      </c>
      <c r="O446">
        <v>0</v>
      </c>
      <c r="P446">
        <v>0</v>
      </c>
      <c r="Q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 t="s">
        <v>36</v>
      </c>
      <c r="AC446" t="s">
        <v>43</v>
      </c>
      <c r="AD446" t="str">
        <f t="shared" si="12"/>
        <v>CP</v>
      </c>
      <c r="AE446" t="str">
        <f>_xlfn.XLOOKUP(D446,Mapping!A:A,Mapping!D:D,0,0)</f>
        <v>Bin</v>
      </c>
      <c r="AF446" t="str">
        <f t="shared" si="13"/>
        <v>OLD</v>
      </c>
    </row>
    <row r="447" spans="1:32" x14ac:dyDescent="0.2">
      <c r="A447" t="s">
        <v>1118</v>
      </c>
      <c r="B447" t="s">
        <v>39</v>
      </c>
      <c r="C447">
        <v>1012750302</v>
      </c>
      <c r="D447" t="s">
        <v>502</v>
      </c>
      <c r="E447" t="s">
        <v>31</v>
      </c>
      <c r="F447" s="1">
        <v>0.67291666666666672</v>
      </c>
      <c r="G447" t="s">
        <v>32</v>
      </c>
      <c r="H447" t="s">
        <v>33</v>
      </c>
      <c r="I447" t="s">
        <v>41</v>
      </c>
      <c r="J447" t="s">
        <v>62</v>
      </c>
      <c r="K447">
        <v>280</v>
      </c>
      <c r="L447">
        <v>0</v>
      </c>
      <c r="M447" t="s">
        <v>63</v>
      </c>
      <c r="N447">
        <v>250</v>
      </c>
      <c r="O447">
        <v>0</v>
      </c>
      <c r="P447">
        <v>0</v>
      </c>
      <c r="Q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 t="s">
        <v>36</v>
      </c>
      <c r="AC447" t="s">
        <v>43</v>
      </c>
      <c r="AD447" t="str">
        <f t="shared" si="12"/>
        <v>CP</v>
      </c>
      <c r="AE447" t="str">
        <f>_xlfn.XLOOKUP(D447,Mapping!A:A,Mapping!D:D,0,0)</f>
        <v>Bin</v>
      </c>
      <c r="AF447" t="str">
        <f t="shared" si="13"/>
        <v>OLD</v>
      </c>
    </row>
    <row r="448" spans="1:32" x14ac:dyDescent="0.2">
      <c r="A448" t="s">
        <v>1118</v>
      </c>
      <c r="B448" t="s">
        <v>39</v>
      </c>
      <c r="C448">
        <v>1012750312</v>
      </c>
      <c r="D448" t="s">
        <v>503</v>
      </c>
      <c r="E448" t="s">
        <v>31</v>
      </c>
      <c r="F448" s="1">
        <v>0.67291666666666672</v>
      </c>
      <c r="G448" t="s">
        <v>32</v>
      </c>
      <c r="H448" t="s">
        <v>33</v>
      </c>
      <c r="I448" t="s">
        <v>41</v>
      </c>
      <c r="J448" t="s">
        <v>62</v>
      </c>
      <c r="K448">
        <v>280</v>
      </c>
      <c r="L448">
        <v>0</v>
      </c>
      <c r="M448" t="s">
        <v>36</v>
      </c>
      <c r="N448" t="s">
        <v>37</v>
      </c>
      <c r="O448">
        <v>0</v>
      </c>
      <c r="P448">
        <v>0</v>
      </c>
      <c r="Q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 t="s">
        <v>36</v>
      </c>
      <c r="AC448" t="s">
        <v>43</v>
      </c>
      <c r="AD448" t="str">
        <f t="shared" si="12"/>
        <v>CP</v>
      </c>
      <c r="AE448" t="str">
        <f>_xlfn.XLOOKUP(D448,Mapping!A:A,Mapping!D:D,0,0)</f>
        <v>Bin</v>
      </c>
      <c r="AF448" t="str">
        <f t="shared" si="13"/>
        <v>OLD</v>
      </c>
    </row>
    <row r="449" spans="1:32" x14ac:dyDescent="0.2">
      <c r="A449" t="s">
        <v>1118</v>
      </c>
      <c r="B449" t="s">
        <v>39</v>
      </c>
      <c r="C449">
        <v>1012750322</v>
      </c>
      <c r="D449" t="s">
        <v>504</v>
      </c>
      <c r="E449" t="s">
        <v>31</v>
      </c>
      <c r="F449" s="1">
        <v>0.67291666666666672</v>
      </c>
      <c r="G449" t="s">
        <v>32</v>
      </c>
      <c r="H449" t="s">
        <v>33</v>
      </c>
      <c r="I449" t="s">
        <v>41</v>
      </c>
      <c r="J449" t="s">
        <v>62</v>
      </c>
      <c r="K449">
        <v>280</v>
      </c>
      <c r="L449">
        <v>0</v>
      </c>
      <c r="M449" t="s">
        <v>36</v>
      </c>
      <c r="N449" t="s">
        <v>37</v>
      </c>
      <c r="O449">
        <v>0</v>
      </c>
      <c r="P449">
        <v>0</v>
      </c>
      <c r="Q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 t="s">
        <v>36</v>
      </c>
      <c r="AC449" t="s">
        <v>43</v>
      </c>
      <c r="AD449" t="str">
        <f t="shared" si="12"/>
        <v>CP</v>
      </c>
      <c r="AE449" t="str">
        <f>_xlfn.XLOOKUP(D449,Mapping!A:A,Mapping!D:D,0,0)</f>
        <v>Bin</v>
      </c>
      <c r="AF449" t="str">
        <f t="shared" si="13"/>
        <v>OLD</v>
      </c>
    </row>
    <row r="450" spans="1:32" x14ac:dyDescent="0.2">
      <c r="A450" t="s">
        <v>1118</v>
      </c>
      <c r="B450" t="s">
        <v>39</v>
      </c>
      <c r="C450">
        <v>1012750332</v>
      </c>
      <c r="D450" t="s">
        <v>505</v>
      </c>
      <c r="E450" t="s">
        <v>31</v>
      </c>
      <c r="F450" s="1">
        <v>0.67291666666666672</v>
      </c>
      <c r="G450" t="s">
        <v>32</v>
      </c>
      <c r="H450" t="s">
        <v>33</v>
      </c>
      <c r="I450" t="s">
        <v>41</v>
      </c>
      <c r="J450" t="s">
        <v>62</v>
      </c>
      <c r="K450">
        <v>280</v>
      </c>
      <c r="L450">
        <v>0</v>
      </c>
      <c r="M450" t="s">
        <v>63</v>
      </c>
      <c r="N450">
        <v>250</v>
      </c>
      <c r="O450">
        <v>0</v>
      </c>
      <c r="P450">
        <v>0</v>
      </c>
      <c r="Q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 t="s">
        <v>36</v>
      </c>
      <c r="AC450" t="s">
        <v>43</v>
      </c>
      <c r="AD450" t="str">
        <f t="shared" si="12"/>
        <v>CP</v>
      </c>
      <c r="AE450" t="str">
        <f>_xlfn.XLOOKUP(D450,Mapping!A:A,Mapping!D:D,0,0)</f>
        <v>Bin</v>
      </c>
      <c r="AF450" t="str">
        <f t="shared" si="13"/>
        <v>OLD</v>
      </c>
    </row>
    <row r="451" spans="1:32" x14ac:dyDescent="0.2">
      <c r="A451" t="s">
        <v>1118</v>
      </c>
      <c r="B451" t="s">
        <v>39</v>
      </c>
      <c r="C451">
        <v>1012750342</v>
      </c>
      <c r="D451" t="s">
        <v>506</v>
      </c>
      <c r="E451" t="s">
        <v>31</v>
      </c>
      <c r="F451" s="1">
        <v>0.67291666666666672</v>
      </c>
      <c r="G451" t="s">
        <v>32</v>
      </c>
      <c r="H451" t="s">
        <v>33</v>
      </c>
      <c r="I451" t="s">
        <v>34</v>
      </c>
      <c r="J451" t="s">
        <v>84</v>
      </c>
      <c r="K451">
        <v>112</v>
      </c>
      <c r="L451">
        <v>0</v>
      </c>
      <c r="M451" t="s">
        <v>63</v>
      </c>
      <c r="N451">
        <v>250</v>
      </c>
      <c r="O451">
        <v>0</v>
      </c>
      <c r="P451">
        <v>0</v>
      </c>
      <c r="Q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 t="s">
        <v>36</v>
      </c>
      <c r="AC451" t="s">
        <v>43</v>
      </c>
      <c r="AD451" t="str">
        <f t="shared" ref="AD451:AD514" si="14">LEFT(D451,2)</f>
        <v>CP</v>
      </c>
      <c r="AE451" t="str">
        <f>_xlfn.XLOOKUP(D451,Mapping!A:A,Mapping!D:D,0,0)</f>
        <v>Bin</v>
      </c>
      <c r="AF451" t="str">
        <f t="shared" ref="AF451:AF514" si="15">IFERROR(IF(SEARCH("_TJ",D451)&gt;0,"TJ",NA()),IFERROR(IF(SEARCH("_JB",D451)&gt;0,"JB",NA()),"OLD"))</f>
        <v>OLD</v>
      </c>
    </row>
    <row r="452" spans="1:32" x14ac:dyDescent="0.2">
      <c r="A452" t="s">
        <v>1118</v>
      </c>
      <c r="B452" t="s">
        <v>39</v>
      </c>
      <c r="C452">
        <v>1012750352</v>
      </c>
      <c r="D452" t="s">
        <v>483</v>
      </c>
      <c r="E452" t="s">
        <v>31</v>
      </c>
      <c r="F452" s="1">
        <v>0.67291666666666672</v>
      </c>
      <c r="G452" t="s">
        <v>32</v>
      </c>
      <c r="H452" t="s">
        <v>33</v>
      </c>
      <c r="I452" t="s">
        <v>41</v>
      </c>
      <c r="J452" t="s">
        <v>62</v>
      </c>
      <c r="K452">
        <v>280</v>
      </c>
      <c r="L452">
        <v>0</v>
      </c>
      <c r="M452" t="s">
        <v>36</v>
      </c>
      <c r="N452" t="s">
        <v>37</v>
      </c>
      <c r="O452">
        <v>0</v>
      </c>
      <c r="P452">
        <v>0</v>
      </c>
      <c r="Q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 t="s">
        <v>36</v>
      </c>
      <c r="AC452" t="s">
        <v>119</v>
      </c>
      <c r="AD452" t="str">
        <f t="shared" si="14"/>
        <v>CP</v>
      </c>
      <c r="AE452" t="str">
        <f>_xlfn.XLOOKUP(D452,Mapping!A:A,Mapping!D:D,0,0)</f>
        <v>Marvel</v>
      </c>
      <c r="AF452" t="str">
        <f t="shared" si="15"/>
        <v>OLD</v>
      </c>
    </row>
    <row r="453" spans="1:32" x14ac:dyDescent="0.2">
      <c r="A453" t="s">
        <v>1118</v>
      </c>
      <c r="B453" t="s">
        <v>39</v>
      </c>
      <c r="C453">
        <v>1012750362</v>
      </c>
      <c r="D453" t="s">
        <v>507</v>
      </c>
      <c r="E453" t="s">
        <v>31</v>
      </c>
      <c r="F453" s="1">
        <v>0.67291666666666672</v>
      </c>
      <c r="G453" t="s">
        <v>32</v>
      </c>
      <c r="H453" t="s">
        <v>33</v>
      </c>
      <c r="I453" t="s">
        <v>41</v>
      </c>
      <c r="J453" t="s">
        <v>62</v>
      </c>
      <c r="K453">
        <v>280</v>
      </c>
      <c r="L453">
        <v>0</v>
      </c>
      <c r="M453" t="s">
        <v>36</v>
      </c>
      <c r="N453" t="s">
        <v>37</v>
      </c>
      <c r="O453">
        <v>0</v>
      </c>
      <c r="P453">
        <v>0</v>
      </c>
      <c r="Q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 t="s">
        <v>36</v>
      </c>
      <c r="AC453" t="s">
        <v>484</v>
      </c>
      <c r="AD453" t="str">
        <f t="shared" si="14"/>
        <v>CP</v>
      </c>
      <c r="AE453" t="str">
        <f>_xlfn.XLOOKUP(D453,Mapping!A:A,Mapping!D:D,0,0)</f>
        <v>Marvel</v>
      </c>
      <c r="AF453" t="str">
        <f t="shared" si="15"/>
        <v>OLD</v>
      </c>
    </row>
    <row r="454" spans="1:32" x14ac:dyDescent="0.2">
      <c r="A454" t="s">
        <v>1118</v>
      </c>
      <c r="B454" t="s">
        <v>29</v>
      </c>
      <c r="C454">
        <v>1012750372</v>
      </c>
      <c r="D454" t="s">
        <v>508</v>
      </c>
      <c r="E454" t="s">
        <v>31</v>
      </c>
      <c r="F454" s="1">
        <v>0.67291666666666672</v>
      </c>
      <c r="G454" t="s">
        <v>32</v>
      </c>
      <c r="H454" t="s">
        <v>33</v>
      </c>
      <c r="I454" t="s">
        <v>34</v>
      </c>
      <c r="J454" t="s">
        <v>84</v>
      </c>
      <c r="K454">
        <v>112</v>
      </c>
      <c r="L454">
        <v>0</v>
      </c>
      <c r="M454" t="s">
        <v>36</v>
      </c>
      <c r="N454" t="s">
        <v>37</v>
      </c>
      <c r="O454">
        <v>5118</v>
      </c>
      <c r="P454">
        <v>246</v>
      </c>
      <c r="Q454">
        <v>4.8065699999999998</v>
      </c>
      <c r="R454">
        <v>0</v>
      </c>
      <c r="S454">
        <v>15.09</v>
      </c>
      <c r="T454">
        <v>2.948</v>
      </c>
      <c r="U454">
        <v>6.0999999999999999E-2</v>
      </c>
      <c r="V454">
        <v>0</v>
      </c>
      <c r="W454">
        <v>1</v>
      </c>
      <c r="X454">
        <v>0</v>
      </c>
      <c r="Y454" t="s">
        <v>36</v>
      </c>
      <c r="Z454">
        <v>5117</v>
      </c>
      <c r="AA454">
        <v>3922</v>
      </c>
      <c r="AB454">
        <v>492</v>
      </c>
      <c r="AC454" t="s">
        <v>484</v>
      </c>
      <c r="AD454" t="str">
        <f t="shared" si="14"/>
        <v>CP</v>
      </c>
      <c r="AE454" t="str">
        <f>_xlfn.XLOOKUP(D454,Mapping!A:A,Mapping!D:D,0,0)</f>
        <v>Keyword - Preroll</v>
      </c>
      <c r="AF454" t="str">
        <f t="shared" si="15"/>
        <v>OLD</v>
      </c>
    </row>
    <row r="455" spans="1:32" x14ac:dyDescent="0.2">
      <c r="A455" t="s">
        <v>1118</v>
      </c>
      <c r="B455" t="s">
        <v>39</v>
      </c>
      <c r="C455">
        <v>1012750382</v>
      </c>
      <c r="D455" t="s">
        <v>509</v>
      </c>
      <c r="E455" t="s">
        <v>31</v>
      </c>
      <c r="F455" s="1">
        <v>0.67291666666666672</v>
      </c>
      <c r="G455" t="s">
        <v>32</v>
      </c>
      <c r="H455" t="s">
        <v>33</v>
      </c>
      <c r="I455" t="s">
        <v>34</v>
      </c>
      <c r="J455" t="s">
        <v>84</v>
      </c>
      <c r="K455">
        <v>112</v>
      </c>
      <c r="L455">
        <v>0</v>
      </c>
      <c r="M455" t="s">
        <v>36</v>
      </c>
      <c r="N455" t="s">
        <v>37</v>
      </c>
      <c r="O455">
        <v>0</v>
      </c>
      <c r="P455">
        <v>0</v>
      </c>
      <c r="Q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 t="s">
        <v>36</v>
      </c>
      <c r="AC455" t="s">
        <v>484</v>
      </c>
      <c r="AD455" t="str">
        <f t="shared" si="14"/>
        <v>CP</v>
      </c>
      <c r="AE455" t="str">
        <f>_xlfn.XLOOKUP(D455,Mapping!A:A,Mapping!D:D,0,0)</f>
        <v>Marvel</v>
      </c>
      <c r="AF455" t="str">
        <f t="shared" si="15"/>
        <v>OLD</v>
      </c>
    </row>
    <row r="456" spans="1:32" x14ac:dyDescent="0.2">
      <c r="A456" t="s">
        <v>1118</v>
      </c>
      <c r="B456" t="s">
        <v>29</v>
      </c>
      <c r="C456">
        <v>1012750392</v>
      </c>
      <c r="D456" t="s">
        <v>510</v>
      </c>
      <c r="E456" t="s">
        <v>31</v>
      </c>
      <c r="F456" s="1">
        <v>0.67291666666666672</v>
      </c>
      <c r="G456" t="s">
        <v>32</v>
      </c>
      <c r="H456" t="s">
        <v>33</v>
      </c>
      <c r="I456" t="s">
        <v>41</v>
      </c>
      <c r="J456" t="s">
        <v>62</v>
      </c>
      <c r="K456">
        <v>280</v>
      </c>
      <c r="L456">
        <v>0</v>
      </c>
      <c r="M456" t="s">
        <v>36</v>
      </c>
      <c r="N456" t="s">
        <v>37</v>
      </c>
      <c r="O456">
        <v>397</v>
      </c>
      <c r="P456">
        <v>18</v>
      </c>
      <c r="Q456">
        <v>4.5340100000000003</v>
      </c>
      <c r="R456">
        <v>0</v>
      </c>
      <c r="S456">
        <v>0.75</v>
      </c>
      <c r="T456">
        <v>1.8939999999999999</v>
      </c>
      <c r="U456">
        <v>4.2000000000000003E-2</v>
      </c>
      <c r="V456">
        <v>0</v>
      </c>
      <c r="W456">
        <v>1</v>
      </c>
      <c r="X456">
        <v>0</v>
      </c>
      <c r="Y456" t="s">
        <v>36</v>
      </c>
      <c r="Z456">
        <v>397</v>
      </c>
      <c r="AA456">
        <v>364</v>
      </c>
      <c r="AB456">
        <v>22</v>
      </c>
      <c r="AC456" t="s">
        <v>484</v>
      </c>
      <c r="AD456" t="str">
        <f t="shared" si="14"/>
        <v>CP</v>
      </c>
      <c r="AE456" t="str">
        <f>_xlfn.XLOOKUP(D456,Mapping!A:A,Mapping!D:D,0,0)</f>
        <v>Keyword - Preroll</v>
      </c>
      <c r="AF456" t="str">
        <f t="shared" si="15"/>
        <v>OLD</v>
      </c>
    </row>
    <row r="457" spans="1:32" x14ac:dyDescent="0.2">
      <c r="A457" t="s">
        <v>1118</v>
      </c>
      <c r="B457" t="s">
        <v>29</v>
      </c>
      <c r="C457">
        <v>1012750402</v>
      </c>
      <c r="D457" t="s">
        <v>511</v>
      </c>
      <c r="E457" t="s">
        <v>31</v>
      </c>
      <c r="F457" s="1">
        <v>0.67291666666666672</v>
      </c>
      <c r="G457" t="s">
        <v>32</v>
      </c>
      <c r="H457" t="s">
        <v>33</v>
      </c>
      <c r="I457" t="s">
        <v>41</v>
      </c>
      <c r="J457" t="s">
        <v>62</v>
      </c>
      <c r="K457">
        <v>280</v>
      </c>
      <c r="L457">
        <v>0</v>
      </c>
      <c r="M457" t="s">
        <v>36</v>
      </c>
      <c r="N457" t="s">
        <v>37</v>
      </c>
      <c r="O457">
        <v>2947</v>
      </c>
      <c r="P457">
        <v>230</v>
      </c>
      <c r="Q457">
        <v>7.8045499999999999</v>
      </c>
      <c r="R457">
        <v>0</v>
      </c>
      <c r="S457">
        <v>3.45</v>
      </c>
      <c r="T457">
        <v>1.17</v>
      </c>
      <c r="U457">
        <v>1.4999999999999999E-2</v>
      </c>
      <c r="V457">
        <v>0</v>
      </c>
      <c r="W457">
        <v>1</v>
      </c>
      <c r="X457">
        <v>0</v>
      </c>
      <c r="Y457" t="s">
        <v>36</v>
      </c>
      <c r="Z457">
        <v>2947</v>
      </c>
      <c r="AA457">
        <v>2642</v>
      </c>
      <c r="AB457">
        <v>209</v>
      </c>
      <c r="AC457" t="s">
        <v>484</v>
      </c>
      <c r="AD457" t="str">
        <f t="shared" si="14"/>
        <v>CP</v>
      </c>
      <c r="AE457" t="str">
        <f>_xlfn.XLOOKUP(D457,Mapping!A:A,Mapping!D:D,0,0)</f>
        <v>Keyword - Preroll</v>
      </c>
      <c r="AF457" t="str">
        <f t="shared" si="15"/>
        <v>OLD</v>
      </c>
    </row>
    <row r="458" spans="1:32" x14ac:dyDescent="0.2">
      <c r="A458" t="s">
        <v>1118</v>
      </c>
      <c r="B458" t="s">
        <v>39</v>
      </c>
      <c r="C458">
        <v>1012750412</v>
      </c>
      <c r="D458" t="s">
        <v>512</v>
      </c>
      <c r="E458" t="s">
        <v>31</v>
      </c>
      <c r="F458" s="1">
        <v>0.67291666666666672</v>
      </c>
      <c r="G458" t="s">
        <v>32</v>
      </c>
      <c r="H458" t="s">
        <v>33</v>
      </c>
      <c r="I458" t="s">
        <v>41</v>
      </c>
      <c r="J458" t="s">
        <v>62</v>
      </c>
      <c r="K458">
        <v>280</v>
      </c>
      <c r="L458">
        <v>0</v>
      </c>
      <c r="M458" t="s">
        <v>36</v>
      </c>
      <c r="N458" t="s">
        <v>37</v>
      </c>
      <c r="O458">
        <v>0</v>
      </c>
      <c r="P458">
        <v>0</v>
      </c>
      <c r="Q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 t="s">
        <v>36</v>
      </c>
      <c r="AC458" t="s">
        <v>43</v>
      </c>
      <c r="AD458" t="str">
        <f t="shared" si="14"/>
        <v>CP</v>
      </c>
      <c r="AE458" t="str">
        <f>_xlfn.XLOOKUP(D458,Mapping!A:A,Mapping!D:D,0,0)</f>
        <v>Bin</v>
      </c>
      <c r="AF458" t="str">
        <f t="shared" si="15"/>
        <v>OLD</v>
      </c>
    </row>
    <row r="459" spans="1:32" x14ac:dyDescent="0.2">
      <c r="A459" t="s">
        <v>1118</v>
      </c>
      <c r="B459" t="s">
        <v>39</v>
      </c>
      <c r="C459">
        <v>1012750422</v>
      </c>
      <c r="D459" t="s">
        <v>513</v>
      </c>
      <c r="E459" t="s">
        <v>31</v>
      </c>
      <c r="F459" s="1">
        <v>0.67291666666666672</v>
      </c>
      <c r="G459" t="s">
        <v>32</v>
      </c>
      <c r="H459" t="s">
        <v>33</v>
      </c>
      <c r="I459" t="s">
        <v>41</v>
      </c>
      <c r="J459" t="s">
        <v>62</v>
      </c>
      <c r="K459">
        <v>280</v>
      </c>
      <c r="L459">
        <v>0</v>
      </c>
      <c r="M459" t="s">
        <v>36</v>
      </c>
      <c r="N459" t="s">
        <v>37</v>
      </c>
      <c r="O459">
        <v>0</v>
      </c>
      <c r="P459">
        <v>0</v>
      </c>
      <c r="Q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 t="s">
        <v>36</v>
      </c>
      <c r="AC459" t="s">
        <v>484</v>
      </c>
      <c r="AD459" t="str">
        <f t="shared" si="14"/>
        <v>CP</v>
      </c>
      <c r="AE459" t="str">
        <f>_xlfn.XLOOKUP(D459,Mapping!A:A,Mapping!D:D,0,0)</f>
        <v>Marvel</v>
      </c>
      <c r="AF459" t="str">
        <f t="shared" si="15"/>
        <v>OLD</v>
      </c>
    </row>
    <row r="460" spans="1:32" x14ac:dyDescent="0.2">
      <c r="A460" t="s">
        <v>1118</v>
      </c>
      <c r="B460" t="s">
        <v>29</v>
      </c>
      <c r="C460">
        <v>1012750432</v>
      </c>
      <c r="D460" t="s">
        <v>514</v>
      </c>
      <c r="E460" t="s">
        <v>31</v>
      </c>
      <c r="F460" s="1">
        <v>0.67291666666666672</v>
      </c>
      <c r="G460" t="s">
        <v>32</v>
      </c>
      <c r="H460" t="s">
        <v>33</v>
      </c>
      <c r="I460" t="s">
        <v>34</v>
      </c>
      <c r="J460" t="s">
        <v>84</v>
      </c>
      <c r="K460">
        <v>112</v>
      </c>
      <c r="L460">
        <v>0</v>
      </c>
      <c r="M460" t="s">
        <v>36</v>
      </c>
      <c r="N460" t="s">
        <v>37</v>
      </c>
      <c r="O460">
        <v>3436</v>
      </c>
      <c r="P460">
        <v>181</v>
      </c>
      <c r="Q460">
        <v>5.2677500000000004</v>
      </c>
      <c r="R460">
        <v>1</v>
      </c>
      <c r="S460">
        <v>10.02</v>
      </c>
      <c r="T460">
        <v>2.9159999999999999</v>
      </c>
      <c r="U460">
        <v>5.5E-2</v>
      </c>
      <c r="V460">
        <v>10.02</v>
      </c>
      <c r="W460">
        <v>1</v>
      </c>
      <c r="X460">
        <v>0</v>
      </c>
      <c r="Y460" t="s">
        <v>36</v>
      </c>
      <c r="Z460">
        <v>3432</v>
      </c>
      <c r="AA460">
        <v>2564</v>
      </c>
      <c r="AB460">
        <v>347</v>
      </c>
      <c r="AC460" t="s">
        <v>484</v>
      </c>
      <c r="AD460" t="str">
        <f t="shared" si="14"/>
        <v>CP</v>
      </c>
      <c r="AE460" t="str">
        <f>_xlfn.XLOOKUP(D460,Mapping!A:A,Mapping!D:D,0,0)</f>
        <v>Keyword - Preroll</v>
      </c>
      <c r="AF460" t="str">
        <f t="shared" si="15"/>
        <v>OLD</v>
      </c>
    </row>
    <row r="461" spans="1:32" x14ac:dyDescent="0.2">
      <c r="A461" t="s">
        <v>1118</v>
      </c>
      <c r="B461" t="s">
        <v>29</v>
      </c>
      <c r="C461">
        <v>1012750442</v>
      </c>
      <c r="D461" t="s">
        <v>515</v>
      </c>
      <c r="E461" t="s">
        <v>31</v>
      </c>
      <c r="F461" s="1">
        <v>0.67291666666666672</v>
      </c>
      <c r="G461" t="s">
        <v>32</v>
      </c>
      <c r="H461" t="s">
        <v>33</v>
      </c>
      <c r="I461" t="s">
        <v>34</v>
      </c>
      <c r="J461" t="s">
        <v>84</v>
      </c>
      <c r="K461">
        <v>112</v>
      </c>
      <c r="L461">
        <v>0</v>
      </c>
      <c r="M461" t="s">
        <v>36</v>
      </c>
      <c r="N461" t="s">
        <v>37</v>
      </c>
      <c r="O461">
        <v>396</v>
      </c>
      <c r="P461">
        <v>15</v>
      </c>
      <c r="Q461">
        <v>3.7878799999999999</v>
      </c>
      <c r="R461">
        <v>0</v>
      </c>
      <c r="S461">
        <v>1.1299999999999999</v>
      </c>
      <c r="T461">
        <v>2.86</v>
      </c>
      <c r="U461">
        <v>7.5999999999999998E-2</v>
      </c>
      <c r="V461">
        <v>0</v>
      </c>
      <c r="W461">
        <v>1</v>
      </c>
      <c r="X461">
        <v>0</v>
      </c>
      <c r="Y461" t="s">
        <v>36</v>
      </c>
      <c r="Z461">
        <v>396</v>
      </c>
      <c r="AA461">
        <v>291</v>
      </c>
      <c r="AB461">
        <v>39</v>
      </c>
      <c r="AC461" t="s">
        <v>484</v>
      </c>
      <c r="AD461" t="str">
        <f t="shared" si="14"/>
        <v>CP</v>
      </c>
      <c r="AE461" t="str">
        <f>_xlfn.XLOOKUP(D461,Mapping!A:A,Mapping!D:D,0,0)</f>
        <v>Keyword - Preroll</v>
      </c>
      <c r="AF461" t="str">
        <f t="shared" si="15"/>
        <v>OLD</v>
      </c>
    </row>
    <row r="462" spans="1:32" x14ac:dyDescent="0.2">
      <c r="A462" t="s">
        <v>1118</v>
      </c>
      <c r="B462" t="s">
        <v>29</v>
      </c>
      <c r="C462">
        <v>1012750452</v>
      </c>
      <c r="D462" t="s">
        <v>516</v>
      </c>
      <c r="E462" t="s">
        <v>31</v>
      </c>
      <c r="F462" s="1">
        <v>0.67291666666666672</v>
      </c>
      <c r="G462" t="s">
        <v>32</v>
      </c>
      <c r="H462" t="s">
        <v>33</v>
      </c>
      <c r="I462" t="s">
        <v>41</v>
      </c>
      <c r="J462" t="s">
        <v>62</v>
      </c>
      <c r="K462">
        <v>280</v>
      </c>
      <c r="L462">
        <v>0</v>
      </c>
      <c r="M462" t="s">
        <v>36</v>
      </c>
      <c r="N462" t="s">
        <v>37</v>
      </c>
      <c r="O462">
        <v>61</v>
      </c>
      <c r="P462">
        <v>4</v>
      </c>
      <c r="Q462">
        <v>6.5573800000000002</v>
      </c>
      <c r="R462">
        <v>0</v>
      </c>
      <c r="S462">
        <v>0.12</v>
      </c>
      <c r="T462">
        <v>1.9159999999999999</v>
      </c>
      <c r="U462">
        <v>2.9000000000000001E-2</v>
      </c>
      <c r="V462">
        <v>0</v>
      </c>
      <c r="W462">
        <v>1</v>
      </c>
      <c r="X462">
        <v>0</v>
      </c>
      <c r="Y462" t="s">
        <v>36</v>
      </c>
      <c r="Z462">
        <v>61</v>
      </c>
      <c r="AA462">
        <v>58</v>
      </c>
      <c r="AB462">
        <v>2</v>
      </c>
      <c r="AC462" t="s">
        <v>484</v>
      </c>
      <c r="AD462" t="str">
        <f t="shared" si="14"/>
        <v>CP</v>
      </c>
      <c r="AE462" t="str">
        <f>_xlfn.XLOOKUP(D462,Mapping!A:A,Mapping!D:D,0,0)</f>
        <v>Keyword - Preroll</v>
      </c>
      <c r="AF462" t="str">
        <f t="shared" si="15"/>
        <v>OLD</v>
      </c>
    </row>
    <row r="463" spans="1:32" x14ac:dyDescent="0.2">
      <c r="A463" t="s">
        <v>1118</v>
      </c>
      <c r="B463" t="s">
        <v>39</v>
      </c>
      <c r="C463">
        <v>1012750462</v>
      </c>
      <c r="D463" t="s">
        <v>517</v>
      </c>
      <c r="E463" t="s">
        <v>31</v>
      </c>
      <c r="F463" s="1">
        <v>0.67291666666666672</v>
      </c>
      <c r="G463" t="s">
        <v>32</v>
      </c>
      <c r="H463" t="s">
        <v>33</v>
      </c>
      <c r="I463" t="s">
        <v>41</v>
      </c>
      <c r="J463" t="s">
        <v>62</v>
      </c>
      <c r="K463">
        <v>280</v>
      </c>
      <c r="L463">
        <v>0</v>
      </c>
      <c r="M463" t="s">
        <v>63</v>
      </c>
      <c r="N463">
        <v>250</v>
      </c>
      <c r="O463">
        <v>0</v>
      </c>
      <c r="P463">
        <v>0</v>
      </c>
      <c r="Q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 t="s">
        <v>36</v>
      </c>
      <c r="AC463" t="s">
        <v>43</v>
      </c>
      <c r="AD463" t="str">
        <f t="shared" si="14"/>
        <v>CP</v>
      </c>
      <c r="AE463" t="str">
        <f>_xlfn.XLOOKUP(D463,Mapping!A:A,Mapping!D:D,0,0)</f>
        <v>Bin</v>
      </c>
      <c r="AF463" t="str">
        <f t="shared" si="15"/>
        <v>OLD</v>
      </c>
    </row>
    <row r="464" spans="1:32" x14ac:dyDescent="0.2">
      <c r="A464" t="s">
        <v>1118</v>
      </c>
      <c r="B464" t="s">
        <v>39</v>
      </c>
      <c r="C464">
        <v>1012750472</v>
      </c>
      <c r="D464" t="s">
        <v>518</v>
      </c>
      <c r="E464" t="s">
        <v>31</v>
      </c>
      <c r="F464" s="1">
        <v>0.67291666666666672</v>
      </c>
      <c r="G464" t="s">
        <v>32</v>
      </c>
      <c r="H464" t="s">
        <v>33</v>
      </c>
      <c r="I464" t="s">
        <v>41</v>
      </c>
      <c r="J464" t="s">
        <v>62</v>
      </c>
      <c r="K464">
        <v>280</v>
      </c>
      <c r="L464">
        <v>0</v>
      </c>
      <c r="M464" t="s">
        <v>36</v>
      </c>
      <c r="N464" t="s">
        <v>37</v>
      </c>
      <c r="O464">
        <v>0</v>
      </c>
      <c r="P464">
        <v>0</v>
      </c>
      <c r="Q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 t="s">
        <v>36</v>
      </c>
      <c r="AC464" t="s">
        <v>43</v>
      </c>
      <c r="AD464" t="str">
        <f t="shared" si="14"/>
        <v>CP</v>
      </c>
      <c r="AE464" t="str">
        <f>_xlfn.XLOOKUP(D464,Mapping!A:A,Mapping!D:D,0,0)</f>
        <v>Bin</v>
      </c>
      <c r="AF464" t="str">
        <f t="shared" si="15"/>
        <v>OLD</v>
      </c>
    </row>
    <row r="465" spans="1:32" x14ac:dyDescent="0.2">
      <c r="A465" t="s">
        <v>1118</v>
      </c>
      <c r="B465" t="s">
        <v>39</v>
      </c>
      <c r="C465">
        <v>1012750482</v>
      </c>
      <c r="D465" t="s">
        <v>519</v>
      </c>
      <c r="E465" t="s">
        <v>31</v>
      </c>
      <c r="F465" s="1">
        <v>0.67291666666666672</v>
      </c>
      <c r="G465" t="s">
        <v>32</v>
      </c>
      <c r="H465" t="s">
        <v>33</v>
      </c>
      <c r="I465" t="s">
        <v>41</v>
      </c>
      <c r="J465" t="s">
        <v>62</v>
      </c>
      <c r="K465">
        <v>280</v>
      </c>
      <c r="L465">
        <v>0</v>
      </c>
      <c r="M465" t="s">
        <v>36</v>
      </c>
      <c r="N465" t="s">
        <v>37</v>
      </c>
      <c r="O465">
        <v>0</v>
      </c>
      <c r="P465">
        <v>0</v>
      </c>
      <c r="Q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 t="s">
        <v>36</v>
      </c>
      <c r="AC465" t="s">
        <v>484</v>
      </c>
      <c r="AD465" t="str">
        <f t="shared" si="14"/>
        <v>CP</v>
      </c>
      <c r="AE465" t="str">
        <f>_xlfn.XLOOKUP(D465,Mapping!A:A,Mapping!D:D,0,0)</f>
        <v>Marvel</v>
      </c>
      <c r="AF465" t="str">
        <f t="shared" si="15"/>
        <v>OLD</v>
      </c>
    </row>
    <row r="466" spans="1:32" x14ac:dyDescent="0.2">
      <c r="A466" t="s">
        <v>1118</v>
      </c>
      <c r="B466" t="s">
        <v>39</v>
      </c>
      <c r="C466">
        <v>1012750492</v>
      </c>
      <c r="D466" t="s">
        <v>520</v>
      </c>
      <c r="E466" t="s">
        <v>31</v>
      </c>
      <c r="F466" s="1">
        <v>0.67291666666666672</v>
      </c>
      <c r="G466" t="s">
        <v>32</v>
      </c>
      <c r="H466" t="s">
        <v>33</v>
      </c>
      <c r="I466" t="s">
        <v>34</v>
      </c>
      <c r="J466" t="s">
        <v>84</v>
      </c>
      <c r="K466">
        <v>112</v>
      </c>
      <c r="L466">
        <v>0</v>
      </c>
      <c r="M466" t="s">
        <v>36</v>
      </c>
      <c r="N466" t="s">
        <v>37</v>
      </c>
      <c r="O466">
        <v>0</v>
      </c>
      <c r="P466">
        <v>0</v>
      </c>
      <c r="Q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 t="s">
        <v>36</v>
      </c>
      <c r="AC466" t="s">
        <v>484</v>
      </c>
      <c r="AD466" t="str">
        <f t="shared" si="14"/>
        <v>CP</v>
      </c>
      <c r="AE466" t="str">
        <f>_xlfn.XLOOKUP(D466,Mapping!A:A,Mapping!D:D,0,0)</f>
        <v>Marvel</v>
      </c>
      <c r="AF466" t="str">
        <f t="shared" si="15"/>
        <v>OLD</v>
      </c>
    </row>
    <row r="467" spans="1:32" x14ac:dyDescent="0.2">
      <c r="A467" t="s">
        <v>1118</v>
      </c>
      <c r="B467" t="s">
        <v>39</v>
      </c>
      <c r="C467">
        <v>1012750502</v>
      </c>
      <c r="D467" t="s">
        <v>521</v>
      </c>
      <c r="E467" t="s">
        <v>31</v>
      </c>
      <c r="F467" s="1">
        <v>0.67291666666666672</v>
      </c>
      <c r="G467" t="s">
        <v>32</v>
      </c>
      <c r="H467" t="s">
        <v>33</v>
      </c>
      <c r="I467" t="s">
        <v>34</v>
      </c>
      <c r="J467" t="s">
        <v>84</v>
      </c>
      <c r="K467">
        <v>112</v>
      </c>
      <c r="L467">
        <v>0</v>
      </c>
      <c r="M467" t="s">
        <v>63</v>
      </c>
      <c r="N467">
        <v>250</v>
      </c>
      <c r="O467">
        <v>0</v>
      </c>
      <c r="P467">
        <v>0</v>
      </c>
      <c r="Q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 t="s">
        <v>36</v>
      </c>
      <c r="AC467" t="s">
        <v>43</v>
      </c>
      <c r="AD467" t="str">
        <f t="shared" si="14"/>
        <v>CP</v>
      </c>
      <c r="AE467" t="str">
        <f>_xlfn.XLOOKUP(D467,Mapping!A:A,Mapping!D:D,0,0)</f>
        <v>Bin</v>
      </c>
      <c r="AF467" t="str">
        <f t="shared" si="15"/>
        <v>OLD</v>
      </c>
    </row>
    <row r="468" spans="1:32" x14ac:dyDescent="0.2">
      <c r="A468" t="s">
        <v>1118</v>
      </c>
      <c r="B468" t="s">
        <v>39</v>
      </c>
      <c r="C468">
        <v>1012750512</v>
      </c>
      <c r="D468" t="s">
        <v>522</v>
      </c>
      <c r="E468" t="s">
        <v>31</v>
      </c>
      <c r="F468" s="1">
        <v>0.67291666666666672</v>
      </c>
      <c r="G468" t="s">
        <v>32</v>
      </c>
      <c r="H468" t="s">
        <v>33</v>
      </c>
      <c r="I468" t="s">
        <v>41</v>
      </c>
      <c r="J468" t="s">
        <v>62</v>
      </c>
      <c r="K468">
        <v>280</v>
      </c>
      <c r="L468">
        <v>0</v>
      </c>
      <c r="M468" t="s">
        <v>63</v>
      </c>
      <c r="N468">
        <v>250</v>
      </c>
      <c r="O468">
        <v>0</v>
      </c>
      <c r="P468">
        <v>0</v>
      </c>
      <c r="Q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 t="s">
        <v>36</v>
      </c>
      <c r="AC468" t="s">
        <v>43</v>
      </c>
      <c r="AD468" t="str">
        <f t="shared" si="14"/>
        <v>CP</v>
      </c>
      <c r="AE468" t="str">
        <f>_xlfn.XLOOKUP(D468,Mapping!A:A,Mapping!D:D,0,0)</f>
        <v>Bin</v>
      </c>
      <c r="AF468" t="str">
        <f t="shared" si="15"/>
        <v>OLD</v>
      </c>
    </row>
    <row r="469" spans="1:32" x14ac:dyDescent="0.2">
      <c r="A469" t="s">
        <v>1118</v>
      </c>
      <c r="B469" t="s">
        <v>29</v>
      </c>
      <c r="C469">
        <v>1012750522</v>
      </c>
      <c r="D469" t="s">
        <v>523</v>
      </c>
      <c r="E469" t="s">
        <v>31</v>
      </c>
      <c r="F469" s="1">
        <v>0.67291666666666672</v>
      </c>
      <c r="G469" t="s">
        <v>32</v>
      </c>
      <c r="H469" t="s">
        <v>33</v>
      </c>
      <c r="I469" t="s">
        <v>41</v>
      </c>
      <c r="J469" t="s">
        <v>62</v>
      </c>
      <c r="K469">
        <v>280</v>
      </c>
      <c r="L469">
        <v>0</v>
      </c>
      <c r="M469" t="s">
        <v>36</v>
      </c>
      <c r="N469" t="s">
        <v>37</v>
      </c>
      <c r="O469">
        <v>1165</v>
      </c>
      <c r="P469">
        <v>63</v>
      </c>
      <c r="Q469">
        <v>5.4077299999999999</v>
      </c>
      <c r="R469">
        <v>0</v>
      </c>
      <c r="S469">
        <v>2.13</v>
      </c>
      <c r="T469">
        <v>1.8260000000000001</v>
      </c>
      <c r="U469">
        <v>3.4000000000000002E-2</v>
      </c>
      <c r="V469">
        <v>0</v>
      </c>
      <c r="W469">
        <v>1</v>
      </c>
      <c r="X469">
        <v>0</v>
      </c>
      <c r="Y469" t="s">
        <v>36</v>
      </c>
      <c r="Z469">
        <v>1166</v>
      </c>
      <c r="AA469">
        <v>1041</v>
      </c>
      <c r="AB469">
        <v>84</v>
      </c>
      <c r="AC469" t="s">
        <v>172</v>
      </c>
      <c r="AD469" t="str">
        <f t="shared" si="14"/>
        <v>CP</v>
      </c>
      <c r="AE469" t="str">
        <f>_xlfn.XLOOKUP(D469,Mapping!A:A,Mapping!D:D,0,0)</f>
        <v>Keyword - Preroll</v>
      </c>
      <c r="AF469" t="str">
        <f t="shared" si="15"/>
        <v>OLD</v>
      </c>
    </row>
    <row r="470" spans="1:32" x14ac:dyDescent="0.2">
      <c r="A470" t="s">
        <v>1118</v>
      </c>
      <c r="B470" t="s">
        <v>39</v>
      </c>
      <c r="C470">
        <v>1012750532</v>
      </c>
      <c r="D470" t="s">
        <v>524</v>
      </c>
      <c r="E470" t="s">
        <v>31</v>
      </c>
      <c r="F470" s="1">
        <v>0.67291666666666672</v>
      </c>
      <c r="G470" t="s">
        <v>32</v>
      </c>
      <c r="H470" t="s">
        <v>33</v>
      </c>
      <c r="I470" t="s">
        <v>41</v>
      </c>
      <c r="J470" t="s">
        <v>62</v>
      </c>
      <c r="K470">
        <v>280</v>
      </c>
      <c r="L470">
        <v>0</v>
      </c>
      <c r="M470" t="s">
        <v>36</v>
      </c>
      <c r="N470" t="s">
        <v>37</v>
      </c>
      <c r="O470">
        <v>0</v>
      </c>
      <c r="P470">
        <v>0</v>
      </c>
      <c r="Q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 t="s">
        <v>36</v>
      </c>
      <c r="AC470" t="s">
        <v>172</v>
      </c>
      <c r="AD470" t="str">
        <f t="shared" si="14"/>
        <v>CP</v>
      </c>
      <c r="AE470" t="str">
        <f>_xlfn.XLOOKUP(D470,Mapping!A:A,Mapping!D:D,0,0)</f>
        <v>Ocean</v>
      </c>
      <c r="AF470" t="str">
        <f t="shared" si="15"/>
        <v>OLD</v>
      </c>
    </row>
    <row r="471" spans="1:32" x14ac:dyDescent="0.2">
      <c r="A471" t="s">
        <v>1118</v>
      </c>
      <c r="B471" t="s">
        <v>39</v>
      </c>
      <c r="C471">
        <v>1012750542</v>
      </c>
      <c r="D471" t="s">
        <v>525</v>
      </c>
      <c r="E471" t="s">
        <v>31</v>
      </c>
      <c r="F471" s="1">
        <v>0.67291666666666672</v>
      </c>
      <c r="G471" t="s">
        <v>32</v>
      </c>
      <c r="H471" t="s">
        <v>33</v>
      </c>
      <c r="I471" t="s">
        <v>41</v>
      </c>
      <c r="J471" t="s">
        <v>62</v>
      </c>
      <c r="K471">
        <v>280</v>
      </c>
      <c r="L471">
        <v>0</v>
      </c>
      <c r="M471" t="s">
        <v>36</v>
      </c>
      <c r="N471" t="s">
        <v>37</v>
      </c>
      <c r="O471">
        <v>0</v>
      </c>
      <c r="P471">
        <v>0</v>
      </c>
      <c r="Q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 t="s">
        <v>36</v>
      </c>
      <c r="AC471" t="s">
        <v>172</v>
      </c>
      <c r="AD471" t="str">
        <f t="shared" si="14"/>
        <v>CP</v>
      </c>
      <c r="AE471" t="str">
        <f>_xlfn.XLOOKUP(D471,Mapping!A:A,Mapping!D:D,0,0)</f>
        <v>Ocean</v>
      </c>
      <c r="AF471" t="str">
        <f t="shared" si="15"/>
        <v>OLD</v>
      </c>
    </row>
    <row r="472" spans="1:32" x14ac:dyDescent="0.2">
      <c r="A472" t="s">
        <v>1118</v>
      </c>
      <c r="B472" t="s">
        <v>39</v>
      </c>
      <c r="C472">
        <v>1012750552</v>
      </c>
      <c r="D472" t="s">
        <v>526</v>
      </c>
      <c r="E472" t="s">
        <v>31</v>
      </c>
      <c r="F472" s="1">
        <v>0.67291666666666672</v>
      </c>
      <c r="G472" t="s">
        <v>32</v>
      </c>
      <c r="H472" t="s">
        <v>33</v>
      </c>
      <c r="I472" t="s">
        <v>34</v>
      </c>
      <c r="J472" t="s">
        <v>84</v>
      </c>
      <c r="K472">
        <v>112</v>
      </c>
      <c r="L472">
        <v>0</v>
      </c>
      <c r="M472" t="s">
        <v>36</v>
      </c>
      <c r="N472" t="s">
        <v>37</v>
      </c>
      <c r="O472">
        <v>0</v>
      </c>
      <c r="P472">
        <v>0</v>
      </c>
      <c r="Q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 t="s">
        <v>36</v>
      </c>
      <c r="AC472" t="s">
        <v>43</v>
      </c>
      <c r="AD472" t="str">
        <f t="shared" si="14"/>
        <v>CP</v>
      </c>
      <c r="AE472" t="str">
        <f>_xlfn.XLOOKUP(D472,Mapping!A:A,Mapping!D:D,0,0)</f>
        <v>Bin</v>
      </c>
      <c r="AF472" t="str">
        <f t="shared" si="15"/>
        <v>OLD</v>
      </c>
    </row>
    <row r="473" spans="1:32" x14ac:dyDescent="0.2">
      <c r="A473" t="s">
        <v>1118</v>
      </c>
      <c r="B473" t="s">
        <v>39</v>
      </c>
      <c r="C473">
        <v>1012750562</v>
      </c>
      <c r="D473" t="s">
        <v>527</v>
      </c>
      <c r="E473" t="s">
        <v>31</v>
      </c>
      <c r="F473" s="1">
        <v>0.67291666666666672</v>
      </c>
      <c r="G473" t="s">
        <v>32</v>
      </c>
      <c r="H473" t="s">
        <v>33</v>
      </c>
      <c r="I473" t="s">
        <v>34</v>
      </c>
      <c r="J473" t="s">
        <v>84</v>
      </c>
      <c r="K473">
        <v>112</v>
      </c>
      <c r="L473">
        <v>0</v>
      </c>
      <c r="M473" t="s">
        <v>36</v>
      </c>
      <c r="N473" t="s">
        <v>37</v>
      </c>
      <c r="O473">
        <v>0</v>
      </c>
      <c r="P473">
        <v>0</v>
      </c>
      <c r="Q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 t="s">
        <v>36</v>
      </c>
      <c r="AC473" t="s">
        <v>172</v>
      </c>
      <c r="AD473" t="str">
        <f t="shared" si="14"/>
        <v>CP</v>
      </c>
      <c r="AE473" t="str">
        <f>_xlfn.XLOOKUP(D473,Mapping!A:A,Mapping!D:D,0,0)</f>
        <v>Ocean</v>
      </c>
      <c r="AF473" t="str">
        <f t="shared" si="15"/>
        <v>OLD</v>
      </c>
    </row>
    <row r="474" spans="1:32" x14ac:dyDescent="0.2">
      <c r="A474" t="s">
        <v>1118</v>
      </c>
      <c r="B474" t="s">
        <v>29</v>
      </c>
      <c r="C474">
        <v>1012750572</v>
      </c>
      <c r="D474" t="s">
        <v>528</v>
      </c>
      <c r="E474" t="s">
        <v>31</v>
      </c>
      <c r="F474" s="1">
        <v>0.67291666666666672</v>
      </c>
      <c r="G474" t="s">
        <v>32</v>
      </c>
      <c r="H474" t="s">
        <v>33</v>
      </c>
      <c r="I474" t="s">
        <v>41</v>
      </c>
      <c r="J474" t="s">
        <v>62</v>
      </c>
      <c r="K474">
        <v>280</v>
      </c>
      <c r="L474">
        <v>0</v>
      </c>
      <c r="M474" t="s">
        <v>36</v>
      </c>
      <c r="N474" t="s">
        <v>37</v>
      </c>
      <c r="O474">
        <v>403</v>
      </c>
      <c r="P474">
        <v>24</v>
      </c>
      <c r="Q474">
        <v>5.95533</v>
      </c>
      <c r="R474">
        <v>0</v>
      </c>
      <c r="S474">
        <v>0.77</v>
      </c>
      <c r="T474">
        <v>1.8979999999999999</v>
      </c>
      <c r="U474">
        <v>3.2000000000000001E-2</v>
      </c>
      <c r="V474">
        <v>0</v>
      </c>
      <c r="W474">
        <v>1</v>
      </c>
      <c r="X474">
        <v>0</v>
      </c>
      <c r="Y474" t="s">
        <v>36</v>
      </c>
      <c r="Z474">
        <v>403</v>
      </c>
      <c r="AA474">
        <v>373</v>
      </c>
      <c r="AB474">
        <v>17</v>
      </c>
      <c r="AC474" t="s">
        <v>172</v>
      </c>
      <c r="AD474" t="str">
        <f t="shared" si="14"/>
        <v>CP</v>
      </c>
      <c r="AE474" t="str">
        <f>_xlfn.XLOOKUP(D474,Mapping!A:A,Mapping!D:D,0,0)</f>
        <v>Keyword - Preroll</v>
      </c>
      <c r="AF474" t="str">
        <f t="shared" si="15"/>
        <v>OLD</v>
      </c>
    </row>
    <row r="475" spans="1:32" x14ac:dyDescent="0.2">
      <c r="A475" t="s">
        <v>1118</v>
      </c>
      <c r="B475" t="s">
        <v>39</v>
      </c>
      <c r="C475">
        <v>1012750582</v>
      </c>
      <c r="D475" t="s">
        <v>529</v>
      </c>
      <c r="E475" t="s">
        <v>31</v>
      </c>
      <c r="F475" s="1">
        <v>0.67291666666666672</v>
      </c>
      <c r="G475" t="s">
        <v>32</v>
      </c>
      <c r="H475" t="s">
        <v>33</v>
      </c>
      <c r="I475" t="s">
        <v>41</v>
      </c>
      <c r="J475" t="s">
        <v>62</v>
      </c>
      <c r="K475">
        <v>280</v>
      </c>
      <c r="L475">
        <v>0</v>
      </c>
      <c r="M475" t="s">
        <v>63</v>
      </c>
      <c r="N475">
        <v>250</v>
      </c>
      <c r="O475">
        <v>0</v>
      </c>
      <c r="P475">
        <v>0</v>
      </c>
      <c r="Q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 t="s">
        <v>36</v>
      </c>
      <c r="AC475" t="s">
        <v>43</v>
      </c>
      <c r="AD475" t="str">
        <f t="shared" si="14"/>
        <v>CP</v>
      </c>
      <c r="AE475" t="str">
        <f>_xlfn.XLOOKUP(D475,Mapping!A:A,Mapping!D:D,0,0)</f>
        <v>Bin</v>
      </c>
      <c r="AF475" t="str">
        <f t="shared" si="15"/>
        <v>OLD</v>
      </c>
    </row>
    <row r="476" spans="1:32" x14ac:dyDescent="0.2">
      <c r="A476" t="s">
        <v>1118</v>
      </c>
      <c r="B476" t="s">
        <v>39</v>
      </c>
      <c r="C476">
        <v>1012750592</v>
      </c>
      <c r="D476" t="s">
        <v>530</v>
      </c>
      <c r="E476" t="s">
        <v>31</v>
      </c>
      <c r="F476" s="1">
        <v>0.67291666666666672</v>
      </c>
      <c r="G476" t="s">
        <v>32</v>
      </c>
      <c r="H476" t="s">
        <v>33</v>
      </c>
      <c r="I476" t="s">
        <v>41</v>
      </c>
      <c r="J476" t="s">
        <v>62</v>
      </c>
      <c r="K476">
        <v>280</v>
      </c>
      <c r="L476">
        <v>0</v>
      </c>
      <c r="M476" t="s">
        <v>63</v>
      </c>
      <c r="N476">
        <v>250</v>
      </c>
      <c r="O476">
        <v>0</v>
      </c>
      <c r="P476">
        <v>0</v>
      </c>
      <c r="Q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 t="s">
        <v>36</v>
      </c>
      <c r="AC476" t="s">
        <v>43</v>
      </c>
      <c r="AD476" t="str">
        <f t="shared" si="14"/>
        <v>CP</v>
      </c>
      <c r="AE476" t="str">
        <f>_xlfn.XLOOKUP(D476,Mapping!A:A,Mapping!D:D,0,0)</f>
        <v>Bin</v>
      </c>
      <c r="AF476" t="str">
        <f t="shared" si="15"/>
        <v>OLD</v>
      </c>
    </row>
    <row r="477" spans="1:32" x14ac:dyDescent="0.2">
      <c r="A477" t="s">
        <v>1118</v>
      </c>
      <c r="B477" t="s">
        <v>39</v>
      </c>
      <c r="C477">
        <v>1012750602</v>
      </c>
      <c r="D477" t="s">
        <v>531</v>
      </c>
      <c r="E477" t="s">
        <v>31</v>
      </c>
      <c r="F477" s="1">
        <v>0.67291666666666672</v>
      </c>
      <c r="G477" t="s">
        <v>32</v>
      </c>
      <c r="H477" t="s">
        <v>33</v>
      </c>
      <c r="I477" t="s">
        <v>41</v>
      </c>
      <c r="J477" t="s">
        <v>62</v>
      </c>
      <c r="K477">
        <v>280</v>
      </c>
      <c r="L477">
        <v>0</v>
      </c>
      <c r="M477" t="s">
        <v>63</v>
      </c>
      <c r="N477">
        <v>250</v>
      </c>
      <c r="O477">
        <v>0</v>
      </c>
      <c r="P477">
        <v>0</v>
      </c>
      <c r="Q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 t="s">
        <v>36</v>
      </c>
      <c r="AC477" t="s">
        <v>43</v>
      </c>
      <c r="AD477" t="str">
        <f t="shared" si="14"/>
        <v>CP</v>
      </c>
      <c r="AE477" t="str">
        <f>_xlfn.XLOOKUP(D477,Mapping!A:A,Mapping!D:D,0,0)</f>
        <v>Bin</v>
      </c>
      <c r="AF477" t="str">
        <f t="shared" si="15"/>
        <v>OLD</v>
      </c>
    </row>
    <row r="478" spans="1:32" x14ac:dyDescent="0.2">
      <c r="A478" t="s">
        <v>1118</v>
      </c>
      <c r="B478" t="s">
        <v>39</v>
      </c>
      <c r="C478">
        <v>1012750612</v>
      </c>
      <c r="D478" t="s">
        <v>532</v>
      </c>
      <c r="E478" t="s">
        <v>31</v>
      </c>
      <c r="F478" s="1">
        <v>0.67291666666666672</v>
      </c>
      <c r="G478" t="s">
        <v>32</v>
      </c>
      <c r="H478" t="s">
        <v>33</v>
      </c>
      <c r="I478" t="s">
        <v>34</v>
      </c>
      <c r="J478" t="s">
        <v>84</v>
      </c>
      <c r="K478">
        <v>112</v>
      </c>
      <c r="L478">
        <v>0</v>
      </c>
      <c r="M478" t="s">
        <v>63</v>
      </c>
      <c r="N478">
        <v>250</v>
      </c>
      <c r="O478">
        <v>0</v>
      </c>
      <c r="P478">
        <v>0</v>
      </c>
      <c r="Q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 t="s">
        <v>36</v>
      </c>
      <c r="AC478" t="s">
        <v>43</v>
      </c>
      <c r="AD478" t="str">
        <f t="shared" si="14"/>
        <v>CP</v>
      </c>
      <c r="AE478" t="str">
        <f>_xlfn.XLOOKUP(D478,Mapping!A:A,Mapping!D:D,0,0)</f>
        <v>Bin</v>
      </c>
      <c r="AF478" t="str">
        <f t="shared" si="15"/>
        <v>OLD</v>
      </c>
    </row>
    <row r="479" spans="1:32" x14ac:dyDescent="0.2">
      <c r="A479" t="s">
        <v>1118</v>
      </c>
      <c r="B479" t="s">
        <v>39</v>
      </c>
      <c r="C479">
        <v>1012750622</v>
      </c>
      <c r="D479" t="s">
        <v>533</v>
      </c>
      <c r="E479" t="s">
        <v>31</v>
      </c>
      <c r="F479" s="1">
        <v>0.67291666666666672</v>
      </c>
      <c r="G479" t="s">
        <v>32</v>
      </c>
      <c r="H479" t="s">
        <v>33</v>
      </c>
      <c r="I479" t="s">
        <v>34</v>
      </c>
      <c r="J479" t="s">
        <v>84</v>
      </c>
      <c r="K479">
        <v>112</v>
      </c>
      <c r="L479">
        <v>0</v>
      </c>
      <c r="M479" t="s">
        <v>36</v>
      </c>
      <c r="N479" t="s">
        <v>37</v>
      </c>
      <c r="O479">
        <v>0</v>
      </c>
      <c r="P479">
        <v>0</v>
      </c>
      <c r="Q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 t="s">
        <v>36</v>
      </c>
      <c r="AC479" t="s">
        <v>43</v>
      </c>
      <c r="AD479" t="str">
        <f t="shared" si="14"/>
        <v>CP</v>
      </c>
      <c r="AE479" t="str">
        <f>_xlfn.XLOOKUP(D479,Mapping!A:A,Mapping!D:D,0,0)</f>
        <v>Bin</v>
      </c>
      <c r="AF479" t="str">
        <f t="shared" si="15"/>
        <v>OLD</v>
      </c>
    </row>
    <row r="480" spans="1:32" x14ac:dyDescent="0.2">
      <c r="A480" t="s">
        <v>1118</v>
      </c>
      <c r="B480" t="s">
        <v>39</v>
      </c>
      <c r="C480">
        <v>1012750632</v>
      </c>
      <c r="D480" t="s">
        <v>534</v>
      </c>
      <c r="E480" t="s">
        <v>31</v>
      </c>
      <c r="F480" s="1">
        <v>0.67291666666666672</v>
      </c>
      <c r="G480" t="s">
        <v>32</v>
      </c>
      <c r="H480" t="s">
        <v>33</v>
      </c>
      <c r="I480" t="s">
        <v>41</v>
      </c>
      <c r="J480" t="s">
        <v>62</v>
      </c>
      <c r="K480">
        <v>280</v>
      </c>
      <c r="L480">
        <v>0</v>
      </c>
      <c r="M480" t="s">
        <v>36</v>
      </c>
      <c r="N480" t="s">
        <v>37</v>
      </c>
      <c r="O480">
        <v>0</v>
      </c>
      <c r="P480">
        <v>0</v>
      </c>
      <c r="Q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 t="s">
        <v>36</v>
      </c>
      <c r="AC480" t="s">
        <v>43</v>
      </c>
      <c r="AD480" t="str">
        <f t="shared" si="14"/>
        <v>CP</v>
      </c>
      <c r="AE480" t="str">
        <f>_xlfn.XLOOKUP(D480,Mapping!A:A,Mapping!D:D,0,0)</f>
        <v>Bin</v>
      </c>
      <c r="AF480" t="str">
        <f t="shared" si="15"/>
        <v>OLD</v>
      </c>
    </row>
    <row r="481" spans="1:32" x14ac:dyDescent="0.2">
      <c r="A481" t="s">
        <v>1118</v>
      </c>
      <c r="B481" t="s">
        <v>39</v>
      </c>
      <c r="C481">
        <v>1012750642</v>
      </c>
      <c r="D481" t="s">
        <v>535</v>
      </c>
      <c r="E481" t="s">
        <v>31</v>
      </c>
      <c r="F481" s="1">
        <v>0.67291666666666672</v>
      </c>
      <c r="G481" t="s">
        <v>32</v>
      </c>
      <c r="H481" t="s">
        <v>33</v>
      </c>
      <c r="I481" t="s">
        <v>41</v>
      </c>
      <c r="J481" t="s">
        <v>62</v>
      </c>
      <c r="K481">
        <v>280</v>
      </c>
      <c r="L481">
        <v>0</v>
      </c>
      <c r="M481" t="s">
        <v>36</v>
      </c>
      <c r="N481" t="s">
        <v>37</v>
      </c>
      <c r="O481">
        <v>0</v>
      </c>
      <c r="P481">
        <v>0</v>
      </c>
      <c r="Q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 t="s">
        <v>36</v>
      </c>
      <c r="AC481" t="s">
        <v>43</v>
      </c>
      <c r="AD481" t="str">
        <f t="shared" si="14"/>
        <v>CP</v>
      </c>
      <c r="AE481" t="str">
        <f>_xlfn.XLOOKUP(D481,Mapping!A:A,Mapping!D:D,0,0)</f>
        <v>Bin</v>
      </c>
      <c r="AF481" t="str">
        <f t="shared" si="15"/>
        <v>OLD</v>
      </c>
    </row>
    <row r="482" spans="1:32" x14ac:dyDescent="0.2">
      <c r="A482" t="s">
        <v>1118</v>
      </c>
      <c r="B482" t="s">
        <v>39</v>
      </c>
      <c r="C482">
        <v>1012750652</v>
      </c>
      <c r="D482" t="s">
        <v>536</v>
      </c>
      <c r="E482" t="s">
        <v>31</v>
      </c>
      <c r="F482" s="1">
        <v>0.67291666666666672</v>
      </c>
      <c r="G482" t="s">
        <v>32</v>
      </c>
      <c r="H482" t="s">
        <v>33</v>
      </c>
      <c r="I482" t="s">
        <v>41</v>
      </c>
      <c r="J482" t="s">
        <v>62</v>
      </c>
      <c r="K482">
        <v>280</v>
      </c>
      <c r="L482">
        <v>0</v>
      </c>
      <c r="M482" t="s">
        <v>63</v>
      </c>
      <c r="N482">
        <v>250</v>
      </c>
      <c r="O482">
        <v>0</v>
      </c>
      <c r="P482">
        <v>0</v>
      </c>
      <c r="Q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 t="s">
        <v>36</v>
      </c>
      <c r="AC482" t="s">
        <v>43</v>
      </c>
      <c r="AD482" t="str">
        <f t="shared" si="14"/>
        <v>CP</v>
      </c>
      <c r="AE482" t="str">
        <f>_xlfn.XLOOKUP(D482,Mapping!A:A,Mapping!D:D,0,0)</f>
        <v>Bin</v>
      </c>
      <c r="AF482" t="str">
        <f t="shared" si="15"/>
        <v>OLD</v>
      </c>
    </row>
    <row r="483" spans="1:32" x14ac:dyDescent="0.2">
      <c r="A483" t="s">
        <v>1118</v>
      </c>
      <c r="B483" t="s">
        <v>39</v>
      </c>
      <c r="C483">
        <v>1012750662</v>
      </c>
      <c r="D483" t="s">
        <v>537</v>
      </c>
      <c r="E483" t="s">
        <v>31</v>
      </c>
      <c r="F483" s="1">
        <v>0.67291666666666672</v>
      </c>
      <c r="G483" t="s">
        <v>32</v>
      </c>
      <c r="H483" t="s">
        <v>33</v>
      </c>
      <c r="I483" t="s">
        <v>41</v>
      </c>
      <c r="J483" t="s">
        <v>62</v>
      </c>
      <c r="K483">
        <v>280</v>
      </c>
      <c r="L483">
        <v>0</v>
      </c>
      <c r="M483" t="s">
        <v>63</v>
      </c>
      <c r="N483">
        <v>250</v>
      </c>
      <c r="O483">
        <v>0</v>
      </c>
      <c r="P483">
        <v>0</v>
      </c>
      <c r="Q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 t="s">
        <v>36</v>
      </c>
      <c r="AC483" t="s">
        <v>43</v>
      </c>
      <c r="AD483" t="str">
        <f t="shared" si="14"/>
        <v>CP</v>
      </c>
      <c r="AE483" t="str">
        <f>_xlfn.XLOOKUP(D483,Mapping!A:A,Mapping!D:D,0,0)</f>
        <v>Bin</v>
      </c>
      <c r="AF483" t="str">
        <f t="shared" si="15"/>
        <v>OLD</v>
      </c>
    </row>
    <row r="484" spans="1:32" x14ac:dyDescent="0.2">
      <c r="A484" t="s">
        <v>1118</v>
      </c>
      <c r="B484" t="s">
        <v>39</v>
      </c>
      <c r="C484">
        <v>1012750672</v>
      </c>
      <c r="D484" t="s">
        <v>538</v>
      </c>
      <c r="E484" t="s">
        <v>31</v>
      </c>
      <c r="F484" s="1">
        <v>0.67291666666666672</v>
      </c>
      <c r="G484" t="s">
        <v>32</v>
      </c>
      <c r="H484" t="s">
        <v>33</v>
      </c>
      <c r="I484" t="s">
        <v>34</v>
      </c>
      <c r="J484" t="s">
        <v>84</v>
      </c>
      <c r="K484">
        <v>112</v>
      </c>
      <c r="L484">
        <v>0</v>
      </c>
      <c r="M484" t="s">
        <v>63</v>
      </c>
      <c r="N484">
        <v>250</v>
      </c>
      <c r="O484">
        <v>0</v>
      </c>
      <c r="P484">
        <v>0</v>
      </c>
      <c r="Q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 t="s">
        <v>36</v>
      </c>
      <c r="AC484" t="s">
        <v>43</v>
      </c>
      <c r="AD484" t="str">
        <f t="shared" si="14"/>
        <v>CP</v>
      </c>
      <c r="AE484" t="str">
        <f>_xlfn.XLOOKUP(D484,Mapping!A:A,Mapping!D:D,0,0)</f>
        <v>Bin</v>
      </c>
      <c r="AF484" t="str">
        <f t="shared" si="15"/>
        <v>OLD</v>
      </c>
    </row>
    <row r="485" spans="1:32" x14ac:dyDescent="0.2">
      <c r="A485" t="s">
        <v>1118</v>
      </c>
      <c r="B485" t="s">
        <v>39</v>
      </c>
      <c r="C485">
        <v>1012750682</v>
      </c>
      <c r="D485" t="s">
        <v>539</v>
      </c>
      <c r="E485" t="s">
        <v>31</v>
      </c>
      <c r="F485" s="1">
        <v>0.67291666666666672</v>
      </c>
      <c r="G485" t="s">
        <v>32</v>
      </c>
      <c r="H485" t="s">
        <v>33</v>
      </c>
      <c r="I485" t="s">
        <v>34</v>
      </c>
      <c r="J485" t="s">
        <v>84</v>
      </c>
      <c r="K485">
        <v>112</v>
      </c>
      <c r="L485">
        <v>0</v>
      </c>
      <c r="M485" t="s">
        <v>63</v>
      </c>
      <c r="N485">
        <v>250</v>
      </c>
      <c r="O485">
        <v>0</v>
      </c>
      <c r="P485">
        <v>0</v>
      </c>
      <c r="Q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 t="s">
        <v>36</v>
      </c>
      <c r="AC485" t="s">
        <v>43</v>
      </c>
      <c r="AD485" t="str">
        <f t="shared" si="14"/>
        <v>CP</v>
      </c>
      <c r="AE485" t="str">
        <f>_xlfn.XLOOKUP(D485,Mapping!A:A,Mapping!D:D,0,0)</f>
        <v>Bin</v>
      </c>
      <c r="AF485" t="str">
        <f t="shared" si="15"/>
        <v>OLD</v>
      </c>
    </row>
    <row r="486" spans="1:32" x14ac:dyDescent="0.2">
      <c r="A486" t="s">
        <v>1118</v>
      </c>
      <c r="B486" t="s">
        <v>39</v>
      </c>
      <c r="C486">
        <v>1012750692</v>
      </c>
      <c r="D486" t="s">
        <v>540</v>
      </c>
      <c r="E486" t="s">
        <v>31</v>
      </c>
      <c r="F486" s="1">
        <v>0.67291666666666672</v>
      </c>
      <c r="G486" t="s">
        <v>32</v>
      </c>
      <c r="H486" t="s">
        <v>33</v>
      </c>
      <c r="I486" t="s">
        <v>41</v>
      </c>
      <c r="J486" t="s">
        <v>62</v>
      </c>
      <c r="K486">
        <v>280</v>
      </c>
      <c r="L486">
        <v>0</v>
      </c>
      <c r="M486" t="s">
        <v>36</v>
      </c>
      <c r="N486" t="s">
        <v>37</v>
      </c>
      <c r="O486">
        <v>0</v>
      </c>
      <c r="P486">
        <v>0</v>
      </c>
      <c r="Q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 t="s">
        <v>36</v>
      </c>
      <c r="AC486" t="s">
        <v>43</v>
      </c>
      <c r="AD486" t="str">
        <f t="shared" si="14"/>
        <v>CP</v>
      </c>
      <c r="AE486" t="str">
        <f>_xlfn.XLOOKUP(D486,Mapping!A:A,Mapping!D:D,0,0)</f>
        <v>Bin</v>
      </c>
      <c r="AF486" t="str">
        <f t="shared" si="15"/>
        <v>OLD</v>
      </c>
    </row>
    <row r="487" spans="1:32" x14ac:dyDescent="0.2">
      <c r="A487" t="s">
        <v>1118</v>
      </c>
      <c r="B487" t="s">
        <v>39</v>
      </c>
      <c r="C487">
        <v>1012750702</v>
      </c>
      <c r="D487" t="s">
        <v>541</v>
      </c>
      <c r="E487" t="s">
        <v>31</v>
      </c>
      <c r="F487" s="1">
        <v>0.67291666666666672</v>
      </c>
      <c r="G487" t="s">
        <v>32</v>
      </c>
      <c r="H487" t="s">
        <v>33</v>
      </c>
      <c r="I487" t="s">
        <v>41</v>
      </c>
      <c r="J487" t="s">
        <v>62</v>
      </c>
      <c r="K487">
        <v>280</v>
      </c>
      <c r="L487">
        <v>0</v>
      </c>
      <c r="M487" t="s">
        <v>36</v>
      </c>
      <c r="N487" t="s">
        <v>37</v>
      </c>
      <c r="O487">
        <v>0</v>
      </c>
      <c r="P487">
        <v>0</v>
      </c>
      <c r="Q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 t="s">
        <v>36</v>
      </c>
      <c r="AC487" t="s">
        <v>43</v>
      </c>
      <c r="AD487" t="str">
        <f t="shared" si="14"/>
        <v>CP</v>
      </c>
      <c r="AE487" t="str">
        <f>_xlfn.XLOOKUP(D487,Mapping!A:A,Mapping!D:D,0,0)</f>
        <v>Bin</v>
      </c>
      <c r="AF487" t="str">
        <f t="shared" si="15"/>
        <v>OLD</v>
      </c>
    </row>
    <row r="488" spans="1:32" x14ac:dyDescent="0.2">
      <c r="A488" t="s">
        <v>1118</v>
      </c>
      <c r="B488" t="s">
        <v>29</v>
      </c>
      <c r="C488">
        <v>1012750712</v>
      </c>
      <c r="D488" t="s">
        <v>542</v>
      </c>
      <c r="E488" t="s">
        <v>31</v>
      </c>
      <c r="F488" s="1">
        <v>0.67291666666666672</v>
      </c>
      <c r="G488" t="s">
        <v>32</v>
      </c>
      <c r="H488" t="s">
        <v>33</v>
      </c>
      <c r="I488" t="s">
        <v>41</v>
      </c>
      <c r="J488" t="s">
        <v>62</v>
      </c>
      <c r="K488">
        <v>280</v>
      </c>
      <c r="L488">
        <v>0</v>
      </c>
      <c r="M488" t="s">
        <v>63</v>
      </c>
      <c r="N488">
        <v>250</v>
      </c>
      <c r="O488">
        <v>735</v>
      </c>
      <c r="P488">
        <v>38</v>
      </c>
      <c r="Q488">
        <v>5.1700699999999999</v>
      </c>
      <c r="R488">
        <v>0</v>
      </c>
      <c r="S488">
        <v>1.1200000000000001</v>
      </c>
      <c r="T488">
        <v>1.5209999999999999</v>
      </c>
      <c r="U488">
        <v>2.9000000000000001E-2</v>
      </c>
      <c r="V488">
        <v>0</v>
      </c>
      <c r="W488">
        <v>1</v>
      </c>
      <c r="X488">
        <v>0</v>
      </c>
      <c r="Y488" t="s">
        <v>36</v>
      </c>
      <c r="Z488">
        <v>735</v>
      </c>
      <c r="AA488">
        <v>655</v>
      </c>
      <c r="AB488">
        <v>64</v>
      </c>
      <c r="AC488" t="s">
        <v>172</v>
      </c>
      <c r="AD488" t="str">
        <f t="shared" si="14"/>
        <v>CP</v>
      </c>
      <c r="AE488" t="str">
        <f>_xlfn.XLOOKUP(D488,Mapping!A:A,Mapping!D:D,0,0)</f>
        <v>Ocean</v>
      </c>
      <c r="AF488" t="str">
        <f t="shared" si="15"/>
        <v>OLD</v>
      </c>
    </row>
    <row r="489" spans="1:32" x14ac:dyDescent="0.2">
      <c r="A489" t="s">
        <v>1118</v>
      </c>
      <c r="B489" t="s">
        <v>39</v>
      </c>
      <c r="C489">
        <v>1012750722</v>
      </c>
      <c r="D489" t="s">
        <v>543</v>
      </c>
      <c r="E489" t="s">
        <v>31</v>
      </c>
      <c r="F489" s="1">
        <v>0.67291666666666672</v>
      </c>
      <c r="G489" t="s">
        <v>32</v>
      </c>
      <c r="H489" t="s">
        <v>33</v>
      </c>
      <c r="I489" t="s">
        <v>41</v>
      </c>
      <c r="J489" t="s">
        <v>62</v>
      </c>
      <c r="K489">
        <v>280</v>
      </c>
      <c r="L489">
        <v>0</v>
      </c>
      <c r="M489" t="s">
        <v>63</v>
      </c>
      <c r="N489">
        <v>250</v>
      </c>
      <c r="O489">
        <v>0</v>
      </c>
      <c r="P489">
        <v>0</v>
      </c>
      <c r="Q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 t="s">
        <v>36</v>
      </c>
      <c r="AC489" t="s">
        <v>43</v>
      </c>
      <c r="AD489" t="str">
        <f t="shared" si="14"/>
        <v>CP</v>
      </c>
      <c r="AE489" t="str">
        <f>_xlfn.XLOOKUP(D489,Mapping!A:A,Mapping!D:D,0,0)</f>
        <v>Bin</v>
      </c>
      <c r="AF489" t="str">
        <f t="shared" si="15"/>
        <v>OLD</v>
      </c>
    </row>
    <row r="490" spans="1:32" x14ac:dyDescent="0.2">
      <c r="A490" t="s">
        <v>1118</v>
      </c>
      <c r="B490" t="s">
        <v>39</v>
      </c>
      <c r="C490">
        <v>1012750732</v>
      </c>
      <c r="D490" t="s">
        <v>544</v>
      </c>
      <c r="E490" t="s">
        <v>31</v>
      </c>
      <c r="F490" s="1">
        <v>0.67291666666666672</v>
      </c>
      <c r="G490" t="s">
        <v>32</v>
      </c>
      <c r="H490" t="s">
        <v>33</v>
      </c>
      <c r="I490" t="s">
        <v>34</v>
      </c>
      <c r="J490" t="s">
        <v>84</v>
      </c>
      <c r="K490">
        <v>112</v>
      </c>
      <c r="L490">
        <v>0</v>
      </c>
      <c r="M490" t="s">
        <v>36</v>
      </c>
      <c r="N490" t="s">
        <v>37</v>
      </c>
      <c r="O490">
        <v>0</v>
      </c>
      <c r="P490">
        <v>0</v>
      </c>
      <c r="Q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 t="s">
        <v>36</v>
      </c>
      <c r="AC490" t="s">
        <v>172</v>
      </c>
      <c r="AD490" t="str">
        <f t="shared" si="14"/>
        <v>CP</v>
      </c>
      <c r="AE490" t="str">
        <f>_xlfn.XLOOKUP(D490,Mapping!A:A,Mapping!D:D,0,0)</f>
        <v>Ocean</v>
      </c>
      <c r="AF490" t="str">
        <f t="shared" si="15"/>
        <v>OLD</v>
      </c>
    </row>
    <row r="491" spans="1:32" x14ac:dyDescent="0.2">
      <c r="A491" t="s">
        <v>1118</v>
      </c>
      <c r="B491" t="s">
        <v>39</v>
      </c>
      <c r="C491">
        <v>1012750742</v>
      </c>
      <c r="D491" t="s">
        <v>545</v>
      </c>
      <c r="E491" t="s">
        <v>31</v>
      </c>
      <c r="F491" s="1">
        <v>0.67291666666666672</v>
      </c>
      <c r="G491" t="s">
        <v>32</v>
      </c>
      <c r="H491" t="s">
        <v>33</v>
      </c>
      <c r="I491" t="s">
        <v>34</v>
      </c>
      <c r="J491" t="s">
        <v>84</v>
      </c>
      <c r="K491">
        <v>112</v>
      </c>
      <c r="L491">
        <v>0</v>
      </c>
      <c r="M491" t="s">
        <v>63</v>
      </c>
      <c r="N491">
        <v>250</v>
      </c>
      <c r="O491">
        <v>0</v>
      </c>
      <c r="P491">
        <v>0</v>
      </c>
      <c r="Q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 t="s">
        <v>36</v>
      </c>
      <c r="AC491" t="s">
        <v>43</v>
      </c>
      <c r="AD491" t="str">
        <f t="shared" si="14"/>
        <v>CP</v>
      </c>
      <c r="AE491" t="str">
        <f>_xlfn.XLOOKUP(D491,Mapping!A:A,Mapping!D:D,0,0)</f>
        <v>Bin</v>
      </c>
      <c r="AF491" t="str">
        <f t="shared" si="15"/>
        <v>OLD</v>
      </c>
    </row>
    <row r="492" spans="1:32" x14ac:dyDescent="0.2">
      <c r="A492" t="s">
        <v>1118</v>
      </c>
      <c r="B492" t="s">
        <v>39</v>
      </c>
      <c r="C492">
        <v>1012750752</v>
      </c>
      <c r="D492" t="s">
        <v>546</v>
      </c>
      <c r="E492" t="s">
        <v>31</v>
      </c>
      <c r="F492" s="1">
        <v>0.67291666666666672</v>
      </c>
      <c r="G492" t="s">
        <v>32</v>
      </c>
      <c r="H492" t="s">
        <v>33</v>
      </c>
      <c r="I492" t="s">
        <v>41</v>
      </c>
      <c r="J492" t="s">
        <v>62</v>
      </c>
      <c r="K492">
        <v>280</v>
      </c>
      <c r="L492">
        <v>0</v>
      </c>
      <c r="M492" t="s">
        <v>63</v>
      </c>
      <c r="N492">
        <v>250</v>
      </c>
      <c r="O492">
        <v>0</v>
      </c>
      <c r="P492">
        <v>0</v>
      </c>
      <c r="Q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 t="s">
        <v>36</v>
      </c>
      <c r="AC492" t="s">
        <v>43</v>
      </c>
      <c r="AD492" t="str">
        <f t="shared" si="14"/>
        <v>CP</v>
      </c>
      <c r="AE492" t="str">
        <f>_xlfn.XLOOKUP(D492,Mapping!A:A,Mapping!D:D,0,0)</f>
        <v>Bin</v>
      </c>
      <c r="AF492" t="str">
        <f t="shared" si="15"/>
        <v>OLD</v>
      </c>
    </row>
    <row r="493" spans="1:32" x14ac:dyDescent="0.2">
      <c r="A493" t="s">
        <v>1118</v>
      </c>
      <c r="B493" t="s">
        <v>39</v>
      </c>
      <c r="C493">
        <v>1012750762</v>
      </c>
      <c r="D493" t="s">
        <v>547</v>
      </c>
      <c r="E493" t="s">
        <v>31</v>
      </c>
      <c r="F493" s="1">
        <v>0.67291666666666672</v>
      </c>
      <c r="G493" t="s">
        <v>32</v>
      </c>
      <c r="H493" t="s">
        <v>33</v>
      </c>
      <c r="I493" t="s">
        <v>41</v>
      </c>
      <c r="J493" t="s">
        <v>62</v>
      </c>
      <c r="K493">
        <v>280</v>
      </c>
      <c r="L493">
        <v>0</v>
      </c>
      <c r="M493" t="s">
        <v>63</v>
      </c>
      <c r="N493">
        <v>250</v>
      </c>
      <c r="O493">
        <v>0</v>
      </c>
      <c r="P493">
        <v>0</v>
      </c>
      <c r="Q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 t="s">
        <v>36</v>
      </c>
      <c r="AC493" t="s">
        <v>43</v>
      </c>
      <c r="AD493" t="str">
        <f t="shared" si="14"/>
        <v>CP</v>
      </c>
      <c r="AE493" t="str">
        <f>_xlfn.XLOOKUP(D493,Mapping!A:A,Mapping!D:D,0,0)</f>
        <v>Bin</v>
      </c>
      <c r="AF493" t="str">
        <f t="shared" si="15"/>
        <v>OLD</v>
      </c>
    </row>
    <row r="494" spans="1:32" x14ac:dyDescent="0.2">
      <c r="A494" t="s">
        <v>1118</v>
      </c>
      <c r="B494" t="s">
        <v>39</v>
      </c>
      <c r="C494">
        <v>1012750782</v>
      </c>
      <c r="D494" t="s">
        <v>548</v>
      </c>
      <c r="E494" t="s">
        <v>31</v>
      </c>
      <c r="F494" s="1">
        <v>0.67291666666666672</v>
      </c>
      <c r="G494" t="s">
        <v>32</v>
      </c>
      <c r="H494" t="s">
        <v>33</v>
      </c>
      <c r="I494" t="s">
        <v>41</v>
      </c>
      <c r="J494" t="s">
        <v>62</v>
      </c>
      <c r="K494">
        <v>280</v>
      </c>
      <c r="L494">
        <v>0</v>
      </c>
      <c r="M494" t="s">
        <v>63</v>
      </c>
      <c r="N494">
        <v>250</v>
      </c>
      <c r="O494">
        <v>0</v>
      </c>
      <c r="P494">
        <v>0</v>
      </c>
      <c r="Q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 t="s">
        <v>36</v>
      </c>
      <c r="AC494" t="s">
        <v>43</v>
      </c>
      <c r="AD494" t="str">
        <f t="shared" si="14"/>
        <v>CP</v>
      </c>
      <c r="AE494" t="str">
        <f>_xlfn.XLOOKUP(D494,Mapping!A:A,Mapping!D:D,0,0)</f>
        <v>Bin</v>
      </c>
      <c r="AF494" t="str">
        <f t="shared" si="15"/>
        <v>OLD</v>
      </c>
    </row>
    <row r="495" spans="1:32" x14ac:dyDescent="0.2">
      <c r="A495" t="s">
        <v>1118</v>
      </c>
      <c r="B495" t="s">
        <v>39</v>
      </c>
      <c r="C495">
        <v>1012750792</v>
      </c>
      <c r="D495" t="s">
        <v>549</v>
      </c>
      <c r="E495" t="s">
        <v>31</v>
      </c>
      <c r="F495" s="1">
        <v>0.67291666666666672</v>
      </c>
      <c r="G495" t="s">
        <v>32</v>
      </c>
      <c r="H495" t="s">
        <v>33</v>
      </c>
      <c r="I495" t="s">
        <v>41</v>
      </c>
      <c r="J495" t="s">
        <v>62</v>
      </c>
      <c r="K495">
        <v>280</v>
      </c>
      <c r="L495">
        <v>0</v>
      </c>
      <c r="M495" t="s">
        <v>63</v>
      </c>
      <c r="N495">
        <v>250</v>
      </c>
      <c r="O495">
        <v>0</v>
      </c>
      <c r="P495">
        <v>0</v>
      </c>
      <c r="Q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 t="s">
        <v>36</v>
      </c>
      <c r="AC495" t="s">
        <v>43</v>
      </c>
      <c r="AD495" t="str">
        <f t="shared" si="14"/>
        <v>CP</v>
      </c>
      <c r="AE495" t="str">
        <f>_xlfn.XLOOKUP(D495,Mapping!A:A,Mapping!D:D,0,0)</f>
        <v>Bin</v>
      </c>
      <c r="AF495" t="str">
        <f t="shared" si="15"/>
        <v>OLD</v>
      </c>
    </row>
    <row r="496" spans="1:32" x14ac:dyDescent="0.2">
      <c r="A496" t="s">
        <v>1118</v>
      </c>
      <c r="B496" t="s">
        <v>29</v>
      </c>
      <c r="C496">
        <v>1012750802</v>
      </c>
      <c r="D496" t="s">
        <v>550</v>
      </c>
      <c r="E496" t="s">
        <v>31</v>
      </c>
      <c r="F496" s="1">
        <v>0.67291666666666672</v>
      </c>
      <c r="G496" t="s">
        <v>32</v>
      </c>
      <c r="H496" t="s">
        <v>33</v>
      </c>
      <c r="I496" t="s">
        <v>34</v>
      </c>
      <c r="J496" t="s">
        <v>84</v>
      </c>
      <c r="K496">
        <v>112</v>
      </c>
      <c r="L496">
        <v>0</v>
      </c>
      <c r="M496" t="s">
        <v>63</v>
      </c>
      <c r="N496">
        <v>250</v>
      </c>
      <c r="O496">
        <v>241</v>
      </c>
      <c r="P496">
        <v>7</v>
      </c>
      <c r="Q496">
        <v>2.90456</v>
      </c>
      <c r="R496">
        <v>0</v>
      </c>
      <c r="S496">
        <v>0.69</v>
      </c>
      <c r="T496">
        <v>2.85</v>
      </c>
      <c r="U496">
        <v>9.8000000000000004E-2</v>
      </c>
      <c r="V496">
        <v>0</v>
      </c>
      <c r="W496">
        <v>1</v>
      </c>
      <c r="X496">
        <v>0</v>
      </c>
      <c r="Y496" t="s">
        <v>36</v>
      </c>
      <c r="Z496">
        <v>241</v>
      </c>
      <c r="AA496">
        <v>196</v>
      </c>
      <c r="AB496">
        <v>27</v>
      </c>
      <c r="AC496" t="s">
        <v>172</v>
      </c>
      <c r="AD496" t="str">
        <f t="shared" si="14"/>
        <v>CP</v>
      </c>
      <c r="AE496" t="str">
        <f>_xlfn.XLOOKUP(D496,Mapping!A:A,Mapping!D:D,0,0)</f>
        <v>Keyword - Preroll</v>
      </c>
      <c r="AF496" t="str">
        <f t="shared" si="15"/>
        <v>OLD</v>
      </c>
    </row>
    <row r="497" spans="1:32" x14ac:dyDescent="0.2">
      <c r="A497" t="s">
        <v>1118</v>
      </c>
      <c r="B497" t="s">
        <v>39</v>
      </c>
      <c r="C497">
        <v>1012750812</v>
      </c>
      <c r="D497" t="s">
        <v>551</v>
      </c>
      <c r="E497" t="s">
        <v>31</v>
      </c>
      <c r="F497" s="1">
        <v>0.67291666666666672</v>
      </c>
      <c r="G497" t="s">
        <v>32</v>
      </c>
      <c r="H497" t="s">
        <v>33</v>
      </c>
      <c r="I497" t="s">
        <v>34</v>
      </c>
      <c r="J497" t="s">
        <v>84</v>
      </c>
      <c r="K497">
        <v>112</v>
      </c>
      <c r="L497">
        <v>0</v>
      </c>
      <c r="M497" t="s">
        <v>63</v>
      </c>
      <c r="N497">
        <v>250</v>
      </c>
      <c r="O497">
        <v>0</v>
      </c>
      <c r="P497">
        <v>0</v>
      </c>
      <c r="Q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 t="s">
        <v>36</v>
      </c>
      <c r="AC497" t="s">
        <v>43</v>
      </c>
      <c r="AD497" t="str">
        <f t="shared" si="14"/>
        <v>CP</v>
      </c>
      <c r="AE497" t="str">
        <f>_xlfn.XLOOKUP(D497,Mapping!A:A,Mapping!D:D,0,0)</f>
        <v>Bin</v>
      </c>
      <c r="AF497" t="str">
        <f t="shared" si="15"/>
        <v>OLD</v>
      </c>
    </row>
    <row r="498" spans="1:32" x14ac:dyDescent="0.2">
      <c r="A498" t="s">
        <v>1118</v>
      </c>
      <c r="B498" t="s">
        <v>39</v>
      </c>
      <c r="C498">
        <v>1012750822</v>
      </c>
      <c r="D498" t="s">
        <v>552</v>
      </c>
      <c r="E498" t="s">
        <v>31</v>
      </c>
      <c r="F498" s="1">
        <v>0.67291666666666672</v>
      </c>
      <c r="G498" t="s">
        <v>32</v>
      </c>
      <c r="H498" t="s">
        <v>33</v>
      </c>
      <c r="I498" t="s">
        <v>41</v>
      </c>
      <c r="J498" t="s">
        <v>62</v>
      </c>
      <c r="K498">
        <v>280</v>
      </c>
      <c r="L498">
        <v>0</v>
      </c>
      <c r="M498" t="s">
        <v>63</v>
      </c>
      <c r="N498">
        <v>250</v>
      </c>
      <c r="O498">
        <v>0</v>
      </c>
      <c r="P498">
        <v>0</v>
      </c>
      <c r="Q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 t="s">
        <v>36</v>
      </c>
      <c r="AC498" t="s">
        <v>43</v>
      </c>
      <c r="AD498" t="str">
        <f t="shared" si="14"/>
        <v>CP</v>
      </c>
      <c r="AE498" t="str">
        <f>_xlfn.XLOOKUP(D498,Mapping!A:A,Mapping!D:D,0,0)</f>
        <v>Bin</v>
      </c>
      <c r="AF498" t="str">
        <f t="shared" si="15"/>
        <v>OLD</v>
      </c>
    </row>
    <row r="499" spans="1:32" x14ac:dyDescent="0.2">
      <c r="A499" t="s">
        <v>1118</v>
      </c>
      <c r="B499" t="s">
        <v>39</v>
      </c>
      <c r="C499">
        <v>1012750832</v>
      </c>
      <c r="D499" t="s">
        <v>553</v>
      </c>
      <c r="E499" t="s">
        <v>31</v>
      </c>
      <c r="F499" s="1">
        <v>0.67291666666666672</v>
      </c>
      <c r="G499" t="s">
        <v>32</v>
      </c>
      <c r="H499" t="s">
        <v>33</v>
      </c>
      <c r="I499" t="s">
        <v>41</v>
      </c>
      <c r="J499" t="s">
        <v>62</v>
      </c>
      <c r="K499">
        <v>280</v>
      </c>
      <c r="L499">
        <v>0</v>
      </c>
      <c r="M499" t="s">
        <v>63</v>
      </c>
      <c r="N499">
        <v>250</v>
      </c>
      <c r="O499">
        <v>0</v>
      </c>
      <c r="P499">
        <v>0</v>
      </c>
      <c r="Q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 t="s">
        <v>36</v>
      </c>
      <c r="AC499" t="s">
        <v>43</v>
      </c>
      <c r="AD499" t="str">
        <f t="shared" si="14"/>
        <v>CP</v>
      </c>
      <c r="AE499" t="str">
        <f>_xlfn.XLOOKUP(D499,Mapping!A:A,Mapping!D:D,0,0)</f>
        <v>Bin</v>
      </c>
      <c r="AF499" t="str">
        <f t="shared" si="15"/>
        <v>OLD</v>
      </c>
    </row>
    <row r="500" spans="1:32" x14ac:dyDescent="0.2">
      <c r="A500" t="s">
        <v>1118</v>
      </c>
      <c r="B500" t="s">
        <v>39</v>
      </c>
      <c r="C500">
        <v>1012750842</v>
      </c>
      <c r="D500" t="s">
        <v>554</v>
      </c>
      <c r="E500" t="s">
        <v>31</v>
      </c>
      <c r="F500" s="1">
        <v>0.67291666666666672</v>
      </c>
      <c r="G500" t="s">
        <v>32</v>
      </c>
      <c r="H500" t="s">
        <v>33</v>
      </c>
      <c r="I500" t="s">
        <v>41</v>
      </c>
      <c r="J500" t="s">
        <v>62</v>
      </c>
      <c r="K500">
        <v>280</v>
      </c>
      <c r="L500">
        <v>0</v>
      </c>
      <c r="M500" t="s">
        <v>36</v>
      </c>
      <c r="N500" t="s">
        <v>37</v>
      </c>
      <c r="O500">
        <v>0</v>
      </c>
      <c r="P500">
        <v>0</v>
      </c>
      <c r="Q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 t="s">
        <v>36</v>
      </c>
      <c r="AC500" t="s">
        <v>43</v>
      </c>
      <c r="AD500" t="str">
        <f t="shared" si="14"/>
        <v>CP</v>
      </c>
      <c r="AE500" t="str">
        <f>_xlfn.XLOOKUP(D500,Mapping!A:A,Mapping!D:D,0,0)</f>
        <v>Bin</v>
      </c>
      <c r="AF500" t="str">
        <f t="shared" si="15"/>
        <v>OLD</v>
      </c>
    </row>
    <row r="501" spans="1:32" x14ac:dyDescent="0.2">
      <c r="A501" t="s">
        <v>1118</v>
      </c>
      <c r="B501" t="s">
        <v>39</v>
      </c>
      <c r="C501">
        <v>1012750852</v>
      </c>
      <c r="D501" t="s">
        <v>555</v>
      </c>
      <c r="E501" t="s">
        <v>31</v>
      </c>
      <c r="F501" s="1">
        <v>0.67291666666666672</v>
      </c>
      <c r="G501" t="s">
        <v>32</v>
      </c>
      <c r="H501" t="s">
        <v>33</v>
      </c>
      <c r="I501" t="s">
        <v>41</v>
      </c>
      <c r="J501" t="s">
        <v>62</v>
      </c>
      <c r="K501">
        <v>280</v>
      </c>
      <c r="L501">
        <v>0</v>
      </c>
      <c r="M501" t="s">
        <v>36</v>
      </c>
      <c r="N501" t="s">
        <v>37</v>
      </c>
      <c r="O501">
        <v>0</v>
      </c>
      <c r="P501">
        <v>0</v>
      </c>
      <c r="Q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 t="s">
        <v>36</v>
      </c>
      <c r="AC501" t="s">
        <v>43</v>
      </c>
      <c r="AD501" t="str">
        <f t="shared" si="14"/>
        <v>CP</v>
      </c>
      <c r="AE501" t="str">
        <f>_xlfn.XLOOKUP(D501,Mapping!A:A,Mapping!D:D,0,0)</f>
        <v>Bin</v>
      </c>
      <c r="AF501" t="str">
        <f t="shared" si="15"/>
        <v>OLD</v>
      </c>
    </row>
    <row r="502" spans="1:32" x14ac:dyDescent="0.2">
      <c r="A502" t="s">
        <v>1118</v>
      </c>
      <c r="B502" t="s">
        <v>39</v>
      </c>
      <c r="C502">
        <v>1012750862</v>
      </c>
      <c r="D502" t="s">
        <v>556</v>
      </c>
      <c r="E502" t="s">
        <v>31</v>
      </c>
      <c r="F502" s="1">
        <v>0.67291666666666672</v>
      </c>
      <c r="G502" t="s">
        <v>32</v>
      </c>
      <c r="H502" t="s">
        <v>33</v>
      </c>
      <c r="I502" t="s">
        <v>34</v>
      </c>
      <c r="J502" t="s">
        <v>84</v>
      </c>
      <c r="K502">
        <v>112</v>
      </c>
      <c r="L502">
        <v>0</v>
      </c>
      <c r="M502" t="s">
        <v>36</v>
      </c>
      <c r="N502" t="s">
        <v>37</v>
      </c>
      <c r="O502">
        <v>0</v>
      </c>
      <c r="P502">
        <v>0</v>
      </c>
      <c r="Q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 t="s">
        <v>36</v>
      </c>
      <c r="AC502" t="s">
        <v>43</v>
      </c>
      <c r="AD502" t="str">
        <f t="shared" si="14"/>
        <v>CP</v>
      </c>
      <c r="AE502" t="str">
        <f>_xlfn.XLOOKUP(D502,Mapping!A:A,Mapping!D:D,0,0)</f>
        <v>Bin</v>
      </c>
      <c r="AF502" t="str">
        <f t="shared" si="15"/>
        <v>OLD</v>
      </c>
    </row>
    <row r="503" spans="1:32" x14ac:dyDescent="0.2">
      <c r="A503" t="s">
        <v>1118</v>
      </c>
      <c r="B503" t="s">
        <v>39</v>
      </c>
      <c r="C503">
        <v>1012750882</v>
      </c>
      <c r="D503" t="s">
        <v>557</v>
      </c>
      <c r="E503" t="s">
        <v>31</v>
      </c>
      <c r="F503" s="1">
        <v>0.67291666666666672</v>
      </c>
      <c r="G503" t="s">
        <v>32</v>
      </c>
      <c r="H503" t="s">
        <v>33</v>
      </c>
      <c r="I503" t="s">
        <v>34</v>
      </c>
      <c r="J503" t="s">
        <v>84</v>
      </c>
      <c r="K503">
        <v>112</v>
      </c>
      <c r="L503">
        <v>0</v>
      </c>
      <c r="M503" t="s">
        <v>36</v>
      </c>
      <c r="N503" t="s">
        <v>37</v>
      </c>
      <c r="O503">
        <v>0</v>
      </c>
      <c r="P503">
        <v>0</v>
      </c>
      <c r="Q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 t="s">
        <v>36</v>
      </c>
      <c r="AC503" t="s">
        <v>43</v>
      </c>
      <c r="AD503" t="str">
        <f t="shared" si="14"/>
        <v>CP</v>
      </c>
      <c r="AE503" t="str">
        <f>_xlfn.XLOOKUP(D503,Mapping!A:A,Mapping!D:D,0,0)</f>
        <v>Bin</v>
      </c>
      <c r="AF503" t="str">
        <f t="shared" si="15"/>
        <v>OLD</v>
      </c>
    </row>
    <row r="504" spans="1:32" x14ac:dyDescent="0.2">
      <c r="A504" t="s">
        <v>1118</v>
      </c>
      <c r="B504" t="s">
        <v>39</v>
      </c>
      <c r="C504">
        <v>1012750892</v>
      </c>
      <c r="D504" t="s">
        <v>558</v>
      </c>
      <c r="E504" t="s">
        <v>31</v>
      </c>
      <c r="F504" s="1">
        <v>0.67291666666666672</v>
      </c>
      <c r="G504" t="s">
        <v>32</v>
      </c>
      <c r="H504" t="s">
        <v>33</v>
      </c>
      <c r="I504" t="s">
        <v>41</v>
      </c>
      <c r="J504" t="s">
        <v>62</v>
      </c>
      <c r="K504">
        <v>280</v>
      </c>
      <c r="L504">
        <v>0</v>
      </c>
      <c r="M504" t="s">
        <v>63</v>
      </c>
      <c r="N504">
        <v>250</v>
      </c>
      <c r="O504">
        <v>0</v>
      </c>
      <c r="P504">
        <v>0</v>
      </c>
      <c r="Q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 t="s">
        <v>36</v>
      </c>
      <c r="AC504" t="s">
        <v>43</v>
      </c>
      <c r="AD504" t="str">
        <f t="shared" si="14"/>
        <v>CP</v>
      </c>
      <c r="AE504" t="str">
        <f>_xlfn.XLOOKUP(D504,Mapping!A:A,Mapping!D:D,0,0)</f>
        <v>Bin</v>
      </c>
      <c r="AF504" t="str">
        <f t="shared" si="15"/>
        <v>OLD</v>
      </c>
    </row>
    <row r="505" spans="1:32" x14ac:dyDescent="0.2">
      <c r="A505" t="s">
        <v>1118</v>
      </c>
      <c r="B505" t="s">
        <v>39</v>
      </c>
      <c r="C505">
        <v>1012750902</v>
      </c>
      <c r="D505" t="s">
        <v>559</v>
      </c>
      <c r="E505" t="s">
        <v>31</v>
      </c>
      <c r="F505" s="1">
        <v>0.67291666666666672</v>
      </c>
      <c r="G505" t="s">
        <v>32</v>
      </c>
      <c r="H505" t="s">
        <v>33</v>
      </c>
      <c r="I505" t="s">
        <v>41</v>
      </c>
      <c r="J505" t="s">
        <v>62</v>
      </c>
      <c r="K505">
        <v>280</v>
      </c>
      <c r="L505">
        <v>0</v>
      </c>
      <c r="M505" t="s">
        <v>63</v>
      </c>
      <c r="N505">
        <v>250</v>
      </c>
      <c r="O505">
        <v>0</v>
      </c>
      <c r="P505">
        <v>0</v>
      </c>
      <c r="Q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 t="s">
        <v>36</v>
      </c>
      <c r="AC505" t="s">
        <v>43</v>
      </c>
      <c r="AD505" t="str">
        <f t="shared" si="14"/>
        <v>CP</v>
      </c>
      <c r="AE505" t="str">
        <f>_xlfn.XLOOKUP(D505,Mapping!A:A,Mapping!D:D,0,0)</f>
        <v>Bin</v>
      </c>
      <c r="AF505" t="str">
        <f t="shared" si="15"/>
        <v>OLD</v>
      </c>
    </row>
    <row r="506" spans="1:32" x14ac:dyDescent="0.2">
      <c r="A506" t="s">
        <v>1118</v>
      </c>
      <c r="B506" t="s">
        <v>39</v>
      </c>
      <c r="C506">
        <v>1012750912</v>
      </c>
      <c r="D506" t="s">
        <v>560</v>
      </c>
      <c r="E506" t="s">
        <v>31</v>
      </c>
      <c r="F506" s="1">
        <v>0.67291666666666672</v>
      </c>
      <c r="G506" t="s">
        <v>32</v>
      </c>
      <c r="H506" t="s">
        <v>33</v>
      </c>
      <c r="I506" t="s">
        <v>41</v>
      </c>
      <c r="J506" t="s">
        <v>62</v>
      </c>
      <c r="K506">
        <v>280</v>
      </c>
      <c r="L506">
        <v>0</v>
      </c>
      <c r="M506" t="s">
        <v>63</v>
      </c>
      <c r="N506">
        <v>250</v>
      </c>
      <c r="O506">
        <v>0</v>
      </c>
      <c r="P506">
        <v>0</v>
      </c>
      <c r="Q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 t="s">
        <v>36</v>
      </c>
      <c r="AC506" t="s">
        <v>43</v>
      </c>
      <c r="AD506" t="str">
        <f t="shared" si="14"/>
        <v>CP</v>
      </c>
      <c r="AE506" t="str">
        <f>_xlfn.XLOOKUP(D506,Mapping!A:A,Mapping!D:D,0,0)</f>
        <v>Bin</v>
      </c>
      <c r="AF506" t="str">
        <f t="shared" si="15"/>
        <v>OLD</v>
      </c>
    </row>
    <row r="507" spans="1:32" x14ac:dyDescent="0.2">
      <c r="A507" t="s">
        <v>1118</v>
      </c>
      <c r="B507" t="s">
        <v>39</v>
      </c>
      <c r="C507">
        <v>1012750922</v>
      </c>
      <c r="D507" t="s">
        <v>561</v>
      </c>
      <c r="E507" t="s">
        <v>31</v>
      </c>
      <c r="F507" s="1">
        <v>0.67291666666666672</v>
      </c>
      <c r="G507" t="s">
        <v>32</v>
      </c>
      <c r="H507" t="s">
        <v>33</v>
      </c>
      <c r="I507" t="s">
        <v>41</v>
      </c>
      <c r="J507" t="s">
        <v>62</v>
      </c>
      <c r="K507">
        <v>280</v>
      </c>
      <c r="L507">
        <v>0</v>
      </c>
      <c r="M507" t="s">
        <v>63</v>
      </c>
      <c r="N507">
        <v>250</v>
      </c>
      <c r="O507">
        <v>0</v>
      </c>
      <c r="P507">
        <v>0</v>
      </c>
      <c r="Q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 t="s">
        <v>36</v>
      </c>
      <c r="AC507" t="s">
        <v>43</v>
      </c>
      <c r="AD507" t="str">
        <f t="shared" si="14"/>
        <v>CP</v>
      </c>
      <c r="AE507" t="str">
        <f>_xlfn.XLOOKUP(D507,Mapping!A:A,Mapping!D:D,0,0)</f>
        <v>Bin</v>
      </c>
      <c r="AF507" t="str">
        <f t="shared" si="15"/>
        <v>OLD</v>
      </c>
    </row>
    <row r="508" spans="1:32" x14ac:dyDescent="0.2">
      <c r="A508" t="s">
        <v>1118</v>
      </c>
      <c r="B508" t="s">
        <v>39</v>
      </c>
      <c r="C508">
        <v>1012750932</v>
      </c>
      <c r="D508" t="s">
        <v>562</v>
      </c>
      <c r="E508" t="s">
        <v>31</v>
      </c>
      <c r="F508" s="1">
        <v>0.67291666666666672</v>
      </c>
      <c r="G508" t="s">
        <v>32</v>
      </c>
      <c r="H508" t="s">
        <v>33</v>
      </c>
      <c r="I508" t="s">
        <v>34</v>
      </c>
      <c r="J508" t="s">
        <v>84</v>
      </c>
      <c r="K508">
        <v>112</v>
      </c>
      <c r="L508">
        <v>0</v>
      </c>
      <c r="M508" t="s">
        <v>63</v>
      </c>
      <c r="N508">
        <v>250</v>
      </c>
      <c r="O508">
        <v>0</v>
      </c>
      <c r="P508">
        <v>0</v>
      </c>
      <c r="Q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 t="s">
        <v>36</v>
      </c>
      <c r="AC508" t="s">
        <v>43</v>
      </c>
      <c r="AD508" t="str">
        <f t="shared" si="14"/>
        <v>CP</v>
      </c>
      <c r="AE508" t="str">
        <f>_xlfn.XLOOKUP(D508,Mapping!A:A,Mapping!D:D,0,0)</f>
        <v>Bin</v>
      </c>
      <c r="AF508" t="str">
        <f t="shared" si="15"/>
        <v>OLD</v>
      </c>
    </row>
    <row r="509" spans="1:32" x14ac:dyDescent="0.2">
      <c r="A509" t="s">
        <v>1118</v>
      </c>
      <c r="B509" t="s">
        <v>39</v>
      </c>
      <c r="C509">
        <v>1012750942</v>
      </c>
      <c r="D509" t="s">
        <v>563</v>
      </c>
      <c r="E509" t="s">
        <v>31</v>
      </c>
      <c r="F509" s="1">
        <v>0.67291666666666672</v>
      </c>
      <c r="G509" t="s">
        <v>32</v>
      </c>
      <c r="H509" t="s">
        <v>33</v>
      </c>
      <c r="I509" t="s">
        <v>34</v>
      </c>
      <c r="J509" t="s">
        <v>84</v>
      </c>
      <c r="K509">
        <v>112</v>
      </c>
      <c r="L509">
        <v>0</v>
      </c>
      <c r="M509" t="s">
        <v>63</v>
      </c>
      <c r="N509">
        <v>250</v>
      </c>
      <c r="O509">
        <v>0</v>
      </c>
      <c r="P509">
        <v>0</v>
      </c>
      <c r="Q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 t="s">
        <v>36</v>
      </c>
      <c r="AC509" t="s">
        <v>43</v>
      </c>
      <c r="AD509" t="str">
        <f t="shared" si="14"/>
        <v>CP</v>
      </c>
      <c r="AE509" t="str">
        <f>_xlfn.XLOOKUP(D509,Mapping!A:A,Mapping!D:D,0,0)</f>
        <v>Bin</v>
      </c>
      <c r="AF509" t="str">
        <f t="shared" si="15"/>
        <v>OLD</v>
      </c>
    </row>
    <row r="510" spans="1:32" x14ac:dyDescent="0.2">
      <c r="A510" t="s">
        <v>1118</v>
      </c>
      <c r="B510" t="s">
        <v>39</v>
      </c>
      <c r="C510">
        <v>1012750952</v>
      </c>
      <c r="D510" t="s">
        <v>564</v>
      </c>
      <c r="E510" t="s">
        <v>31</v>
      </c>
      <c r="F510" s="1">
        <v>0.67291666666666672</v>
      </c>
      <c r="G510" t="s">
        <v>32</v>
      </c>
      <c r="H510" t="s">
        <v>33</v>
      </c>
      <c r="I510" t="s">
        <v>41</v>
      </c>
      <c r="J510" t="s">
        <v>62</v>
      </c>
      <c r="K510">
        <v>280</v>
      </c>
      <c r="L510">
        <v>0</v>
      </c>
      <c r="M510" t="s">
        <v>36</v>
      </c>
      <c r="N510" t="s">
        <v>37</v>
      </c>
      <c r="O510">
        <v>0</v>
      </c>
      <c r="P510">
        <v>0</v>
      </c>
      <c r="Q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 t="s">
        <v>36</v>
      </c>
      <c r="AC510" t="s">
        <v>43</v>
      </c>
      <c r="AD510" t="str">
        <f t="shared" si="14"/>
        <v>CP</v>
      </c>
      <c r="AE510" t="str">
        <f>_xlfn.XLOOKUP(D510,Mapping!A:A,Mapping!D:D,0,0)</f>
        <v>Bin</v>
      </c>
      <c r="AF510" t="str">
        <f t="shared" si="15"/>
        <v>OLD</v>
      </c>
    </row>
    <row r="511" spans="1:32" x14ac:dyDescent="0.2">
      <c r="A511" t="s">
        <v>1118</v>
      </c>
      <c r="B511" t="s">
        <v>39</v>
      </c>
      <c r="C511">
        <v>1012750962</v>
      </c>
      <c r="D511" t="s">
        <v>565</v>
      </c>
      <c r="E511" t="s">
        <v>31</v>
      </c>
      <c r="F511" s="1">
        <v>0.67291666666666672</v>
      </c>
      <c r="G511" t="s">
        <v>32</v>
      </c>
      <c r="H511" t="s">
        <v>33</v>
      </c>
      <c r="I511" t="s">
        <v>41</v>
      </c>
      <c r="J511" t="s">
        <v>62</v>
      </c>
      <c r="K511">
        <v>280</v>
      </c>
      <c r="L511">
        <v>0</v>
      </c>
      <c r="M511" t="s">
        <v>63</v>
      </c>
      <c r="N511">
        <v>250</v>
      </c>
      <c r="O511">
        <v>0</v>
      </c>
      <c r="P511">
        <v>0</v>
      </c>
      <c r="Q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 t="s">
        <v>36</v>
      </c>
      <c r="AC511" t="s">
        <v>43</v>
      </c>
      <c r="AD511" t="str">
        <f t="shared" si="14"/>
        <v>CP</v>
      </c>
      <c r="AE511" t="str">
        <f>_xlfn.XLOOKUP(D511,Mapping!A:A,Mapping!D:D,0,0)</f>
        <v>Bin</v>
      </c>
      <c r="AF511" t="str">
        <f t="shared" si="15"/>
        <v>OLD</v>
      </c>
    </row>
    <row r="512" spans="1:32" x14ac:dyDescent="0.2">
      <c r="A512" t="s">
        <v>1118</v>
      </c>
      <c r="B512" t="s">
        <v>29</v>
      </c>
      <c r="C512">
        <v>1012750972</v>
      </c>
      <c r="D512" t="s">
        <v>566</v>
      </c>
      <c r="E512" t="s">
        <v>31</v>
      </c>
      <c r="F512" s="1">
        <v>0.67291666666666672</v>
      </c>
      <c r="G512" t="s">
        <v>32</v>
      </c>
      <c r="H512" t="s">
        <v>33</v>
      </c>
      <c r="I512" t="s">
        <v>34</v>
      </c>
      <c r="J512" t="s">
        <v>84</v>
      </c>
      <c r="K512">
        <v>112</v>
      </c>
      <c r="L512">
        <v>0</v>
      </c>
      <c r="M512" t="s">
        <v>36</v>
      </c>
      <c r="N512" t="s">
        <v>37</v>
      </c>
      <c r="O512">
        <v>970</v>
      </c>
      <c r="P512">
        <v>28</v>
      </c>
      <c r="Q512">
        <v>2.8866000000000001</v>
      </c>
      <c r="R512">
        <v>0</v>
      </c>
      <c r="S512">
        <v>2.76</v>
      </c>
      <c r="T512">
        <v>2.8410000000000002</v>
      </c>
      <c r="U512">
        <v>9.8000000000000004E-2</v>
      </c>
      <c r="V512">
        <v>0</v>
      </c>
      <c r="W512">
        <v>1</v>
      </c>
      <c r="X512">
        <v>0</v>
      </c>
      <c r="Y512" t="s">
        <v>36</v>
      </c>
      <c r="Z512">
        <v>970</v>
      </c>
      <c r="AA512">
        <v>789</v>
      </c>
      <c r="AB512">
        <v>113</v>
      </c>
      <c r="AC512" t="s">
        <v>172</v>
      </c>
      <c r="AD512" t="str">
        <f t="shared" si="14"/>
        <v>CP</v>
      </c>
      <c r="AE512" t="str">
        <f>_xlfn.XLOOKUP(D512,Mapping!A:A,Mapping!D:D,0,0)</f>
        <v>Keyword - Preroll</v>
      </c>
      <c r="AF512" t="str">
        <f t="shared" si="15"/>
        <v>OLD</v>
      </c>
    </row>
    <row r="513" spans="1:32" x14ac:dyDescent="0.2">
      <c r="A513" t="s">
        <v>1118</v>
      </c>
      <c r="B513" t="s">
        <v>29</v>
      </c>
      <c r="C513">
        <v>1012750982</v>
      </c>
      <c r="D513" t="s">
        <v>567</v>
      </c>
      <c r="E513" t="s">
        <v>31</v>
      </c>
      <c r="F513" s="1">
        <v>0.67291666666666672</v>
      </c>
      <c r="G513" t="s">
        <v>32</v>
      </c>
      <c r="H513" t="s">
        <v>33</v>
      </c>
      <c r="I513" t="s">
        <v>41</v>
      </c>
      <c r="J513" t="s">
        <v>62</v>
      </c>
      <c r="K513">
        <v>280</v>
      </c>
      <c r="L513">
        <v>0</v>
      </c>
      <c r="M513" t="s">
        <v>63</v>
      </c>
      <c r="N513">
        <v>250</v>
      </c>
      <c r="O513">
        <v>374</v>
      </c>
      <c r="P513">
        <v>35</v>
      </c>
      <c r="Q513">
        <v>9.3582900000000002</v>
      </c>
      <c r="R513">
        <v>0</v>
      </c>
      <c r="S513">
        <v>0.56999999999999995</v>
      </c>
      <c r="T513">
        <v>1.528</v>
      </c>
      <c r="U513">
        <v>1.6E-2</v>
      </c>
      <c r="V513">
        <v>0</v>
      </c>
      <c r="W513">
        <v>1</v>
      </c>
      <c r="X513">
        <v>0</v>
      </c>
      <c r="Y513" t="s">
        <v>36</v>
      </c>
      <c r="Z513">
        <v>374</v>
      </c>
      <c r="AA513">
        <v>322</v>
      </c>
      <c r="AB513">
        <v>39</v>
      </c>
      <c r="AC513" t="s">
        <v>172</v>
      </c>
      <c r="AD513" t="str">
        <f t="shared" si="14"/>
        <v>CP</v>
      </c>
      <c r="AE513" t="str">
        <f>_xlfn.XLOOKUP(D513,Mapping!A:A,Mapping!D:D,0,0)</f>
        <v>Keyword - Preroll</v>
      </c>
      <c r="AF513" t="str">
        <f t="shared" si="15"/>
        <v>OLD</v>
      </c>
    </row>
    <row r="514" spans="1:32" x14ac:dyDescent="0.2">
      <c r="A514" t="s">
        <v>1118</v>
      </c>
      <c r="B514" t="s">
        <v>39</v>
      </c>
      <c r="C514">
        <v>1012750992</v>
      </c>
      <c r="D514" t="s">
        <v>568</v>
      </c>
      <c r="E514" t="s">
        <v>31</v>
      </c>
      <c r="F514" s="1">
        <v>0.67291666666666672</v>
      </c>
      <c r="G514" t="s">
        <v>32</v>
      </c>
      <c r="H514" t="s">
        <v>33</v>
      </c>
      <c r="I514" t="s">
        <v>41</v>
      </c>
      <c r="J514" t="s">
        <v>62</v>
      </c>
      <c r="K514">
        <v>280</v>
      </c>
      <c r="L514">
        <v>0</v>
      </c>
      <c r="M514" t="s">
        <v>36</v>
      </c>
      <c r="N514" t="s">
        <v>37</v>
      </c>
      <c r="O514">
        <v>0</v>
      </c>
      <c r="P514">
        <v>0</v>
      </c>
      <c r="Q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 t="s">
        <v>36</v>
      </c>
      <c r="AC514" t="s">
        <v>43</v>
      </c>
      <c r="AD514" t="str">
        <f t="shared" si="14"/>
        <v>CP</v>
      </c>
      <c r="AE514" t="str">
        <f>_xlfn.XLOOKUP(D514,Mapping!A:A,Mapping!D:D,0,0)</f>
        <v>Bin</v>
      </c>
      <c r="AF514" t="str">
        <f t="shared" si="15"/>
        <v>OLD</v>
      </c>
    </row>
    <row r="515" spans="1:32" x14ac:dyDescent="0.2">
      <c r="A515" t="s">
        <v>1118</v>
      </c>
      <c r="B515" t="s">
        <v>39</v>
      </c>
      <c r="C515">
        <v>1012751002</v>
      </c>
      <c r="D515" t="s">
        <v>569</v>
      </c>
      <c r="E515" t="s">
        <v>31</v>
      </c>
      <c r="F515" s="1">
        <v>0.67291666666666672</v>
      </c>
      <c r="G515" t="s">
        <v>32</v>
      </c>
      <c r="H515" t="s">
        <v>33</v>
      </c>
      <c r="I515" t="s">
        <v>41</v>
      </c>
      <c r="J515" t="s">
        <v>62</v>
      </c>
      <c r="K515">
        <v>280</v>
      </c>
      <c r="L515">
        <v>0</v>
      </c>
      <c r="M515" t="s">
        <v>63</v>
      </c>
      <c r="N515">
        <v>250</v>
      </c>
      <c r="O515">
        <v>0</v>
      </c>
      <c r="P515">
        <v>0</v>
      </c>
      <c r="Q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 t="s">
        <v>36</v>
      </c>
      <c r="AC515" t="s">
        <v>43</v>
      </c>
      <c r="AD515" t="str">
        <f t="shared" ref="AD515:AD578" si="16">LEFT(D515,2)</f>
        <v>CP</v>
      </c>
      <c r="AE515" t="str">
        <f>_xlfn.XLOOKUP(D515,Mapping!A:A,Mapping!D:D,0,0)</f>
        <v>Bin</v>
      </c>
      <c r="AF515" t="str">
        <f t="shared" ref="AF515:AF578" si="17">IFERROR(IF(SEARCH("_TJ",D515)&gt;0,"TJ",NA()),IFERROR(IF(SEARCH("_JB",D515)&gt;0,"JB",NA()),"OLD"))</f>
        <v>OLD</v>
      </c>
    </row>
    <row r="516" spans="1:32" x14ac:dyDescent="0.2">
      <c r="A516" t="s">
        <v>1118</v>
      </c>
      <c r="B516" t="s">
        <v>39</v>
      </c>
      <c r="C516">
        <v>1012751012</v>
      </c>
      <c r="D516" t="s">
        <v>570</v>
      </c>
      <c r="E516" t="s">
        <v>31</v>
      </c>
      <c r="F516" s="1">
        <v>0.67291666666666672</v>
      </c>
      <c r="G516" t="s">
        <v>32</v>
      </c>
      <c r="H516" t="s">
        <v>33</v>
      </c>
      <c r="I516" t="s">
        <v>41</v>
      </c>
      <c r="J516" t="s">
        <v>62</v>
      </c>
      <c r="K516">
        <v>280</v>
      </c>
      <c r="L516">
        <v>0</v>
      </c>
      <c r="M516" t="s">
        <v>63</v>
      </c>
      <c r="N516">
        <v>250</v>
      </c>
      <c r="O516">
        <v>0</v>
      </c>
      <c r="P516">
        <v>0</v>
      </c>
      <c r="Q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 t="s">
        <v>36</v>
      </c>
      <c r="AC516" t="s">
        <v>43</v>
      </c>
      <c r="AD516" t="str">
        <f t="shared" si="16"/>
        <v>CP</v>
      </c>
      <c r="AE516" t="str">
        <f>_xlfn.XLOOKUP(D516,Mapping!A:A,Mapping!D:D,0,0)</f>
        <v>Bin</v>
      </c>
      <c r="AF516" t="str">
        <f t="shared" si="17"/>
        <v>OLD</v>
      </c>
    </row>
    <row r="517" spans="1:32" x14ac:dyDescent="0.2">
      <c r="A517" t="s">
        <v>1118</v>
      </c>
      <c r="B517" t="s">
        <v>29</v>
      </c>
      <c r="C517">
        <v>1012751022</v>
      </c>
      <c r="D517" t="s">
        <v>571</v>
      </c>
      <c r="E517" t="s">
        <v>31</v>
      </c>
      <c r="F517" s="1">
        <v>0.67291666666666672</v>
      </c>
      <c r="G517" t="s">
        <v>32</v>
      </c>
      <c r="H517" t="s">
        <v>33</v>
      </c>
      <c r="I517" t="s">
        <v>34</v>
      </c>
      <c r="J517" t="s">
        <v>84</v>
      </c>
      <c r="K517">
        <v>112</v>
      </c>
      <c r="L517">
        <v>0</v>
      </c>
      <c r="M517" t="s">
        <v>36</v>
      </c>
      <c r="N517" t="s">
        <v>37</v>
      </c>
      <c r="O517">
        <v>4104</v>
      </c>
      <c r="P517">
        <v>173</v>
      </c>
      <c r="Q517">
        <v>4.2153999999999998</v>
      </c>
      <c r="R517">
        <v>0</v>
      </c>
      <c r="S517">
        <v>12.06</v>
      </c>
      <c r="T517">
        <v>2.9390000000000001</v>
      </c>
      <c r="U517">
        <v>7.0000000000000007E-2</v>
      </c>
      <c r="V517">
        <v>0</v>
      </c>
      <c r="W517">
        <v>1</v>
      </c>
      <c r="X517">
        <v>0</v>
      </c>
      <c r="Y517" t="s">
        <v>36</v>
      </c>
      <c r="Z517">
        <v>4103</v>
      </c>
      <c r="AA517">
        <v>3343</v>
      </c>
      <c r="AB517">
        <v>360</v>
      </c>
      <c r="AC517" t="s">
        <v>172</v>
      </c>
      <c r="AD517" t="str">
        <f t="shared" si="16"/>
        <v>CP</v>
      </c>
      <c r="AE517" t="str">
        <f>_xlfn.XLOOKUP(D517,Mapping!A:A,Mapping!D:D,0,0)</f>
        <v>Keyword - Preroll</v>
      </c>
      <c r="AF517" t="str">
        <f t="shared" si="17"/>
        <v>OLD</v>
      </c>
    </row>
    <row r="518" spans="1:32" x14ac:dyDescent="0.2">
      <c r="A518" t="s">
        <v>1118</v>
      </c>
      <c r="B518" t="s">
        <v>39</v>
      </c>
      <c r="C518">
        <v>1012751032</v>
      </c>
      <c r="D518" t="s">
        <v>572</v>
      </c>
      <c r="E518" t="s">
        <v>31</v>
      </c>
      <c r="F518" s="1">
        <v>0.67291666666666672</v>
      </c>
      <c r="G518" t="s">
        <v>32</v>
      </c>
      <c r="H518" t="s">
        <v>33</v>
      </c>
      <c r="I518" t="s">
        <v>34</v>
      </c>
      <c r="J518" t="s">
        <v>84</v>
      </c>
      <c r="K518">
        <v>112</v>
      </c>
      <c r="L518">
        <v>0</v>
      </c>
      <c r="M518" t="s">
        <v>63</v>
      </c>
      <c r="N518">
        <v>250</v>
      </c>
      <c r="O518">
        <v>0</v>
      </c>
      <c r="P518">
        <v>0</v>
      </c>
      <c r="Q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 t="s">
        <v>36</v>
      </c>
      <c r="AC518" t="s">
        <v>43</v>
      </c>
      <c r="AD518" t="str">
        <f t="shared" si="16"/>
        <v>CP</v>
      </c>
      <c r="AE518" t="str">
        <f>_xlfn.XLOOKUP(D518,Mapping!A:A,Mapping!D:D,0,0)</f>
        <v>Bin</v>
      </c>
      <c r="AF518" t="str">
        <f t="shared" si="17"/>
        <v>OLD</v>
      </c>
    </row>
    <row r="519" spans="1:32" x14ac:dyDescent="0.2">
      <c r="A519" t="s">
        <v>1118</v>
      </c>
      <c r="B519" t="s">
        <v>29</v>
      </c>
      <c r="C519">
        <v>1012751042</v>
      </c>
      <c r="D519" t="s">
        <v>573</v>
      </c>
      <c r="E519" t="s">
        <v>31</v>
      </c>
      <c r="F519" s="1">
        <v>0.67291666666666672</v>
      </c>
      <c r="G519" t="s">
        <v>32</v>
      </c>
      <c r="H519" t="s">
        <v>33</v>
      </c>
      <c r="I519" t="s">
        <v>41</v>
      </c>
      <c r="J519" t="s">
        <v>62</v>
      </c>
      <c r="K519">
        <v>280</v>
      </c>
      <c r="L519">
        <v>0</v>
      </c>
      <c r="M519" t="s">
        <v>36</v>
      </c>
      <c r="N519" t="s">
        <v>37</v>
      </c>
      <c r="O519">
        <v>3498</v>
      </c>
      <c r="P519">
        <v>157</v>
      </c>
      <c r="Q519">
        <v>4.48827</v>
      </c>
      <c r="R519">
        <v>0</v>
      </c>
      <c r="S519">
        <v>6.09</v>
      </c>
      <c r="T519">
        <v>1.74</v>
      </c>
      <c r="U519">
        <v>3.9E-2</v>
      </c>
      <c r="V519">
        <v>0</v>
      </c>
      <c r="W519">
        <v>1</v>
      </c>
      <c r="X519">
        <v>0</v>
      </c>
      <c r="Y519" t="s">
        <v>36</v>
      </c>
      <c r="Z519">
        <v>3497</v>
      </c>
      <c r="AA519">
        <v>3140</v>
      </c>
      <c r="AB519">
        <v>254</v>
      </c>
      <c r="AC519" t="s">
        <v>172</v>
      </c>
      <c r="AD519" t="str">
        <f t="shared" si="16"/>
        <v>CP</v>
      </c>
      <c r="AE519" t="str">
        <f>_xlfn.XLOOKUP(D519,Mapping!A:A,Mapping!D:D,0,0)</f>
        <v>Keyword - Preroll</v>
      </c>
      <c r="AF519" t="str">
        <f t="shared" si="17"/>
        <v>OLD</v>
      </c>
    </row>
    <row r="520" spans="1:32" x14ac:dyDescent="0.2">
      <c r="A520" t="s">
        <v>1118</v>
      </c>
      <c r="B520" t="s">
        <v>39</v>
      </c>
      <c r="C520">
        <v>1012751052</v>
      </c>
      <c r="D520" t="s">
        <v>574</v>
      </c>
      <c r="E520" t="s">
        <v>31</v>
      </c>
      <c r="F520" s="1">
        <v>0.67291666666666672</v>
      </c>
      <c r="G520" t="s">
        <v>32</v>
      </c>
      <c r="H520" t="s">
        <v>33</v>
      </c>
      <c r="I520" t="s">
        <v>41</v>
      </c>
      <c r="J520" t="s">
        <v>62</v>
      </c>
      <c r="K520">
        <v>280</v>
      </c>
      <c r="L520">
        <v>0</v>
      </c>
      <c r="M520" t="s">
        <v>63</v>
      </c>
      <c r="N520">
        <v>250</v>
      </c>
      <c r="O520">
        <v>0</v>
      </c>
      <c r="P520">
        <v>0</v>
      </c>
      <c r="Q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 t="s">
        <v>36</v>
      </c>
      <c r="AC520" t="s">
        <v>43</v>
      </c>
      <c r="AD520" t="str">
        <f t="shared" si="16"/>
        <v>CP</v>
      </c>
      <c r="AE520" t="str">
        <f>_xlfn.XLOOKUP(D520,Mapping!A:A,Mapping!D:D,0,0)</f>
        <v>Bin</v>
      </c>
      <c r="AF520" t="str">
        <f t="shared" si="17"/>
        <v>OLD</v>
      </c>
    </row>
    <row r="521" spans="1:32" x14ac:dyDescent="0.2">
      <c r="A521" t="s">
        <v>1118</v>
      </c>
      <c r="B521" t="s">
        <v>39</v>
      </c>
      <c r="C521">
        <v>1012751062</v>
      </c>
      <c r="D521" t="s">
        <v>575</v>
      </c>
      <c r="E521" t="s">
        <v>31</v>
      </c>
      <c r="F521" s="1">
        <v>0.67291666666666672</v>
      </c>
      <c r="G521" t="s">
        <v>32</v>
      </c>
      <c r="H521" t="s">
        <v>33</v>
      </c>
      <c r="I521" t="s">
        <v>41</v>
      </c>
      <c r="J521" t="s">
        <v>62</v>
      </c>
      <c r="K521">
        <v>280</v>
      </c>
      <c r="L521">
        <v>0</v>
      </c>
      <c r="M521" t="s">
        <v>63</v>
      </c>
      <c r="N521">
        <v>250</v>
      </c>
      <c r="O521">
        <v>0</v>
      </c>
      <c r="P521">
        <v>0</v>
      </c>
      <c r="Q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 t="s">
        <v>36</v>
      </c>
      <c r="AC521" t="s">
        <v>43</v>
      </c>
      <c r="AD521" t="str">
        <f t="shared" si="16"/>
        <v>CP</v>
      </c>
      <c r="AE521" t="str">
        <f>_xlfn.XLOOKUP(D521,Mapping!A:A,Mapping!D:D,0,0)</f>
        <v>Bin</v>
      </c>
      <c r="AF521" t="str">
        <f t="shared" si="17"/>
        <v>OLD</v>
      </c>
    </row>
    <row r="522" spans="1:32" x14ac:dyDescent="0.2">
      <c r="A522" t="s">
        <v>1118</v>
      </c>
      <c r="B522" t="s">
        <v>39</v>
      </c>
      <c r="C522">
        <v>1012751072</v>
      </c>
      <c r="D522" t="s">
        <v>576</v>
      </c>
      <c r="E522" t="s">
        <v>31</v>
      </c>
      <c r="F522" s="1">
        <v>0.67291666666666672</v>
      </c>
      <c r="G522" t="s">
        <v>32</v>
      </c>
      <c r="H522" t="s">
        <v>33</v>
      </c>
      <c r="I522" t="s">
        <v>41</v>
      </c>
      <c r="J522" t="s">
        <v>62</v>
      </c>
      <c r="K522">
        <v>280</v>
      </c>
      <c r="L522">
        <v>0</v>
      </c>
      <c r="M522" t="s">
        <v>63</v>
      </c>
      <c r="N522">
        <v>250</v>
      </c>
      <c r="O522">
        <v>0</v>
      </c>
      <c r="P522">
        <v>0</v>
      </c>
      <c r="Q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 t="s">
        <v>36</v>
      </c>
      <c r="AC522" t="s">
        <v>43</v>
      </c>
      <c r="AD522" t="str">
        <f t="shared" si="16"/>
        <v>CP</v>
      </c>
      <c r="AE522" t="str">
        <f>_xlfn.XLOOKUP(D522,Mapping!A:A,Mapping!D:D,0,0)</f>
        <v>Bin</v>
      </c>
      <c r="AF522" t="str">
        <f t="shared" si="17"/>
        <v>OLD</v>
      </c>
    </row>
    <row r="523" spans="1:32" x14ac:dyDescent="0.2">
      <c r="A523" t="s">
        <v>1118</v>
      </c>
      <c r="B523" t="s">
        <v>39</v>
      </c>
      <c r="C523">
        <v>1012751082</v>
      </c>
      <c r="D523" t="s">
        <v>577</v>
      </c>
      <c r="E523" t="s">
        <v>31</v>
      </c>
      <c r="F523" s="1">
        <v>0.67291666666666672</v>
      </c>
      <c r="G523" t="s">
        <v>32</v>
      </c>
      <c r="H523" t="s">
        <v>33</v>
      </c>
      <c r="I523" t="s">
        <v>34</v>
      </c>
      <c r="J523" t="s">
        <v>84</v>
      </c>
      <c r="K523">
        <v>112</v>
      </c>
      <c r="L523">
        <v>0</v>
      </c>
      <c r="M523" t="s">
        <v>63</v>
      </c>
      <c r="N523">
        <v>250</v>
      </c>
      <c r="O523">
        <v>0</v>
      </c>
      <c r="P523">
        <v>0</v>
      </c>
      <c r="Q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 t="s">
        <v>36</v>
      </c>
      <c r="AC523" t="s">
        <v>43</v>
      </c>
      <c r="AD523" t="str">
        <f t="shared" si="16"/>
        <v>CP</v>
      </c>
      <c r="AE523" t="str">
        <f>_xlfn.XLOOKUP(D523,Mapping!A:A,Mapping!D:D,0,0)</f>
        <v>Bin</v>
      </c>
      <c r="AF523" t="str">
        <f t="shared" si="17"/>
        <v>OLD</v>
      </c>
    </row>
    <row r="524" spans="1:32" x14ac:dyDescent="0.2">
      <c r="A524" t="s">
        <v>1118</v>
      </c>
      <c r="B524" t="s">
        <v>39</v>
      </c>
      <c r="C524">
        <v>1012751092</v>
      </c>
      <c r="D524" t="s">
        <v>578</v>
      </c>
      <c r="E524" t="s">
        <v>31</v>
      </c>
      <c r="F524" s="1">
        <v>0.67291666666666672</v>
      </c>
      <c r="G524" t="s">
        <v>32</v>
      </c>
      <c r="H524" t="s">
        <v>33</v>
      </c>
      <c r="I524" t="s">
        <v>34</v>
      </c>
      <c r="J524" t="s">
        <v>84</v>
      </c>
      <c r="K524">
        <v>112</v>
      </c>
      <c r="L524">
        <v>0</v>
      </c>
      <c r="M524" t="s">
        <v>63</v>
      </c>
      <c r="N524">
        <v>250</v>
      </c>
      <c r="O524">
        <v>0</v>
      </c>
      <c r="P524">
        <v>0</v>
      </c>
      <c r="Q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 t="s">
        <v>36</v>
      </c>
      <c r="AC524" t="s">
        <v>43</v>
      </c>
      <c r="AD524" t="str">
        <f t="shared" si="16"/>
        <v>CP</v>
      </c>
      <c r="AE524" t="str">
        <f>_xlfn.XLOOKUP(D524,Mapping!A:A,Mapping!D:D,0,0)</f>
        <v>Bin</v>
      </c>
      <c r="AF524" t="str">
        <f t="shared" si="17"/>
        <v>OLD</v>
      </c>
    </row>
    <row r="525" spans="1:32" x14ac:dyDescent="0.2">
      <c r="A525" t="s">
        <v>1118</v>
      </c>
      <c r="B525" t="s">
        <v>39</v>
      </c>
      <c r="C525">
        <v>1012751102</v>
      </c>
      <c r="D525" t="s">
        <v>579</v>
      </c>
      <c r="E525" t="s">
        <v>31</v>
      </c>
      <c r="F525" s="1">
        <v>0.67291666666666672</v>
      </c>
      <c r="G525" t="s">
        <v>32</v>
      </c>
      <c r="H525" t="s">
        <v>33</v>
      </c>
      <c r="I525" t="s">
        <v>41</v>
      </c>
      <c r="J525" t="s">
        <v>62</v>
      </c>
      <c r="K525">
        <v>280</v>
      </c>
      <c r="L525">
        <v>0</v>
      </c>
      <c r="M525" t="s">
        <v>63</v>
      </c>
      <c r="N525">
        <v>250</v>
      </c>
      <c r="O525">
        <v>0</v>
      </c>
      <c r="P525">
        <v>0</v>
      </c>
      <c r="Q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 t="s">
        <v>36</v>
      </c>
      <c r="AC525" t="s">
        <v>43</v>
      </c>
      <c r="AD525" t="str">
        <f t="shared" si="16"/>
        <v>CP</v>
      </c>
      <c r="AE525" t="str">
        <f>_xlfn.XLOOKUP(D525,Mapping!A:A,Mapping!D:D,0,0)</f>
        <v>Bin</v>
      </c>
      <c r="AF525" t="str">
        <f t="shared" si="17"/>
        <v>OLD</v>
      </c>
    </row>
    <row r="526" spans="1:32" x14ac:dyDescent="0.2">
      <c r="A526" t="s">
        <v>1118</v>
      </c>
      <c r="B526" t="s">
        <v>39</v>
      </c>
      <c r="C526">
        <v>1012751112</v>
      </c>
      <c r="D526" t="s">
        <v>580</v>
      </c>
      <c r="E526" t="s">
        <v>31</v>
      </c>
      <c r="F526" s="1">
        <v>0.67291666666666672</v>
      </c>
      <c r="G526" t="s">
        <v>32</v>
      </c>
      <c r="H526" t="s">
        <v>33</v>
      </c>
      <c r="I526" t="s">
        <v>41</v>
      </c>
      <c r="J526" t="s">
        <v>62</v>
      </c>
      <c r="K526">
        <v>280</v>
      </c>
      <c r="L526">
        <v>0</v>
      </c>
      <c r="M526" t="s">
        <v>36</v>
      </c>
      <c r="N526" t="s">
        <v>37</v>
      </c>
      <c r="O526">
        <v>0</v>
      </c>
      <c r="P526">
        <v>0</v>
      </c>
      <c r="Q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 t="s">
        <v>36</v>
      </c>
      <c r="AC526" t="s">
        <v>43</v>
      </c>
      <c r="AD526" t="str">
        <f t="shared" si="16"/>
        <v>CP</v>
      </c>
      <c r="AE526" t="str">
        <f>_xlfn.XLOOKUP(D526,Mapping!A:A,Mapping!D:D,0,0)</f>
        <v>Bin</v>
      </c>
      <c r="AF526" t="str">
        <f t="shared" si="17"/>
        <v>OLD</v>
      </c>
    </row>
    <row r="527" spans="1:32" x14ac:dyDescent="0.2">
      <c r="A527" t="s">
        <v>1118</v>
      </c>
      <c r="B527" t="s">
        <v>39</v>
      </c>
      <c r="C527">
        <v>1012751332</v>
      </c>
      <c r="D527" t="s">
        <v>581</v>
      </c>
      <c r="E527" t="s">
        <v>31</v>
      </c>
      <c r="F527" s="1">
        <v>0.38611111111111113</v>
      </c>
      <c r="G527" t="s">
        <v>32</v>
      </c>
      <c r="H527" t="s">
        <v>33</v>
      </c>
      <c r="I527" t="s">
        <v>41</v>
      </c>
      <c r="J527" t="s">
        <v>58</v>
      </c>
      <c r="K527">
        <v>8</v>
      </c>
      <c r="L527">
        <v>0</v>
      </c>
      <c r="M527" t="s">
        <v>36</v>
      </c>
      <c r="N527" t="s">
        <v>37</v>
      </c>
      <c r="O527">
        <v>0</v>
      </c>
      <c r="P527">
        <v>0</v>
      </c>
      <c r="Q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 t="s">
        <v>36</v>
      </c>
      <c r="AC527" t="s">
        <v>43</v>
      </c>
      <c r="AD527" t="str">
        <f t="shared" si="16"/>
        <v>CP</v>
      </c>
      <c r="AE527" t="str">
        <f>_xlfn.XLOOKUP(D527,Mapping!A:A,Mapping!D:D,0,0)</f>
        <v>Bin</v>
      </c>
      <c r="AF527" t="str">
        <f t="shared" si="17"/>
        <v>OLD</v>
      </c>
    </row>
    <row r="528" spans="1:32" x14ac:dyDescent="0.2">
      <c r="A528" t="s">
        <v>1118</v>
      </c>
      <c r="B528" t="s">
        <v>39</v>
      </c>
      <c r="C528">
        <v>1012751342</v>
      </c>
      <c r="D528" t="s">
        <v>582</v>
      </c>
      <c r="E528" t="s">
        <v>31</v>
      </c>
      <c r="F528" s="1">
        <v>0.67291666666666672</v>
      </c>
      <c r="G528" t="s">
        <v>32</v>
      </c>
      <c r="H528" t="s">
        <v>33</v>
      </c>
      <c r="I528" t="s">
        <v>34</v>
      </c>
      <c r="J528" t="s">
        <v>84</v>
      </c>
      <c r="K528">
        <v>112</v>
      </c>
      <c r="L528">
        <v>0</v>
      </c>
      <c r="M528" t="s">
        <v>36</v>
      </c>
      <c r="N528" t="s">
        <v>37</v>
      </c>
      <c r="O528">
        <v>0</v>
      </c>
      <c r="P528">
        <v>0</v>
      </c>
      <c r="Q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 t="s">
        <v>36</v>
      </c>
      <c r="AC528" t="s">
        <v>119</v>
      </c>
      <c r="AD528" t="str">
        <f t="shared" si="16"/>
        <v>CP</v>
      </c>
      <c r="AE528" t="str">
        <f>_xlfn.XLOOKUP(D528,Mapping!A:A,Mapping!D:D,0,0)</f>
        <v>Archive</v>
      </c>
      <c r="AF528" t="str">
        <f t="shared" si="17"/>
        <v>OLD</v>
      </c>
    </row>
    <row r="529" spans="1:32" x14ac:dyDescent="0.2">
      <c r="A529" t="s">
        <v>1118</v>
      </c>
      <c r="B529" t="s">
        <v>39</v>
      </c>
      <c r="C529">
        <v>1012751352</v>
      </c>
      <c r="D529" t="s">
        <v>583</v>
      </c>
      <c r="E529" t="s">
        <v>31</v>
      </c>
      <c r="F529" s="1">
        <v>0.38611111111111113</v>
      </c>
      <c r="G529" t="s">
        <v>32</v>
      </c>
      <c r="H529" t="s">
        <v>33</v>
      </c>
      <c r="I529" t="s">
        <v>41</v>
      </c>
      <c r="J529" t="s">
        <v>58</v>
      </c>
      <c r="K529">
        <v>8</v>
      </c>
      <c r="L529">
        <v>0</v>
      </c>
      <c r="M529" t="s">
        <v>36</v>
      </c>
      <c r="N529" t="s">
        <v>37</v>
      </c>
      <c r="O529">
        <v>0</v>
      </c>
      <c r="P529">
        <v>0</v>
      </c>
      <c r="Q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 t="s">
        <v>36</v>
      </c>
      <c r="AC529" t="s">
        <v>43</v>
      </c>
      <c r="AD529" t="str">
        <f t="shared" si="16"/>
        <v>CP</v>
      </c>
      <c r="AE529" t="str">
        <f>_xlfn.XLOOKUP(D529,Mapping!A:A,Mapping!D:D,0,0)</f>
        <v>Bin</v>
      </c>
      <c r="AF529" t="str">
        <f t="shared" si="17"/>
        <v>OLD</v>
      </c>
    </row>
    <row r="530" spans="1:32" x14ac:dyDescent="0.2">
      <c r="A530" t="s">
        <v>1118</v>
      </c>
      <c r="B530" t="s">
        <v>39</v>
      </c>
      <c r="C530">
        <v>1012769582</v>
      </c>
      <c r="D530" t="s">
        <v>584</v>
      </c>
      <c r="E530" t="s">
        <v>31</v>
      </c>
      <c r="F530" t="s">
        <v>246</v>
      </c>
      <c r="G530" t="s">
        <v>247</v>
      </c>
      <c r="H530" t="s">
        <v>33</v>
      </c>
      <c r="I530" t="s">
        <v>41</v>
      </c>
      <c r="J530" t="s">
        <v>84</v>
      </c>
      <c r="K530">
        <v>416</v>
      </c>
      <c r="L530">
        <v>0</v>
      </c>
      <c r="M530" t="s">
        <v>63</v>
      </c>
      <c r="N530">
        <v>150</v>
      </c>
      <c r="O530">
        <v>0</v>
      </c>
      <c r="P530">
        <v>0</v>
      </c>
      <c r="Q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 t="s">
        <v>36</v>
      </c>
      <c r="AC530" t="s">
        <v>43</v>
      </c>
      <c r="AD530" t="str">
        <f t="shared" si="16"/>
        <v>CP</v>
      </c>
      <c r="AE530" t="str">
        <f>_xlfn.XLOOKUP(D530,Mapping!A:A,Mapping!D:D,0,0)</f>
        <v>Bin</v>
      </c>
      <c r="AF530" t="str">
        <f t="shared" si="17"/>
        <v>OLD</v>
      </c>
    </row>
    <row r="531" spans="1:32" x14ac:dyDescent="0.2">
      <c r="A531" t="s">
        <v>1118</v>
      </c>
      <c r="B531" t="s">
        <v>39</v>
      </c>
      <c r="C531">
        <v>1012769592</v>
      </c>
      <c r="D531" t="s">
        <v>245</v>
      </c>
      <c r="E531" t="s">
        <v>31</v>
      </c>
      <c r="F531" t="s">
        <v>246</v>
      </c>
      <c r="G531" t="s">
        <v>247</v>
      </c>
      <c r="H531" t="s">
        <v>33</v>
      </c>
      <c r="I531" t="s">
        <v>41</v>
      </c>
      <c r="J531" t="s">
        <v>84</v>
      </c>
      <c r="K531">
        <v>416</v>
      </c>
      <c r="L531">
        <v>0</v>
      </c>
      <c r="M531" t="s">
        <v>36</v>
      </c>
      <c r="N531" t="s">
        <v>37</v>
      </c>
      <c r="O531">
        <v>0</v>
      </c>
      <c r="P531">
        <v>0</v>
      </c>
      <c r="Q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 t="s">
        <v>36</v>
      </c>
      <c r="AC531" t="s">
        <v>43</v>
      </c>
      <c r="AD531" t="str">
        <f t="shared" si="16"/>
        <v>CP</v>
      </c>
      <c r="AE531" t="str">
        <f>_xlfn.XLOOKUP(D531,Mapping!A:A,Mapping!D:D,0,0)</f>
        <v>Bin</v>
      </c>
      <c r="AF531" t="str">
        <f t="shared" si="17"/>
        <v>OLD</v>
      </c>
    </row>
    <row r="532" spans="1:32" x14ac:dyDescent="0.2">
      <c r="A532" t="s">
        <v>1118</v>
      </c>
      <c r="B532" t="s">
        <v>39</v>
      </c>
      <c r="C532">
        <v>1012769602</v>
      </c>
      <c r="D532" t="s">
        <v>585</v>
      </c>
      <c r="E532" t="s">
        <v>31</v>
      </c>
      <c r="F532" t="s">
        <v>246</v>
      </c>
      <c r="G532" t="s">
        <v>247</v>
      </c>
      <c r="H532" t="s">
        <v>33</v>
      </c>
      <c r="I532" t="s">
        <v>41</v>
      </c>
      <c r="J532" t="s">
        <v>84</v>
      </c>
      <c r="K532">
        <v>416</v>
      </c>
      <c r="L532">
        <v>0</v>
      </c>
      <c r="M532" t="s">
        <v>63</v>
      </c>
      <c r="N532">
        <v>150</v>
      </c>
      <c r="O532">
        <v>0</v>
      </c>
      <c r="P532">
        <v>0</v>
      </c>
      <c r="Q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 t="s">
        <v>36</v>
      </c>
      <c r="AC532" t="s">
        <v>43</v>
      </c>
      <c r="AD532" t="str">
        <f t="shared" si="16"/>
        <v>CP</v>
      </c>
      <c r="AE532" t="str">
        <f>_xlfn.XLOOKUP(D532,Mapping!A:A,Mapping!D:D,0,0)</f>
        <v>Bin</v>
      </c>
      <c r="AF532" t="str">
        <f t="shared" si="17"/>
        <v>OLD</v>
      </c>
    </row>
    <row r="533" spans="1:32" x14ac:dyDescent="0.2">
      <c r="A533" t="s">
        <v>1118</v>
      </c>
      <c r="B533" t="s">
        <v>39</v>
      </c>
      <c r="C533">
        <v>1012769612</v>
      </c>
      <c r="D533" t="s">
        <v>586</v>
      </c>
      <c r="E533" t="s">
        <v>31</v>
      </c>
      <c r="F533" t="s">
        <v>246</v>
      </c>
      <c r="G533" t="s">
        <v>247</v>
      </c>
      <c r="H533" t="s">
        <v>33</v>
      </c>
      <c r="I533" t="s">
        <v>41</v>
      </c>
      <c r="J533" t="s">
        <v>84</v>
      </c>
      <c r="K533">
        <v>416</v>
      </c>
      <c r="L533">
        <v>0</v>
      </c>
      <c r="M533" t="s">
        <v>36</v>
      </c>
      <c r="N533" t="s">
        <v>37</v>
      </c>
      <c r="O533">
        <v>0</v>
      </c>
      <c r="P533">
        <v>0</v>
      </c>
      <c r="Q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 t="s">
        <v>36</v>
      </c>
      <c r="AC533" t="s">
        <v>43</v>
      </c>
      <c r="AD533" t="str">
        <f t="shared" si="16"/>
        <v>CP</v>
      </c>
      <c r="AE533" t="str">
        <f>_xlfn.XLOOKUP(D533,Mapping!A:A,Mapping!D:D,0,0)</f>
        <v>Bin</v>
      </c>
      <c r="AF533" t="str">
        <f t="shared" si="17"/>
        <v>OLD</v>
      </c>
    </row>
    <row r="534" spans="1:32" x14ac:dyDescent="0.2">
      <c r="A534" t="s">
        <v>1118</v>
      </c>
      <c r="B534" t="s">
        <v>39</v>
      </c>
      <c r="C534">
        <v>1012769622</v>
      </c>
      <c r="D534" t="s">
        <v>587</v>
      </c>
      <c r="E534" t="s">
        <v>31</v>
      </c>
      <c r="F534" t="s">
        <v>246</v>
      </c>
      <c r="G534" t="s">
        <v>247</v>
      </c>
      <c r="H534" t="s">
        <v>33</v>
      </c>
      <c r="I534" t="s">
        <v>41</v>
      </c>
      <c r="J534" t="s">
        <v>84</v>
      </c>
      <c r="K534">
        <v>416</v>
      </c>
      <c r="L534">
        <v>0</v>
      </c>
      <c r="M534" t="s">
        <v>63</v>
      </c>
      <c r="N534">
        <v>150</v>
      </c>
      <c r="O534">
        <v>0</v>
      </c>
      <c r="P534">
        <v>0</v>
      </c>
      <c r="Q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 t="s">
        <v>36</v>
      </c>
      <c r="AC534" t="s">
        <v>43</v>
      </c>
      <c r="AD534" t="str">
        <f t="shared" si="16"/>
        <v>CP</v>
      </c>
      <c r="AE534" t="str">
        <f>_xlfn.XLOOKUP(D534,Mapping!A:A,Mapping!D:D,0,0)</f>
        <v>Bin</v>
      </c>
      <c r="AF534" t="str">
        <f t="shared" si="17"/>
        <v>OLD</v>
      </c>
    </row>
    <row r="535" spans="1:32" x14ac:dyDescent="0.2">
      <c r="A535" t="s">
        <v>1118</v>
      </c>
      <c r="B535" t="s">
        <v>39</v>
      </c>
      <c r="C535">
        <v>1012769632</v>
      </c>
      <c r="D535" t="s">
        <v>588</v>
      </c>
      <c r="E535" t="s">
        <v>31</v>
      </c>
      <c r="F535" t="s">
        <v>246</v>
      </c>
      <c r="G535" t="s">
        <v>247</v>
      </c>
      <c r="H535" t="s">
        <v>33</v>
      </c>
      <c r="I535" t="s">
        <v>41</v>
      </c>
      <c r="J535" t="s">
        <v>84</v>
      </c>
      <c r="K535">
        <v>416</v>
      </c>
      <c r="L535">
        <v>0</v>
      </c>
      <c r="M535" t="s">
        <v>36</v>
      </c>
      <c r="N535" t="s">
        <v>37</v>
      </c>
      <c r="O535">
        <v>0</v>
      </c>
      <c r="P535">
        <v>0</v>
      </c>
      <c r="Q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 t="s">
        <v>36</v>
      </c>
      <c r="AC535" t="s">
        <v>43</v>
      </c>
      <c r="AD535" t="str">
        <f t="shared" si="16"/>
        <v>CP</v>
      </c>
      <c r="AE535" t="str">
        <f>_xlfn.XLOOKUP(D535,Mapping!A:A,Mapping!D:D,0,0)</f>
        <v>Bin</v>
      </c>
      <c r="AF535" t="str">
        <f t="shared" si="17"/>
        <v>OLD</v>
      </c>
    </row>
    <row r="536" spans="1:32" x14ac:dyDescent="0.2">
      <c r="A536" t="s">
        <v>1118</v>
      </c>
      <c r="B536" t="s">
        <v>39</v>
      </c>
      <c r="C536">
        <v>1012772722</v>
      </c>
      <c r="D536" t="s">
        <v>589</v>
      </c>
      <c r="E536" t="s">
        <v>31</v>
      </c>
      <c r="F536" s="1">
        <v>0.67291666666666672</v>
      </c>
      <c r="G536" t="s">
        <v>32</v>
      </c>
      <c r="H536" t="s">
        <v>33</v>
      </c>
      <c r="I536" t="s">
        <v>41</v>
      </c>
      <c r="J536" t="s">
        <v>84</v>
      </c>
      <c r="K536">
        <v>280</v>
      </c>
      <c r="L536">
        <v>0</v>
      </c>
      <c r="M536" t="s">
        <v>36</v>
      </c>
      <c r="N536" t="s">
        <v>37</v>
      </c>
      <c r="O536">
        <v>0</v>
      </c>
      <c r="P536">
        <v>0</v>
      </c>
      <c r="Q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 t="s">
        <v>36</v>
      </c>
      <c r="AC536" t="s">
        <v>43</v>
      </c>
      <c r="AD536" t="str">
        <f t="shared" si="16"/>
        <v>CP</v>
      </c>
      <c r="AE536" t="str">
        <f>_xlfn.XLOOKUP(D536,Mapping!A:A,Mapping!D:D,0,0)</f>
        <v>Bin</v>
      </c>
      <c r="AF536" t="str">
        <f t="shared" si="17"/>
        <v>OLD</v>
      </c>
    </row>
    <row r="537" spans="1:32" x14ac:dyDescent="0.2">
      <c r="A537" t="s">
        <v>1118</v>
      </c>
      <c r="B537" t="s">
        <v>39</v>
      </c>
      <c r="C537">
        <v>1012772732</v>
      </c>
      <c r="D537" t="s">
        <v>590</v>
      </c>
      <c r="E537" t="s">
        <v>31</v>
      </c>
      <c r="F537" s="1">
        <v>0.67291666666666672</v>
      </c>
      <c r="G537" t="s">
        <v>32</v>
      </c>
      <c r="H537" t="s">
        <v>33</v>
      </c>
      <c r="I537" t="s">
        <v>34</v>
      </c>
      <c r="J537" t="s">
        <v>84</v>
      </c>
      <c r="K537">
        <v>208</v>
      </c>
      <c r="L537">
        <v>0</v>
      </c>
      <c r="M537" t="s">
        <v>36</v>
      </c>
      <c r="N537" t="s">
        <v>37</v>
      </c>
      <c r="O537">
        <v>0</v>
      </c>
      <c r="P537">
        <v>0</v>
      </c>
      <c r="Q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 t="s">
        <v>36</v>
      </c>
      <c r="AC537" t="s">
        <v>423</v>
      </c>
      <c r="AD537" t="str">
        <f t="shared" si="16"/>
        <v>CP</v>
      </c>
      <c r="AE537" t="str">
        <f>_xlfn.XLOOKUP(D537,Mapping!A:A,Mapping!D:D,0,0)</f>
        <v>Trans</v>
      </c>
      <c r="AF537" t="str">
        <f t="shared" si="17"/>
        <v>OLD</v>
      </c>
    </row>
    <row r="538" spans="1:32" x14ac:dyDescent="0.2">
      <c r="A538" t="s">
        <v>1118</v>
      </c>
      <c r="B538" t="s">
        <v>39</v>
      </c>
      <c r="C538">
        <v>1012772742</v>
      </c>
      <c r="D538" t="s">
        <v>591</v>
      </c>
      <c r="E538" t="s">
        <v>31</v>
      </c>
      <c r="F538" s="1">
        <v>0.67291666666666672</v>
      </c>
      <c r="G538" t="s">
        <v>32</v>
      </c>
      <c r="H538" t="s">
        <v>33</v>
      </c>
      <c r="I538" t="s">
        <v>41</v>
      </c>
      <c r="J538" t="s">
        <v>62</v>
      </c>
      <c r="K538">
        <v>280</v>
      </c>
      <c r="L538">
        <v>0</v>
      </c>
      <c r="M538" t="s">
        <v>63</v>
      </c>
      <c r="N538">
        <v>250</v>
      </c>
      <c r="O538">
        <v>0</v>
      </c>
      <c r="P538">
        <v>0</v>
      </c>
      <c r="Q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 t="s">
        <v>36</v>
      </c>
      <c r="AC538" t="s">
        <v>43</v>
      </c>
      <c r="AD538" t="str">
        <f t="shared" si="16"/>
        <v>CP</v>
      </c>
      <c r="AE538" t="str">
        <f>_xlfn.XLOOKUP(D538,Mapping!A:A,Mapping!D:D,0,0)</f>
        <v>Bin</v>
      </c>
      <c r="AF538" t="str">
        <f t="shared" si="17"/>
        <v>OLD</v>
      </c>
    </row>
    <row r="539" spans="1:32" x14ac:dyDescent="0.2">
      <c r="A539" t="s">
        <v>1118</v>
      </c>
      <c r="B539" t="s">
        <v>39</v>
      </c>
      <c r="C539">
        <v>1012772752</v>
      </c>
      <c r="D539" t="s">
        <v>592</v>
      </c>
      <c r="E539" t="s">
        <v>31</v>
      </c>
      <c r="F539" s="1">
        <v>0.67291666666666672</v>
      </c>
      <c r="G539" t="s">
        <v>32</v>
      </c>
      <c r="H539" t="s">
        <v>33</v>
      </c>
      <c r="I539" t="s">
        <v>34</v>
      </c>
      <c r="J539" t="s">
        <v>84</v>
      </c>
      <c r="K539">
        <v>112</v>
      </c>
      <c r="L539">
        <v>0</v>
      </c>
      <c r="M539" t="s">
        <v>63</v>
      </c>
      <c r="N539">
        <v>250</v>
      </c>
      <c r="O539">
        <v>0</v>
      </c>
      <c r="P539">
        <v>0</v>
      </c>
      <c r="Q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 t="s">
        <v>36</v>
      </c>
      <c r="AC539" t="s">
        <v>43</v>
      </c>
      <c r="AD539" t="str">
        <f t="shared" si="16"/>
        <v>CP</v>
      </c>
      <c r="AE539" t="str">
        <f>_xlfn.XLOOKUP(D539,Mapping!A:A,Mapping!D:D,0,0)</f>
        <v>Bin</v>
      </c>
      <c r="AF539" t="str">
        <f t="shared" si="17"/>
        <v>OLD</v>
      </c>
    </row>
    <row r="540" spans="1:32" x14ac:dyDescent="0.2">
      <c r="A540" t="s">
        <v>1118</v>
      </c>
      <c r="B540" t="s">
        <v>39</v>
      </c>
      <c r="C540">
        <v>1012772762</v>
      </c>
      <c r="D540" t="s">
        <v>593</v>
      </c>
      <c r="E540" t="s">
        <v>31</v>
      </c>
      <c r="F540" s="1">
        <v>0.67291666666666672</v>
      </c>
      <c r="G540" t="s">
        <v>32</v>
      </c>
      <c r="H540" t="s">
        <v>33</v>
      </c>
      <c r="I540" t="s">
        <v>41</v>
      </c>
      <c r="J540" t="s">
        <v>84</v>
      </c>
      <c r="K540">
        <v>280</v>
      </c>
      <c r="L540">
        <v>0</v>
      </c>
      <c r="M540" t="s">
        <v>63</v>
      </c>
      <c r="N540">
        <v>250</v>
      </c>
      <c r="O540">
        <v>0</v>
      </c>
      <c r="P540">
        <v>0</v>
      </c>
      <c r="Q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 t="s">
        <v>36</v>
      </c>
      <c r="AC540" t="s">
        <v>43</v>
      </c>
      <c r="AD540" t="str">
        <f t="shared" si="16"/>
        <v>CP</v>
      </c>
      <c r="AE540" t="str">
        <f>_xlfn.XLOOKUP(D540,Mapping!A:A,Mapping!D:D,0,0)</f>
        <v>Bin</v>
      </c>
      <c r="AF540" t="str">
        <f t="shared" si="17"/>
        <v>OLD</v>
      </c>
    </row>
    <row r="541" spans="1:32" x14ac:dyDescent="0.2">
      <c r="A541" t="s">
        <v>1118</v>
      </c>
      <c r="B541" t="s">
        <v>39</v>
      </c>
      <c r="C541">
        <v>1012772772</v>
      </c>
      <c r="D541" t="s">
        <v>594</v>
      </c>
      <c r="E541" t="s">
        <v>31</v>
      </c>
      <c r="F541" s="1">
        <v>0.67291666666666672</v>
      </c>
      <c r="G541" t="s">
        <v>32</v>
      </c>
      <c r="H541" t="s">
        <v>33</v>
      </c>
      <c r="I541" t="s">
        <v>41</v>
      </c>
      <c r="J541" t="s">
        <v>84</v>
      </c>
      <c r="K541">
        <v>280</v>
      </c>
      <c r="L541">
        <v>0</v>
      </c>
      <c r="M541" t="s">
        <v>36</v>
      </c>
      <c r="N541" t="s">
        <v>37</v>
      </c>
      <c r="O541">
        <v>0</v>
      </c>
      <c r="P541">
        <v>0</v>
      </c>
      <c r="Q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 t="s">
        <v>36</v>
      </c>
      <c r="AC541" t="s">
        <v>43</v>
      </c>
      <c r="AD541" t="str">
        <f t="shared" si="16"/>
        <v>CP</v>
      </c>
      <c r="AE541" t="str">
        <f>_xlfn.XLOOKUP(D541,Mapping!A:A,Mapping!D:D,0,0)</f>
        <v>Bin</v>
      </c>
      <c r="AF541" t="str">
        <f t="shared" si="17"/>
        <v>OLD</v>
      </c>
    </row>
    <row r="542" spans="1:32" x14ac:dyDescent="0.2">
      <c r="A542" t="s">
        <v>1118</v>
      </c>
      <c r="B542" t="s">
        <v>39</v>
      </c>
      <c r="C542">
        <v>1012772782</v>
      </c>
      <c r="D542" t="s">
        <v>595</v>
      </c>
      <c r="E542" t="s">
        <v>31</v>
      </c>
      <c r="F542" s="1">
        <v>0.67291666666666672</v>
      </c>
      <c r="G542" t="s">
        <v>32</v>
      </c>
      <c r="H542" t="s">
        <v>33</v>
      </c>
      <c r="I542" t="s">
        <v>34</v>
      </c>
      <c r="J542" t="s">
        <v>84</v>
      </c>
      <c r="K542">
        <v>112</v>
      </c>
      <c r="L542">
        <v>0</v>
      </c>
      <c r="M542" t="s">
        <v>63</v>
      </c>
      <c r="N542">
        <v>250</v>
      </c>
      <c r="O542">
        <v>0</v>
      </c>
      <c r="P542">
        <v>0</v>
      </c>
      <c r="Q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 t="s">
        <v>36</v>
      </c>
      <c r="AC542" t="s">
        <v>43</v>
      </c>
      <c r="AD542" t="str">
        <f t="shared" si="16"/>
        <v>CP</v>
      </c>
      <c r="AE542" t="str">
        <f>_xlfn.XLOOKUP(D542,Mapping!A:A,Mapping!D:D,0,0)</f>
        <v>Keyword - Preroll</v>
      </c>
      <c r="AF542" t="str">
        <f t="shared" si="17"/>
        <v>OLD</v>
      </c>
    </row>
    <row r="543" spans="1:32" x14ac:dyDescent="0.2">
      <c r="A543" t="s">
        <v>1118</v>
      </c>
      <c r="B543" t="s">
        <v>39</v>
      </c>
      <c r="C543">
        <v>1012772792</v>
      </c>
      <c r="D543" t="s">
        <v>596</v>
      </c>
      <c r="E543" t="s">
        <v>31</v>
      </c>
      <c r="F543" s="1">
        <v>0.67291666666666672</v>
      </c>
      <c r="G543" t="s">
        <v>32</v>
      </c>
      <c r="H543" t="s">
        <v>33</v>
      </c>
      <c r="I543" t="s">
        <v>41</v>
      </c>
      <c r="J543" t="s">
        <v>62</v>
      </c>
      <c r="K543">
        <v>280</v>
      </c>
      <c r="L543">
        <v>0</v>
      </c>
      <c r="M543" t="s">
        <v>63</v>
      </c>
      <c r="N543">
        <v>250</v>
      </c>
      <c r="O543">
        <v>0</v>
      </c>
      <c r="P543">
        <v>0</v>
      </c>
      <c r="Q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 t="s">
        <v>36</v>
      </c>
      <c r="AC543" t="s">
        <v>43</v>
      </c>
      <c r="AD543" t="str">
        <f t="shared" si="16"/>
        <v>CP</v>
      </c>
      <c r="AE543" t="str">
        <f>_xlfn.XLOOKUP(D543,Mapping!A:A,Mapping!D:D,0,0)</f>
        <v>Bin</v>
      </c>
      <c r="AF543" t="str">
        <f t="shared" si="17"/>
        <v>OLD</v>
      </c>
    </row>
    <row r="544" spans="1:32" x14ac:dyDescent="0.2">
      <c r="A544" t="s">
        <v>1118</v>
      </c>
      <c r="B544" t="s">
        <v>39</v>
      </c>
      <c r="C544">
        <v>1012772802</v>
      </c>
      <c r="D544" t="s">
        <v>597</v>
      </c>
      <c r="E544" t="s">
        <v>31</v>
      </c>
      <c r="F544" s="1">
        <v>0.67291666666666672</v>
      </c>
      <c r="G544" t="s">
        <v>32</v>
      </c>
      <c r="H544" t="s">
        <v>33</v>
      </c>
      <c r="I544" t="s">
        <v>41</v>
      </c>
      <c r="J544" t="s">
        <v>62</v>
      </c>
      <c r="K544">
        <v>280</v>
      </c>
      <c r="L544">
        <v>0</v>
      </c>
      <c r="M544" t="s">
        <v>63</v>
      </c>
      <c r="N544">
        <v>250</v>
      </c>
      <c r="O544">
        <v>0</v>
      </c>
      <c r="P544">
        <v>0</v>
      </c>
      <c r="Q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 t="s">
        <v>36</v>
      </c>
      <c r="AC544" t="s">
        <v>43</v>
      </c>
      <c r="AD544" t="str">
        <f t="shared" si="16"/>
        <v>CP</v>
      </c>
      <c r="AE544" t="str">
        <f>_xlfn.XLOOKUP(D544,Mapping!A:A,Mapping!D:D,0,0)</f>
        <v>Bin</v>
      </c>
      <c r="AF544" t="str">
        <f t="shared" si="17"/>
        <v>OLD</v>
      </c>
    </row>
    <row r="545" spans="1:32" x14ac:dyDescent="0.2">
      <c r="A545" t="s">
        <v>1118</v>
      </c>
      <c r="B545" t="s">
        <v>39</v>
      </c>
      <c r="C545">
        <v>1012772812</v>
      </c>
      <c r="D545" t="s">
        <v>598</v>
      </c>
      <c r="E545" t="s">
        <v>31</v>
      </c>
      <c r="F545" s="1">
        <v>0.67291666666666672</v>
      </c>
      <c r="G545" t="s">
        <v>32</v>
      </c>
      <c r="H545" t="s">
        <v>33</v>
      </c>
      <c r="I545" t="s">
        <v>34</v>
      </c>
      <c r="J545" t="s">
        <v>84</v>
      </c>
      <c r="K545">
        <v>112</v>
      </c>
      <c r="L545">
        <v>0</v>
      </c>
      <c r="M545" t="s">
        <v>36</v>
      </c>
      <c r="N545" t="s">
        <v>37</v>
      </c>
      <c r="O545">
        <v>0</v>
      </c>
      <c r="P545">
        <v>0</v>
      </c>
      <c r="Q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 t="s">
        <v>36</v>
      </c>
      <c r="AC545" t="s">
        <v>43</v>
      </c>
      <c r="AD545" t="str">
        <f t="shared" si="16"/>
        <v>CP</v>
      </c>
      <c r="AE545" t="str">
        <f>_xlfn.XLOOKUP(D545,Mapping!A:A,Mapping!D:D,0,0)</f>
        <v>Keyword - Preroll</v>
      </c>
      <c r="AF545" t="str">
        <f t="shared" si="17"/>
        <v>OLD</v>
      </c>
    </row>
    <row r="546" spans="1:32" x14ac:dyDescent="0.2">
      <c r="A546" t="s">
        <v>1118</v>
      </c>
      <c r="B546" t="s">
        <v>39</v>
      </c>
      <c r="C546">
        <v>1012772872</v>
      </c>
      <c r="D546" t="s">
        <v>599</v>
      </c>
      <c r="E546" t="s">
        <v>31</v>
      </c>
      <c r="F546" s="1">
        <v>0.67291666666666672</v>
      </c>
      <c r="G546" t="s">
        <v>32</v>
      </c>
      <c r="H546" t="s">
        <v>33</v>
      </c>
      <c r="I546" t="s">
        <v>34</v>
      </c>
      <c r="J546" t="s">
        <v>84</v>
      </c>
      <c r="K546">
        <v>112</v>
      </c>
      <c r="L546">
        <v>0</v>
      </c>
      <c r="M546" t="s">
        <v>36</v>
      </c>
      <c r="N546" t="s">
        <v>37</v>
      </c>
      <c r="O546">
        <v>0</v>
      </c>
      <c r="P546">
        <v>0</v>
      </c>
      <c r="Q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 t="s">
        <v>36</v>
      </c>
      <c r="AC546" t="s">
        <v>43</v>
      </c>
      <c r="AD546" t="str">
        <f t="shared" si="16"/>
        <v>CP</v>
      </c>
      <c r="AE546" t="str">
        <f>_xlfn.XLOOKUP(D546,Mapping!A:A,Mapping!D:D,0,0)</f>
        <v>Bin</v>
      </c>
      <c r="AF546" t="str">
        <f t="shared" si="17"/>
        <v>OLD</v>
      </c>
    </row>
    <row r="547" spans="1:32" x14ac:dyDescent="0.2">
      <c r="A547" t="s">
        <v>1118</v>
      </c>
      <c r="B547" t="s">
        <v>39</v>
      </c>
      <c r="C547">
        <v>1012772882</v>
      </c>
      <c r="D547" t="s">
        <v>600</v>
      </c>
      <c r="E547" t="s">
        <v>31</v>
      </c>
      <c r="F547" s="1">
        <v>0.67291666666666672</v>
      </c>
      <c r="G547" t="s">
        <v>32</v>
      </c>
      <c r="H547" t="s">
        <v>33</v>
      </c>
      <c r="I547" t="s">
        <v>41</v>
      </c>
      <c r="J547" t="s">
        <v>62</v>
      </c>
      <c r="K547">
        <v>280</v>
      </c>
      <c r="L547">
        <v>0</v>
      </c>
      <c r="M547" t="s">
        <v>63</v>
      </c>
      <c r="N547">
        <v>250</v>
      </c>
      <c r="O547">
        <v>0</v>
      </c>
      <c r="P547">
        <v>0</v>
      </c>
      <c r="Q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 t="s">
        <v>36</v>
      </c>
      <c r="AC547" t="s">
        <v>43</v>
      </c>
      <c r="AD547" t="str">
        <f t="shared" si="16"/>
        <v>CP</v>
      </c>
      <c r="AE547" t="str">
        <f>_xlfn.XLOOKUP(D547,Mapping!A:A,Mapping!D:D,0,0)</f>
        <v>Bin</v>
      </c>
      <c r="AF547" t="str">
        <f t="shared" si="17"/>
        <v>OLD</v>
      </c>
    </row>
    <row r="548" spans="1:32" x14ac:dyDescent="0.2">
      <c r="A548" t="s">
        <v>1118</v>
      </c>
      <c r="B548" t="s">
        <v>39</v>
      </c>
      <c r="C548">
        <v>1012772892</v>
      </c>
      <c r="D548" t="s">
        <v>601</v>
      </c>
      <c r="E548" t="s">
        <v>31</v>
      </c>
      <c r="F548" s="1">
        <v>0.67291666666666672</v>
      </c>
      <c r="G548" t="s">
        <v>32</v>
      </c>
      <c r="H548" t="s">
        <v>33</v>
      </c>
      <c r="I548" t="s">
        <v>41</v>
      </c>
      <c r="J548" t="s">
        <v>84</v>
      </c>
      <c r="K548">
        <v>280</v>
      </c>
      <c r="L548">
        <v>0</v>
      </c>
      <c r="M548" t="s">
        <v>63</v>
      </c>
      <c r="N548">
        <v>250</v>
      </c>
      <c r="O548">
        <v>0</v>
      </c>
      <c r="P548">
        <v>0</v>
      </c>
      <c r="Q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 t="s">
        <v>36</v>
      </c>
      <c r="AC548" t="s">
        <v>43</v>
      </c>
      <c r="AD548" t="str">
        <f t="shared" si="16"/>
        <v>CP</v>
      </c>
      <c r="AE548" t="str">
        <f>_xlfn.XLOOKUP(D548,Mapping!A:A,Mapping!D:D,0,0)</f>
        <v>Bin</v>
      </c>
      <c r="AF548" t="str">
        <f t="shared" si="17"/>
        <v>OLD</v>
      </c>
    </row>
    <row r="549" spans="1:32" x14ac:dyDescent="0.2">
      <c r="A549" t="s">
        <v>1118</v>
      </c>
      <c r="B549" t="s">
        <v>39</v>
      </c>
      <c r="C549">
        <v>1012772902</v>
      </c>
      <c r="D549" t="s">
        <v>602</v>
      </c>
      <c r="E549" t="s">
        <v>31</v>
      </c>
      <c r="F549" s="1">
        <v>0.67291666666666672</v>
      </c>
      <c r="G549" t="s">
        <v>32</v>
      </c>
      <c r="H549" t="s">
        <v>33</v>
      </c>
      <c r="I549" t="s">
        <v>41</v>
      </c>
      <c r="J549" t="s">
        <v>84</v>
      </c>
      <c r="K549">
        <v>280</v>
      </c>
      <c r="L549">
        <v>0</v>
      </c>
      <c r="M549" t="s">
        <v>63</v>
      </c>
      <c r="N549">
        <v>250</v>
      </c>
      <c r="O549">
        <v>0</v>
      </c>
      <c r="P549">
        <v>0</v>
      </c>
      <c r="Q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 t="s">
        <v>36</v>
      </c>
      <c r="AC549" t="s">
        <v>43</v>
      </c>
      <c r="AD549" t="str">
        <f t="shared" si="16"/>
        <v>CP</v>
      </c>
      <c r="AE549" t="str">
        <f>_xlfn.XLOOKUP(D549,Mapping!A:A,Mapping!D:D,0,0)</f>
        <v>Bin</v>
      </c>
      <c r="AF549" t="str">
        <f t="shared" si="17"/>
        <v>OLD</v>
      </c>
    </row>
    <row r="550" spans="1:32" x14ac:dyDescent="0.2">
      <c r="A550" t="s">
        <v>1118</v>
      </c>
      <c r="B550" t="s">
        <v>39</v>
      </c>
      <c r="C550">
        <v>1012772912</v>
      </c>
      <c r="D550" t="s">
        <v>603</v>
      </c>
      <c r="E550" t="s">
        <v>31</v>
      </c>
      <c r="F550" s="1">
        <v>0.67291666666666672</v>
      </c>
      <c r="G550" t="s">
        <v>32</v>
      </c>
      <c r="H550" t="s">
        <v>33</v>
      </c>
      <c r="I550" t="s">
        <v>34</v>
      </c>
      <c r="J550" t="s">
        <v>84</v>
      </c>
      <c r="K550">
        <v>112</v>
      </c>
      <c r="L550">
        <v>0</v>
      </c>
      <c r="M550" t="s">
        <v>36</v>
      </c>
      <c r="N550" t="s">
        <v>37</v>
      </c>
      <c r="O550">
        <v>0</v>
      </c>
      <c r="P550">
        <v>0</v>
      </c>
      <c r="Q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 t="s">
        <v>36</v>
      </c>
      <c r="AC550" t="s">
        <v>43</v>
      </c>
      <c r="AD550" t="str">
        <f t="shared" si="16"/>
        <v>CP</v>
      </c>
      <c r="AE550" t="str">
        <f>_xlfn.XLOOKUP(D550,Mapping!A:A,Mapping!D:D,0,0)</f>
        <v>Bin</v>
      </c>
      <c r="AF550" t="str">
        <f t="shared" si="17"/>
        <v>OLD</v>
      </c>
    </row>
    <row r="551" spans="1:32" x14ac:dyDescent="0.2">
      <c r="A551" t="s">
        <v>1118</v>
      </c>
      <c r="B551" t="s">
        <v>39</v>
      </c>
      <c r="C551">
        <v>1012772922</v>
      </c>
      <c r="D551" t="s">
        <v>604</v>
      </c>
      <c r="E551" t="s">
        <v>31</v>
      </c>
      <c r="F551" s="1">
        <v>0.67291666666666672</v>
      </c>
      <c r="G551" t="s">
        <v>32</v>
      </c>
      <c r="H551" t="s">
        <v>33</v>
      </c>
      <c r="I551" t="s">
        <v>41</v>
      </c>
      <c r="J551" t="s">
        <v>62</v>
      </c>
      <c r="K551">
        <v>280</v>
      </c>
      <c r="L551">
        <v>0</v>
      </c>
      <c r="M551" t="s">
        <v>63</v>
      </c>
      <c r="N551">
        <v>250</v>
      </c>
      <c r="O551">
        <v>0</v>
      </c>
      <c r="P551">
        <v>0</v>
      </c>
      <c r="Q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 t="s">
        <v>36</v>
      </c>
      <c r="AC551" t="s">
        <v>43</v>
      </c>
      <c r="AD551" t="str">
        <f t="shared" si="16"/>
        <v>CP</v>
      </c>
      <c r="AE551" t="str">
        <f>_xlfn.XLOOKUP(D551,Mapping!A:A,Mapping!D:D,0,0)</f>
        <v>Bin</v>
      </c>
      <c r="AF551" t="str">
        <f t="shared" si="17"/>
        <v>OLD</v>
      </c>
    </row>
    <row r="552" spans="1:32" x14ac:dyDescent="0.2">
      <c r="A552" t="s">
        <v>1118</v>
      </c>
      <c r="B552" t="s">
        <v>39</v>
      </c>
      <c r="C552">
        <v>1012772932</v>
      </c>
      <c r="D552" t="s">
        <v>605</v>
      </c>
      <c r="E552" t="s">
        <v>31</v>
      </c>
      <c r="F552" s="1">
        <v>0.67291666666666672</v>
      </c>
      <c r="G552" t="s">
        <v>32</v>
      </c>
      <c r="H552" t="s">
        <v>33</v>
      </c>
      <c r="I552" t="s">
        <v>34</v>
      </c>
      <c r="J552" t="s">
        <v>84</v>
      </c>
      <c r="K552">
        <v>112</v>
      </c>
      <c r="L552">
        <v>0</v>
      </c>
      <c r="M552" t="s">
        <v>36</v>
      </c>
      <c r="N552" t="s">
        <v>37</v>
      </c>
      <c r="O552">
        <v>0</v>
      </c>
      <c r="P552">
        <v>0</v>
      </c>
      <c r="Q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 t="s">
        <v>36</v>
      </c>
      <c r="AC552" t="s">
        <v>606</v>
      </c>
      <c r="AD552" t="str">
        <f t="shared" si="16"/>
        <v>CP</v>
      </c>
      <c r="AE552" t="str">
        <f>_xlfn.XLOOKUP(D552,Mapping!A:A,Mapping!D:D,0,0)</f>
        <v>Keyword - Preroll</v>
      </c>
      <c r="AF552" t="str">
        <f t="shared" si="17"/>
        <v>OLD</v>
      </c>
    </row>
    <row r="553" spans="1:32" x14ac:dyDescent="0.2">
      <c r="A553" t="s">
        <v>1118</v>
      </c>
      <c r="B553" t="s">
        <v>39</v>
      </c>
      <c r="C553">
        <v>1012772942</v>
      </c>
      <c r="D553" t="s">
        <v>607</v>
      </c>
      <c r="E553" t="s">
        <v>31</v>
      </c>
      <c r="F553" s="1">
        <v>0.67291666666666672</v>
      </c>
      <c r="G553" t="s">
        <v>32</v>
      </c>
      <c r="H553" t="s">
        <v>33</v>
      </c>
      <c r="I553" t="s">
        <v>34</v>
      </c>
      <c r="J553" t="s">
        <v>84</v>
      </c>
      <c r="K553">
        <v>112</v>
      </c>
      <c r="L553">
        <v>0</v>
      </c>
      <c r="M553" t="s">
        <v>36</v>
      </c>
      <c r="N553" t="s">
        <v>37</v>
      </c>
      <c r="O553">
        <v>0</v>
      </c>
      <c r="P553">
        <v>0</v>
      </c>
      <c r="Q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 t="s">
        <v>36</v>
      </c>
      <c r="AC553" t="s">
        <v>119</v>
      </c>
      <c r="AD553" t="str">
        <f t="shared" si="16"/>
        <v>CP</v>
      </c>
      <c r="AE553" t="str">
        <f>_xlfn.XLOOKUP(D553,Mapping!A:A,Mapping!D:D,0,0)</f>
        <v>Archive</v>
      </c>
      <c r="AF553" t="str">
        <f t="shared" si="17"/>
        <v>OLD</v>
      </c>
    </row>
    <row r="554" spans="1:32" x14ac:dyDescent="0.2">
      <c r="A554" t="s">
        <v>1118</v>
      </c>
      <c r="B554" t="s">
        <v>39</v>
      </c>
      <c r="C554">
        <v>1012772952</v>
      </c>
      <c r="D554" t="s">
        <v>608</v>
      </c>
      <c r="E554" t="s">
        <v>31</v>
      </c>
      <c r="F554" s="1">
        <v>0.67291666666666672</v>
      </c>
      <c r="G554" t="s">
        <v>32</v>
      </c>
      <c r="H554" t="s">
        <v>33</v>
      </c>
      <c r="I554" t="s">
        <v>41</v>
      </c>
      <c r="J554" t="s">
        <v>62</v>
      </c>
      <c r="K554">
        <v>280</v>
      </c>
      <c r="L554">
        <v>0</v>
      </c>
      <c r="M554" t="s">
        <v>63</v>
      </c>
      <c r="N554">
        <v>250</v>
      </c>
      <c r="O554">
        <v>0</v>
      </c>
      <c r="P554">
        <v>0</v>
      </c>
      <c r="Q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 t="s">
        <v>36</v>
      </c>
      <c r="AC554" t="s">
        <v>43</v>
      </c>
      <c r="AD554" t="str">
        <f t="shared" si="16"/>
        <v>CP</v>
      </c>
      <c r="AE554" t="str">
        <f>_xlfn.XLOOKUP(D554,Mapping!A:A,Mapping!D:D,0,0)</f>
        <v>Bin</v>
      </c>
      <c r="AF554" t="str">
        <f t="shared" si="17"/>
        <v>OLD</v>
      </c>
    </row>
    <row r="555" spans="1:32" x14ac:dyDescent="0.2">
      <c r="A555" t="s">
        <v>1118</v>
      </c>
      <c r="B555" t="s">
        <v>39</v>
      </c>
      <c r="C555">
        <v>1012772962</v>
      </c>
      <c r="D555" t="s">
        <v>609</v>
      </c>
      <c r="E555" t="s">
        <v>31</v>
      </c>
      <c r="F555" s="1">
        <v>0.67291666666666672</v>
      </c>
      <c r="G555" t="s">
        <v>32</v>
      </c>
      <c r="H555" t="s">
        <v>33</v>
      </c>
      <c r="I555" t="s">
        <v>41</v>
      </c>
      <c r="J555" t="s">
        <v>62</v>
      </c>
      <c r="K555">
        <v>280</v>
      </c>
      <c r="L555">
        <v>0</v>
      </c>
      <c r="M555" t="s">
        <v>63</v>
      </c>
      <c r="N555">
        <v>250</v>
      </c>
      <c r="O555">
        <v>0</v>
      </c>
      <c r="P555">
        <v>0</v>
      </c>
      <c r="Q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 t="s">
        <v>36</v>
      </c>
      <c r="AC555" t="s">
        <v>43</v>
      </c>
      <c r="AD555" t="str">
        <f t="shared" si="16"/>
        <v>CP</v>
      </c>
      <c r="AE555" t="str">
        <f>_xlfn.XLOOKUP(D555,Mapping!A:A,Mapping!D:D,0,0)</f>
        <v>Bin</v>
      </c>
      <c r="AF555" t="str">
        <f t="shared" si="17"/>
        <v>OLD</v>
      </c>
    </row>
    <row r="556" spans="1:32" x14ac:dyDescent="0.2">
      <c r="A556" t="s">
        <v>1118</v>
      </c>
      <c r="B556" t="s">
        <v>39</v>
      </c>
      <c r="C556">
        <v>1012772972</v>
      </c>
      <c r="D556" t="s">
        <v>610</v>
      </c>
      <c r="E556" t="s">
        <v>31</v>
      </c>
      <c r="F556" s="1">
        <v>0.67291666666666672</v>
      </c>
      <c r="G556" t="s">
        <v>32</v>
      </c>
      <c r="H556" t="s">
        <v>33</v>
      </c>
      <c r="I556" t="s">
        <v>41</v>
      </c>
      <c r="J556" t="s">
        <v>62</v>
      </c>
      <c r="K556">
        <v>280</v>
      </c>
      <c r="L556">
        <v>0</v>
      </c>
      <c r="M556" t="s">
        <v>63</v>
      </c>
      <c r="N556">
        <v>250</v>
      </c>
      <c r="O556">
        <v>0</v>
      </c>
      <c r="P556">
        <v>0</v>
      </c>
      <c r="Q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 t="s">
        <v>36</v>
      </c>
      <c r="AC556" t="s">
        <v>43</v>
      </c>
      <c r="AD556" t="str">
        <f t="shared" si="16"/>
        <v>CP</v>
      </c>
      <c r="AE556" t="str">
        <f>_xlfn.XLOOKUP(D556,Mapping!A:A,Mapping!D:D,0,0)</f>
        <v>Bin</v>
      </c>
      <c r="AF556" t="str">
        <f t="shared" si="17"/>
        <v>OLD</v>
      </c>
    </row>
    <row r="557" spans="1:32" x14ac:dyDescent="0.2">
      <c r="A557" t="s">
        <v>1118</v>
      </c>
      <c r="B557" t="s">
        <v>39</v>
      </c>
      <c r="C557">
        <v>1012772982</v>
      </c>
      <c r="D557" t="s">
        <v>611</v>
      </c>
      <c r="E557" t="s">
        <v>31</v>
      </c>
      <c r="F557" s="1">
        <v>0.67291666666666672</v>
      </c>
      <c r="G557" t="s">
        <v>32</v>
      </c>
      <c r="H557" t="s">
        <v>33</v>
      </c>
      <c r="I557" t="s">
        <v>41</v>
      </c>
      <c r="J557" t="s">
        <v>62</v>
      </c>
      <c r="K557">
        <v>280</v>
      </c>
      <c r="L557">
        <v>0</v>
      </c>
      <c r="M557" t="s">
        <v>36</v>
      </c>
      <c r="N557" t="s">
        <v>37</v>
      </c>
      <c r="O557">
        <v>0</v>
      </c>
      <c r="P557">
        <v>0</v>
      </c>
      <c r="Q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 t="s">
        <v>36</v>
      </c>
      <c r="AC557" t="s">
        <v>43</v>
      </c>
      <c r="AD557" t="str">
        <f t="shared" si="16"/>
        <v>CP</v>
      </c>
      <c r="AE557" t="str">
        <f>_xlfn.XLOOKUP(D557,Mapping!A:A,Mapping!D:D,0,0)</f>
        <v>Bin</v>
      </c>
      <c r="AF557" t="str">
        <f t="shared" si="17"/>
        <v>OLD</v>
      </c>
    </row>
    <row r="558" spans="1:32" x14ac:dyDescent="0.2">
      <c r="A558" t="s">
        <v>1118</v>
      </c>
      <c r="B558" t="s">
        <v>39</v>
      </c>
      <c r="C558">
        <v>1012772992</v>
      </c>
      <c r="D558" t="s">
        <v>612</v>
      </c>
      <c r="E558" t="s">
        <v>31</v>
      </c>
      <c r="F558" s="1">
        <v>0.67291666666666672</v>
      </c>
      <c r="G558" t="s">
        <v>32</v>
      </c>
      <c r="H558" t="s">
        <v>33</v>
      </c>
      <c r="I558" t="s">
        <v>41</v>
      </c>
      <c r="J558" t="s">
        <v>62</v>
      </c>
      <c r="K558">
        <v>280</v>
      </c>
      <c r="L558">
        <v>0</v>
      </c>
      <c r="M558" t="s">
        <v>63</v>
      </c>
      <c r="N558">
        <v>250</v>
      </c>
      <c r="O558">
        <v>0</v>
      </c>
      <c r="P558">
        <v>0</v>
      </c>
      <c r="Q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 t="s">
        <v>36</v>
      </c>
      <c r="AC558" t="s">
        <v>43</v>
      </c>
      <c r="AD558" t="str">
        <f t="shared" si="16"/>
        <v>CP</v>
      </c>
      <c r="AE558" t="str">
        <f>_xlfn.XLOOKUP(D558,Mapping!A:A,Mapping!D:D,0,0)</f>
        <v>Bin</v>
      </c>
      <c r="AF558" t="str">
        <f t="shared" si="17"/>
        <v>OLD</v>
      </c>
    </row>
    <row r="559" spans="1:32" x14ac:dyDescent="0.2">
      <c r="A559" t="s">
        <v>1118</v>
      </c>
      <c r="B559" t="s">
        <v>39</v>
      </c>
      <c r="C559">
        <v>1012773002</v>
      </c>
      <c r="D559" t="s">
        <v>613</v>
      </c>
      <c r="E559" t="s">
        <v>31</v>
      </c>
      <c r="F559" s="1">
        <v>0.67291666666666672</v>
      </c>
      <c r="G559" t="s">
        <v>32</v>
      </c>
      <c r="H559" t="s">
        <v>33</v>
      </c>
      <c r="I559" t="s">
        <v>41</v>
      </c>
      <c r="J559" t="s">
        <v>62</v>
      </c>
      <c r="K559">
        <v>280</v>
      </c>
      <c r="L559">
        <v>0</v>
      </c>
      <c r="M559" t="s">
        <v>36</v>
      </c>
      <c r="N559" t="s">
        <v>37</v>
      </c>
      <c r="O559">
        <v>0</v>
      </c>
      <c r="P559">
        <v>0</v>
      </c>
      <c r="Q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 t="s">
        <v>36</v>
      </c>
      <c r="AC559" t="s">
        <v>43</v>
      </c>
      <c r="AD559" t="str">
        <f t="shared" si="16"/>
        <v>CP</v>
      </c>
      <c r="AE559" t="str">
        <f>_xlfn.XLOOKUP(D559,Mapping!A:A,Mapping!D:D,0,0)</f>
        <v>Bin</v>
      </c>
      <c r="AF559" t="str">
        <f t="shared" si="17"/>
        <v>OLD</v>
      </c>
    </row>
    <row r="560" spans="1:32" x14ac:dyDescent="0.2">
      <c r="A560" t="s">
        <v>1118</v>
      </c>
      <c r="B560" t="s">
        <v>39</v>
      </c>
      <c r="C560">
        <v>1012773012</v>
      </c>
      <c r="D560" t="s">
        <v>614</v>
      </c>
      <c r="E560" t="s">
        <v>31</v>
      </c>
      <c r="F560" s="1">
        <v>0.67291666666666672</v>
      </c>
      <c r="G560" t="s">
        <v>32</v>
      </c>
      <c r="H560" t="s">
        <v>33</v>
      </c>
      <c r="I560" t="s">
        <v>41</v>
      </c>
      <c r="J560" t="s">
        <v>124</v>
      </c>
      <c r="K560">
        <v>90</v>
      </c>
      <c r="L560">
        <v>0</v>
      </c>
      <c r="M560" t="s">
        <v>63</v>
      </c>
      <c r="N560">
        <v>250</v>
      </c>
      <c r="O560">
        <v>0</v>
      </c>
      <c r="P560">
        <v>0</v>
      </c>
      <c r="Q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 t="s">
        <v>36</v>
      </c>
      <c r="AC560" t="s">
        <v>43</v>
      </c>
      <c r="AD560" t="str">
        <f t="shared" si="16"/>
        <v>CP</v>
      </c>
      <c r="AE560" t="str">
        <f>_xlfn.XLOOKUP(D560,Mapping!A:A,Mapping!D:D,0,0)</f>
        <v>Bin</v>
      </c>
      <c r="AF560" t="str">
        <f t="shared" si="17"/>
        <v>OLD</v>
      </c>
    </row>
    <row r="561" spans="1:32" x14ac:dyDescent="0.2">
      <c r="A561" t="s">
        <v>1118</v>
      </c>
      <c r="B561" t="s">
        <v>39</v>
      </c>
      <c r="C561">
        <v>1012773022</v>
      </c>
      <c r="D561" t="s">
        <v>615</v>
      </c>
      <c r="E561" t="s">
        <v>31</v>
      </c>
      <c r="F561" s="1">
        <v>0.67291666666666672</v>
      </c>
      <c r="G561" t="s">
        <v>32</v>
      </c>
      <c r="H561" t="s">
        <v>33</v>
      </c>
      <c r="I561" t="s">
        <v>41</v>
      </c>
      <c r="J561" t="s">
        <v>84</v>
      </c>
      <c r="K561">
        <v>280</v>
      </c>
      <c r="L561">
        <v>0</v>
      </c>
      <c r="M561" t="s">
        <v>63</v>
      </c>
      <c r="N561">
        <v>250</v>
      </c>
      <c r="O561">
        <v>0</v>
      </c>
      <c r="P561">
        <v>0</v>
      </c>
      <c r="Q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 t="s">
        <v>36</v>
      </c>
      <c r="AC561" t="s">
        <v>43</v>
      </c>
      <c r="AD561" t="str">
        <f t="shared" si="16"/>
        <v>CP</v>
      </c>
      <c r="AE561" t="str">
        <f>_xlfn.XLOOKUP(D561,Mapping!A:A,Mapping!D:D,0,0)</f>
        <v>Bin</v>
      </c>
      <c r="AF561" t="str">
        <f t="shared" si="17"/>
        <v>OLD</v>
      </c>
    </row>
    <row r="562" spans="1:32" x14ac:dyDescent="0.2">
      <c r="A562" t="s">
        <v>1118</v>
      </c>
      <c r="B562" t="s">
        <v>39</v>
      </c>
      <c r="C562">
        <v>1012773032</v>
      </c>
      <c r="D562" t="s">
        <v>616</v>
      </c>
      <c r="E562" t="s">
        <v>31</v>
      </c>
      <c r="F562" s="1">
        <v>0.67291666666666672</v>
      </c>
      <c r="G562" t="s">
        <v>32</v>
      </c>
      <c r="H562" t="s">
        <v>33</v>
      </c>
      <c r="I562" t="s">
        <v>34</v>
      </c>
      <c r="J562" t="s">
        <v>84</v>
      </c>
      <c r="K562">
        <v>112</v>
      </c>
      <c r="L562">
        <v>0</v>
      </c>
      <c r="M562" t="s">
        <v>63</v>
      </c>
      <c r="N562">
        <v>250</v>
      </c>
      <c r="O562">
        <v>0</v>
      </c>
      <c r="P562">
        <v>0</v>
      </c>
      <c r="Q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 t="s">
        <v>36</v>
      </c>
      <c r="AC562" t="s">
        <v>43</v>
      </c>
      <c r="AD562" t="str">
        <f t="shared" si="16"/>
        <v>CP</v>
      </c>
      <c r="AE562" t="str">
        <f>_xlfn.XLOOKUP(D562,Mapping!A:A,Mapping!D:D,0,0)</f>
        <v>Bin</v>
      </c>
      <c r="AF562" t="str">
        <f t="shared" si="17"/>
        <v>OLD</v>
      </c>
    </row>
    <row r="563" spans="1:32" x14ac:dyDescent="0.2">
      <c r="A563" t="s">
        <v>1118</v>
      </c>
      <c r="B563" t="s">
        <v>39</v>
      </c>
      <c r="C563">
        <v>1012773042</v>
      </c>
      <c r="D563" t="s">
        <v>617</v>
      </c>
      <c r="E563" t="s">
        <v>31</v>
      </c>
      <c r="F563" s="1">
        <v>0.67291666666666672</v>
      </c>
      <c r="G563" t="s">
        <v>32</v>
      </c>
      <c r="H563" t="s">
        <v>33</v>
      </c>
      <c r="I563" t="s">
        <v>41</v>
      </c>
      <c r="J563" t="s">
        <v>62</v>
      </c>
      <c r="K563">
        <v>280</v>
      </c>
      <c r="L563">
        <v>0</v>
      </c>
      <c r="M563" t="s">
        <v>36</v>
      </c>
      <c r="N563" t="s">
        <v>37</v>
      </c>
      <c r="O563">
        <v>0</v>
      </c>
      <c r="P563">
        <v>0</v>
      </c>
      <c r="Q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 t="s">
        <v>36</v>
      </c>
      <c r="AC563" t="s">
        <v>618</v>
      </c>
      <c r="AD563" t="str">
        <f t="shared" si="16"/>
        <v>CP</v>
      </c>
      <c r="AE563" t="str">
        <f>_xlfn.XLOOKUP(D563,Mapping!A:A,Mapping!D:D,0,0)</f>
        <v>Hentai</v>
      </c>
      <c r="AF563" t="str">
        <f t="shared" si="17"/>
        <v>OLD</v>
      </c>
    </row>
    <row r="564" spans="1:32" x14ac:dyDescent="0.2">
      <c r="A564" t="s">
        <v>1118</v>
      </c>
      <c r="B564" t="s">
        <v>39</v>
      </c>
      <c r="C564">
        <v>1012773052</v>
      </c>
      <c r="D564" t="s">
        <v>619</v>
      </c>
      <c r="E564" t="s">
        <v>31</v>
      </c>
      <c r="F564" s="1">
        <v>0.67291666666666672</v>
      </c>
      <c r="G564" t="s">
        <v>32</v>
      </c>
      <c r="H564" t="s">
        <v>33</v>
      </c>
      <c r="I564" t="s">
        <v>41</v>
      </c>
      <c r="J564" t="s">
        <v>62</v>
      </c>
      <c r="K564">
        <v>280</v>
      </c>
      <c r="L564">
        <v>0</v>
      </c>
      <c r="M564" t="s">
        <v>36</v>
      </c>
      <c r="N564" t="s">
        <v>37</v>
      </c>
      <c r="O564">
        <v>0</v>
      </c>
      <c r="P564">
        <v>0</v>
      </c>
      <c r="Q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 t="s">
        <v>36</v>
      </c>
      <c r="AC564" t="s">
        <v>43</v>
      </c>
      <c r="AD564" t="str">
        <f t="shared" si="16"/>
        <v>CP</v>
      </c>
      <c r="AE564" t="str">
        <f>_xlfn.XLOOKUP(D564,Mapping!A:A,Mapping!D:D,0,0)</f>
        <v>Bin</v>
      </c>
      <c r="AF564" t="str">
        <f t="shared" si="17"/>
        <v>OLD</v>
      </c>
    </row>
    <row r="565" spans="1:32" x14ac:dyDescent="0.2">
      <c r="A565" t="s">
        <v>1118</v>
      </c>
      <c r="B565" t="s">
        <v>29</v>
      </c>
      <c r="C565">
        <v>1012773062</v>
      </c>
      <c r="D565" t="s">
        <v>620</v>
      </c>
      <c r="E565" t="s">
        <v>31</v>
      </c>
      <c r="F565" s="1">
        <v>0.67291666666666672</v>
      </c>
      <c r="G565" t="s">
        <v>32</v>
      </c>
      <c r="H565" t="s">
        <v>33</v>
      </c>
      <c r="I565" t="s">
        <v>41</v>
      </c>
      <c r="J565" t="s">
        <v>62</v>
      </c>
      <c r="K565">
        <v>280</v>
      </c>
      <c r="L565">
        <v>0</v>
      </c>
      <c r="M565" t="s">
        <v>36</v>
      </c>
      <c r="N565" t="s">
        <v>37</v>
      </c>
      <c r="O565">
        <v>339</v>
      </c>
      <c r="P565">
        <v>17</v>
      </c>
      <c r="Q565">
        <v>5.0147500000000003</v>
      </c>
      <c r="R565">
        <v>0</v>
      </c>
      <c r="S565">
        <v>0.57999999999999996</v>
      </c>
      <c r="T565">
        <v>1.722</v>
      </c>
      <c r="U565">
        <v>3.4000000000000002E-2</v>
      </c>
      <c r="V565">
        <v>0</v>
      </c>
      <c r="W565">
        <v>1</v>
      </c>
      <c r="X565">
        <v>0</v>
      </c>
      <c r="Y565" t="s">
        <v>36</v>
      </c>
      <c r="Z565">
        <v>339</v>
      </c>
      <c r="AA565">
        <v>308</v>
      </c>
      <c r="AB565">
        <v>14</v>
      </c>
      <c r="AC565" t="s">
        <v>618</v>
      </c>
      <c r="AD565" t="str">
        <f t="shared" si="16"/>
        <v>CP</v>
      </c>
      <c r="AE565" t="str">
        <f>_xlfn.XLOOKUP(D565,Mapping!A:A,Mapping!D:D,0,0)</f>
        <v>Hentai</v>
      </c>
      <c r="AF565" t="str">
        <f t="shared" si="17"/>
        <v>OLD</v>
      </c>
    </row>
    <row r="566" spans="1:32" x14ac:dyDescent="0.2">
      <c r="A566" t="s">
        <v>1118</v>
      </c>
      <c r="B566" t="s">
        <v>39</v>
      </c>
      <c r="C566">
        <v>1012773072</v>
      </c>
      <c r="D566" t="s">
        <v>621</v>
      </c>
      <c r="E566" t="s">
        <v>31</v>
      </c>
      <c r="F566" s="1">
        <v>0.67291666666666672</v>
      </c>
      <c r="G566" t="s">
        <v>32</v>
      </c>
      <c r="H566" t="s">
        <v>33</v>
      </c>
      <c r="I566" t="s">
        <v>41</v>
      </c>
      <c r="J566" t="s">
        <v>62</v>
      </c>
      <c r="K566">
        <v>280</v>
      </c>
      <c r="L566">
        <v>0</v>
      </c>
      <c r="M566" t="s">
        <v>63</v>
      </c>
      <c r="N566">
        <v>250</v>
      </c>
      <c r="O566">
        <v>0</v>
      </c>
      <c r="P566">
        <v>0</v>
      </c>
      <c r="Q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 t="s">
        <v>36</v>
      </c>
      <c r="AC566" t="s">
        <v>43</v>
      </c>
      <c r="AD566" t="str">
        <f t="shared" si="16"/>
        <v>CP</v>
      </c>
      <c r="AE566" t="str">
        <f>_xlfn.XLOOKUP(D566,Mapping!A:A,Mapping!D:D,0,0)</f>
        <v>Bin</v>
      </c>
      <c r="AF566" t="str">
        <f t="shared" si="17"/>
        <v>OLD</v>
      </c>
    </row>
    <row r="567" spans="1:32" x14ac:dyDescent="0.2">
      <c r="A567" t="s">
        <v>1118</v>
      </c>
      <c r="B567" t="s">
        <v>39</v>
      </c>
      <c r="C567">
        <v>1012773082</v>
      </c>
      <c r="D567" t="s">
        <v>622</v>
      </c>
      <c r="E567" t="s">
        <v>31</v>
      </c>
      <c r="F567" s="1">
        <v>0.67291666666666672</v>
      </c>
      <c r="G567" t="s">
        <v>32</v>
      </c>
      <c r="H567" t="s">
        <v>33</v>
      </c>
      <c r="I567" t="s">
        <v>41</v>
      </c>
      <c r="J567" t="s">
        <v>62</v>
      </c>
      <c r="K567">
        <v>280</v>
      </c>
      <c r="L567">
        <v>0</v>
      </c>
      <c r="M567" t="s">
        <v>36</v>
      </c>
      <c r="N567" t="s">
        <v>37</v>
      </c>
      <c r="O567">
        <v>0</v>
      </c>
      <c r="P567">
        <v>0</v>
      </c>
      <c r="Q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 t="s">
        <v>36</v>
      </c>
      <c r="AC567" t="s">
        <v>43</v>
      </c>
      <c r="AD567" t="str">
        <f t="shared" si="16"/>
        <v>CP</v>
      </c>
      <c r="AE567" t="str">
        <f>_xlfn.XLOOKUP(D567,Mapping!A:A,Mapping!D:D,0,0)</f>
        <v>Bin</v>
      </c>
      <c r="AF567" t="str">
        <f t="shared" si="17"/>
        <v>OLD</v>
      </c>
    </row>
    <row r="568" spans="1:32" x14ac:dyDescent="0.2">
      <c r="A568" t="s">
        <v>1118</v>
      </c>
      <c r="B568" t="s">
        <v>39</v>
      </c>
      <c r="C568">
        <v>1012773092</v>
      </c>
      <c r="D568" t="s">
        <v>623</v>
      </c>
      <c r="E568" t="s">
        <v>31</v>
      </c>
      <c r="F568" s="1">
        <v>0.67291666666666672</v>
      </c>
      <c r="G568" t="s">
        <v>32</v>
      </c>
      <c r="H568" t="s">
        <v>33</v>
      </c>
      <c r="I568" t="s">
        <v>34</v>
      </c>
      <c r="J568" t="s">
        <v>84</v>
      </c>
      <c r="K568">
        <v>112</v>
      </c>
      <c r="L568">
        <v>0</v>
      </c>
      <c r="M568" t="s">
        <v>36</v>
      </c>
      <c r="N568" t="s">
        <v>37</v>
      </c>
      <c r="O568">
        <v>0</v>
      </c>
      <c r="P568">
        <v>0</v>
      </c>
      <c r="Q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 t="s">
        <v>36</v>
      </c>
      <c r="AC568" t="s">
        <v>43</v>
      </c>
      <c r="AD568" t="str">
        <f t="shared" si="16"/>
        <v>CP</v>
      </c>
      <c r="AE568" t="str">
        <f>_xlfn.XLOOKUP(D568,Mapping!A:A,Mapping!D:D,0,0)</f>
        <v>Bin</v>
      </c>
      <c r="AF568" t="str">
        <f t="shared" si="17"/>
        <v>OLD</v>
      </c>
    </row>
    <row r="569" spans="1:32" x14ac:dyDescent="0.2">
      <c r="A569" t="s">
        <v>1118</v>
      </c>
      <c r="B569" t="s">
        <v>29</v>
      </c>
      <c r="C569">
        <v>1012773102</v>
      </c>
      <c r="D569" t="s">
        <v>624</v>
      </c>
      <c r="E569" t="s">
        <v>31</v>
      </c>
      <c r="F569" s="1">
        <v>0.67291666666666672</v>
      </c>
      <c r="G569" t="s">
        <v>32</v>
      </c>
      <c r="H569" t="s">
        <v>33</v>
      </c>
      <c r="I569" t="s">
        <v>41</v>
      </c>
      <c r="J569" t="s">
        <v>62</v>
      </c>
      <c r="K569">
        <v>130</v>
      </c>
      <c r="L569">
        <v>0</v>
      </c>
      <c r="M569" t="s">
        <v>36</v>
      </c>
      <c r="N569" t="s">
        <v>37</v>
      </c>
      <c r="O569">
        <v>9876</v>
      </c>
      <c r="P569">
        <v>779</v>
      </c>
      <c r="Q569">
        <v>7.88781</v>
      </c>
      <c r="R569">
        <v>0</v>
      </c>
      <c r="S569">
        <v>19.91</v>
      </c>
      <c r="T569">
        <v>2.016</v>
      </c>
      <c r="U569">
        <v>2.5999999999999999E-2</v>
      </c>
      <c r="V569">
        <v>0</v>
      </c>
      <c r="W569">
        <v>1</v>
      </c>
      <c r="X569">
        <v>0</v>
      </c>
      <c r="Y569" t="s">
        <v>63</v>
      </c>
      <c r="Z569">
        <v>9869</v>
      </c>
      <c r="AA569">
        <v>8944</v>
      </c>
      <c r="AB569">
        <v>637</v>
      </c>
      <c r="AC569" t="s">
        <v>96</v>
      </c>
      <c r="AD569" t="str">
        <f t="shared" si="16"/>
        <v>CP</v>
      </c>
      <c r="AE569" t="str">
        <f>_xlfn.XLOOKUP(D569,Mapping!A:A,Mapping!D:D,0,0)</f>
        <v>Keyword - Preroll</v>
      </c>
      <c r="AF569" t="str">
        <f t="shared" si="17"/>
        <v>OLD</v>
      </c>
    </row>
    <row r="570" spans="1:32" x14ac:dyDescent="0.2">
      <c r="A570" t="s">
        <v>1118</v>
      </c>
      <c r="B570" t="s">
        <v>29</v>
      </c>
      <c r="C570">
        <v>1012773112</v>
      </c>
      <c r="D570" t="s">
        <v>625</v>
      </c>
      <c r="E570" t="s">
        <v>31</v>
      </c>
      <c r="F570" s="1">
        <v>0.67291666666666672</v>
      </c>
      <c r="G570" t="s">
        <v>32</v>
      </c>
      <c r="H570" t="s">
        <v>33</v>
      </c>
      <c r="I570" t="s">
        <v>41</v>
      </c>
      <c r="J570" t="s">
        <v>42</v>
      </c>
      <c r="K570">
        <v>370</v>
      </c>
      <c r="L570">
        <v>0</v>
      </c>
      <c r="M570" t="s">
        <v>36</v>
      </c>
      <c r="N570" t="s">
        <v>37</v>
      </c>
      <c r="O570">
        <v>7219</v>
      </c>
      <c r="P570">
        <v>348</v>
      </c>
      <c r="Q570">
        <v>4.8206100000000003</v>
      </c>
      <c r="R570">
        <v>2</v>
      </c>
      <c r="S570">
        <v>18.399999999999999</v>
      </c>
      <c r="T570">
        <v>2.5489999999999999</v>
      </c>
      <c r="U570">
        <v>5.2999999999999999E-2</v>
      </c>
      <c r="V570">
        <v>9.1999999999999993</v>
      </c>
      <c r="W570">
        <v>1</v>
      </c>
      <c r="X570">
        <v>0</v>
      </c>
      <c r="Y570" t="s">
        <v>36</v>
      </c>
      <c r="Z570">
        <v>7217</v>
      </c>
      <c r="AA570">
        <v>6430</v>
      </c>
      <c r="AB570">
        <v>582</v>
      </c>
      <c r="AC570" t="s">
        <v>38</v>
      </c>
      <c r="AD570" t="str">
        <f t="shared" si="16"/>
        <v>CP</v>
      </c>
      <c r="AE570" t="str">
        <f>_xlfn.XLOOKUP(D570,Mapping!A:A,Mapping!D:D,0,0)</f>
        <v>AI</v>
      </c>
      <c r="AF570" t="str">
        <f t="shared" si="17"/>
        <v>OLD</v>
      </c>
    </row>
    <row r="571" spans="1:32" x14ac:dyDescent="0.2">
      <c r="A571" t="s">
        <v>1118</v>
      </c>
      <c r="B571" t="s">
        <v>29</v>
      </c>
      <c r="C571">
        <v>1012773122</v>
      </c>
      <c r="D571" t="s">
        <v>626</v>
      </c>
      <c r="E571" t="s">
        <v>31</v>
      </c>
      <c r="F571" s="1">
        <v>0.67291666666666672</v>
      </c>
      <c r="G571" t="s">
        <v>32</v>
      </c>
      <c r="H571" t="s">
        <v>33</v>
      </c>
      <c r="I571" t="s">
        <v>41</v>
      </c>
      <c r="J571" t="s">
        <v>42</v>
      </c>
      <c r="K571">
        <v>370</v>
      </c>
      <c r="L571">
        <v>0</v>
      </c>
      <c r="M571" t="s">
        <v>36</v>
      </c>
      <c r="N571" t="s">
        <v>37</v>
      </c>
      <c r="O571">
        <v>7669</v>
      </c>
      <c r="P571">
        <v>427</v>
      </c>
      <c r="Q571">
        <v>5.5678700000000001</v>
      </c>
      <c r="R571">
        <v>0</v>
      </c>
      <c r="S571">
        <v>18.88</v>
      </c>
      <c r="T571">
        <v>2.4609999999999999</v>
      </c>
      <c r="U571">
        <v>4.3999999999999997E-2</v>
      </c>
      <c r="V571">
        <v>0</v>
      </c>
      <c r="W571">
        <v>1</v>
      </c>
      <c r="X571">
        <v>0</v>
      </c>
      <c r="Y571" t="s">
        <v>36</v>
      </c>
      <c r="Z571">
        <v>7667</v>
      </c>
      <c r="AA571">
        <v>6758</v>
      </c>
      <c r="AB571">
        <v>679</v>
      </c>
      <c r="AC571" t="s">
        <v>38</v>
      </c>
      <c r="AD571" t="str">
        <f t="shared" si="16"/>
        <v>CP</v>
      </c>
      <c r="AE571" t="str">
        <f>_xlfn.XLOOKUP(D571,Mapping!A:A,Mapping!D:D,0,0)</f>
        <v>AI</v>
      </c>
      <c r="AF571" t="str">
        <f t="shared" si="17"/>
        <v>OLD</v>
      </c>
    </row>
    <row r="572" spans="1:32" x14ac:dyDescent="0.2">
      <c r="A572" t="s">
        <v>1118</v>
      </c>
      <c r="B572" t="s">
        <v>39</v>
      </c>
      <c r="C572">
        <v>1012797382</v>
      </c>
      <c r="D572" t="s">
        <v>627</v>
      </c>
      <c r="E572" t="s">
        <v>31</v>
      </c>
      <c r="F572" s="1">
        <v>0.67291666666666672</v>
      </c>
      <c r="G572" t="s">
        <v>32</v>
      </c>
      <c r="H572" t="s">
        <v>33</v>
      </c>
      <c r="I572" t="s">
        <v>41</v>
      </c>
      <c r="J572" t="s">
        <v>62</v>
      </c>
      <c r="K572">
        <v>70</v>
      </c>
      <c r="L572">
        <v>0</v>
      </c>
      <c r="M572" t="s">
        <v>63</v>
      </c>
      <c r="N572">
        <v>500</v>
      </c>
      <c r="O572">
        <v>0</v>
      </c>
      <c r="P572">
        <v>0</v>
      </c>
      <c r="Q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 t="s">
        <v>36</v>
      </c>
      <c r="AC572" t="s">
        <v>43</v>
      </c>
      <c r="AD572" t="str">
        <f t="shared" si="16"/>
        <v>CP</v>
      </c>
      <c r="AE572" t="str">
        <f>_xlfn.XLOOKUP(D572,Mapping!A:A,Mapping!D:D,0,0)</f>
        <v>Bin</v>
      </c>
      <c r="AF572" t="str">
        <f t="shared" si="17"/>
        <v>OLD</v>
      </c>
    </row>
    <row r="573" spans="1:32" x14ac:dyDescent="0.2">
      <c r="A573" t="s">
        <v>1118</v>
      </c>
      <c r="B573" t="s">
        <v>39</v>
      </c>
      <c r="C573">
        <v>1012797402</v>
      </c>
      <c r="D573" t="s">
        <v>597</v>
      </c>
      <c r="E573" t="s">
        <v>31</v>
      </c>
      <c r="F573" s="1">
        <v>0.67291666666666672</v>
      </c>
      <c r="G573" t="s">
        <v>32</v>
      </c>
      <c r="H573" t="s">
        <v>33</v>
      </c>
      <c r="I573" t="s">
        <v>41</v>
      </c>
      <c r="J573" t="s">
        <v>62</v>
      </c>
      <c r="K573">
        <v>70</v>
      </c>
      <c r="L573">
        <v>0</v>
      </c>
      <c r="M573" t="s">
        <v>63</v>
      </c>
      <c r="N573">
        <v>500</v>
      </c>
      <c r="O573">
        <v>0</v>
      </c>
      <c r="P573">
        <v>0</v>
      </c>
      <c r="Q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 t="s">
        <v>36</v>
      </c>
      <c r="AC573" t="s">
        <v>43</v>
      </c>
      <c r="AD573" t="str">
        <f t="shared" si="16"/>
        <v>CP</v>
      </c>
      <c r="AE573" t="str">
        <f>_xlfn.XLOOKUP(D573,Mapping!A:A,Mapping!D:D,0,0)</f>
        <v>Bin</v>
      </c>
      <c r="AF573" t="str">
        <f t="shared" si="17"/>
        <v>OLD</v>
      </c>
    </row>
    <row r="574" spans="1:32" x14ac:dyDescent="0.2">
      <c r="A574" t="s">
        <v>1118</v>
      </c>
      <c r="B574" t="s">
        <v>39</v>
      </c>
      <c r="C574">
        <v>1012797422</v>
      </c>
      <c r="D574" t="s">
        <v>305</v>
      </c>
      <c r="E574" t="s">
        <v>31</v>
      </c>
      <c r="F574" s="1">
        <v>0.67291666666666672</v>
      </c>
      <c r="G574" t="s">
        <v>32</v>
      </c>
      <c r="H574" t="s">
        <v>33</v>
      </c>
      <c r="I574" t="s">
        <v>41</v>
      </c>
      <c r="J574" t="s">
        <v>255</v>
      </c>
      <c r="K574">
        <v>30</v>
      </c>
      <c r="L574">
        <v>0</v>
      </c>
      <c r="M574" t="s">
        <v>63</v>
      </c>
      <c r="N574">
        <v>1000</v>
      </c>
      <c r="O574">
        <v>0</v>
      </c>
      <c r="P574">
        <v>0</v>
      </c>
      <c r="Q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 t="s">
        <v>36</v>
      </c>
      <c r="AC574" t="s">
        <v>43</v>
      </c>
      <c r="AD574" t="str">
        <f t="shared" si="16"/>
        <v>CP</v>
      </c>
      <c r="AE574" t="str">
        <f>_xlfn.XLOOKUP(D574,Mapping!A:A,Mapping!D:D,0,0)</f>
        <v>Bin</v>
      </c>
      <c r="AF574" t="str">
        <f t="shared" si="17"/>
        <v>OLD</v>
      </c>
    </row>
    <row r="575" spans="1:32" x14ac:dyDescent="0.2">
      <c r="A575" t="s">
        <v>1118</v>
      </c>
      <c r="B575" t="s">
        <v>39</v>
      </c>
      <c r="C575">
        <v>1012797432</v>
      </c>
      <c r="D575" t="s">
        <v>628</v>
      </c>
      <c r="E575" t="s">
        <v>31</v>
      </c>
      <c r="F575" s="1">
        <v>0.67291666666666672</v>
      </c>
      <c r="G575" t="s">
        <v>32</v>
      </c>
      <c r="H575" t="s">
        <v>33</v>
      </c>
      <c r="I575" t="s">
        <v>41</v>
      </c>
      <c r="J575" t="s">
        <v>62</v>
      </c>
      <c r="K575">
        <v>70</v>
      </c>
      <c r="L575">
        <v>0</v>
      </c>
      <c r="M575" t="s">
        <v>63</v>
      </c>
      <c r="N575">
        <v>500</v>
      </c>
      <c r="O575">
        <v>0</v>
      </c>
      <c r="P575">
        <v>0</v>
      </c>
      <c r="Q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 t="s">
        <v>36</v>
      </c>
      <c r="AC575" t="s">
        <v>43</v>
      </c>
      <c r="AD575" t="str">
        <f t="shared" si="16"/>
        <v>CP</v>
      </c>
      <c r="AE575" t="str">
        <f>_xlfn.XLOOKUP(D575,Mapping!A:A,Mapping!D:D,0,0)</f>
        <v>Bin</v>
      </c>
      <c r="AF575" t="str">
        <f t="shared" si="17"/>
        <v>OLD</v>
      </c>
    </row>
    <row r="576" spans="1:32" x14ac:dyDescent="0.2">
      <c r="A576" t="s">
        <v>1118</v>
      </c>
      <c r="B576" t="s">
        <v>39</v>
      </c>
      <c r="C576">
        <v>1012797442</v>
      </c>
      <c r="D576" t="s">
        <v>326</v>
      </c>
      <c r="E576" t="s">
        <v>31</v>
      </c>
      <c r="F576" s="1">
        <v>0.67291666666666672</v>
      </c>
      <c r="G576" t="s">
        <v>32</v>
      </c>
      <c r="H576" t="s">
        <v>33</v>
      </c>
      <c r="I576" t="s">
        <v>41</v>
      </c>
      <c r="J576" t="s">
        <v>62</v>
      </c>
      <c r="K576">
        <v>70</v>
      </c>
      <c r="L576">
        <v>0</v>
      </c>
      <c r="M576" t="s">
        <v>63</v>
      </c>
      <c r="N576">
        <v>1000</v>
      </c>
      <c r="O576">
        <v>0</v>
      </c>
      <c r="P576">
        <v>0</v>
      </c>
      <c r="Q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 t="s">
        <v>36</v>
      </c>
      <c r="AC576" t="s">
        <v>43</v>
      </c>
      <c r="AD576" t="str">
        <f t="shared" si="16"/>
        <v>CP</v>
      </c>
      <c r="AE576" t="str">
        <f>_xlfn.XLOOKUP(D576,Mapping!A:A,Mapping!D:D,0,0)</f>
        <v>Bin</v>
      </c>
      <c r="AF576" t="str">
        <f t="shared" si="17"/>
        <v>OLD</v>
      </c>
    </row>
    <row r="577" spans="1:32" x14ac:dyDescent="0.2">
      <c r="A577" t="s">
        <v>1118</v>
      </c>
      <c r="B577" t="s">
        <v>39</v>
      </c>
      <c r="C577">
        <v>1012797452</v>
      </c>
      <c r="D577" t="s">
        <v>411</v>
      </c>
      <c r="E577" t="s">
        <v>31</v>
      </c>
      <c r="F577" s="1">
        <v>0.67291666666666672</v>
      </c>
      <c r="G577" t="s">
        <v>32</v>
      </c>
      <c r="H577" t="s">
        <v>33</v>
      </c>
      <c r="I577" t="s">
        <v>41</v>
      </c>
      <c r="J577" t="s">
        <v>62</v>
      </c>
      <c r="K577">
        <v>70</v>
      </c>
      <c r="L577">
        <v>0</v>
      </c>
      <c r="M577" t="s">
        <v>63</v>
      </c>
      <c r="N577">
        <v>500</v>
      </c>
      <c r="O577">
        <v>0</v>
      </c>
      <c r="P577">
        <v>0</v>
      </c>
      <c r="Q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 t="s">
        <v>36</v>
      </c>
      <c r="AC577" t="s">
        <v>43</v>
      </c>
      <c r="AD577" t="str">
        <f t="shared" si="16"/>
        <v>CP</v>
      </c>
      <c r="AE577" t="str">
        <f>_xlfn.XLOOKUP(D577,Mapping!A:A,Mapping!D:D,0,0)</f>
        <v>Bin</v>
      </c>
      <c r="AF577" t="str">
        <f t="shared" si="17"/>
        <v>OLD</v>
      </c>
    </row>
    <row r="578" spans="1:32" x14ac:dyDescent="0.2">
      <c r="A578" t="s">
        <v>1118</v>
      </c>
      <c r="B578" t="s">
        <v>39</v>
      </c>
      <c r="C578">
        <v>1012797462</v>
      </c>
      <c r="D578" t="s">
        <v>629</v>
      </c>
      <c r="E578" t="s">
        <v>31</v>
      </c>
      <c r="F578" s="1">
        <v>0.67291666666666672</v>
      </c>
      <c r="G578" t="s">
        <v>32</v>
      </c>
      <c r="H578" t="s">
        <v>33</v>
      </c>
      <c r="I578" t="s">
        <v>41</v>
      </c>
      <c r="J578" t="s">
        <v>62</v>
      </c>
      <c r="K578">
        <v>70</v>
      </c>
      <c r="L578">
        <v>0</v>
      </c>
      <c r="M578" t="s">
        <v>36</v>
      </c>
      <c r="N578" t="s">
        <v>37</v>
      </c>
      <c r="O578">
        <v>0</v>
      </c>
      <c r="P578">
        <v>0</v>
      </c>
      <c r="Q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 t="s">
        <v>36</v>
      </c>
      <c r="AC578" t="s">
        <v>119</v>
      </c>
      <c r="AD578" t="str">
        <f t="shared" si="16"/>
        <v>CP</v>
      </c>
      <c r="AE578" t="str">
        <f>_xlfn.XLOOKUP(D578,Mapping!A:A,Mapping!D:D,0,0)</f>
        <v>Archive</v>
      </c>
      <c r="AF578" t="str">
        <f t="shared" si="17"/>
        <v>OLD</v>
      </c>
    </row>
    <row r="579" spans="1:32" x14ac:dyDescent="0.2">
      <c r="A579" t="s">
        <v>1118</v>
      </c>
      <c r="B579" t="s">
        <v>39</v>
      </c>
      <c r="C579">
        <v>1012797472</v>
      </c>
      <c r="D579" t="s">
        <v>402</v>
      </c>
      <c r="E579" t="s">
        <v>31</v>
      </c>
      <c r="F579" s="1">
        <v>0.67291666666666672</v>
      </c>
      <c r="G579" t="s">
        <v>32</v>
      </c>
      <c r="H579" t="s">
        <v>33</v>
      </c>
      <c r="I579" t="s">
        <v>41</v>
      </c>
      <c r="J579" t="s">
        <v>62</v>
      </c>
      <c r="K579">
        <v>70</v>
      </c>
      <c r="L579">
        <v>0</v>
      </c>
      <c r="M579" t="s">
        <v>63</v>
      </c>
      <c r="N579">
        <v>1000</v>
      </c>
      <c r="O579">
        <v>0</v>
      </c>
      <c r="P579">
        <v>0</v>
      </c>
      <c r="Q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 t="s">
        <v>36</v>
      </c>
      <c r="AC579" t="s">
        <v>43</v>
      </c>
      <c r="AD579" t="str">
        <f t="shared" ref="AD579:AD642" si="18">LEFT(D579,2)</f>
        <v>CP</v>
      </c>
      <c r="AE579" t="str">
        <f>_xlfn.XLOOKUP(D579,Mapping!A:A,Mapping!D:D,0,0)</f>
        <v>Bin</v>
      </c>
      <c r="AF579" t="str">
        <f t="shared" ref="AF579:AF642" si="19">IFERROR(IF(SEARCH("_TJ",D579)&gt;0,"TJ",NA()),IFERROR(IF(SEARCH("_JB",D579)&gt;0,"JB",NA()),"OLD"))</f>
        <v>OLD</v>
      </c>
    </row>
    <row r="580" spans="1:32" x14ac:dyDescent="0.2">
      <c r="A580" t="s">
        <v>1118</v>
      </c>
      <c r="B580" t="s">
        <v>39</v>
      </c>
      <c r="C580">
        <v>1012800202</v>
      </c>
      <c r="D580" t="s">
        <v>630</v>
      </c>
      <c r="E580" t="s">
        <v>31</v>
      </c>
      <c r="F580" s="1">
        <v>0.67291666666666672</v>
      </c>
      <c r="G580" t="s">
        <v>32</v>
      </c>
      <c r="H580" t="s">
        <v>33</v>
      </c>
      <c r="I580" t="s">
        <v>41</v>
      </c>
      <c r="J580" t="s">
        <v>62</v>
      </c>
      <c r="K580">
        <v>70</v>
      </c>
      <c r="L580">
        <v>0</v>
      </c>
      <c r="M580" t="s">
        <v>63</v>
      </c>
      <c r="N580">
        <v>1000</v>
      </c>
      <c r="O580">
        <v>0</v>
      </c>
      <c r="P580">
        <v>0</v>
      </c>
      <c r="Q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 t="s">
        <v>36</v>
      </c>
      <c r="AC580" t="s">
        <v>43</v>
      </c>
      <c r="AD580" t="str">
        <f t="shared" si="18"/>
        <v>CP</v>
      </c>
      <c r="AE580" t="str">
        <f>_xlfn.XLOOKUP(D580,Mapping!A:A,Mapping!D:D,0,0)</f>
        <v>Bin</v>
      </c>
      <c r="AF580" t="str">
        <f t="shared" si="19"/>
        <v>OLD</v>
      </c>
    </row>
    <row r="581" spans="1:32" x14ac:dyDescent="0.2">
      <c r="A581" t="s">
        <v>1118</v>
      </c>
      <c r="B581" t="s">
        <v>39</v>
      </c>
      <c r="C581">
        <v>1012800212</v>
      </c>
      <c r="D581" t="s">
        <v>631</v>
      </c>
      <c r="E581" t="s">
        <v>31</v>
      </c>
      <c r="F581" s="1">
        <v>0.67291666666666672</v>
      </c>
      <c r="G581" t="s">
        <v>32</v>
      </c>
      <c r="H581" t="s">
        <v>33</v>
      </c>
      <c r="I581" t="s">
        <v>41</v>
      </c>
      <c r="J581" t="s">
        <v>62</v>
      </c>
      <c r="K581">
        <v>70</v>
      </c>
      <c r="L581">
        <v>0</v>
      </c>
      <c r="M581" t="s">
        <v>36</v>
      </c>
      <c r="N581" t="s">
        <v>37</v>
      </c>
      <c r="O581">
        <v>0</v>
      </c>
      <c r="P581">
        <v>0</v>
      </c>
      <c r="Q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 t="s">
        <v>36</v>
      </c>
      <c r="AC581" t="s">
        <v>172</v>
      </c>
      <c r="AD581" t="str">
        <f t="shared" si="18"/>
        <v>CP</v>
      </c>
      <c r="AE581" t="str">
        <f>_xlfn.XLOOKUP(D581,Mapping!A:A,Mapping!D:D,0,0)</f>
        <v>Ocean</v>
      </c>
      <c r="AF581" t="str">
        <f t="shared" si="19"/>
        <v>OLD</v>
      </c>
    </row>
    <row r="582" spans="1:32" x14ac:dyDescent="0.2">
      <c r="A582" t="s">
        <v>1118</v>
      </c>
      <c r="B582" t="s">
        <v>39</v>
      </c>
      <c r="C582">
        <v>1012800222</v>
      </c>
      <c r="D582" t="s">
        <v>632</v>
      </c>
      <c r="E582" t="s">
        <v>31</v>
      </c>
      <c r="F582" s="1">
        <v>0.67291666666666672</v>
      </c>
      <c r="G582" t="s">
        <v>32</v>
      </c>
      <c r="H582" t="s">
        <v>33</v>
      </c>
      <c r="I582" t="s">
        <v>41</v>
      </c>
      <c r="J582" t="s">
        <v>62</v>
      </c>
      <c r="K582">
        <v>70</v>
      </c>
      <c r="L582">
        <v>0</v>
      </c>
      <c r="M582" t="s">
        <v>63</v>
      </c>
      <c r="N582">
        <v>500</v>
      </c>
      <c r="O582">
        <v>0</v>
      </c>
      <c r="P582">
        <v>0</v>
      </c>
      <c r="Q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 t="s">
        <v>36</v>
      </c>
      <c r="AC582" t="s">
        <v>43</v>
      </c>
      <c r="AD582" t="str">
        <f t="shared" si="18"/>
        <v>CP</v>
      </c>
      <c r="AE582" t="str">
        <f>_xlfn.XLOOKUP(D582,Mapping!A:A,Mapping!D:D,0,0)</f>
        <v>Bin</v>
      </c>
      <c r="AF582" t="str">
        <f t="shared" si="19"/>
        <v>OLD</v>
      </c>
    </row>
    <row r="583" spans="1:32" x14ac:dyDescent="0.2">
      <c r="A583" t="s">
        <v>1118</v>
      </c>
      <c r="B583" t="s">
        <v>39</v>
      </c>
      <c r="C583">
        <v>1012800232</v>
      </c>
      <c r="D583" t="s">
        <v>633</v>
      </c>
      <c r="E583" t="s">
        <v>31</v>
      </c>
      <c r="F583" s="1">
        <v>0.67291666666666672</v>
      </c>
      <c r="G583" t="s">
        <v>32</v>
      </c>
      <c r="H583" t="s">
        <v>33</v>
      </c>
      <c r="I583" t="s">
        <v>41</v>
      </c>
      <c r="J583" t="s">
        <v>62</v>
      </c>
      <c r="K583">
        <v>70</v>
      </c>
      <c r="L583">
        <v>0</v>
      </c>
      <c r="M583" t="s">
        <v>63</v>
      </c>
      <c r="N583">
        <v>1000</v>
      </c>
      <c r="O583">
        <v>0</v>
      </c>
      <c r="P583">
        <v>0</v>
      </c>
      <c r="Q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 t="s">
        <v>36</v>
      </c>
      <c r="AC583" t="s">
        <v>43</v>
      </c>
      <c r="AD583" t="str">
        <f t="shared" si="18"/>
        <v>CP</v>
      </c>
      <c r="AE583" t="str">
        <f>_xlfn.XLOOKUP(D583,Mapping!A:A,Mapping!D:D,0,0)</f>
        <v>Bin</v>
      </c>
      <c r="AF583" t="str">
        <f t="shared" si="19"/>
        <v>OLD</v>
      </c>
    </row>
    <row r="584" spans="1:32" x14ac:dyDescent="0.2">
      <c r="A584" t="s">
        <v>1118</v>
      </c>
      <c r="B584" t="s">
        <v>39</v>
      </c>
      <c r="C584">
        <v>1012800242</v>
      </c>
      <c r="D584" t="s">
        <v>634</v>
      </c>
      <c r="E584" t="s">
        <v>31</v>
      </c>
      <c r="F584" s="1">
        <v>0.67291666666666672</v>
      </c>
      <c r="G584" t="s">
        <v>32</v>
      </c>
      <c r="H584" t="s">
        <v>33</v>
      </c>
      <c r="I584" t="s">
        <v>41</v>
      </c>
      <c r="J584" t="s">
        <v>62</v>
      </c>
      <c r="K584">
        <v>70</v>
      </c>
      <c r="L584">
        <v>0</v>
      </c>
      <c r="M584" t="s">
        <v>63</v>
      </c>
      <c r="N584">
        <v>500</v>
      </c>
      <c r="O584">
        <v>0</v>
      </c>
      <c r="P584">
        <v>0</v>
      </c>
      <c r="Q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 t="s">
        <v>36</v>
      </c>
      <c r="AC584" t="s">
        <v>43</v>
      </c>
      <c r="AD584" t="str">
        <f t="shared" si="18"/>
        <v>CP</v>
      </c>
      <c r="AE584" t="str">
        <f>_xlfn.XLOOKUP(D584,Mapping!A:A,Mapping!D:D,0,0)</f>
        <v>Bin</v>
      </c>
      <c r="AF584" t="str">
        <f t="shared" si="19"/>
        <v>OLD</v>
      </c>
    </row>
    <row r="585" spans="1:32" x14ac:dyDescent="0.2">
      <c r="A585" t="s">
        <v>1118</v>
      </c>
      <c r="B585" t="s">
        <v>39</v>
      </c>
      <c r="C585">
        <v>1012800252</v>
      </c>
      <c r="D585" t="s">
        <v>635</v>
      </c>
      <c r="E585" t="s">
        <v>31</v>
      </c>
      <c r="F585" s="1">
        <v>0.67291666666666672</v>
      </c>
      <c r="G585" t="s">
        <v>32</v>
      </c>
      <c r="H585" t="s">
        <v>33</v>
      </c>
      <c r="I585" t="s">
        <v>41</v>
      </c>
      <c r="J585" t="s">
        <v>255</v>
      </c>
      <c r="K585">
        <v>30</v>
      </c>
      <c r="L585">
        <v>0</v>
      </c>
      <c r="M585" t="s">
        <v>63</v>
      </c>
      <c r="N585">
        <v>500</v>
      </c>
      <c r="O585">
        <v>0</v>
      </c>
      <c r="P585">
        <v>0</v>
      </c>
      <c r="Q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 t="s">
        <v>36</v>
      </c>
      <c r="AC585" t="s">
        <v>43</v>
      </c>
      <c r="AD585" t="str">
        <f t="shared" si="18"/>
        <v>CP</v>
      </c>
      <c r="AE585" t="str">
        <f>_xlfn.XLOOKUP(D585,Mapping!A:A,Mapping!D:D,0,0)</f>
        <v>Bin</v>
      </c>
      <c r="AF585" t="str">
        <f t="shared" si="19"/>
        <v>OLD</v>
      </c>
    </row>
    <row r="586" spans="1:32" x14ac:dyDescent="0.2">
      <c r="A586" t="s">
        <v>1118</v>
      </c>
      <c r="B586" t="s">
        <v>39</v>
      </c>
      <c r="C586">
        <v>1012800262</v>
      </c>
      <c r="D586" t="s">
        <v>636</v>
      </c>
      <c r="E586" t="s">
        <v>31</v>
      </c>
      <c r="F586" s="1">
        <v>0.67291666666666672</v>
      </c>
      <c r="G586" t="s">
        <v>32</v>
      </c>
      <c r="H586" t="s">
        <v>33</v>
      </c>
      <c r="I586" t="s">
        <v>41</v>
      </c>
      <c r="J586" t="s">
        <v>62</v>
      </c>
      <c r="K586">
        <v>70</v>
      </c>
      <c r="L586">
        <v>0</v>
      </c>
      <c r="M586" t="s">
        <v>63</v>
      </c>
      <c r="N586">
        <v>500</v>
      </c>
      <c r="O586">
        <v>0</v>
      </c>
      <c r="P586">
        <v>0</v>
      </c>
      <c r="Q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 t="s">
        <v>36</v>
      </c>
      <c r="AC586" t="s">
        <v>43</v>
      </c>
      <c r="AD586" t="str">
        <f t="shared" si="18"/>
        <v>CP</v>
      </c>
      <c r="AE586" t="str">
        <f>_xlfn.XLOOKUP(D586,Mapping!A:A,Mapping!D:D,0,0)</f>
        <v>Bin</v>
      </c>
      <c r="AF586" t="str">
        <f t="shared" si="19"/>
        <v>OLD</v>
      </c>
    </row>
    <row r="587" spans="1:32" x14ac:dyDescent="0.2">
      <c r="A587" t="s">
        <v>1118</v>
      </c>
      <c r="B587" t="s">
        <v>39</v>
      </c>
      <c r="C587">
        <v>1012800272</v>
      </c>
      <c r="D587" t="s">
        <v>637</v>
      </c>
      <c r="E587" t="s">
        <v>31</v>
      </c>
      <c r="F587" s="1">
        <v>0.67291666666666672</v>
      </c>
      <c r="G587" t="s">
        <v>32</v>
      </c>
      <c r="H587" t="s">
        <v>33</v>
      </c>
      <c r="I587" t="s">
        <v>41</v>
      </c>
      <c r="J587" t="s">
        <v>255</v>
      </c>
      <c r="K587">
        <v>70</v>
      </c>
      <c r="L587">
        <v>0</v>
      </c>
      <c r="M587" t="s">
        <v>63</v>
      </c>
      <c r="N587">
        <v>1000</v>
      </c>
      <c r="O587">
        <v>0</v>
      </c>
      <c r="P587">
        <v>0</v>
      </c>
      <c r="Q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 t="s">
        <v>36</v>
      </c>
      <c r="AC587" t="s">
        <v>43</v>
      </c>
      <c r="AD587" t="str">
        <f t="shared" si="18"/>
        <v>CP</v>
      </c>
      <c r="AE587" t="str">
        <f>_xlfn.XLOOKUP(D587,Mapping!A:A,Mapping!D:D,0,0)</f>
        <v>Bin</v>
      </c>
      <c r="AF587" t="str">
        <f t="shared" si="19"/>
        <v>OLD</v>
      </c>
    </row>
    <row r="588" spans="1:32" x14ac:dyDescent="0.2">
      <c r="A588" t="s">
        <v>1118</v>
      </c>
      <c r="B588" t="s">
        <v>39</v>
      </c>
      <c r="C588">
        <v>1012806532</v>
      </c>
      <c r="D588" t="s">
        <v>82</v>
      </c>
      <c r="E588" t="s">
        <v>31</v>
      </c>
      <c r="F588" s="1">
        <v>0.67291666666666672</v>
      </c>
      <c r="G588" t="s">
        <v>32</v>
      </c>
      <c r="H588" t="s">
        <v>33</v>
      </c>
      <c r="I588" t="s">
        <v>41</v>
      </c>
      <c r="J588" t="s">
        <v>62</v>
      </c>
      <c r="K588">
        <v>70</v>
      </c>
      <c r="L588">
        <v>0</v>
      </c>
      <c r="M588" t="s">
        <v>63</v>
      </c>
      <c r="N588">
        <v>250</v>
      </c>
      <c r="O588">
        <v>0</v>
      </c>
      <c r="P588">
        <v>0</v>
      </c>
      <c r="Q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 t="s">
        <v>36</v>
      </c>
      <c r="AC588" t="s">
        <v>172</v>
      </c>
      <c r="AD588" t="str">
        <f t="shared" si="18"/>
        <v>CP</v>
      </c>
      <c r="AE588" t="str">
        <f>_xlfn.XLOOKUP(D588,Mapping!A:A,Mapping!D:D,0,0)</f>
        <v>Bin</v>
      </c>
      <c r="AF588" t="str">
        <f t="shared" si="19"/>
        <v>OLD</v>
      </c>
    </row>
    <row r="589" spans="1:32" x14ac:dyDescent="0.2">
      <c r="A589" t="s">
        <v>1118</v>
      </c>
      <c r="B589" t="s">
        <v>39</v>
      </c>
      <c r="C589">
        <v>1012806542</v>
      </c>
      <c r="D589" t="s">
        <v>638</v>
      </c>
      <c r="E589" t="s">
        <v>31</v>
      </c>
      <c r="F589" s="1">
        <v>0.67291666666666672</v>
      </c>
      <c r="G589" t="s">
        <v>32</v>
      </c>
      <c r="H589" t="s">
        <v>33</v>
      </c>
      <c r="I589" t="s">
        <v>41</v>
      </c>
      <c r="J589" t="s">
        <v>62</v>
      </c>
      <c r="K589">
        <v>70</v>
      </c>
      <c r="L589">
        <v>0</v>
      </c>
      <c r="M589" t="s">
        <v>36</v>
      </c>
      <c r="N589" t="s">
        <v>37</v>
      </c>
      <c r="O589">
        <v>0</v>
      </c>
      <c r="P589">
        <v>0</v>
      </c>
      <c r="Q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 t="s">
        <v>36</v>
      </c>
      <c r="AC589" t="s">
        <v>43</v>
      </c>
      <c r="AD589" t="str">
        <f t="shared" si="18"/>
        <v>CP</v>
      </c>
      <c r="AE589" t="str">
        <f>_xlfn.XLOOKUP(D589,Mapping!A:A,Mapping!D:D,0,0)</f>
        <v>Bin</v>
      </c>
      <c r="AF589" t="str">
        <f t="shared" si="19"/>
        <v>OLD</v>
      </c>
    </row>
    <row r="590" spans="1:32" x14ac:dyDescent="0.2">
      <c r="A590" t="s">
        <v>1118</v>
      </c>
      <c r="B590" t="s">
        <v>39</v>
      </c>
      <c r="C590">
        <v>1012811242</v>
      </c>
      <c r="D590" t="s">
        <v>639</v>
      </c>
      <c r="E590" t="s">
        <v>31</v>
      </c>
      <c r="F590" s="1">
        <v>0.67291666666666672</v>
      </c>
      <c r="G590" t="s">
        <v>32</v>
      </c>
      <c r="H590" t="s">
        <v>33</v>
      </c>
      <c r="I590" t="s">
        <v>41</v>
      </c>
      <c r="J590" t="s">
        <v>58</v>
      </c>
      <c r="K590">
        <v>120</v>
      </c>
      <c r="L590">
        <v>0</v>
      </c>
      <c r="M590" t="s">
        <v>63</v>
      </c>
      <c r="N590">
        <v>500</v>
      </c>
      <c r="O590">
        <v>0</v>
      </c>
      <c r="P590">
        <v>0</v>
      </c>
      <c r="Q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 t="s">
        <v>36</v>
      </c>
      <c r="AC590" t="s">
        <v>43</v>
      </c>
      <c r="AD590" t="str">
        <f t="shared" si="18"/>
        <v>CP</v>
      </c>
      <c r="AE590" t="str">
        <f>_xlfn.XLOOKUP(D590,Mapping!A:A,Mapping!D:D,0,0)</f>
        <v>Bin</v>
      </c>
      <c r="AF590" t="str">
        <f t="shared" si="19"/>
        <v>OLD</v>
      </c>
    </row>
    <row r="591" spans="1:32" x14ac:dyDescent="0.2">
      <c r="A591" t="s">
        <v>1118</v>
      </c>
      <c r="B591" t="s">
        <v>39</v>
      </c>
      <c r="C591">
        <v>1012811252</v>
      </c>
      <c r="D591" t="s">
        <v>640</v>
      </c>
      <c r="E591" t="s">
        <v>31</v>
      </c>
      <c r="F591" s="1">
        <v>0.67291666666666672</v>
      </c>
      <c r="G591" t="s">
        <v>32</v>
      </c>
      <c r="H591" t="s">
        <v>33</v>
      </c>
      <c r="I591" t="s">
        <v>41</v>
      </c>
      <c r="J591" t="s">
        <v>62</v>
      </c>
      <c r="K591">
        <v>120</v>
      </c>
      <c r="L591">
        <v>0</v>
      </c>
      <c r="M591" t="s">
        <v>63</v>
      </c>
      <c r="N591">
        <v>500</v>
      </c>
      <c r="O591">
        <v>0</v>
      </c>
      <c r="P591">
        <v>0</v>
      </c>
      <c r="Q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 t="s">
        <v>36</v>
      </c>
      <c r="AC591" t="s">
        <v>43</v>
      </c>
      <c r="AD591" t="str">
        <f t="shared" si="18"/>
        <v>CP</v>
      </c>
      <c r="AE591" t="str">
        <f>_xlfn.XLOOKUP(D591,Mapping!A:A,Mapping!D:D,0,0)</f>
        <v>Trans</v>
      </c>
      <c r="AF591" t="str">
        <f t="shared" si="19"/>
        <v>OLD</v>
      </c>
    </row>
    <row r="592" spans="1:32" x14ac:dyDescent="0.2">
      <c r="A592" t="s">
        <v>1118</v>
      </c>
      <c r="B592" t="s">
        <v>39</v>
      </c>
      <c r="C592">
        <v>1012811262</v>
      </c>
      <c r="D592" t="s">
        <v>122</v>
      </c>
      <c r="E592" t="s">
        <v>31</v>
      </c>
      <c r="F592" s="1">
        <v>0.67291666666666672</v>
      </c>
      <c r="G592" t="s">
        <v>32</v>
      </c>
      <c r="H592" t="s">
        <v>33</v>
      </c>
      <c r="I592" t="s">
        <v>41</v>
      </c>
      <c r="J592" t="s">
        <v>58</v>
      </c>
      <c r="K592">
        <v>120</v>
      </c>
      <c r="L592">
        <v>0</v>
      </c>
      <c r="M592" t="s">
        <v>63</v>
      </c>
      <c r="N592">
        <v>500</v>
      </c>
      <c r="O592">
        <v>0</v>
      </c>
      <c r="P592">
        <v>0</v>
      </c>
      <c r="Q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 t="s">
        <v>36</v>
      </c>
      <c r="AC592" t="s">
        <v>43</v>
      </c>
      <c r="AD592" t="str">
        <f t="shared" si="18"/>
        <v>CP</v>
      </c>
      <c r="AE592" t="str">
        <f>_xlfn.XLOOKUP(D592,Mapping!A:A,Mapping!D:D,0,0)</f>
        <v>Bin</v>
      </c>
      <c r="AF592" t="str">
        <f t="shared" si="19"/>
        <v>OLD</v>
      </c>
    </row>
    <row r="593" spans="1:32" x14ac:dyDescent="0.2">
      <c r="A593" t="s">
        <v>1118</v>
      </c>
      <c r="B593" t="s">
        <v>39</v>
      </c>
      <c r="C593">
        <v>1012811272</v>
      </c>
      <c r="D593" t="s">
        <v>641</v>
      </c>
      <c r="E593" t="s">
        <v>31</v>
      </c>
      <c r="F593" s="1">
        <v>0.67291666666666672</v>
      </c>
      <c r="G593" t="s">
        <v>32</v>
      </c>
      <c r="H593" t="s">
        <v>33</v>
      </c>
      <c r="I593" t="s">
        <v>41</v>
      </c>
      <c r="J593" t="s">
        <v>62</v>
      </c>
      <c r="K593">
        <v>110</v>
      </c>
      <c r="L593">
        <v>0</v>
      </c>
      <c r="M593" t="s">
        <v>63</v>
      </c>
      <c r="N593">
        <v>500</v>
      </c>
      <c r="O593">
        <v>0</v>
      </c>
      <c r="P593">
        <v>0</v>
      </c>
      <c r="Q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 t="s">
        <v>36</v>
      </c>
      <c r="AC593" t="s">
        <v>43</v>
      </c>
      <c r="AD593" t="str">
        <f t="shared" si="18"/>
        <v>CP</v>
      </c>
      <c r="AE593" t="str">
        <f>_xlfn.XLOOKUP(D593,Mapping!A:A,Mapping!D:D,0,0)</f>
        <v>Bin</v>
      </c>
      <c r="AF593" t="str">
        <f t="shared" si="19"/>
        <v>OLD</v>
      </c>
    </row>
    <row r="594" spans="1:32" x14ac:dyDescent="0.2">
      <c r="A594" t="s">
        <v>1118</v>
      </c>
      <c r="B594" t="s">
        <v>29</v>
      </c>
      <c r="C594">
        <v>1012811552</v>
      </c>
      <c r="D594" t="s">
        <v>642</v>
      </c>
      <c r="E594" t="s">
        <v>31</v>
      </c>
      <c r="F594" s="1">
        <v>0.67291666666666672</v>
      </c>
      <c r="G594" t="s">
        <v>32</v>
      </c>
      <c r="H594" t="s">
        <v>33</v>
      </c>
      <c r="I594" t="s">
        <v>41</v>
      </c>
      <c r="J594" t="s">
        <v>62</v>
      </c>
      <c r="K594">
        <v>110</v>
      </c>
      <c r="L594">
        <v>0</v>
      </c>
      <c r="M594" t="s">
        <v>36</v>
      </c>
      <c r="N594" t="s">
        <v>37</v>
      </c>
      <c r="O594">
        <v>2577</v>
      </c>
      <c r="P594">
        <v>158</v>
      </c>
      <c r="Q594">
        <v>6.1311600000000004</v>
      </c>
      <c r="R594">
        <v>0</v>
      </c>
      <c r="S594">
        <v>5.33</v>
      </c>
      <c r="T594">
        <v>2.0699999999999998</v>
      </c>
      <c r="U594">
        <v>3.4000000000000002E-2</v>
      </c>
      <c r="V594">
        <v>0</v>
      </c>
      <c r="W594">
        <v>1</v>
      </c>
      <c r="X594">
        <v>0</v>
      </c>
      <c r="Y594" t="s">
        <v>36</v>
      </c>
      <c r="Z594">
        <v>2577</v>
      </c>
      <c r="AA594">
        <v>2290</v>
      </c>
      <c r="AB594">
        <v>153</v>
      </c>
      <c r="AC594" t="s">
        <v>618</v>
      </c>
      <c r="AD594" t="str">
        <f t="shared" si="18"/>
        <v>CP</v>
      </c>
      <c r="AE594" t="str">
        <f>_xlfn.XLOOKUP(D594,Mapping!A:A,Mapping!D:D,0,0)</f>
        <v>Hentai</v>
      </c>
      <c r="AF594" t="str">
        <f t="shared" si="19"/>
        <v>OLD</v>
      </c>
    </row>
    <row r="595" spans="1:32" x14ac:dyDescent="0.2">
      <c r="A595" t="s">
        <v>1118</v>
      </c>
      <c r="B595" t="s">
        <v>39</v>
      </c>
      <c r="C595">
        <v>1012811562</v>
      </c>
      <c r="D595" t="s">
        <v>620</v>
      </c>
      <c r="E595" t="s">
        <v>31</v>
      </c>
      <c r="F595" s="1">
        <v>0.67291666666666672</v>
      </c>
      <c r="G595" t="s">
        <v>32</v>
      </c>
      <c r="H595" t="s">
        <v>33</v>
      </c>
      <c r="I595" t="s">
        <v>41</v>
      </c>
      <c r="J595" t="s">
        <v>62</v>
      </c>
      <c r="K595">
        <v>70</v>
      </c>
      <c r="L595">
        <v>0</v>
      </c>
      <c r="M595" t="s">
        <v>36</v>
      </c>
      <c r="N595" t="s">
        <v>37</v>
      </c>
      <c r="O595">
        <v>0</v>
      </c>
      <c r="P595">
        <v>0</v>
      </c>
      <c r="Q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 t="s">
        <v>36</v>
      </c>
      <c r="AC595" t="s">
        <v>43</v>
      </c>
      <c r="AD595" t="str">
        <f t="shared" si="18"/>
        <v>CP</v>
      </c>
      <c r="AE595" t="str">
        <f>_xlfn.XLOOKUP(D595,Mapping!A:A,Mapping!D:D,0,0)</f>
        <v>Hentai</v>
      </c>
      <c r="AF595" t="str">
        <f t="shared" si="19"/>
        <v>OLD</v>
      </c>
    </row>
    <row r="596" spans="1:32" x14ac:dyDescent="0.2">
      <c r="A596" t="s">
        <v>1118</v>
      </c>
      <c r="B596" t="s">
        <v>29</v>
      </c>
      <c r="C596">
        <v>1012811572</v>
      </c>
      <c r="D596" t="s">
        <v>643</v>
      </c>
      <c r="E596" t="s">
        <v>31</v>
      </c>
      <c r="F596" s="1">
        <v>0.67291666666666672</v>
      </c>
      <c r="G596" t="s">
        <v>32</v>
      </c>
      <c r="H596" t="s">
        <v>33</v>
      </c>
      <c r="I596" t="s">
        <v>34</v>
      </c>
      <c r="J596" t="s">
        <v>84</v>
      </c>
      <c r="K596">
        <v>56</v>
      </c>
      <c r="L596">
        <v>0</v>
      </c>
      <c r="M596" t="s">
        <v>36</v>
      </c>
      <c r="N596" t="s">
        <v>37</v>
      </c>
      <c r="O596">
        <v>1729</v>
      </c>
      <c r="P596">
        <v>117</v>
      </c>
      <c r="Q596">
        <v>6.7669199999999998</v>
      </c>
      <c r="R596">
        <v>0</v>
      </c>
      <c r="S596">
        <v>5.15</v>
      </c>
      <c r="T596">
        <v>2.9790000000000001</v>
      </c>
      <c r="U596">
        <v>4.3999999999999997E-2</v>
      </c>
      <c r="V596">
        <v>0</v>
      </c>
      <c r="W596">
        <v>1</v>
      </c>
      <c r="X596">
        <v>0</v>
      </c>
      <c r="Y596" t="s">
        <v>36</v>
      </c>
      <c r="Z596">
        <v>1729</v>
      </c>
      <c r="AA596">
        <v>1265</v>
      </c>
      <c r="AB596">
        <v>190</v>
      </c>
      <c r="AC596" t="s">
        <v>618</v>
      </c>
      <c r="AD596" t="str">
        <f t="shared" si="18"/>
        <v>CP</v>
      </c>
      <c r="AE596" t="str">
        <f>_xlfn.XLOOKUP(D596,Mapping!A:A,Mapping!D:D,0,0)</f>
        <v>Hentai</v>
      </c>
      <c r="AF596" t="str">
        <f t="shared" si="19"/>
        <v>OLD</v>
      </c>
    </row>
    <row r="597" spans="1:32" x14ac:dyDescent="0.2">
      <c r="A597" t="s">
        <v>1118</v>
      </c>
      <c r="B597" t="s">
        <v>29</v>
      </c>
      <c r="C597">
        <v>1012811582</v>
      </c>
      <c r="D597" t="s">
        <v>644</v>
      </c>
      <c r="E597" t="s">
        <v>31</v>
      </c>
      <c r="F597" s="1">
        <v>0.67291666666666672</v>
      </c>
      <c r="G597" t="s">
        <v>32</v>
      </c>
      <c r="H597" t="s">
        <v>33</v>
      </c>
      <c r="I597" t="s">
        <v>41</v>
      </c>
      <c r="J597" t="s">
        <v>62</v>
      </c>
      <c r="K597">
        <v>130</v>
      </c>
      <c r="L597">
        <v>0</v>
      </c>
      <c r="M597" t="s">
        <v>36</v>
      </c>
      <c r="N597" t="s">
        <v>37</v>
      </c>
      <c r="O597">
        <v>21691</v>
      </c>
      <c r="P597">
        <v>1189</v>
      </c>
      <c r="Q597">
        <v>5.4815399999999999</v>
      </c>
      <c r="R597">
        <v>0</v>
      </c>
      <c r="S597">
        <v>44.36</v>
      </c>
      <c r="T597">
        <v>2.0449999999999999</v>
      </c>
      <c r="U597">
        <v>3.6999999999999998E-2</v>
      </c>
      <c r="V597">
        <v>0</v>
      </c>
      <c r="W597">
        <v>1</v>
      </c>
      <c r="X597">
        <v>0</v>
      </c>
      <c r="Y597" t="s">
        <v>36</v>
      </c>
      <c r="Z597">
        <v>21695</v>
      </c>
      <c r="AA597">
        <v>19149</v>
      </c>
      <c r="AB597">
        <v>1844</v>
      </c>
      <c r="AC597" t="s">
        <v>618</v>
      </c>
      <c r="AD597" t="str">
        <f t="shared" si="18"/>
        <v>CP</v>
      </c>
      <c r="AE597" t="str">
        <f>_xlfn.XLOOKUP(D597,Mapping!A:A,Mapping!D:D,0,0)</f>
        <v>Hentai</v>
      </c>
      <c r="AF597" t="str">
        <f t="shared" si="19"/>
        <v>OLD</v>
      </c>
    </row>
    <row r="598" spans="1:32" x14ac:dyDescent="0.2">
      <c r="A598" t="s">
        <v>1118</v>
      </c>
      <c r="B598" t="s">
        <v>39</v>
      </c>
      <c r="C598">
        <v>1012811592</v>
      </c>
      <c r="D598" t="s">
        <v>645</v>
      </c>
      <c r="E598" t="s">
        <v>31</v>
      </c>
      <c r="F598" s="1">
        <v>0.67291666666666672</v>
      </c>
      <c r="G598" t="s">
        <v>32</v>
      </c>
      <c r="H598" t="s">
        <v>33</v>
      </c>
      <c r="I598" t="s">
        <v>34</v>
      </c>
      <c r="J598" t="s">
        <v>84</v>
      </c>
      <c r="K598">
        <v>36</v>
      </c>
      <c r="L598">
        <v>0</v>
      </c>
      <c r="M598" t="s">
        <v>36</v>
      </c>
      <c r="N598" t="s">
        <v>37</v>
      </c>
      <c r="O598">
        <v>0</v>
      </c>
      <c r="P598">
        <v>0</v>
      </c>
      <c r="Q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 t="s">
        <v>36</v>
      </c>
      <c r="AC598" t="s">
        <v>618</v>
      </c>
      <c r="AD598" t="str">
        <f t="shared" si="18"/>
        <v>CP</v>
      </c>
      <c r="AE598" t="str">
        <f>_xlfn.XLOOKUP(D598,Mapping!A:A,Mapping!D:D,0,0)</f>
        <v>Hentai</v>
      </c>
      <c r="AF598" t="str">
        <f t="shared" si="19"/>
        <v>OLD</v>
      </c>
    </row>
    <row r="599" spans="1:32" x14ac:dyDescent="0.2">
      <c r="A599" t="s">
        <v>1118</v>
      </c>
      <c r="B599" t="s">
        <v>39</v>
      </c>
      <c r="C599">
        <v>1012811602</v>
      </c>
      <c r="D599" t="s">
        <v>646</v>
      </c>
      <c r="E599" t="s">
        <v>31</v>
      </c>
      <c r="F599" s="1">
        <v>0.67291666666666672</v>
      </c>
      <c r="G599" t="s">
        <v>32</v>
      </c>
      <c r="H599" t="s">
        <v>33</v>
      </c>
      <c r="I599" t="s">
        <v>41</v>
      </c>
      <c r="J599" t="s">
        <v>62</v>
      </c>
      <c r="K599">
        <v>70</v>
      </c>
      <c r="L599">
        <v>0</v>
      </c>
      <c r="M599" t="s">
        <v>36</v>
      </c>
      <c r="N599" t="s">
        <v>37</v>
      </c>
      <c r="O599">
        <v>0</v>
      </c>
      <c r="P599">
        <v>0</v>
      </c>
      <c r="Q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 t="s">
        <v>36</v>
      </c>
      <c r="AC599" t="s">
        <v>618</v>
      </c>
      <c r="AD599" t="str">
        <f t="shared" si="18"/>
        <v>CP</v>
      </c>
      <c r="AE599" t="str">
        <f>_xlfn.XLOOKUP(D599,Mapping!A:A,Mapping!D:D,0,0)</f>
        <v>Hentai</v>
      </c>
      <c r="AF599" t="str">
        <f t="shared" si="19"/>
        <v>OLD</v>
      </c>
    </row>
    <row r="600" spans="1:32" x14ac:dyDescent="0.2">
      <c r="A600" t="s">
        <v>1118</v>
      </c>
      <c r="B600" t="s">
        <v>39</v>
      </c>
      <c r="C600">
        <v>1012811612</v>
      </c>
      <c r="D600" t="s">
        <v>617</v>
      </c>
      <c r="E600" t="s">
        <v>31</v>
      </c>
      <c r="F600" s="1">
        <v>0.67291666666666672</v>
      </c>
      <c r="G600" t="s">
        <v>32</v>
      </c>
      <c r="H600" t="s">
        <v>33</v>
      </c>
      <c r="I600" t="s">
        <v>41</v>
      </c>
      <c r="J600" t="s">
        <v>62</v>
      </c>
      <c r="K600">
        <v>70</v>
      </c>
      <c r="L600">
        <v>0</v>
      </c>
      <c r="M600" t="s">
        <v>36</v>
      </c>
      <c r="N600" t="s">
        <v>37</v>
      </c>
      <c r="O600">
        <v>0</v>
      </c>
      <c r="P600">
        <v>0</v>
      </c>
      <c r="Q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 t="s">
        <v>36</v>
      </c>
      <c r="AC600" t="s">
        <v>43</v>
      </c>
      <c r="AD600" t="str">
        <f t="shared" si="18"/>
        <v>CP</v>
      </c>
      <c r="AE600" t="str">
        <f>_xlfn.XLOOKUP(D600,Mapping!A:A,Mapping!D:D,0,0)</f>
        <v>Hentai</v>
      </c>
      <c r="AF600" t="str">
        <f t="shared" si="19"/>
        <v>OLD</v>
      </c>
    </row>
    <row r="601" spans="1:32" x14ac:dyDescent="0.2">
      <c r="A601" t="s">
        <v>1118</v>
      </c>
      <c r="B601" t="s">
        <v>29</v>
      </c>
      <c r="C601">
        <v>1012811622</v>
      </c>
      <c r="D601" t="s">
        <v>647</v>
      </c>
      <c r="E601" t="s">
        <v>31</v>
      </c>
      <c r="F601" s="1">
        <v>0.67291666666666672</v>
      </c>
      <c r="G601" t="s">
        <v>32</v>
      </c>
      <c r="H601" t="s">
        <v>33</v>
      </c>
      <c r="I601" t="s">
        <v>34</v>
      </c>
      <c r="J601" t="s">
        <v>84</v>
      </c>
      <c r="K601">
        <v>64</v>
      </c>
      <c r="L601">
        <v>0</v>
      </c>
      <c r="M601" t="s">
        <v>36</v>
      </c>
      <c r="N601" t="s">
        <v>37</v>
      </c>
      <c r="O601">
        <v>12939</v>
      </c>
      <c r="P601">
        <v>738</v>
      </c>
      <c r="Q601">
        <v>5.7036899999999999</v>
      </c>
      <c r="R601">
        <v>1</v>
      </c>
      <c r="S601">
        <v>49.01</v>
      </c>
      <c r="T601">
        <v>3.7879999999999998</v>
      </c>
      <c r="U601">
        <v>6.6000000000000003E-2</v>
      </c>
      <c r="V601">
        <v>49.011000000000003</v>
      </c>
      <c r="W601">
        <v>1</v>
      </c>
      <c r="X601">
        <v>0</v>
      </c>
      <c r="Y601" t="s">
        <v>36</v>
      </c>
      <c r="Z601">
        <v>12931</v>
      </c>
      <c r="AA601">
        <v>10298</v>
      </c>
      <c r="AB601">
        <v>1393</v>
      </c>
      <c r="AC601" t="s">
        <v>618</v>
      </c>
      <c r="AD601" t="str">
        <f t="shared" si="18"/>
        <v>CP</v>
      </c>
      <c r="AE601" t="str">
        <f>_xlfn.XLOOKUP(D601,Mapping!A:A,Mapping!D:D,0,0)</f>
        <v>Hentai</v>
      </c>
      <c r="AF601" t="str">
        <f t="shared" si="19"/>
        <v>OLD</v>
      </c>
    </row>
    <row r="602" spans="1:32" x14ac:dyDescent="0.2">
      <c r="A602" t="s">
        <v>1118</v>
      </c>
      <c r="B602" t="s">
        <v>29</v>
      </c>
      <c r="C602">
        <v>1012811632</v>
      </c>
      <c r="D602" t="s">
        <v>648</v>
      </c>
      <c r="E602" t="s">
        <v>31</v>
      </c>
      <c r="F602" s="1">
        <v>0.67291666666666672</v>
      </c>
      <c r="G602" t="s">
        <v>32</v>
      </c>
      <c r="H602" t="s">
        <v>33</v>
      </c>
      <c r="I602" t="s">
        <v>41</v>
      </c>
      <c r="J602" t="s">
        <v>62</v>
      </c>
      <c r="K602">
        <v>120</v>
      </c>
      <c r="L602">
        <v>0</v>
      </c>
      <c r="M602" t="s">
        <v>36</v>
      </c>
      <c r="N602" t="s">
        <v>37</v>
      </c>
      <c r="O602">
        <v>23916</v>
      </c>
      <c r="P602">
        <v>1343</v>
      </c>
      <c r="Q602">
        <v>5.6154900000000003</v>
      </c>
      <c r="R602">
        <v>0</v>
      </c>
      <c r="S602">
        <v>48.37</v>
      </c>
      <c r="T602">
        <v>2.0219999999999998</v>
      </c>
      <c r="U602">
        <v>3.5999999999999997E-2</v>
      </c>
      <c r="V602">
        <v>0</v>
      </c>
      <c r="W602">
        <v>1</v>
      </c>
      <c r="X602">
        <v>0</v>
      </c>
      <c r="Y602" t="s">
        <v>36</v>
      </c>
      <c r="Z602">
        <v>23903</v>
      </c>
      <c r="AA602">
        <v>21243</v>
      </c>
      <c r="AB602">
        <v>1786</v>
      </c>
      <c r="AC602" t="s">
        <v>618</v>
      </c>
      <c r="AD602" t="str">
        <f t="shared" si="18"/>
        <v>CP</v>
      </c>
      <c r="AE602" t="str">
        <f>_xlfn.XLOOKUP(D602,Mapping!A:A,Mapping!D:D,0,0)</f>
        <v>Hentai</v>
      </c>
      <c r="AF602" t="str">
        <f t="shared" si="19"/>
        <v>OLD</v>
      </c>
    </row>
    <row r="603" spans="1:32" x14ac:dyDescent="0.2">
      <c r="A603" t="s">
        <v>1118</v>
      </c>
      <c r="B603" t="s">
        <v>39</v>
      </c>
      <c r="C603">
        <v>1012811642</v>
      </c>
      <c r="D603" t="s">
        <v>649</v>
      </c>
      <c r="E603" t="s">
        <v>31</v>
      </c>
      <c r="F603" s="1">
        <v>0.67291666666666672</v>
      </c>
      <c r="G603" t="s">
        <v>32</v>
      </c>
      <c r="H603" t="s">
        <v>33</v>
      </c>
      <c r="I603" t="s">
        <v>41</v>
      </c>
      <c r="J603" t="s">
        <v>62</v>
      </c>
      <c r="K603">
        <v>70</v>
      </c>
      <c r="L603">
        <v>0</v>
      </c>
      <c r="M603" t="s">
        <v>36</v>
      </c>
      <c r="N603" t="s">
        <v>37</v>
      </c>
      <c r="O603">
        <v>0</v>
      </c>
      <c r="P603">
        <v>0</v>
      </c>
      <c r="Q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 t="s">
        <v>36</v>
      </c>
      <c r="AC603" t="s">
        <v>618</v>
      </c>
      <c r="AD603" t="str">
        <f t="shared" si="18"/>
        <v>CP</v>
      </c>
      <c r="AE603" t="str">
        <f>_xlfn.XLOOKUP(D603,Mapping!A:A,Mapping!D:D,0,0)</f>
        <v>Hentai</v>
      </c>
      <c r="AF603" t="str">
        <f t="shared" si="19"/>
        <v>OLD</v>
      </c>
    </row>
    <row r="604" spans="1:32" x14ac:dyDescent="0.2">
      <c r="A604" t="s">
        <v>1118</v>
      </c>
      <c r="B604" t="s">
        <v>39</v>
      </c>
      <c r="C604">
        <v>1012811652</v>
      </c>
      <c r="D604" t="s">
        <v>650</v>
      </c>
      <c r="E604" t="s">
        <v>31</v>
      </c>
      <c r="F604" s="1">
        <v>0.67291666666666672</v>
      </c>
      <c r="G604" t="s">
        <v>32</v>
      </c>
      <c r="H604" t="s">
        <v>33</v>
      </c>
      <c r="I604" t="s">
        <v>41</v>
      </c>
      <c r="J604" t="s">
        <v>62</v>
      </c>
      <c r="K604">
        <v>70</v>
      </c>
      <c r="L604">
        <v>0</v>
      </c>
      <c r="M604" t="s">
        <v>36</v>
      </c>
      <c r="N604" t="s">
        <v>37</v>
      </c>
      <c r="O604">
        <v>0</v>
      </c>
      <c r="P604">
        <v>0</v>
      </c>
      <c r="Q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 t="s">
        <v>36</v>
      </c>
      <c r="AC604" t="s">
        <v>618</v>
      </c>
      <c r="AD604" t="str">
        <f t="shared" si="18"/>
        <v>CP</v>
      </c>
      <c r="AE604" t="str">
        <f>_xlfn.XLOOKUP(D604,Mapping!A:A,Mapping!D:D,0,0)</f>
        <v>Hentai</v>
      </c>
      <c r="AF604" t="str">
        <f t="shared" si="19"/>
        <v>OLD</v>
      </c>
    </row>
    <row r="605" spans="1:32" x14ac:dyDescent="0.2">
      <c r="A605" t="s">
        <v>1118</v>
      </c>
      <c r="B605" t="s">
        <v>39</v>
      </c>
      <c r="C605">
        <v>1012811662</v>
      </c>
      <c r="D605" t="s">
        <v>651</v>
      </c>
      <c r="E605" t="s">
        <v>31</v>
      </c>
      <c r="F605" s="1">
        <v>0.67291666666666672</v>
      </c>
      <c r="G605" t="s">
        <v>32</v>
      </c>
      <c r="H605" t="s">
        <v>33</v>
      </c>
      <c r="I605" t="s">
        <v>34</v>
      </c>
      <c r="J605" t="s">
        <v>84</v>
      </c>
      <c r="K605">
        <v>36</v>
      </c>
      <c r="L605">
        <v>0</v>
      </c>
      <c r="M605" t="s">
        <v>36</v>
      </c>
      <c r="N605" t="s">
        <v>37</v>
      </c>
      <c r="O605">
        <v>0</v>
      </c>
      <c r="P605">
        <v>0</v>
      </c>
      <c r="Q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 t="s">
        <v>36</v>
      </c>
      <c r="AC605" t="s">
        <v>618</v>
      </c>
      <c r="AD605" t="str">
        <f t="shared" si="18"/>
        <v>CP</v>
      </c>
      <c r="AE605" t="str">
        <f>_xlfn.XLOOKUP(D605,Mapping!A:A,Mapping!D:D,0,0)</f>
        <v>Hentai</v>
      </c>
      <c r="AF605" t="str">
        <f t="shared" si="19"/>
        <v>OLD</v>
      </c>
    </row>
    <row r="606" spans="1:32" x14ac:dyDescent="0.2">
      <c r="A606" t="s">
        <v>1118</v>
      </c>
      <c r="B606" t="s">
        <v>29</v>
      </c>
      <c r="C606">
        <v>1012811672</v>
      </c>
      <c r="D606" t="s">
        <v>652</v>
      </c>
      <c r="E606" t="s">
        <v>31</v>
      </c>
      <c r="F606" s="1">
        <v>0.67291666666666672</v>
      </c>
      <c r="G606" t="s">
        <v>32</v>
      </c>
      <c r="H606" t="s">
        <v>33</v>
      </c>
      <c r="I606" t="s">
        <v>34</v>
      </c>
      <c r="J606" t="s">
        <v>84</v>
      </c>
      <c r="K606">
        <v>52</v>
      </c>
      <c r="L606">
        <v>0</v>
      </c>
      <c r="M606" t="s">
        <v>36</v>
      </c>
      <c r="N606" t="s">
        <v>37</v>
      </c>
      <c r="O606">
        <v>3003</v>
      </c>
      <c r="P606">
        <v>147</v>
      </c>
      <c r="Q606">
        <v>4.8951000000000002</v>
      </c>
      <c r="R606">
        <v>0</v>
      </c>
      <c r="S606">
        <v>11.4</v>
      </c>
      <c r="T606">
        <v>3.7970000000000002</v>
      </c>
      <c r="U606">
        <v>7.8E-2</v>
      </c>
      <c r="V606">
        <v>0</v>
      </c>
      <c r="W606">
        <v>1</v>
      </c>
      <c r="X606">
        <v>0</v>
      </c>
      <c r="Y606" t="s">
        <v>36</v>
      </c>
      <c r="Z606">
        <v>3003</v>
      </c>
      <c r="AA606">
        <v>2358</v>
      </c>
      <c r="AB606">
        <v>349</v>
      </c>
      <c r="AC606" t="s">
        <v>618</v>
      </c>
      <c r="AD606" t="str">
        <f t="shared" si="18"/>
        <v>CP</v>
      </c>
      <c r="AE606" t="str">
        <f>_xlfn.XLOOKUP(D606,Mapping!A:A,Mapping!D:D,0,0)</f>
        <v>Hentai</v>
      </c>
      <c r="AF606" t="str">
        <f t="shared" si="19"/>
        <v>OLD</v>
      </c>
    </row>
    <row r="607" spans="1:32" x14ac:dyDescent="0.2">
      <c r="A607" t="s">
        <v>1118</v>
      </c>
      <c r="B607" t="s">
        <v>29</v>
      </c>
      <c r="C607">
        <v>1012811682</v>
      </c>
      <c r="D607" t="s">
        <v>653</v>
      </c>
      <c r="E607" t="s">
        <v>31</v>
      </c>
      <c r="F607" s="1">
        <v>0.67291666666666672</v>
      </c>
      <c r="G607" t="s">
        <v>32</v>
      </c>
      <c r="H607" t="s">
        <v>33</v>
      </c>
      <c r="I607" t="s">
        <v>41</v>
      </c>
      <c r="J607" t="s">
        <v>62</v>
      </c>
      <c r="K607">
        <v>70</v>
      </c>
      <c r="L607">
        <v>0</v>
      </c>
      <c r="M607" t="s">
        <v>36</v>
      </c>
      <c r="N607" t="s">
        <v>37</v>
      </c>
      <c r="O607">
        <v>541</v>
      </c>
      <c r="P607">
        <v>35</v>
      </c>
      <c r="Q607">
        <v>6.4695</v>
      </c>
      <c r="R607">
        <v>0</v>
      </c>
      <c r="S607">
        <v>0.81</v>
      </c>
      <c r="T607">
        <v>1.504</v>
      </c>
      <c r="U607">
        <v>2.3E-2</v>
      </c>
      <c r="V607">
        <v>0</v>
      </c>
      <c r="W607">
        <v>1</v>
      </c>
      <c r="X607">
        <v>0</v>
      </c>
      <c r="Y607" t="s">
        <v>36</v>
      </c>
      <c r="Z607">
        <v>541</v>
      </c>
      <c r="AA607">
        <v>502</v>
      </c>
      <c r="AB607">
        <v>29</v>
      </c>
      <c r="AC607" t="s">
        <v>618</v>
      </c>
      <c r="AD607" t="str">
        <f t="shared" si="18"/>
        <v>CP</v>
      </c>
      <c r="AE607" t="str">
        <f>_xlfn.XLOOKUP(D607,Mapping!A:A,Mapping!D:D,0,0)</f>
        <v>Hentai</v>
      </c>
      <c r="AF607" t="str">
        <f t="shared" si="19"/>
        <v>OLD</v>
      </c>
    </row>
    <row r="608" spans="1:32" x14ac:dyDescent="0.2">
      <c r="A608" t="s">
        <v>1118</v>
      </c>
      <c r="B608" t="s">
        <v>29</v>
      </c>
      <c r="C608">
        <v>1012811692</v>
      </c>
      <c r="D608" t="s">
        <v>654</v>
      </c>
      <c r="E608" t="s">
        <v>31</v>
      </c>
      <c r="F608" s="1">
        <v>0.67291666666666672</v>
      </c>
      <c r="G608" t="s">
        <v>32</v>
      </c>
      <c r="H608" t="s">
        <v>33</v>
      </c>
      <c r="I608" t="s">
        <v>41</v>
      </c>
      <c r="J608" t="s">
        <v>62</v>
      </c>
      <c r="K608">
        <v>70</v>
      </c>
      <c r="L608">
        <v>0</v>
      </c>
      <c r="M608" t="s">
        <v>36</v>
      </c>
      <c r="N608" t="s">
        <v>37</v>
      </c>
      <c r="O608">
        <v>184</v>
      </c>
      <c r="P608">
        <v>6</v>
      </c>
      <c r="Q608">
        <v>3.2608700000000002</v>
      </c>
      <c r="R608">
        <v>0</v>
      </c>
      <c r="S608">
        <v>0.39</v>
      </c>
      <c r="T608">
        <v>2.129</v>
      </c>
      <c r="U608">
        <v>6.5000000000000002E-2</v>
      </c>
      <c r="V608">
        <v>0</v>
      </c>
      <c r="W608">
        <v>1</v>
      </c>
      <c r="X608">
        <v>0</v>
      </c>
      <c r="Y608" t="s">
        <v>36</v>
      </c>
      <c r="Z608">
        <v>184</v>
      </c>
      <c r="AA608">
        <v>178</v>
      </c>
      <c r="AB608">
        <v>2</v>
      </c>
      <c r="AC608" t="s">
        <v>618</v>
      </c>
      <c r="AD608" t="str">
        <f t="shared" si="18"/>
        <v>CP</v>
      </c>
      <c r="AE608" t="str">
        <f>_xlfn.XLOOKUP(D608,Mapping!A:A,Mapping!D:D,0,0)</f>
        <v>Hentai</v>
      </c>
      <c r="AF608" t="str">
        <f t="shared" si="19"/>
        <v>OLD</v>
      </c>
    </row>
    <row r="609" spans="1:32" x14ac:dyDescent="0.2">
      <c r="A609" t="s">
        <v>1118</v>
      </c>
      <c r="B609" t="s">
        <v>29</v>
      </c>
      <c r="C609">
        <v>1012811702</v>
      </c>
      <c r="D609" t="s">
        <v>655</v>
      </c>
      <c r="E609" t="s">
        <v>31</v>
      </c>
      <c r="F609" t="s">
        <v>246</v>
      </c>
      <c r="G609" t="s">
        <v>247</v>
      </c>
      <c r="H609" t="s">
        <v>33</v>
      </c>
      <c r="I609" t="s">
        <v>41</v>
      </c>
      <c r="J609" t="s">
        <v>62</v>
      </c>
      <c r="K609">
        <v>416</v>
      </c>
      <c r="L609">
        <v>0</v>
      </c>
      <c r="M609" t="s">
        <v>36</v>
      </c>
      <c r="N609" t="s">
        <v>37</v>
      </c>
      <c r="O609">
        <v>336157</v>
      </c>
      <c r="P609">
        <v>415</v>
      </c>
      <c r="Q609">
        <v>0.12345</v>
      </c>
      <c r="R609">
        <v>0</v>
      </c>
      <c r="S609">
        <v>56.04</v>
      </c>
      <c r="T609">
        <v>0.16700000000000001</v>
      </c>
      <c r="U609">
        <v>0.13500000000000001</v>
      </c>
      <c r="V609">
        <v>0</v>
      </c>
      <c r="W609">
        <v>2</v>
      </c>
      <c r="X609">
        <v>0</v>
      </c>
      <c r="Y609" t="s">
        <v>36</v>
      </c>
      <c r="Z609">
        <v>0</v>
      </c>
      <c r="AA609">
        <v>0</v>
      </c>
      <c r="AB609">
        <v>0</v>
      </c>
      <c r="AC609" t="s">
        <v>618</v>
      </c>
      <c r="AD609" t="str">
        <f t="shared" si="18"/>
        <v>OL</v>
      </c>
      <c r="AE609" t="str">
        <f>_xlfn.XLOOKUP(D609,Mapping!A:A,Mapping!D:D,0,0)</f>
        <v>Hentai</v>
      </c>
      <c r="AF609" t="str">
        <f t="shared" si="19"/>
        <v>OLD</v>
      </c>
    </row>
    <row r="610" spans="1:32" x14ac:dyDescent="0.2">
      <c r="A610" t="s">
        <v>1118</v>
      </c>
      <c r="B610" t="s">
        <v>29</v>
      </c>
      <c r="C610">
        <v>1012811712</v>
      </c>
      <c r="D610" t="s">
        <v>656</v>
      </c>
      <c r="E610" t="s">
        <v>31</v>
      </c>
      <c r="F610" t="s">
        <v>246</v>
      </c>
      <c r="G610" t="s">
        <v>247</v>
      </c>
      <c r="H610" t="s">
        <v>33</v>
      </c>
      <c r="I610" t="s">
        <v>41</v>
      </c>
      <c r="J610" t="s">
        <v>62</v>
      </c>
      <c r="K610">
        <v>416</v>
      </c>
      <c r="L610">
        <v>0</v>
      </c>
      <c r="M610" t="s">
        <v>36</v>
      </c>
      <c r="N610" t="s">
        <v>37</v>
      </c>
      <c r="O610">
        <v>169803</v>
      </c>
      <c r="P610">
        <v>352</v>
      </c>
      <c r="Q610">
        <v>0.20730000000000001</v>
      </c>
      <c r="R610">
        <v>0</v>
      </c>
      <c r="S610">
        <v>29.91</v>
      </c>
      <c r="T610">
        <v>0.17599999999999999</v>
      </c>
      <c r="U610">
        <v>8.5000000000000006E-2</v>
      </c>
      <c r="V610">
        <v>0</v>
      </c>
      <c r="W610">
        <v>2</v>
      </c>
      <c r="X610">
        <v>0</v>
      </c>
      <c r="Y610" t="s">
        <v>36</v>
      </c>
      <c r="Z610">
        <v>0</v>
      </c>
      <c r="AA610">
        <v>0</v>
      </c>
      <c r="AB610">
        <v>0</v>
      </c>
      <c r="AC610" t="s">
        <v>618</v>
      </c>
      <c r="AD610" t="str">
        <f t="shared" si="18"/>
        <v>OL</v>
      </c>
      <c r="AE610" t="str">
        <f>_xlfn.XLOOKUP(D610,Mapping!A:A,Mapping!D:D,0,0)</f>
        <v>Hentai</v>
      </c>
      <c r="AF610" t="str">
        <f t="shared" si="19"/>
        <v>OLD</v>
      </c>
    </row>
    <row r="611" spans="1:32" x14ac:dyDescent="0.2">
      <c r="A611" t="s">
        <v>1118</v>
      </c>
      <c r="B611" t="s">
        <v>39</v>
      </c>
      <c r="C611">
        <v>1012811722</v>
      </c>
      <c r="D611" t="s">
        <v>657</v>
      </c>
      <c r="E611" t="s">
        <v>31</v>
      </c>
      <c r="F611" t="s">
        <v>246</v>
      </c>
      <c r="G611" t="s">
        <v>247</v>
      </c>
      <c r="H611" t="s">
        <v>33</v>
      </c>
      <c r="I611" t="s">
        <v>34</v>
      </c>
      <c r="J611" t="s">
        <v>84</v>
      </c>
      <c r="K611">
        <v>396</v>
      </c>
      <c r="L611">
        <v>0</v>
      </c>
      <c r="M611" t="s">
        <v>36</v>
      </c>
      <c r="N611" t="s">
        <v>37</v>
      </c>
      <c r="O611">
        <v>0</v>
      </c>
      <c r="P611">
        <v>0</v>
      </c>
      <c r="Q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 t="s">
        <v>36</v>
      </c>
      <c r="AC611" t="s">
        <v>618</v>
      </c>
      <c r="AD611" t="str">
        <f t="shared" si="18"/>
        <v>CP</v>
      </c>
      <c r="AE611" t="str">
        <f>_xlfn.XLOOKUP(D611,Mapping!A:A,Mapping!D:D,0,0)</f>
        <v>Hentai</v>
      </c>
      <c r="AF611" t="str">
        <f t="shared" si="19"/>
        <v>OLD</v>
      </c>
    </row>
    <row r="612" spans="1:32" x14ac:dyDescent="0.2">
      <c r="A612" t="s">
        <v>1118</v>
      </c>
      <c r="B612" t="s">
        <v>29</v>
      </c>
      <c r="C612">
        <v>1012811772</v>
      </c>
      <c r="D612" t="s">
        <v>658</v>
      </c>
      <c r="E612" t="s">
        <v>31</v>
      </c>
      <c r="F612" t="s">
        <v>246</v>
      </c>
      <c r="G612" t="s">
        <v>247</v>
      </c>
      <c r="H612" t="s">
        <v>33</v>
      </c>
      <c r="I612" t="s">
        <v>34</v>
      </c>
      <c r="J612" t="s">
        <v>84</v>
      </c>
      <c r="K612">
        <v>396</v>
      </c>
      <c r="L612">
        <v>0</v>
      </c>
      <c r="M612" t="s">
        <v>36</v>
      </c>
      <c r="N612" t="s">
        <v>37</v>
      </c>
      <c r="O612">
        <v>21752</v>
      </c>
      <c r="P612">
        <v>30</v>
      </c>
      <c r="Q612">
        <v>0.13791</v>
      </c>
      <c r="R612">
        <v>0</v>
      </c>
      <c r="S612">
        <v>3.11</v>
      </c>
      <c r="T612">
        <v>0.14299999999999999</v>
      </c>
      <c r="U612">
        <v>0.104</v>
      </c>
      <c r="V612">
        <v>0</v>
      </c>
      <c r="W612">
        <v>2</v>
      </c>
      <c r="X612">
        <v>0</v>
      </c>
      <c r="Y612" t="s">
        <v>36</v>
      </c>
      <c r="Z612">
        <v>0</v>
      </c>
      <c r="AA612">
        <v>0</v>
      </c>
      <c r="AB612">
        <v>0</v>
      </c>
      <c r="AC612" t="s">
        <v>618</v>
      </c>
      <c r="AD612" t="str">
        <f t="shared" si="18"/>
        <v>OL</v>
      </c>
      <c r="AE612" t="str">
        <f>_xlfn.XLOOKUP(D612,Mapping!A:A,Mapping!D:D,0,0)</f>
        <v>Hentai</v>
      </c>
      <c r="AF612" t="str">
        <f t="shared" si="19"/>
        <v>OLD</v>
      </c>
    </row>
    <row r="613" spans="1:32" x14ac:dyDescent="0.2">
      <c r="A613" t="s">
        <v>1118</v>
      </c>
      <c r="B613" t="s">
        <v>29</v>
      </c>
      <c r="C613">
        <v>1012811782</v>
      </c>
      <c r="D613" t="s">
        <v>659</v>
      </c>
      <c r="E613" t="s">
        <v>31</v>
      </c>
      <c r="F613" t="s">
        <v>246</v>
      </c>
      <c r="G613" t="s">
        <v>247</v>
      </c>
      <c r="H613" t="s">
        <v>33</v>
      </c>
      <c r="I613" t="s">
        <v>41</v>
      </c>
      <c r="J613" t="s">
        <v>62</v>
      </c>
      <c r="K613">
        <v>416</v>
      </c>
      <c r="L613">
        <v>0</v>
      </c>
      <c r="M613" t="s">
        <v>36</v>
      </c>
      <c r="N613" t="s">
        <v>37</v>
      </c>
      <c r="O613">
        <v>56292</v>
      </c>
      <c r="P613">
        <v>103</v>
      </c>
      <c r="Q613">
        <v>0.18296999999999999</v>
      </c>
      <c r="R613">
        <v>0</v>
      </c>
      <c r="S613">
        <v>7.64</v>
      </c>
      <c r="T613">
        <v>0.13600000000000001</v>
      </c>
      <c r="U613">
        <v>7.3999999999999996E-2</v>
      </c>
      <c r="V613">
        <v>0</v>
      </c>
      <c r="W613">
        <v>2</v>
      </c>
      <c r="X613">
        <v>0</v>
      </c>
      <c r="Y613" t="s">
        <v>36</v>
      </c>
      <c r="Z613">
        <v>0</v>
      </c>
      <c r="AA613">
        <v>0</v>
      </c>
      <c r="AB613">
        <v>0</v>
      </c>
      <c r="AC613" t="s">
        <v>618</v>
      </c>
      <c r="AD613" t="str">
        <f t="shared" si="18"/>
        <v>OL</v>
      </c>
      <c r="AE613" t="str">
        <f>_xlfn.XLOOKUP(D613,Mapping!A:A,Mapping!D:D,0,0)</f>
        <v>Hentai</v>
      </c>
      <c r="AF613" t="str">
        <f t="shared" si="19"/>
        <v>OLD</v>
      </c>
    </row>
    <row r="614" spans="1:32" x14ac:dyDescent="0.2">
      <c r="A614" t="s">
        <v>1118</v>
      </c>
      <c r="B614" t="s">
        <v>29</v>
      </c>
      <c r="C614">
        <v>1012811792</v>
      </c>
      <c r="D614" t="s">
        <v>660</v>
      </c>
      <c r="E614" t="s">
        <v>31</v>
      </c>
      <c r="F614" t="s">
        <v>246</v>
      </c>
      <c r="G614" t="s">
        <v>247</v>
      </c>
      <c r="H614" t="s">
        <v>33</v>
      </c>
      <c r="I614" t="s">
        <v>41</v>
      </c>
      <c r="J614" t="s">
        <v>62</v>
      </c>
      <c r="K614">
        <v>416</v>
      </c>
      <c r="L614">
        <v>0</v>
      </c>
      <c r="M614" t="s">
        <v>36</v>
      </c>
      <c r="N614" t="s">
        <v>37</v>
      </c>
      <c r="O614">
        <v>58756</v>
      </c>
      <c r="P614">
        <v>82</v>
      </c>
      <c r="Q614">
        <v>0.13955000000000001</v>
      </c>
      <c r="R614">
        <v>0</v>
      </c>
      <c r="S614">
        <v>7.92</v>
      </c>
      <c r="T614">
        <v>0.13500000000000001</v>
      </c>
      <c r="U614">
        <v>9.7000000000000003E-2</v>
      </c>
      <c r="V614">
        <v>0</v>
      </c>
      <c r="W614">
        <v>2</v>
      </c>
      <c r="X614">
        <v>0</v>
      </c>
      <c r="Y614" t="s">
        <v>36</v>
      </c>
      <c r="Z614">
        <v>0</v>
      </c>
      <c r="AA614">
        <v>0</v>
      </c>
      <c r="AB614">
        <v>0</v>
      </c>
      <c r="AC614" t="s">
        <v>618</v>
      </c>
      <c r="AD614" t="str">
        <f t="shared" si="18"/>
        <v>OL</v>
      </c>
      <c r="AE614" t="str">
        <f>_xlfn.XLOOKUP(D614,Mapping!A:A,Mapping!D:D,0,0)</f>
        <v>Hentai</v>
      </c>
      <c r="AF614" t="str">
        <f t="shared" si="19"/>
        <v>OLD</v>
      </c>
    </row>
    <row r="615" spans="1:32" x14ac:dyDescent="0.2">
      <c r="A615" t="s">
        <v>1118</v>
      </c>
      <c r="B615" t="s">
        <v>29</v>
      </c>
      <c r="C615">
        <v>1012811802</v>
      </c>
      <c r="D615" t="s">
        <v>661</v>
      </c>
      <c r="E615" t="s">
        <v>31</v>
      </c>
      <c r="F615" t="s">
        <v>246</v>
      </c>
      <c r="G615" t="s">
        <v>247</v>
      </c>
      <c r="H615" t="s">
        <v>33</v>
      </c>
      <c r="I615" t="s">
        <v>41</v>
      </c>
      <c r="J615" t="s">
        <v>62</v>
      </c>
      <c r="K615">
        <v>416</v>
      </c>
      <c r="L615">
        <v>0</v>
      </c>
      <c r="M615" t="s">
        <v>36</v>
      </c>
      <c r="N615" t="s">
        <v>37</v>
      </c>
      <c r="O615">
        <v>107474</v>
      </c>
      <c r="P615">
        <v>157</v>
      </c>
      <c r="Q615">
        <v>0.14607000000000001</v>
      </c>
      <c r="R615">
        <v>0</v>
      </c>
      <c r="S615">
        <v>20.84</v>
      </c>
      <c r="T615">
        <v>0.19400000000000001</v>
      </c>
      <c r="U615">
        <v>0.13300000000000001</v>
      </c>
      <c r="V615">
        <v>0</v>
      </c>
      <c r="W615">
        <v>1</v>
      </c>
      <c r="X615">
        <v>0</v>
      </c>
      <c r="Y615" t="s">
        <v>36</v>
      </c>
      <c r="Z615">
        <v>0</v>
      </c>
      <c r="AA615">
        <v>0</v>
      </c>
      <c r="AB615">
        <v>0</v>
      </c>
      <c r="AC615" t="s">
        <v>618</v>
      </c>
      <c r="AD615" t="str">
        <f t="shared" si="18"/>
        <v>CP</v>
      </c>
      <c r="AE615" t="str">
        <f>_xlfn.XLOOKUP(D615,Mapping!A:A,Mapping!D:D,0,0)</f>
        <v>Hentai</v>
      </c>
      <c r="AF615" t="str">
        <f t="shared" si="19"/>
        <v>OLD</v>
      </c>
    </row>
    <row r="616" spans="1:32" x14ac:dyDescent="0.2">
      <c r="A616" t="s">
        <v>1118</v>
      </c>
      <c r="B616" t="s">
        <v>29</v>
      </c>
      <c r="C616">
        <v>1012811812</v>
      </c>
      <c r="D616" t="s">
        <v>662</v>
      </c>
      <c r="E616" t="s">
        <v>31</v>
      </c>
      <c r="F616" t="s">
        <v>246</v>
      </c>
      <c r="G616" t="s">
        <v>247</v>
      </c>
      <c r="H616" t="s">
        <v>33</v>
      </c>
      <c r="I616" t="s">
        <v>41</v>
      </c>
      <c r="J616" t="s">
        <v>62</v>
      </c>
      <c r="K616">
        <v>416</v>
      </c>
      <c r="L616">
        <v>0</v>
      </c>
      <c r="M616" t="s">
        <v>36</v>
      </c>
      <c r="N616" t="s">
        <v>37</v>
      </c>
      <c r="O616">
        <v>59797</v>
      </c>
      <c r="P616">
        <v>123</v>
      </c>
      <c r="Q616">
        <v>0.20569999999999999</v>
      </c>
      <c r="R616">
        <v>0</v>
      </c>
      <c r="S616">
        <v>16.489999999999998</v>
      </c>
      <c r="T616">
        <v>0.27600000000000002</v>
      </c>
      <c r="U616">
        <v>0.13400000000000001</v>
      </c>
      <c r="V616">
        <v>0</v>
      </c>
      <c r="W616">
        <v>2</v>
      </c>
      <c r="X616">
        <v>0</v>
      </c>
      <c r="Y616" t="s">
        <v>36</v>
      </c>
      <c r="Z616">
        <v>0</v>
      </c>
      <c r="AA616">
        <v>0</v>
      </c>
      <c r="AB616">
        <v>0</v>
      </c>
      <c r="AC616" t="s">
        <v>618</v>
      </c>
      <c r="AD616" t="str">
        <f t="shared" si="18"/>
        <v>OL</v>
      </c>
      <c r="AE616" t="str">
        <f>_xlfn.XLOOKUP(D616,Mapping!A:A,Mapping!D:D,0,0)</f>
        <v>Hentai</v>
      </c>
      <c r="AF616" t="str">
        <f t="shared" si="19"/>
        <v>OLD</v>
      </c>
    </row>
    <row r="617" spans="1:32" x14ac:dyDescent="0.2">
      <c r="A617" t="s">
        <v>1118</v>
      </c>
      <c r="B617" t="s">
        <v>29</v>
      </c>
      <c r="C617">
        <v>1012811822</v>
      </c>
      <c r="D617" t="s">
        <v>663</v>
      </c>
      <c r="E617" t="s">
        <v>31</v>
      </c>
      <c r="F617" t="s">
        <v>246</v>
      </c>
      <c r="G617" t="s">
        <v>247</v>
      </c>
      <c r="H617" t="s">
        <v>33</v>
      </c>
      <c r="I617" t="s">
        <v>34</v>
      </c>
      <c r="J617" t="s">
        <v>84</v>
      </c>
      <c r="K617">
        <v>396</v>
      </c>
      <c r="L617">
        <v>0</v>
      </c>
      <c r="M617" t="s">
        <v>36</v>
      </c>
      <c r="N617" t="s">
        <v>37</v>
      </c>
      <c r="O617">
        <v>34278</v>
      </c>
      <c r="P617">
        <v>57</v>
      </c>
      <c r="Q617">
        <v>0.16628999999999999</v>
      </c>
      <c r="R617">
        <v>0</v>
      </c>
      <c r="S617">
        <v>4.88</v>
      </c>
      <c r="T617">
        <v>0.14199999999999999</v>
      </c>
      <c r="U617">
        <v>8.5999999999999993E-2</v>
      </c>
      <c r="V617">
        <v>0</v>
      </c>
      <c r="W617">
        <v>2</v>
      </c>
      <c r="X617">
        <v>0</v>
      </c>
      <c r="Y617" t="s">
        <v>36</v>
      </c>
      <c r="Z617">
        <v>0</v>
      </c>
      <c r="AA617">
        <v>0</v>
      </c>
      <c r="AB617">
        <v>0</v>
      </c>
      <c r="AC617" t="s">
        <v>618</v>
      </c>
      <c r="AD617" t="str">
        <f t="shared" si="18"/>
        <v>OL</v>
      </c>
      <c r="AE617" t="str">
        <f>_xlfn.XLOOKUP(D617,Mapping!A:A,Mapping!D:D,0,0)</f>
        <v>Hentai</v>
      </c>
      <c r="AF617" t="str">
        <f t="shared" si="19"/>
        <v>OLD</v>
      </c>
    </row>
    <row r="618" spans="1:32" x14ac:dyDescent="0.2">
      <c r="A618" t="s">
        <v>1118</v>
      </c>
      <c r="B618" t="s">
        <v>29</v>
      </c>
      <c r="C618">
        <v>1012811832</v>
      </c>
      <c r="D618" t="s">
        <v>664</v>
      </c>
      <c r="E618" t="s">
        <v>31</v>
      </c>
      <c r="F618" t="s">
        <v>246</v>
      </c>
      <c r="G618" t="s">
        <v>247</v>
      </c>
      <c r="H618" t="s">
        <v>33</v>
      </c>
      <c r="I618" t="s">
        <v>34</v>
      </c>
      <c r="J618" t="s">
        <v>84</v>
      </c>
      <c r="K618">
        <v>396</v>
      </c>
      <c r="L618">
        <v>0</v>
      </c>
      <c r="M618" t="s">
        <v>36</v>
      </c>
      <c r="N618" t="s">
        <v>37</v>
      </c>
      <c r="O618">
        <v>6541</v>
      </c>
      <c r="P618">
        <v>8</v>
      </c>
      <c r="Q618">
        <v>0.12231</v>
      </c>
      <c r="R618">
        <v>0</v>
      </c>
      <c r="S618">
        <v>0.93</v>
      </c>
      <c r="T618">
        <v>0.14199999999999999</v>
      </c>
      <c r="U618">
        <v>0.11600000000000001</v>
      </c>
      <c r="V618">
        <v>0</v>
      </c>
      <c r="W618">
        <v>2</v>
      </c>
      <c r="X618">
        <v>0</v>
      </c>
      <c r="Y618" t="s">
        <v>36</v>
      </c>
      <c r="Z618">
        <v>0</v>
      </c>
      <c r="AA618">
        <v>0</v>
      </c>
      <c r="AB618">
        <v>0</v>
      </c>
      <c r="AC618" t="s">
        <v>618</v>
      </c>
      <c r="AD618" t="str">
        <f t="shared" si="18"/>
        <v>OL</v>
      </c>
      <c r="AE618" t="str">
        <f>_xlfn.XLOOKUP(D618,Mapping!A:A,Mapping!D:D,0,0)</f>
        <v>Hentai</v>
      </c>
      <c r="AF618" t="str">
        <f t="shared" si="19"/>
        <v>OLD</v>
      </c>
    </row>
    <row r="619" spans="1:32" x14ac:dyDescent="0.2">
      <c r="A619" t="s">
        <v>1118</v>
      </c>
      <c r="B619" t="s">
        <v>29</v>
      </c>
      <c r="C619">
        <v>1012811842</v>
      </c>
      <c r="D619" t="s">
        <v>665</v>
      </c>
      <c r="E619" t="s">
        <v>31</v>
      </c>
      <c r="F619" t="s">
        <v>246</v>
      </c>
      <c r="G619" t="s">
        <v>247</v>
      </c>
      <c r="H619" t="s">
        <v>33</v>
      </c>
      <c r="I619" t="s">
        <v>41</v>
      </c>
      <c r="J619" t="s">
        <v>62</v>
      </c>
      <c r="K619">
        <v>416</v>
      </c>
      <c r="L619">
        <v>0</v>
      </c>
      <c r="M619" t="s">
        <v>36</v>
      </c>
      <c r="N619" t="s">
        <v>37</v>
      </c>
      <c r="O619">
        <v>15243</v>
      </c>
      <c r="P619">
        <v>52</v>
      </c>
      <c r="Q619">
        <v>0.34114</v>
      </c>
      <c r="R619">
        <v>0</v>
      </c>
      <c r="S619">
        <v>2.13</v>
      </c>
      <c r="T619">
        <v>0.14000000000000001</v>
      </c>
      <c r="U619">
        <v>4.1000000000000002E-2</v>
      </c>
      <c r="V619">
        <v>0</v>
      </c>
      <c r="W619">
        <v>2</v>
      </c>
      <c r="X619">
        <v>0</v>
      </c>
      <c r="Y619" t="s">
        <v>36</v>
      </c>
      <c r="Z619">
        <v>0</v>
      </c>
      <c r="AA619">
        <v>0</v>
      </c>
      <c r="AB619">
        <v>0</v>
      </c>
      <c r="AC619" t="s">
        <v>618</v>
      </c>
      <c r="AD619" t="str">
        <f t="shared" si="18"/>
        <v>OL</v>
      </c>
      <c r="AE619" t="str">
        <f>_xlfn.XLOOKUP(D619,Mapping!A:A,Mapping!D:D,0,0)</f>
        <v>Hentai</v>
      </c>
      <c r="AF619" t="str">
        <f t="shared" si="19"/>
        <v>OLD</v>
      </c>
    </row>
    <row r="620" spans="1:32" x14ac:dyDescent="0.2">
      <c r="A620" t="s">
        <v>1118</v>
      </c>
      <c r="B620" t="s">
        <v>29</v>
      </c>
      <c r="C620">
        <v>1012811852</v>
      </c>
      <c r="D620" t="s">
        <v>666</v>
      </c>
      <c r="E620" t="s">
        <v>31</v>
      </c>
      <c r="F620" t="s">
        <v>246</v>
      </c>
      <c r="G620" t="s">
        <v>247</v>
      </c>
      <c r="H620" t="s">
        <v>33</v>
      </c>
      <c r="I620" t="s">
        <v>41</v>
      </c>
      <c r="J620" t="s">
        <v>62</v>
      </c>
      <c r="K620">
        <v>416</v>
      </c>
      <c r="L620">
        <v>0</v>
      </c>
      <c r="M620" t="s">
        <v>36</v>
      </c>
      <c r="N620" t="s">
        <v>37</v>
      </c>
      <c r="O620">
        <v>10386</v>
      </c>
      <c r="P620">
        <v>14</v>
      </c>
      <c r="Q620">
        <v>0.1348</v>
      </c>
      <c r="R620">
        <v>0</v>
      </c>
      <c r="S620">
        <v>1.43</v>
      </c>
      <c r="T620">
        <v>0.13800000000000001</v>
      </c>
      <c r="U620">
        <v>0.10199999999999999</v>
      </c>
      <c r="V620">
        <v>0</v>
      </c>
      <c r="W620">
        <v>2</v>
      </c>
      <c r="X620">
        <v>0</v>
      </c>
      <c r="Y620" t="s">
        <v>36</v>
      </c>
      <c r="Z620">
        <v>0</v>
      </c>
      <c r="AA620">
        <v>0</v>
      </c>
      <c r="AB620">
        <v>0</v>
      </c>
      <c r="AC620" t="s">
        <v>618</v>
      </c>
      <c r="AD620" t="str">
        <f t="shared" si="18"/>
        <v>OL</v>
      </c>
      <c r="AE620" t="str">
        <f>_xlfn.XLOOKUP(D620,Mapping!A:A,Mapping!D:D,0,0)</f>
        <v>Hentai</v>
      </c>
      <c r="AF620" t="str">
        <f t="shared" si="19"/>
        <v>OLD</v>
      </c>
    </row>
    <row r="621" spans="1:32" x14ac:dyDescent="0.2">
      <c r="A621" t="s">
        <v>1118</v>
      </c>
      <c r="B621" t="s">
        <v>29</v>
      </c>
      <c r="C621">
        <v>1012811862</v>
      </c>
      <c r="D621" t="s">
        <v>667</v>
      </c>
      <c r="E621" t="s">
        <v>31</v>
      </c>
      <c r="F621" t="s">
        <v>246</v>
      </c>
      <c r="G621" t="s">
        <v>247</v>
      </c>
      <c r="H621" t="s">
        <v>33</v>
      </c>
      <c r="I621" t="s">
        <v>41</v>
      </c>
      <c r="J621" t="s">
        <v>62</v>
      </c>
      <c r="K621">
        <v>416</v>
      </c>
      <c r="L621">
        <v>0</v>
      </c>
      <c r="M621" t="s">
        <v>36</v>
      </c>
      <c r="N621" t="s">
        <v>37</v>
      </c>
      <c r="O621">
        <v>22853</v>
      </c>
      <c r="P621">
        <v>34</v>
      </c>
      <c r="Q621">
        <v>0.14878</v>
      </c>
      <c r="R621">
        <v>0</v>
      </c>
      <c r="S621">
        <v>2.82</v>
      </c>
      <c r="T621">
        <v>0.123</v>
      </c>
      <c r="U621">
        <v>8.3000000000000004E-2</v>
      </c>
      <c r="V621">
        <v>0</v>
      </c>
      <c r="W621">
        <v>2</v>
      </c>
      <c r="X621">
        <v>0</v>
      </c>
      <c r="Y621" t="s">
        <v>36</v>
      </c>
      <c r="Z621">
        <v>0</v>
      </c>
      <c r="AA621">
        <v>0</v>
      </c>
      <c r="AB621">
        <v>0</v>
      </c>
      <c r="AC621" t="s">
        <v>618</v>
      </c>
      <c r="AD621" t="str">
        <f t="shared" si="18"/>
        <v>OL</v>
      </c>
      <c r="AE621" t="str">
        <f>_xlfn.XLOOKUP(D621,Mapping!A:A,Mapping!D:D,0,0)</f>
        <v>Hentai</v>
      </c>
      <c r="AF621" t="str">
        <f t="shared" si="19"/>
        <v>OLD</v>
      </c>
    </row>
    <row r="622" spans="1:32" x14ac:dyDescent="0.2">
      <c r="A622" t="s">
        <v>1118</v>
      </c>
      <c r="B622" t="s">
        <v>29</v>
      </c>
      <c r="C622">
        <v>1012811872</v>
      </c>
      <c r="D622" t="s">
        <v>668</v>
      </c>
      <c r="E622" t="s">
        <v>31</v>
      </c>
      <c r="F622" t="s">
        <v>246</v>
      </c>
      <c r="G622" t="s">
        <v>247</v>
      </c>
      <c r="H622" t="s">
        <v>33</v>
      </c>
      <c r="I622" t="s">
        <v>41</v>
      </c>
      <c r="J622" t="s">
        <v>62</v>
      </c>
      <c r="K622">
        <v>416</v>
      </c>
      <c r="L622">
        <v>0</v>
      </c>
      <c r="M622" t="s">
        <v>36</v>
      </c>
      <c r="N622" t="s">
        <v>37</v>
      </c>
      <c r="O622">
        <v>19856</v>
      </c>
      <c r="P622">
        <v>57</v>
      </c>
      <c r="Q622">
        <v>0.28706999999999999</v>
      </c>
      <c r="R622">
        <v>0</v>
      </c>
      <c r="S622">
        <v>2.56</v>
      </c>
      <c r="T622">
        <v>0.129</v>
      </c>
      <c r="U622">
        <v>4.4999999999999998E-2</v>
      </c>
      <c r="V622">
        <v>0</v>
      </c>
      <c r="W622">
        <v>1</v>
      </c>
      <c r="X622">
        <v>0</v>
      </c>
      <c r="Y622" t="s">
        <v>36</v>
      </c>
      <c r="Z622">
        <v>0</v>
      </c>
      <c r="AA622">
        <v>0</v>
      </c>
      <c r="AB622">
        <v>0</v>
      </c>
      <c r="AC622" t="s">
        <v>618</v>
      </c>
      <c r="AD622" t="str">
        <f t="shared" si="18"/>
        <v>CP</v>
      </c>
      <c r="AE622" t="str">
        <f>_xlfn.XLOOKUP(D622,Mapping!A:A,Mapping!D:D,0,0)</f>
        <v>Hentai</v>
      </c>
      <c r="AF622" t="str">
        <f t="shared" si="19"/>
        <v>OLD</v>
      </c>
    </row>
    <row r="623" spans="1:32" x14ac:dyDescent="0.2">
      <c r="A623" t="s">
        <v>1118</v>
      </c>
      <c r="B623" t="s">
        <v>29</v>
      </c>
      <c r="C623">
        <v>1012811882</v>
      </c>
      <c r="D623" t="s">
        <v>669</v>
      </c>
      <c r="E623" t="s">
        <v>31</v>
      </c>
      <c r="F623" t="s">
        <v>246</v>
      </c>
      <c r="G623" t="s">
        <v>247</v>
      </c>
      <c r="H623" t="s">
        <v>33</v>
      </c>
      <c r="I623" t="s">
        <v>34</v>
      </c>
      <c r="J623" t="s">
        <v>84</v>
      </c>
      <c r="K623">
        <v>396</v>
      </c>
      <c r="L623">
        <v>0</v>
      </c>
      <c r="M623" t="s">
        <v>36</v>
      </c>
      <c r="N623" t="s">
        <v>37</v>
      </c>
      <c r="O623">
        <v>7837</v>
      </c>
      <c r="P623">
        <v>16</v>
      </c>
      <c r="Q623">
        <v>0.20416000000000001</v>
      </c>
      <c r="R623">
        <v>0</v>
      </c>
      <c r="S623">
        <v>1.1499999999999999</v>
      </c>
      <c r="T623">
        <v>0.14699999999999999</v>
      </c>
      <c r="U623">
        <v>7.1999999999999995E-2</v>
      </c>
      <c r="V623">
        <v>0</v>
      </c>
      <c r="W623">
        <v>2</v>
      </c>
      <c r="X623">
        <v>0</v>
      </c>
      <c r="Y623" t="s">
        <v>36</v>
      </c>
      <c r="Z623">
        <v>0</v>
      </c>
      <c r="AA623">
        <v>0</v>
      </c>
      <c r="AB623">
        <v>0</v>
      </c>
      <c r="AC623" t="s">
        <v>618</v>
      </c>
      <c r="AD623" t="str">
        <f t="shared" si="18"/>
        <v>OL</v>
      </c>
      <c r="AE623" t="str">
        <f>_xlfn.XLOOKUP(D623,Mapping!A:A,Mapping!D:D,0,0)</f>
        <v>Hentai</v>
      </c>
      <c r="AF623" t="str">
        <f t="shared" si="19"/>
        <v>OLD</v>
      </c>
    </row>
    <row r="624" spans="1:32" x14ac:dyDescent="0.2">
      <c r="A624" t="s">
        <v>1118</v>
      </c>
      <c r="B624" t="s">
        <v>39</v>
      </c>
      <c r="C624">
        <v>1012811912</v>
      </c>
      <c r="D624" t="s">
        <v>670</v>
      </c>
      <c r="E624" t="s">
        <v>31</v>
      </c>
      <c r="F624" t="s">
        <v>671</v>
      </c>
      <c r="G624" t="s">
        <v>247</v>
      </c>
      <c r="H624" t="s">
        <v>33</v>
      </c>
      <c r="I624" t="s">
        <v>41</v>
      </c>
      <c r="J624" t="s">
        <v>62</v>
      </c>
      <c r="K624">
        <v>81</v>
      </c>
      <c r="L624">
        <v>0</v>
      </c>
      <c r="M624" t="s">
        <v>36</v>
      </c>
      <c r="N624" t="s">
        <v>37</v>
      </c>
      <c r="O624">
        <v>0</v>
      </c>
      <c r="P624">
        <v>0</v>
      </c>
      <c r="Q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 t="s">
        <v>36</v>
      </c>
      <c r="AC624" t="s">
        <v>618</v>
      </c>
      <c r="AD624" t="str">
        <f t="shared" si="18"/>
        <v>CP</v>
      </c>
      <c r="AE624" t="str">
        <f>_xlfn.XLOOKUP(D624,Mapping!A:A,Mapping!D:D,0,0)</f>
        <v>Hentai</v>
      </c>
      <c r="AF624" t="str">
        <f t="shared" si="19"/>
        <v>OLD</v>
      </c>
    </row>
    <row r="625" spans="1:32" x14ac:dyDescent="0.2">
      <c r="A625" t="s">
        <v>1118</v>
      </c>
      <c r="B625" t="s">
        <v>39</v>
      </c>
      <c r="C625">
        <v>1012811942</v>
      </c>
      <c r="D625" t="s">
        <v>672</v>
      </c>
      <c r="E625" t="s">
        <v>31</v>
      </c>
      <c r="F625" t="s">
        <v>671</v>
      </c>
      <c r="G625" t="s">
        <v>247</v>
      </c>
      <c r="H625" t="s">
        <v>33</v>
      </c>
      <c r="I625" t="s">
        <v>34</v>
      </c>
      <c r="J625" t="s">
        <v>84</v>
      </c>
      <c r="K625">
        <v>48</v>
      </c>
      <c r="L625">
        <v>0</v>
      </c>
      <c r="M625" t="s">
        <v>36</v>
      </c>
      <c r="N625" t="s">
        <v>37</v>
      </c>
      <c r="O625">
        <v>0</v>
      </c>
      <c r="P625">
        <v>0</v>
      </c>
      <c r="Q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 t="s">
        <v>36</v>
      </c>
      <c r="AC625" t="s">
        <v>618</v>
      </c>
      <c r="AD625" t="str">
        <f t="shared" si="18"/>
        <v>CP</v>
      </c>
      <c r="AE625" t="str">
        <f>_xlfn.XLOOKUP(D625,Mapping!A:A,Mapping!D:D,0,0)</f>
        <v>Hentai</v>
      </c>
      <c r="AF625" t="str">
        <f t="shared" si="19"/>
        <v>OLD</v>
      </c>
    </row>
    <row r="626" spans="1:32" x14ac:dyDescent="0.2">
      <c r="A626" t="s">
        <v>1118</v>
      </c>
      <c r="B626" t="s">
        <v>29</v>
      </c>
      <c r="C626">
        <v>1012811972</v>
      </c>
      <c r="D626" t="s">
        <v>673</v>
      </c>
      <c r="E626" t="s">
        <v>31</v>
      </c>
      <c r="F626" t="s">
        <v>671</v>
      </c>
      <c r="G626" t="s">
        <v>247</v>
      </c>
      <c r="H626" t="s">
        <v>33</v>
      </c>
      <c r="I626" t="s">
        <v>41</v>
      </c>
      <c r="J626" t="s">
        <v>62</v>
      </c>
      <c r="K626">
        <v>81</v>
      </c>
      <c r="L626">
        <v>0</v>
      </c>
      <c r="M626" t="s">
        <v>36</v>
      </c>
      <c r="N626" t="s">
        <v>37</v>
      </c>
      <c r="O626">
        <v>402079</v>
      </c>
      <c r="P626">
        <v>127</v>
      </c>
      <c r="Q626">
        <v>3.159E-2</v>
      </c>
      <c r="R626">
        <v>1</v>
      </c>
      <c r="S626">
        <v>26.42</v>
      </c>
      <c r="T626">
        <v>6.6000000000000003E-2</v>
      </c>
      <c r="U626">
        <v>0.20799999999999999</v>
      </c>
      <c r="V626">
        <v>26.420999999999999</v>
      </c>
      <c r="W626">
        <v>2</v>
      </c>
      <c r="X626">
        <v>0</v>
      </c>
      <c r="Y626" t="s">
        <v>36</v>
      </c>
      <c r="Z626">
        <v>0</v>
      </c>
      <c r="AA626">
        <v>0</v>
      </c>
      <c r="AB626">
        <v>0</v>
      </c>
      <c r="AC626" t="s">
        <v>618</v>
      </c>
      <c r="AD626" t="str">
        <f t="shared" si="18"/>
        <v>OL</v>
      </c>
      <c r="AE626" t="str">
        <f>_xlfn.XLOOKUP(D626,Mapping!A:A,Mapping!D:D,0,0)</f>
        <v>Hentai</v>
      </c>
      <c r="AF626" t="str">
        <f t="shared" si="19"/>
        <v>OLD</v>
      </c>
    </row>
    <row r="627" spans="1:32" x14ac:dyDescent="0.2">
      <c r="A627" t="s">
        <v>1118</v>
      </c>
      <c r="B627" t="s">
        <v>29</v>
      </c>
      <c r="C627">
        <v>1012811992</v>
      </c>
      <c r="D627" t="s">
        <v>674</v>
      </c>
      <c r="E627" t="s">
        <v>31</v>
      </c>
      <c r="F627" t="s">
        <v>671</v>
      </c>
      <c r="G627" t="s">
        <v>247</v>
      </c>
      <c r="H627" t="s">
        <v>33</v>
      </c>
      <c r="I627" t="s">
        <v>41</v>
      </c>
      <c r="J627" t="s">
        <v>62</v>
      </c>
      <c r="K627">
        <v>81</v>
      </c>
      <c r="L627">
        <v>0</v>
      </c>
      <c r="M627" t="s">
        <v>36</v>
      </c>
      <c r="N627" t="s">
        <v>37</v>
      </c>
      <c r="O627">
        <v>61908</v>
      </c>
      <c r="P627">
        <v>24</v>
      </c>
      <c r="Q627">
        <v>3.8769999999999999E-2</v>
      </c>
      <c r="R627">
        <v>0</v>
      </c>
      <c r="S627">
        <v>3.99</v>
      </c>
      <c r="T627">
        <v>6.5000000000000002E-2</v>
      </c>
      <c r="U627">
        <v>0.16600000000000001</v>
      </c>
      <c r="V627">
        <v>0</v>
      </c>
      <c r="W627">
        <v>2</v>
      </c>
      <c r="X627">
        <v>0</v>
      </c>
      <c r="Y627" t="s">
        <v>36</v>
      </c>
      <c r="Z627">
        <v>0</v>
      </c>
      <c r="AA627">
        <v>0</v>
      </c>
      <c r="AB627">
        <v>0</v>
      </c>
      <c r="AC627" t="s">
        <v>618</v>
      </c>
      <c r="AD627" t="str">
        <f t="shared" si="18"/>
        <v>OL</v>
      </c>
      <c r="AE627" t="str">
        <f>_xlfn.XLOOKUP(D627,Mapping!A:A,Mapping!D:D,0,0)</f>
        <v>Hentai</v>
      </c>
      <c r="AF627" t="str">
        <f t="shared" si="19"/>
        <v>OLD</v>
      </c>
    </row>
    <row r="628" spans="1:32" x14ac:dyDescent="0.2">
      <c r="A628" t="s">
        <v>1118</v>
      </c>
      <c r="B628" t="s">
        <v>39</v>
      </c>
      <c r="C628">
        <v>1012812002</v>
      </c>
      <c r="D628" t="s">
        <v>675</v>
      </c>
      <c r="E628" t="s">
        <v>31</v>
      </c>
      <c r="F628" t="s">
        <v>671</v>
      </c>
      <c r="G628" t="s">
        <v>247</v>
      </c>
      <c r="H628" t="s">
        <v>33</v>
      </c>
      <c r="I628" t="s">
        <v>34</v>
      </c>
      <c r="J628" t="s">
        <v>84</v>
      </c>
      <c r="K628">
        <v>48</v>
      </c>
      <c r="L628">
        <v>0</v>
      </c>
      <c r="M628" t="s">
        <v>36</v>
      </c>
      <c r="N628" t="s">
        <v>37</v>
      </c>
      <c r="O628">
        <v>0</v>
      </c>
      <c r="P628">
        <v>0</v>
      </c>
      <c r="Q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 t="s">
        <v>36</v>
      </c>
      <c r="AC628" t="s">
        <v>618</v>
      </c>
      <c r="AD628" t="str">
        <f t="shared" si="18"/>
        <v>CP</v>
      </c>
      <c r="AE628" t="str">
        <f>_xlfn.XLOOKUP(D628,Mapping!A:A,Mapping!D:D,0,0)</f>
        <v>Hentai</v>
      </c>
      <c r="AF628" t="str">
        <f t="shared" si="19"/>
        <v>OLD</v>
      </c>
    </row>
    <row r="629" spans="1:32" x14ac:dyDescent="0.2">
      <c r="A629" t="s">
        <v>1118</v>
      </c>
      <c r="B629" t="s">
        <v>29</v>
      </c>
      <c r="C629">
        <v>1012812012</v>
      </c>
      <c r="D629" t="s">
        <v>676</v>
      </c>
      <c r="E629" t="s">
        <v>31</v>
      </c>
      <c r="F629" t="s">
        <v>671</v>
      </c>
      <c r="G629" t="s">
        <v>247</v>
      </c>
      <c r="H629" t="s">
        <v>33</v>
      </c>
      <c r="I629" t="s">
        <v>41</v>
      </c>
      <c r="J629" t="s">
        <v>62</v>
      </c>
      <c r="K629">
        <v>81</v>
      </c>
      <c r="L629">
        <v>0</v>
      </c>
      <c r="M629" t="s">
        <v>36</v>
      </c>
      <c r="N629" t="s">
        <v>37</v>
      </c>
      <c r="O629">
        <v>58933</v>
      </c>
      <c r="P629">
        <v>19</v>
      </c>
      <c r="Q629">
        <v>3.2239999999999998E-2</v>
      </c>
      <c r="R629">
        <v>0</v>
      </c>
      <c r="S629">
        <v>3.96</v>
      </c>
      <c r="T629">
        <v>6.7000000000000004E-2</v>
      </c>
      <c r="U629">
        <v>0.20899999999999999</v>
      </c>
      <c r="V629">
        <v>0</v>
      </c>
      <c r="W629">
        <v>2</v>
      </c>
      <c r="X629">
        <v>0</v>
      </c>
      <c r="Y629" t="s">
        <v>36</v>
      </c>
      <c r="Z629">
        <v>0</v>
      </c>
      <c r="AA629">
        <v>0</v>
      </c>
      <c r="AB629">
        <v>0</v>
      </c>
      <c r="AC629" t="s">
        <v>618</v>
      </c>
      <c r="AD629" t="str">
        <f t="shared" si="18"/>
        <v>OL</v>
      </c>
      <c r="AE629" t="str">
        <f>_xlfn.XLOOKUP(D629,Mapping!A:A,Mapping!D:D,0,0)</f>
        <v>Hentai</v>
      </c>
      <c r="AF629" t="str">
        <f t="shared" si="19"/>
        <v>OLD</v>
      </c>
    </row>
    <row r="630" spans="1:32" x14ac:dyDescent="0.2">
      <c r="A630" t="s">
        <v>1118</v>
      </c>
      <c r="B630" t="s">
        <v>29</v>
      </c>
      <c r="C630">
        <v>1012812022</v>
      </c>
      <c r="D630" t="s">
        <v>677</v>
      </c>
      <c r="E630" t="s">
        <v>31</v>
      </c>
      <c r="F630" t="s">
        <v>671</v>
      </c>
      <c r="G630" t="s">
        <v>247</v>
      </c>
      <c r="H630" t="s">
        <v>33</v>
      </c>
      <c r="I630" t="s">
        <v>41</v>
      </c>
      <c r="J630" t="s">
        <v>62</v>
      </c>
      <c r="K630">
        <v>81</v>
      </c>
      <c r="L630">
        <v>0</v>
      </c>
      <c r="M630" t="s">
        <v>36</v>
      </c>
      <c r="N630" t="s">
        <v>37</v>
      </c>
      <c r="O630">
        <v>26291</v>
      </c>
      <c r="P630">
        <v>9</v>
      </c>
      <c r="Q630">
        <v>3.422E-2</v>
      </c>
      <c r="R630">
        <v>0</v>
      </c>
      <c r="S630">
        <v>1.78</v>
      </c>
      <c r="T630">
        <v>6.8000000000000005E-2</v>
      </c>
      <c r="U630">
        <v>0.19700000000000001</v>
      </c>
      <c r="V630">
        <v>0</v>
      </c>
      <c r="W630">
        <v>2</v>
      </c>
      <c r="X630">
        <v>0</v>
      </c>
      <c r="Y630" t="s">
        <v>36</v>
      </c>
      <c r="Z630">
        <v>0</v>
      </c>
      <c r="AA630">
        <v>0</v>
      </c>
      <c r="AB630">
        <v>0</v>
      </c>
      <c r="AC630" t="s">
        <v>618</v>
      </c>
      <c r="AD630" t="str">
        <f t="shared" si="18"/>
        <v>OL</v>
      </c>
      <c r="AE630" t="str">
        <f>_xlfn.XLOOKUP(D630,Mapping!A:A,Mapping!D:D,0,0)</f>
        <v>Hentai</v>
      </c>
      <c r="AF630" t="str">
        <f t="shared" si="19"/>
        <v>OLD</v>
      </c>
    </row>
    <row r="631" spans="1:32" x14ac:dyDescent="0.2">
      <c r="A631" t="s">
        <v>1118</v>
      </c>
      <c r="B631" t="s">
        <v>29</v>
      </c>
      <c r="C631">
        <v>1012812032</v>
      </c>
      <c r="D631" t="s">
        <v>678</v>
      </c>
      <c r="E631" t="s">
        <v>31</v>
      </c>
      <c r="F631" t="s">
        <v>671</v>
      </c>
      <c r="G631" t="s">
        <v>247</v>
      </c>
      <c r="H631" t="s">
        <v>33</v>
      </c>
      <c r="I631" t="s">
        <v>34</v>
      </c>
      <c r="J631" t="s">
        <v>84</v>
      </c>
      <c r="K631">
        <v>48</v>
      </c>
      <c r="L631">
        <v>0</v>
      </c>
      <c r="M631" t="s">
        <v>36</v>
      </c>
      <c r="N631" t="s">
        <v>37</v>
      </c>
      <c r="O631">
        <v>10929</v>
      </c>
      <c r="P631">
        <v>11</v>
      </c>
      <c r="Q631">
        <v>0.10065</v>
      </c>
      <c r="R631">
        <v>0</v>
      </c>
      <c r="S631">
        <v>2.27</v>
      </c>
      <c r="T631">
        <v>0.20799999999999999</v>
      </c>
      <c r="U631">
        <v>0.20699999999999999</v>
      </c>
      <c r="V631">
        <v>0</v>
      </c>
      <c r="W631">
        <v>1</v>
      </c>
      <c r="X631">
        <v>0</v>
      </c>
      <c r="Y631" t="s">
        <v>36</v>
      </c>
      <c r="Z631">
        <v>0</v>
      </c>
      <c r="AA631">
        <v>0</v>
      </c>
      <c r="AB631">
        <v>0</v>
      </c>
      <c r="AC631" t="s">
        <v>618</v>
      </c>
      <c r="AD631" t="str">
        <f t="shared" si="18"/>
        <v>CP</v>
      </c>
      <c r="AE631" t="str">
        <f>_xlfn.XLOOKUP(D631,Mapping!A:A,Mapping!D:D,0,0)</f>
        <v>Hentai</v>
      </c>
      <c r="AF631" t="str">
        <f t="shared" si="19"/>
        <v>OLD</v>
      </c>
    </row>
    <row r="632" spans="1:32" x14ac:dyDescent="0.2">
      <c r="A632" t="s">
        <v>1118</v>
      </c>
      <c r="B632" t="s">
        <v>29</v>
      </c>
      <c r="C632">
        <v>1012812042</v>
      </c>
      <c r="D632" t="s">
        <v>679</v>
      </c>
      <c r="E632" t="s">
        <v>31</v>
      </c>
      <c r="F632" t="s">
        <v>671</v>
      </c>
      <c r="G632" t="s">
        <v>247</v>
      </c>
      <c r="H632" t="s">
        <v>33</v>
      </c>
      <c r="I632" t="s">
        <v>41</v>
      </c>
      <c r="J632" t="s">
        <v>62</v>
      </c>
      <c r="K632">
        <v>81</v>
      </c>
      <c r="L632">
        <v>0</v>
      </c>
      <c r="M632" t="s">
        <v>36</v>
      </c>
      <c r="N632" t="s">
        <v>37</v>
      </c>
      <c r="O632">
        <v>27244</v>
      </c>
      <c r="P632">
        <v>6</v>
      </c>
      <c r="Q632">
        <v>2.2020000000000001E-2</v>
      </c>
      <c r="R632">
        <v>0</v>
      </c>
      <c r="S632">
        <v>1.81</v>
      </c>
      <c r="T632">
        <v>6.7000000000000004E-2</v>
      </c>
      <c r="U632">
        <v>0.30199999999999999</v>
      </c>
      <c r="V632">
        <v>0</v>
      </c>
      <c r="W632">
        <v>2</v>
      </c>
      <c r="X632">
        <v>0</v>
      </c>
      <c r="Y632" t="s">
        <v>36</v>
      </c>
      <c r="Z632">
        <v>0</v>
      </c>
      <c r="AA632">
        <v>0</v>
      </c>
      <c r="AB632">
        <v>0</v>
      </c>
      <c r="AC632" t="s">
        <v>618</v>
      </c>
      <c r="AD632" t="str">
        <f t="shared" si="18"/>
        <v>OL</v>
      </c>
      <c r="AE632" t="str">
        <f>_xlfn.XLOOKUP(D632,Mapping!A:A,Mapping!D:D,0,0)</f>
        <v>Hentai</v>
      </c>
      <c r="AF632" t="str">
        <f t="shared" si="19"/>
        <v>OLD</v>
      </c>
    </row>
    <row r="633" spans="1:32" x14ac:dyDescent="0.2">
      <c r="A633" t="s">
        <v>1118</v>
      </c>
      <c r="B633" t="s">
        <v>39</v>
      </c>
      <c r="C633">
        <v>1012812062</v>
      </c>
      <c r="D633" t="s">
        <v>680</v>
      </c>
      <c r="E633" t="s">
        <v>31</v>
      </c>
      <c r="F633" t="s">
        <v>671</v>
      </c>
      <c r="G633" t="s">
        <v>247</v>
      </c>
      <c r="H633" t="s">
        <v>33</v>
      </c>
      <c r="I633" t="s">
        <v>34</v>
      </c>
      <c r="J633" t="s">
        <v>84</v>
      </c>
      <c r="K633">
        <v>48</v>
      </c>
      <c r="L633">
        <v>0</v>
      </c>
      <c r="M633" t="s">
        <v>36</v>
      </c>
      <c r="N633" t="s">
        <v>37</v>
      </c>
      <c r="O633">
        <v>0</v>
      </c>
      <c r="P633">
        <v>0</v>
      </c>
      <c r="Q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 t="s">
        <v>36</v>
      </c>
      <c r="AC633" t="s">
        <v>618</v>
      </c>
      <c r="AD633" t="str">
        <f t="shared" si="18"/>
        <v>CP</v>
      </c>
      <c r="AE633" t="str">
        <f>_xlfn.XLOOKUP(D633,Mapping!A:A,Mapping!D:D,0,0)</f>
        <v>Hentai</v>
      </c>
      <c r="AF633" t="str">
        <f t="shared" si="19"/>
        <v>OLD</v>
      </c>
    </row>
    <row r="634" spans="1:32" x14ac:dyDescent="0.2">
      <c r="A634" t="s">
        <v>1118</v>
      </c>
      <c r="B634" t="s">
        <v>39</v>
      </c>
      <c r="C634">
        <v>1012812072</v>
      </c>
      <c r="D634" t="s">
        <v>681</v>
      </c>
      <c r="E634" t="s">
        <v>31</v>
      </c>
      <c r="F634" t="s">
        <v>671</v>
      </c>
      <c r="G634" t="s">
        <v>247</v>
      </c>
      <c r="H634" t="s">
        <v>33</v>
      </c>
      <c r="I634" t="s">
        <v>41</v>
      </c>
      <c r="J634" t="s">
        <v>62</v>
      </c>
      <c r="K634">
        <v>81</v>
      </c>
      <c r="L634">
        <v>0</v>
      </c>
      <c r="M634" t="s">
        <v>36</v>
      </c>
      <c r="N634" t="s">
        <v>37</v>
      </c>
      <c r="O634">
        <v>0</v>
      </c>
      <c r="P634">
        <v>0</v>
      </c>
      <c r="Q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 t="s">
        <v>36</v>
      </c>
      <c r="AC634" t="s">
        <v>618</v>
      </c>
      <c r="AD634" t="str">
        <f t="shared" si="18"/>
        <v>CP</v>
      </c>
      <c r="AE634" t="str">
        <f>_xlfn.XLOOKUP(D634,Mapping!A:A,Mapping!D:D,0,0)</f>
        <v>Hentai</v>
      </c>
      <c r="AF634" t="str">
        <f t="shared" si="19"/>
        <v>OLD</v>
      </c>
    </row>
    <row r="635" spans="1:32" x14ac:dyDescent="0.2">
      <c r="A635" t="s">
        <v>1118</v>
      </c>
      <c r="B635" t="s">
        <v>39</v>
      </c>
      <c r="C635">
        <v>1012812082</v>
      </c>
      <c r="D635" t="s">
        <v>682</v>
      </c>
      <c r="E635" t="s">
        <v>31</v>
      </c>
      <c r="F635" t="s">
        <v>671</v>
      </c>
      <c r="G635" t="s">
        <v>247</v>
      </c>
      <c r="H635" t="s">
        <v>33</v>
      </c>
      <c r="I635" t="s">
        <v>41</v>
      </c>
      <c r="J635" t="s">
        <v>62</v>
      </c>
      <c r="K635">
        <v>81</v>
      </c>
      <c r="L635">
        <v>0</v>
      </c>
      <c r="M635" t="s">
        <v>36</v>
      </c>
      <c r="N635" t="s">
        <v>37</v>
      </c>
      <c r="O635">
        <v>0</v>
      </c>
      <c r="P635">
        <v>0</v>
      </c>
      <c r="Q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 t="s">
        <v>36</v>
      </c>
      <c r="AC635" t="s">
        <v>618</v>
      </c>
      <c r="AD635" t="str">
        <f t="shared" si="18"/>
        <v>CP</v>
      </c>
      <c r="AE635" t="str">
        <f>_xlfn.XLOOKUP(D635,Mapping!A:A,Mapping!D:D,0,0)</f>
        <v>Hentai</v>
      </c>
      <c r="AF635" t="str">
        <f t="shared" si="19"/>
        <v>OLD</v>
      </c>
    </row>
    <row r="636" spans="1:32" x14ac:dyDescent="0.2">
      <c r="A636" t="s">
        <v>1118</v>
      </c>
      <c r="B636" t="s">
        <v>29</v>
      </c>
      <c r="C636">
        <v>1012812092</v>
      </c>
      <c r="D636" t="s">
        <v>683</v>
      </c>
      <c r="E636" t="s">
        <v>31</v>
      </c>
      <c r="F636" t="s">
        <v>671</v>
      </c>
      <c r="G636" t="s">
        <v>247</v>
      </c>
      <c r="H636" t="s">
        <v>33</v>
      </c>
      <c r="I636" t="s">
        <v>41</v>
      </c>
      <c r="J636" t="s">
        <v>62</v>
      </c>
      <c r="K636">
        <v>81</v>
      </c>
      <c r="L636">
        <v>0</v>
      </c>
      <c r="M636" t="s">
        <v>36</v>
      </c>
      <c r="N636" t="s">
        <v>37</v>
      </c>
      <c r="O636">
        <v>17364</v>
      </c>
      <c r="P636">
        <v>6</v>
      </c>
      <c r="Q636">
        <v>3.4540000000000001E-2</v>
      </c>
      <c r="R636">
        <v>0</v>
      </c>
      <c r="S636">
        <v>1.1599999999999999</v>
      </c>
      <c r="T636">
        <v>6.7000000000000004E-2</v>
      </c>
      <c r="U636">
        <v>0.193</v>
      </c>
      <c r="V636">
        <v>0</v>
      </c>
      <c r="W636">
        <v>2</v>
      </c>
      <c r="X636">
        <v>0</v>
      </c>
      <c r="Y636" t="s">
        <v>36</v>
      </c>
      <c r="Z636">
        <v>0</v>
      </c>
      <c r="AA636">
        <v>0</v>
      </c>
      <c r="AB636">
        <v>0</v>
      </c>
      <c r="AC636" t="s">
        <v>618</v>
      </c>
      <c r="AD636" t="str">
        <f t="shared" si="18"/>
        <v>OL</v>
      </c>
      <c r="AE636" t="str">
        <f>_xlfn.XLOOKUP(D636,Mapping!A:A,Mapping!D:D,0,0)</f>
        <v>Hentai</v>
      </c>
      <c r="AF636" t="str">
        <f t="shared" si="19"/>
        <v>OLD</v>
      </c>
    </row>
    <row r="637" spans="1:32" x14ac:dyDescent="0.2">
      <c r="A637" t="s">
        <v>1118</v>
      </c>
      <c r="B637" t="s">
        <v>29</v>
      </c>
      <c r="C637">
        <v>1012812102</v>
      </c>
      <c r="D637" t="s">
        <v>684</v>
      </c>
      <c r="E637" t="s">
        <v>31</v>
      </c>
      <c r="F637" t="s">
        <v>671</v>
      </c>
      <c r="G637" t="s">
        <v>247</v>
      </c>
      <c r="H637" t="s">
        <v>33</v>
      </c>
      <c r="I637" t="s">
        <v>41</v>
      </c>
      <c r="J637" t="s">
        <v>62</v>
      </c>
      <c r="K637">
        <v>81</v>
      </c>
      <c r="L637">
        <v>0</v>
      </c>
      <c r="M637" t="s">
        <v>36</v>
      </c>
      <c r="N637" t="s">
        <v>37</v>
      </c>
      <c r="O637">
        <v>11517</v>
      </c>
      <c r="P637">
        <v>5</v>
      </c>
      <c r="Q637">
        <v>4.3409999999999997E-2</v>
      </c>
      <c r="R637">
        <v>0</v>
      </c>
      <c r="S637">
        <v>0.79</v>
      </c>
      <c r="T637">
        <v>6.8000000000000005E-2</v>
      </c>
      <c r="U637">
        <v>0.157</v>
      </c>
      <c r="V637">
        <v>0</v>
      </c>
      <c r="W637">
        <v>2</v>
      </c>
      <c r="X637">
        <v>0</v>
      </c>
      <c r="Y637" t="s">
        <v>36</v>
      </c>
      <c r="Z637">
        <v>0</v>
      </c>
      <c r="AA637">
        <v>0</v>
      </c>
      <c r="AB637">
        <v>0</v>
      </c>
      <c r="AC637" t="s">
        <v>618</v>
      </c>
      <c r="AD637" t="str">
        <f t="shared" si="18"/>
        <v>OL</v>
      </c>
      <c r="AE637" t="str">
        <f>_xlfn.XLOOKUP(D637,Mapping!A:A,Mapping!D:D,0,0)</f>
        <v>Hentai</v>
      </c>
      <c r="AF637" t="str">
        <f t="shared" si="19"/>
        <v>OLD</v>
      </c>
    </row>
    <row r="638" spans="1:32" x14ac:dyDescent="0.2">
      <c r="A638" t="s">
        <v>1118</v>
      </c>
      <c r="B638" t="s">
        <v>29</v>
      </c>
      <c r="C638">
        <v>1012812112</v>
      </c>
      <c r="D638" t="s">
        <v>685</v>
      </c>
      <c r="E638" t="s">
        <v>31</v>
      </c>
      <c r="F638" t="s">
        <v>671</v>
      </c>
      <c r="G638" t="s">
        <v>247</v>
      </c>
      <c r="H638" t="s">
        <v>33</v>
      </c>
      <c r="I638" t="s">
        <v>34</v>
      </c>
      <c r="J638" t="s">
        <v>84</v>
      </c>
      <c r="K638">
        <v>48</v>
      </c>
      <c r="L638">
        <v>0</v>
      </c>
      <c r="M638" t="s">
        <v>36</v>
      </c>
      <c r="N638" t="s">
        <v>37</v>
      </c>
      <c r="O638">
        <v>8165</v>
      </c>
      <c r="P638">
        <v>16</v>
      </c>
      <c r="Q638">
        <v>0.19596</v>
      </c>
      <c r="R638">
        <v>0</v>
      </c>
      <c r="S638">
        <v>1.52</v>
      </c>
      <c r="T638">
        <v>0.187</v>
      </c>
      <c r="U638">
        <v>9.5000000000000001E-2</v>
      </c>
      <c r="V638">
        <v>0</v>
      </c>
      <c r="W638">
        <v>2</v>
      </c>
      <c r="X638">
        <v>0</v>
      </c>
      <c r="Y638" t="s">
        <v>36</v>
      </c>
      <c r="Z638">
        <v>0</v>
      </c>
      <c r="AA638">
        <v>0</v>
      </c>
      <c r="AB638">
        <v>0</v>
      </c>
      <c r="AC638" t="s">
        <v>618</v>
      </c>
      <c r="AD638" t="str">
        <f t="shared" si="18"/>
        <v>OL</v>
      </c>
      <c r="AE638" t="str">
        <f>_xlfn.XLOOKUP(D638,Mapping!A:A,Mapping!D:D,0,0)</f>
        <v>Hentai</v>
      </c>
      <c r="AF638" t="str">
        <f t="shared" si="19"/>
        <v>OLD</v>
      </c>
    </row>
    <row r="639" spans="1:32" x14ac:dyDescent="0.2">
      <c r="A639" t="s">
        <v>1118</v>
      </c>
      <c r="B639" t="s">
        <v>39</v>
      </c>
      <c r="C639">
        <v>1012820322</v>
      </c>
      <c r="D639" t="s">
        <v>686</v>
      </c>
      <c r="E639" t="s">
        <v>31</v>
      </c>
      <c r="F639" s="1">
        <v>0.67291666666666672</v>
      </c>
      <c r="G639" t="s">
        <v>32</v>
      </c>
      <c r="H639" t="s">
        <v>33</v>
      </c>
      <c r="I639" t="s">
        <v>41</v>
      </c>
      <c r="J639" t="s">
        <v>58</v>
      </c>
      <c r="K639">
        <v>50</v>
      </c>
      <c r="L639">
        <v>0</v>
      </c>
      <c r="M639" t="s">
        <v>63</v>
      </c>
      <c r="N639">
        <v>500</v>
      </c>
      <c r="O639">
        <v>0</v>
      </c>
      <c r="P639">
        <v>0</v>
      </c>
      <c r="Q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 t="s">
        <v>36</v>
      </c>
      <c r="AC639" t="s">
        <v>687</v>
      </c>
      <c r="AD639" t="str">
        <f t="shared" si="18"/>
        <v>CP</v>
      </c>
      <c r="AE639" t="str">
        <f>_xlfn.XLOOKUP(D639,Mapping!A:A,Mapping!D:D,0,0)</f>
        <v>General</v>
      </c>
      <c r="AF639" t="str">
        <f t="shared" si="19"/>
        <v>OLD</v>
      </c>
    </row>
    <row r="640" spans="1:32" x14ac:dyDescent="0.2">
      <c r="A640" t="s">
        <v>1118</v>
      </c>
      <c r="B640" t="s">
        <v>39</v>
      </c>
      <c r="C640">
        <v>1012820332</v>
      </c>
      <c r="D640" t="s">
        <v>688</v>
      </c>
      <c r="E640" t="s">
        <v>31</v>
      </c>
      <c r="F640" s="1">
        <v>0.67291666666666672</v>
      </c>
      <c r="G640" t="s">
        <v>32</v>
      </c>
      <c r="H640" t="s">
        <v>33</v>
      </c>
      <c r="I640" t="s">
        <v>41</v>
      </c>
      <c r="J640" t="s">
        <v>58</v>
      </c>
      <c r="K640">
        <v>50</v>
      </c>
      <c r="L640">
        <v>0</v>
      </c>
      <c r="M640" t="s">
        <v>63</v>
      </c>
      <c r="N640">
        <v>500</v>
      </c>
      <c r="O640">
        <v>0</v>
      </c>
      <c r="P640">
        <v>0</v>
      </c>
      <c r="Q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 t="s">
        <v>36</v>
      </c>
      <c r="AC640" t="s">
        <v>687</v>
      </c>
      <c r="AD640" t="str">
        <f t="shared" si="18"/>
        <v>CP</v>
      </c>
      <c r="AE640" t="str">
        <f>_xlfn.XLOOKUP(D640,Mapping!A:A,Mapping!D:D,0,0)</f>
        <v>General</v>
      </c>
      <c r="AF640" t="str">
        <f t="shared" si="19"/>
        <v>OLD</v>
      </c>
    </row>
    <row r="641" spans="1:32" x14ac:dyDescent="0.2">
      <c r="A641" t="s">
        <v>1118</v>
      </c>
      <c r="B641" t="s">
        <v>39</v>
      </c>
      <c r="C641">
        <v>1012850562</v>
      </c>
      <c r="D641" t="s">
        <v>689</v>
      </c>
      <c r="E641" t="s">
        <v>31</v>
      </c>
      <c r="F641" s="1">
        <v>0.67291666666666672</v>
      </c>
      <c r="G641" t="s">
        <v>32</v>
      </c>
      <c r="H641" t="s">
        <v>33</v>
      </c>
      <c r="I641" t="s">
        <v>34</v>
      </c>
      <c r="J641" t="s">
        <v>35</v>
      </c>
      <c r="K641">
        <v>45</v>
      </c>
      <c r="L641">
        <v>0</v>
      </c>
      <c r="M641" t="s">
        <v>36</v>
      </c>
      <c r="N641" t="s">
        <v>37</v>
      </c>
      <c r="O641">
        <v>0</v>
      </c>
      <c r="P641">
        <v>0</v>
      </c>
      <c r="Q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 t="s">
        <v>36</v>
      </c>
      <c r="AC641" t="s">
        <v>43</v>
      </c>
      <c r="AD641" t="str">
        <f t="shared" si="18"/>
        <v>CP</v>
      </c>
      <c r="AE641" t="str">
        <f>_xlfn.XLOOKUP(D641,Mapping!A:A,Mapping!D:D,0,0)</f>
        <v>Bin</v>
      </c>
      <c r="AF641" t="str">
        <f t="shared" si="19"/>
        <v>OLD</v>
      </c>
    </row>
    <row r="642" spans="1:32" x14ac:dyDescent="0.2">
      <c r="A642" t="s">
        <v>1118</v>
      </c>
      <c r="B642" t="s">
        <v>690</v>
      </c>
      <c r="C642">
        <v>1012853592</v>
      </c>
      <c r="D642" t="s">
        <v>52</v>
      </c>
      <c r="E642" t="s">
        <v>31</v>
      </c>
      <c r="F642" s="1">
        <v>0.67291666666666672</v>
      </c>
      <c r="G642" t="s">
        <v>32</v>
      </c>
      <c r="H642" t="s">
        <v>33</v>
      </c>
      <c r="I642" t="s">
        <v>41</v>
      </c>
      <c r="J642" t="s">
        <v>691</v>
      </c>
      <c r="K642">
        <v>460</v>
      </c>
      <c r="L642">
        <v>0</v>
      </c>
      <c r="M642" t="s">
        <v>36</v>
      </c>
      <c r="N642" t="s">
        <v>37</v>
      </c>
      <c r="O642">
        <v>0</v>
      </c>
      <c r="P642">
        <v>0</v>
      </c>
      <c r="Q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 t="s">
        <v>36</v>
      </c>
      <c r="AC642" t="s">
        <v>38</v>
      </c>
      <c r="AD642" t="str">
        <f t="shared" si="18"/>
        <v>CP</v>
      </c>
      <c r="AE642" t="str">
        <f>_xlfn.XLOOKUP(D642,Mapping!A:A,Mapping!D:D,0,0)</f>
        <v>Bin</v>
      </c>
      <c r="AF642" t="str">
        <f t="shared" si="19"/>
        <v>OLD</v>
      </c>
    </row>
    <row r="643" spans="1:32" x14ac:dyDescent="0.2">
      <c r="A643" t="s">
        <v>1118</v>
      </c>
      <c r="B643" t="s">
        <v>39</v>
      </c>
      <c r="C643">
        <v>1012853732</v>
      </c>
      <c r="D643" t="s">
        <v>692</v>
      </c>
      <c r="E643" t="s">
        <v>31</v>
      </c>
      <c r="F643" s="1">
        <v>0.38611111111111113</v>
      </c>
      <c r="G643" t="s">
        <v>32</v>
      </c>
      <c r="H643" t="s">
        <v>33</v>
      </c>
      <c r="I643" t="s">
        <v>41</v>
      </c>
      <c r="J643" t="s">
        <v>691</v>
      </c>
      <c r="K643">
        <v>6</v>
      </c>
      <c r="L643">
        <v>0</v>
      </c>
      <c r="M643" t="s">
        <v>36</v>
      </c>
      <c r="N643" t="s">
        <v>37</v>
      </c>
      <c r="O643">
        <v>0</v>
      </c>
      <c r="P643">
        <v>0</v>
      </c>
      <c r="Q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 t="s">
        <v>36</v>
      </c>
      <c r="AC643" t="s">
        <v>43</v>
      </c>
      <c r="AD643" t="str">
        <f t="shared" ref="AD643:AD706" si="20">LEFT(D643,2)</f>
        <v>CP</v>
      </c>
      <c r="AE643" t="str">
        <f>_xlfn.XLOOKUP(D643,Mapping!A:A,Mapping!D:D,0,0)</f>
        <v>Bin</v>
      </c>
      <c r="AF643" t="str">
        <f t="shared" ref="AF643:AF706" si="21">IFERROR(IF(SEARCH("_TJ",D643)&gt;0,"TJ",NA()),IFERROR(IF(SEARCH("_JB",D643)&gt;0,"JB",NA()),"OLD"))</f>
        <v>OLD</v>
      </c>
    </row>
    <row r="644" spans="1:32" x14ac:dyDescent="0.2">
      <c r="A644" t="s">
        <v>1118</v>
      </c>
      <c r="B644" t="s">
        <v>39</v>
      </c>
      <c r="C644">
        <v>1012853752</v>
      </c>
      <c r="D644" t="s">
        <v>693</v>
      </c>
      <c r="E644" t="s">
        <v>31</v>
      </c>
      <c r="F644" s="1">
        <v>0.38611111111111113</v>
      </c>
      <c r="G644" t="s">
        <v>32</v>
      </c>
      <c r="H644" t="s">
        <v>33</v>
      </c>
      <c r="I644" t="s">
        <v>41</v>
      </c>
      <c r="J644" t="s">
        <v>691</v>
      </c>
      <c r="K644">
        <v>6</v>
      </c>
      <c r="L644">
        <v>0</v>
      </c>
      <c r="M644" t="s">
        <v>36</v>
      </c>
      <c r="N644" t="s">
        <v>37</v>
      </c>
      <c r="O644">
        <v>0</v>
      </c>
      <c r="P644">
        <v>0</v>
      </c>
      <c r="Q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 t="s">
        <v>36</v>
      </c>
      <c r="AC644" t="s">
        <v>43</v>
      </c>
      <c r="AD644" t="str">
        <f t="shared" si="20"/>
        <v>CP</v>
      </c>
      <c r="AE644" t="str">
        <f>_xlfn.XLOOKUP(D644,Mapping!A:A,Mapping!D:D,0,0)</f>
        <v>Bin</v>
      </c>
      <c r="AF644" t="str">
        <f t="shared" si="21"/>
        <v>OLD</v>
      </c>
    </row>
    <row r="645" spans="1:32" x14ac:dyDescent="0.2">
      <c r="A645" t="s">
        <v>1118</v>
      </c>
      <c r="B645" t="s">
        <v>39</v>
      </c>
      <c r="C645">
        <v>1012854242</v>
      </c>
      <c r="D645" t="s">
        <v>694</v>
      </c>
      <c r="E645" t="s">
        <v>31</v>
      </c>
      <c r="F645" s="1">
        <v>0.38611111111111113</v>
      </c>
      <c r="G645" t="s">
        <v>32</v>
      </c>
      <c r="H645" t="s">
        <v>33</v>
      </c>
      <c r="I645" t="s">
        <v>41</v>
      </c>
      <c r="J645" t="s">
        <v>691</v>
      </c>
      <c r="K645">
        <v>12</v>
      </c>
      <c r="L645">
        <v>0</v>
      </c>
      <c r="M645" t="s">
        <v>36</v>
      </c>
      <c r="N645" t="s">
        <v>37</v>
      </c>
      <c r="O645">
        <v>0</v>
      </c>
      <c r="P645">
        <v>0</v>
      </c>
      <c r="Q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 t="s">
        <v>36</v>
      </c>
      <c r="AC645" t="s">
        <v>43</v>
      </c>
      <c r="AD645" t="str">
        <f t="shared" si="20"/>
        <v>CP</v>
      </c>
      <c r="AE645" t="str">
        <f>_xlfn.XLOOKUP(D645,Mapping!A:A,Mapping!D:D,0,0)</f>
        <v>Bin</v>
      </c>
      <c r="AF645" t="str">
        <f t="shared" si="21"/>
        <v>OLD</v>
      </c>
    </row>
    <row r="646" spans="1:32" x14ac:dyDescent="0.2">
      <c r="A646" t="s">
        <v>1118</v>
      </c>
      <c r="B646" t="s">
        <v>39</v>
      </c>
      <c r="C646">
        <v>1012854252</v>
      </c>
      <c r="D646" t="s">
        <v>695</v>
      </c>
      <c r="E646" t="s">
        <v>31</v>
      </c>
      <c r="F646" s="1">
        <v>0.38611111111111113</v>
      </c>
      <c r="G646" t="s">
        <v>32</v>
      </c>
      <c r="H646" t="s">
        <v>33</v>
      </c>
      <c r="I646" t="s">
        <v>41</v>
      </c>
      <c r="J646" t="s">
        <v>691</v>
      </c>
      <c r="K646">
        <v>6</v>
      </c>
      <c r="L646">
        <v>0</v>
      </c>
      <c r="M646" t="s">
        <v>36</v>
      </c>
      <c r="N646" t="s">
        <v>37</v>
      </c>
      <c r="O646">
        <v>0</v>
      </c>
      <c r="P646">
        <v>0</v>
      </c>
      <c r="Q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 t="s">
        <v>36</v>
      </c>
      <c r="AC646" t="s">
        <v>43</v>
      </c>
      <c r="AD646" t="str">
        <f t="shared" si="20"/>
        <v>CP</v>
      </c>
      <c r="AE646" t="str">
        <f>_xlfn.XLOOKUP(D646,Mapping!A:A,Mapping!D:D,0,0)</f>
        <v>Bin</v>
      </c>
      <c r="AF646" t="str">
        <f t="shared" si="21"/>
        <v>OLD</v>
      </c>
    </row>
    <row r="647" spans="1:32" x14ac:dyDescent="0.2">
      <c r="A647" t="s">
        <v>1118</v>
      </c>
      <c r="B647" t="s">
        <v>39</v>
      </c>
      <c r="C647">
        <v>1012854262</v>
      </c>
      <c r="D647" t="s">
        <v>696</v>
      </c>
      <c r="E647" t="s">
        <v>31</v>
      </c>
      <c r="F647" s="1">
        <v>0.38611111111111113</v>
      </c>
      <c r="G647" t="s">
        <v>32</v>
      </c>
      <c r="H647" t="s">
        <v>33</v>
      </c>
      <c r="I647" t="s">
        <v>41</v>
      </c>
      <c r="J647" t="s">
        <v>691</v>
      </c>
      <c r="K647">
        <v>12</v>
      </c>
      <c r="L647">
        <v>0</v>
      </c>
      <c r="M647" t="s">
        <v>36</v>
      </c>
      <c r="N647" t="s">
        <v>37</v>
      </c>
      <c r="O647">
        <v>0</v>
      </c>
      <c r="P647">
        <v>0</v>
      </c>
      <c r="Q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 t="s">
        <v>36</v>
      </c>
      <c r="AC647" t="s">
        <v>43</v>
      </c>
      <c r="AD647" t="str">
        <f t="shared" si="20"/>
        <v>CP</v>
      </c>
      <c r="AE647" t="str">
        <f>_xlfn.XLOOKUP(D647,Mapping!A:A,Mapping!D:D,0,0)</f>
        <v>Bin</v>
      </c>
      <c r="AF647" t="str">
        <f t="shared" si="21"/>
        <v>OLD</v>
      </c>
    </row>
    <row r="648" spans="1:32" x14ac:dyDescent="0.2">
      <c r="A648" t="s">
        <v>1118</v>
      </c>
      <c r="B648" t="s">
        <v>39</v>
      </c>
      <c r="C648">
        <v>1012854272</v>
      </c>
      <c r="D648" t="s">
        <v>697</v>
      </c>
      <c r="E648" t="s">
        <v>31</v>
      </c>
      <c r="F648" s="1">
        <v>0.38611111111111113</v>
      </c>
      <c r="G648" t="s">
        <v>32</v>
      </c>
      <c r="H648" t="s">
        <v>33</v>
      </c>
      <c r="I648" t="s">
        <v>41</v>
      </c>
      <c r="J648" t="s">
        <v>691</v>
      </c>
      <c r="K648">
        <v>12</v>
      </c>
      <c r="L648">
        <v>0</v>
      </c>
      <c r="M648" t="s">
        <v>36</v>
      </c>
      <c r="N648" t="s">
        <v>37</v>
      </c>
      <c r="O648">
        <v>0</v>
      </c>
      <c r="P648">
        <v>0</v>
      </c>
      <c r="Q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 t="s">
        <v>36</v>
      </c>
      <c r="AC648" t="s">
        <v>43</v>
      </c>
      <c r="AD648" t="str">
        <f t="shared" si="20"/>
        <v>CP</v>
      </c>
      <c r="AE648" t="str">
        <f>_xlfn.XLOOKUP(D648,Mapping!A:A,Mapping!D:D,0,0)</f>
        <v>Bin</v>
      </c>
      <c r="AF648" t="str">
        <f t="shared" si="21"/>
        <v>OLD</v>
      </c>
    </row>
    <row r="649" spans="1:32" x14ac:dyDescent="0.2">
      <c r="A649" t="s">
        <v>1118</v>
      </c>
      <c r="B649" t="s">
        <v>39</v>
      </c>
      <c r="C649">
        <v>1012854282</v>
      </c>
      <c r="D649" t="s">
        <v>698</v>
      </c>
      <c r="E649" t="s">
        <v>31</v>
      </c>
      <c r="F649" s="1">
        <v>0.38611111111111113</v>
      </c>
      <c r="G649" t="s">
        <v>32</v>
      </c>
      <c r="H649" t="s">
        <v>33</v>
      </c>
      <c r="I649" t="s">
        <v>41</v>
      </c>
      <c r="J649" t="s">
        <v>691</v>
      </c>
      <c r="K649">
        <v>12</v>
      </c>
      <c r="L649">
        <v>0</v>
      </c>
      <c r="M649" t="s">
        <v>36</v>
      </c>
      <c r="N649" t="s">
        <v>37</v>
      </c>
      <c r="O649">
        <v>0</v>
      </c>
      <c r="P649">
        <v>0</v>
      </c>
      <c r="Q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 t="s">
        <v>36</v>
      </c>
      <c r="AC649" t="s">
        <v>43</v>
      </c>
      <c r="AD649" t="str">
        <f t="shared" si="20"/>
        <v>CP</v>
      </c>
      <c r="AE649" t="str">
        <f>_xlfn.XLOOKUP(D649,Mapping!A:A,Mapping!D:D,0,0)</f>
        <v>Bin</v>
      </c>
      <c r="AF649" t="str">
        <f t="shared" si="21"/>
        <v>OLD</v>
      </c>
    </row>
    <row r="650" spans="1:32" x14ac:dyDescent="0.2">
      <c r="A650" t="s">
        <v>1118</v>
      </c>
      <c r="B650" t="s">
        <v>39</v>
      </c>
      <c r="C650">
        <v>1012854302</v>
      </c>
      <c r="D650" t="s">
        <v>699</v>
      </c>
      <c r="E650" t="s">
        <v>31</v>
      </c>
      <c r="F650" s="1">
        <v>0.38611111111111113</v>
      </c>
      <c r="G650" t="s">
        <v>32</v>
      </c>
      <c r="H650" t="s">
        <v>33</v>
      </c>
      <c r="I650" t="s">
        <v>41</v>
      </c>
      <c r="J650" t="s">
        <v>691</v>
      </c>
      <c r="K650">
        <v>12</v>
      </c>
      <c r="L650">
        <v>0</v>
      </c>
      <c r="M650" t="s">
        <v>36</v>
      </c>
      <c r="N650" t="s">
        <v>37</v>
      </c>
      <c r="O650">
        <v>0</v>
      </c>
      <c r="P650">
        <v>0</v>
      </c>
      <c r="Q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 t="s">
        <v>36</v>
      </c>
      <c r="AC650" t="s">
        <v>43</v>
      </c>
      <c r="AD650" t="str">
        <f t="shared" si="20"/>
        <v>CP</v>
      </c>
      <c r="AE650" t="str">
        <f>_xlfn.XLOOKUP(D650,Mapping!A:A,Mapping!D:D,0,0)</f>
        <v>Bin</v>
      </c>
      <c r="AF650" t="str">
        <f t="shared" si="21"/>
        <v>OLD</v>
      </c>
    </row>
    <row r="651" spans="1:32" x14ac:dyDescent="0.2">
      <c r="A651" t="s">
        <v>1118</v>
      </c>
      <c r="B651" t="s">
        <v>690</v>
      </c>
      <c r="C651">
        <v>1012854322</v>
      </c>
      <c r="D651" t="s">
        <v>700</v>
      </c>
      <c r="E651" t="s">
        <v>31</v>
      </c>
      <c r="F651" s="1">
        <v>0.67291666666666672</v>
      </c>
      <c r="G651" t="s">
        <v>32</v>
      </c>
      <c r="H651" t="s">
        <v>33</v>
      </c>
      <c r="I651" t="s">
        <v>41</v>
      </c>
      <c r="J651" t="s">
        <v>691</v>
      </c>
      <c r="K651">
        <v>920</v>
      </c>
      <c r="L651">
        <v>0</v>
      </c>
      <c r="M651" t="s">
        <v>36</v>
      </c>
      <c r="N651" t="s">
        <v>37</v>
      </c>
      <c r="O651">
        <v>0</v>
      </c>
      <c r="P651">
        <v>0</v>
      </c>
      <c r="Q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 t="s">
        <v>36</v>
      </c>
      <c r="AC651" t="s">
        <v>38</v>
      </c>
      <c r="AD651" t="str">
        <f t="shared" si="20"/>
        <v>CP</v>
      </c>
      <c r="AE651" t="str">
        <f>_xlfn.XLOOKUP(D651,Mapping!A:A,Mapping!D:D,0,0)</f>
        <v>AI</v>
      </c>
      <c r="AF651" t="str">
        <f t="shared" si="21"/>
        <v>OLD</v>
      </c>
    </row>
    <row r="652" spans="1:32" x14ac:dyDescent="0.2">
      <c r="A652" t="s">
        <v>1118</v>
      </c>
      <c r="B652" t="s">
        <v>39</v>
      </c>
      <c r="C652">
        <v>1012854332</v>
      </c>
      <c r="D652" t="s">
        <v>701</v>
      </c>
      <c r="E652" t="s">
        <v>31</v>
      </c>
      <c r="F652" s="1">
        <v>0.67291666666666672</v>
      </c>
      <c r="G652" t="s">
        <v>32</v>
      </c>
      <c r="H652" t="s">
        <v>33</v>
      </c>
      <c r="I652" t="s">
        <v>41</v>
      </c>
      <c r="J652" t="s">
        <v>691</v>
      </c>
      <c r="K652">
        <v>920</v>
      </c>
      <c r="L652">
        <v>0</v>
      </c>
      <c r="M652" t="s">
        <v>36</v>
      </c>
      <c r="N652" t="s">
        <v>37</v>
      </c>
      <c r="O652">
        <v>0</v>
      </c>
      <c r="P652">
        <v>0</v>
      </c>
      <c r="Q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 t="s">
        <v>36</v>
      </c>
      <c r="AC652" t="s">
        <v>43</v>
      </c>
      <c r="AD652" t="str">
        <f t="shared" si="20"/>
        <v>CP</v>
      </c>
      <c r="AE652" t="str">
        <f>_xlfn.XLOOKUP(D652,Mapping!A:A,Mapping!D:D,0,0)</f>
        <v>Bin</v>
      </c>
      <c r="AF652" t="str">
        <f t="shared" si="21"/>
        <v>OLD</v>
      </c>
    </row>
    <row r="653" spans="1:32" x14ac:dyDescent="0.2">
      <c r="A653" t="s">
        <v>1118</v>
      </c>
      <c r="B653" t="s">
        <v>690</v>
      </c>
      <c r="C653">
        <v>1012854342</v>
      </c>
      <c r="D653" t="s">
        <v>702</v>
      </c>
      <c r="E653" t="s">
        <v>31</v>
      </c>
      <c r="F653" s="1">
        <v>0.67291666666666672</v>
      </c>
      <c r="G653" t="s">
        <v>32</v>
      </c>
      <c r="H653" t="s">
        <v>33</v>
      </c>
      <c r="I653" t="s">
        <v>41</v>
      </c>
      <c r="J653" t="s">
        <v>691</v>
      </c>
      <c r="K653">
        <v>460</v>
      </c>
      <c r="L653">
        <v>0</v>
      </c>
      <c r="M653" t="s">
        <v>36</v>
      </c>
      <c r="N653" t="s">
        <v>37</v>
      </c>
      <c r="O653">
        <v>0</v>
      </c>
      <c r="P653">
        <v>0</v>
      </c>
      <c r="Q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 t="s">
        <v>36</v>
      </c>
      <c r="AC653" t="s">
        <v>38</v>
      </c>
      <c r="AD653" t="str">
        <f t="shared" si="20"/>
        <v>CP</v>
      </c>
      <c r="AE653" t="str">
        <f>_xlfn.XLOOKUP(D653,Mapping!A:A,Mapping!D:D,0,0)</f>
        <v>AI</v>
      </c>
      <c r="AF653" t="str">
        <f t="shared" si="21"/>
        <v>OLD</v>
      </c>
    </row>
    <row r="654" spans="1:32" x14ac:dyDescent="0.2">
      <c r="A654" t="s">
        <v>1118</v>
      </c>
      <c r="B654" t="s">
        <v>39</v>
      </c>
      <c r="C654">
        <v>1012854352</v>
      </c>
      <c r="D654" t="s">
        <v>703</v>
      </c>
      <c r="E654" t="s">
        <v>31</v>
      </c>
      <c r="F654" s="1">
        <v>0.67291666666666672</v>
      </c>
      <c r="G654" t="s">
        <v>32</v>
      </c>
      <c r="H654" t="s">
        <v>33</v>
      </c>
      <c r="I654" t="s">
        <v>41</v>
      </c>
      <c r="J654" t="s">
        <v>691</v>
      </c>
      <c r="K654">
        <v>920</v>
      </c>
      <c r="L654">
        <v>0</v>
      </c>
      <c r="M654" t="s">
        <v>36</v>
      </c>
      <c r="N654" t="s">
        <v>37</v>
      </c>
      <c r="O654">
        <v>0</v>
      </c>
      <c r="P654">
        <v>0</v>
      </c>
      <c r="Q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 t="s">
        <v>36</v>
      </c>
      <c r="AC654" t="s">
        <v>43</v>
      </c>
      <c r="AD654" t="str">
        <f t="shared" si="20"/>
        <v>CP</v>
      </c>
      <c r="AE654" t="str">
        <f>_xlfn.XLOOKUP(D654,Mapping!A:A,Mapping!D:D,0,0)</f>
        <v>Bin</v>
      </c>
      <c r="AF654" t="str">
        <f t="shared" si="21"/>
        <v>OLD</v>
      </c>
    </row>
    <row r="655" spans="1:32" x14ac:dyDescent="0.2">
      <c r="A655" t="s">
        <v>1118</v>
      </c>
      <c r="B655" t="s">
        <v>690</v>
      </c>
      <c r="C655">
        <v>1012854472</v>
      </c>
      <c r="D655" t="s">
        <v>704</v>
      </c>
      <c r="E655" t="s">
        <v>31</v>
      </c>
      <c r="F655" s="1">
        <v>0.67291666666666672</v>
      </c>
      <c r="G655" t="s">
        <v>32</v>
      </c>
      <c r="H655" t="s">
        <v>33</v>
      </c>
      <c r="I655" t="s">
        <v>34</v>
      </c>
      <c r="J655" t="s">
        <v>35</v>
      </c>
      <c r="K655">
        <v>252</v>
      </c>
      <c r="L655">
        <v>0</v>
      </c>
      <c r="M655" t="s">
        <v>36</v>
      </c>
      <c r="N655" t="s">
        <v>37</v>
      </c>
      <c r="O655">
        <v>3</v>
      </c>
      <c r="P655">
        <v>0</v>
      </c>
      <c r="Q655">
        <v>0</v>
      </c>
      <c r="R655">
        <v>0</v>
      </c>
      <c r="S655">
        <v>0</v>
      </c>
      <c r="T655">
        <v>0.59</v>
      </c>
      <c r="U655">
        <v>0</v>
      </c>
      <c r="V655">
        <v>0</v>
      </c>
      <c r="W655">
        <v>1</v>
      </c>
      <c r="X655">
        <v>0</v>
      </c>
      <c r="Y655" t="s">
        <v>36</v>
      </c>
      <c r="Z655">
        <v>3</v>
      </c>
      <c r="AA655">
        <v>2</v>
      </c>
      <c r="AB655">
        <v>1</v>
      </c>
      <c r="AC655" t="s">
        <v>38</v>
      </c>
      <c r="AD655" t="str">
        <f t="shared" si="20"/>
        <v>CP</v>
      </c>
      <c r="AE655" t="str">
        <f>_xlfn.XLOOKUP(D655,Mapping!A:A,Mapping!D:D,0,0)</f>
        <v>AI</v>
      </c>
      <c r="AF655" t="str">
        <f t="shared" si="21"/>
        <v>OLD</v>
      </c>
    </row>
    <row r="656" spans="1:32" x14ac:dyDescent="0.2">
      <c r="A656" t="s">
        <v>1118</v>
      </c>
      <c r="B656" t="s">
        <v>39</v>
      </c>
      <c r="C656">
        <v>1012854502</v>
      </c>
      <c r="D656" t="s">
        <v>705</v>
      </c>
      <c r="E656" t="s">
        <v>31</v>
      </c>
      <c r="F656" s="1">
        <v>0.67291666666666672</v>
      </c>
      <c r="G656" t="s">
        <v>32</v>
      </c>
      <c r="H656" t="s">
        <v>33</v>
      </c>
      <c r="I656" t="s">
        <v>34</v>
      </c>
      <c r="J656" t="s">
        <v>35</v>
      </c>
      <c r="K656">
        <v>560</v>
      </c>
      <c r="L656">
        <v>0</v>
      </c>
      <c r="M656" t="s">
        <v>36</v>
      </c>
      <c r="N656" t="s">
        <v>37</v>
      </c>
      <c r="O656">
        <v>0</v>
      </c>
      <c r="P656">
        <v>0</v>
      </c>
      <c r="Q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 t="s">
        <v>36</v>
      </c>
      <c r="AC656" t="s">
        <v>43</v>
      </c>
      <c r="AD656" t="str">
        <f t="shared" si="20"/>
        <v>CP</v>
      </c>
      <c r="AE656" t="str">
        <f>_xlfn.XLOOKUP(D656,Mapping!A:A,Mapping!D:D,0,0)</f>
        <v>Bin</v>
      </c>
      <c r="AF656" t="str">
        <f t="shared" si="21"/>
        <v>OLD</v>
      </c>
    </row>
    <row r="657" spans="1:32" x14ac:dyDescent="0.2">
      <c r="A657" t="s">
        <v>1118</v>
      </c>
      <c r="B657" t="s">
        <v>39</v>
      </c>
      <c r="C657">
        <v>1012854662</v>
      </c>
      <c r="D657" t="s">
        <v>706</v>
      </c>
      <c r="E657" t="s">
        <v>31</v>
      </c>
      <c r="F657" t="s">
        <v>707</v>
      </c>
      <c r="G657" t="s">
        <v>247</v>
      </c>
      <c r="H657" t="s">
        <v>33</v>
      </c>
      <c r="I657" t="s">
        <v>34</v>
      </c>
      <c r="J657" t="s">
        <v>35</v>
      </c>
      <c r="K657">
        <v>6</v>
      </c>
      <c r="L657">
        <v>0</v>
      </c>
      <c r="M657" t="s">
        <v>36</v>
      </c>
      <c r="N657" t="s">
        <v>37</v>
      </c>
      <c r="O657">
        <v>0</v>
      </c>
      <c r="P657">
        <v>0</v>
      </c>
      <c r="Q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 t="s">
        <v>63</v>
      </c>
      <c r="AC657" t="s">
        <v>43</v>
      </c>
      <c r="AD657" t="str">
        <f t="shared" si="20"/>
        <v>CP</v>
      </c>
      <c r="AE657" t="str">
        <f>_xlfn.XLOOKUP(D657,Mapping!A:A,Mapping!D:D,0,0)</f>
        <v>Bin</v>
      </c>
      <c r="AF657" t="str">
        <f t="shared" si="21"/>
        <v>OLD</v>
      </c>
    </row>
    <row r="658" spans="1:32" x14ac:dyDescent="0.2">
      <c r="A658" t="s">
        <v>1118</v>
      </c>
      <c r="B658" t="s">
        <v>39</v>
      </c>
      <c r="C658">
        <v>1012854692</v>
      </c>
      <c r="D658" t="s">
        <v>708</v>
      </c>
      <c r="E658" t="s">
        <v>31</v>
      </c>
      <c r="F658" t="s">
        <v>707</v>
      </c>
      <c r="G658" t="s">
        <v>247</v>
      </c>
      <c r="H658" t="s">
        <v>33</v>
      </c>
      <c r="I658" t="s">
        <v>34</v>
      </c>
      <c r="J658" t="s">
        <v>35</v>
      </c>
      <c r="K658">
        <v>10</v>
      </c>
      <c r="L658">
        <v>0</v>
      </c>
      <c r="M658" t="s">
        <v>36</v>
      </c>
      <c r="N658" t="s">
        <v>37</v>
      </c>
      <c r="O658">
        <v>0</v>
      </c>
      <c r="P658">
        <v>0</v>
      </c>
      <c r="Q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 t="s">
        <v>63</v>
      </c>
      <c r="AC658" t="s">
        <v>43</v>
      </c>
      <c r="AD658" t="str">
        <f t="shared" si="20"/>
        <v>CP</v>
      </c>
      <c r="AE658" t="str">
        <f>_xlfn.XLOOKUP(D658,Mapping!A:A,Mapping!D:D,0,0)</f>
        <v>Bin</v>
      </c>
      <c r="AF658" t="str">
        <f t="shared" si="21"/>
        <v>OLD</v>
      </c>
    </row>
    <row r="659" spans="1:32" x14ac:dyDescent="0.2">
      <c r="A659" t="s">
        <v>1118</v>
      </c>
      <c r="B659" t="s">
        <v>39</v>
      </c>
      <c r="C659">
        <v>1012854712</v>
      </c>
      <c r="D659" t="s">
        <v>709</v>
      </c>
      <c r="E659" t="s">
        <v>31</v>
      </c>
      <c r="F659" t="s">
        <v>707</v>
      </c>
      <c r="G659" t="s">
        <v>247</v>
      </c>
      <c r="H659" t="s">
        <v>33</v>
      </c>
      <c r="I659" t="s">
        <v>34</v>
      </c>
      <c r="J659" t="s">
        <v>35</v>
      </c>
      <c r="K659">
        <v>10</v>
      </c>
      <c r="L659">
        <v>0</v>
      </c>
      <c r="M659" t="s">
        <v>36</v>
      </c>
      <c r="N659" t="s">
        <v>37</v>
      </c>
      <c r="O659">
        <v>0</v>
      </c>
      <c r="P659">
        <v>0</v>
      </c>
      <c r="Q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 t="s">
        <v>63</v>
      </c>
      <c r="AC659" t="s">
        <v>43</v>
      </c>
      <c r="AD659" t="str">
        <f t="shared" si="20"/>
        <v>CP</v>
      </c>
      <c r="AE659" t="str">
        <f>_xlfn.XLOOKUP(D659,Mapping!A:A,Mapping!D:D,0,0)</f>
        <v>Bin</v>
      </c>
      <c r="AF659" t="str">
        <f t="shared" si="21"/>
        <v>OLD</v>
      </c>
    </row>
    <row r="660" spans="1:32" x14ac:dyDescent="0.2">
      <c r="A660" t="s">
        <v>1118</v>
      </c>
      <c r="B660" t="s">
        <v>39</v>
      </c>
      <c r="C660">
        <v>1012854722</v>
      </c>
      <c r="D660" t="s">
        <v>710</v>
      </c>
      <c r="E660" t="s">
        <v>31</v>
      </c>
      <c r="F660" t="s">
        <v>707</v>
      </c>
      <c r="G660" t="s">
        <v>247</v>
      </c>
      <c r="H660" t="s">
        <v>33</v>
      </c>
      <c r="I660" t="s">
        <v>34</v>
      </c>
      <c r="J660" t="s">
        <v>35</v>
      </c>
      <c r="K660">
        <v>10</v>
      </c>
      <c r="L660">
        <v>0</v>
      </c>
      <c r="M660" t="s">
        <v>36</v>
      </c>
      <c r="N660" t="s">
        <v>37</v>
      </c>
      <c r="O660">
        <v>0</v>
      </c>
      <c r="P660">
        <v>0</v>
      </c>
      <c r="Q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 t="s">
        <v>63</v>
      </c>
      <c r="AC660" t="s">
        <v>43</v>
      </c>
      <c r="AD660" t="str">
        <f t="shared" si="20"/>
        <v>CP</v>
      </c>
      <c r="AE660" t="str">
        <f>_xlfn.XLOOKUP(D660,Mapping!A:A,Mapping!D:D,0,0)</f>
        <v>Bin</v>
      </c>
      <c r="AF660" t="str">
        <f t="shared" si="21"/>
        <v>OLD</v>
      </c>
    </row>
    <row r="661" spans="1:32" x14ac:dyDescent="0.2">
      <c r="A661" t="s">
        <v>1118</v>
      </c>
      <c r="B661" t="s">
        <v>39</v>
      </c>
      <c r="C661">
        <v>1012854732</v>
      </c>
      <c r="D661" t="s">
        <v>711</v>
      </c>
      <c r="E661" t="s">
        <v>31</v>
      </c>
      <c r="F661" t="s">
        <v>707</v>
      </c>
      <c r="G661" t="s">
        <v>247</v>
      </c>
      <c r="H661" t="s">
        <v>33</v>
      </c>
      <c r="I661" t="s">
        <v>34</v>
      </c>
      <c r="J661" t="s">
        <v>35</v>
      </c>
      <c r="K661">
        <v>10</v>
      </c>
      <c r="L661">
        <v>0</v>
      </c>
      <c r="M661" t="s">
        <v>36</v>
      </c>
      <c r="N661" t="s">
        <v>37</v>
      </c>
      <c r="O661">
        <v>0</v>
      </c>
      <c r="P661">
        <v>0</v>
      </c>
      <c r="Q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 t="s">
        <v>63</v>
      </c>
      <c r="AC661" t="s">
        <v>43</v>
      </c>
      <c r="AD661" t="str">
        <f t="shared" si="20"/>
        <v>CP</v>
      </c>
      <c r="AE661" t="str">
        <f>_xlfn.XLOOKUP(D661,Mapping!A:A,Mapping!D:D,0,0)</f>
        <v>Bin</v>
      </c>
      <c r="AF661" t="str">
        <f t="shared" si="21"/>
        <v>OLD</v>
      </c>
    </row>
    <row r="662" spans="1:32" x14ac:dyDescent="0.2">
      <c r="A662" t="s">
        <v>1118</v>
      </c>
      <c r="B662" t="s">
        <v>39</v>
      </c>
      <c r="C662">
        <v>1012854742</v>
      </c>
      <c r="D662" t="s">
        <v>712</v>
      </c>
      <c r="E662" t="s">
        <v>31</v>
      </c>
      <c r="F662" t="s">
        <v>707</v>
      </c>
      <c r="G662" t="s">
        <v>247</v>
      </c>
      <c r="H662" t="s">
        <v>33</v>
      </c>
      <c r="I662" t="s">
        <v>34</v>
      </c>
      <c r="J662" t="s">
        <v>35</v>
      </c>
      <c r="K662">
        <v>10</v>
      </c>
      <c r="L662">
        <v>0</v>
      </c>
      <c r="M662" t="s">
        <v>36</v>
      </c>
      <c r="N662" t="s">
        <v>37</v>
      </c>
      <c r="O662">
        <v>0</v>
      </c>
      <c r="P662">
        <v>0</v>
      </c>
      <c r="Q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 t="s">
        <v>63</v>
      </c>
      <c r="AC662" t="s">
        <v>43</v>
      </c>
      <c r="AD662" t="str">
        <f t="shared" si="20"/>
        <v>CP</v>
      </c>
      <c r="AE662" t="str">
        <f>_xlfn.XLOOKUP(D662,Mapping!A:A,Mapping!D:D,0,0)</f>
        <v>Bin</v>
      </c>
      <c r="AF662" t="str">
        <f t="shared" si="21"/>
        <v>OLD</v>
      </c>
    </row>
    <row r="663" spans="1:32" x14ac:dyDescent="0.2">
      <c r="A663" t="s">
        <v>1118</v>
      </c>
      <c r="B663" t="s">
        <v>39</v>
      </c>
      <c r="C663">
        <v>1012854792</v>
      </c>
      <c r="D663" t="s">
        <v>713</v>
      </c>
      <c r="E663" t="s">
        <v>31</v>
      </c>
      <c r="F663" t="s">
        <v>707</v>
      </c>
      <c r="G663" t="s">
        <v>247</v>
      </c>
      <c r="H663" t="s">
        <v>33</v>
      </c>
      <c r="I663" t="s">
        <v>41</v>
      </c>
      <c r="J663" t="s">
        <v>691</v>
      </c>
      <c r="K663">
        <v>4</v>
      </c>
      <c r="L663">
        <v>0</v>
      </c>
      <c r="M663" t="s">
        <v>36</v>
      </c>
      <c r="N663" t="s">
        <v>37</v>
      </c>
      <c r="O663">
        <v>0</v>
      </c>
      <c r="P663">
        <v>0</v>
      </c>
      <c r="Q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 t="s">
        <v>36</v>
      </c>
      <c r="AC663" t="s">
        <v>43</v>
      </c>
      <c r="AD663" t="str">
        <f t="shared" si="20"/>
        <v>CP</v>
      </c>
      <c r="AE663" t="str">
        <f>_xlfn.XLOOKUP(D663,Mapping!A:A,Mapping!D:D,0,0)</f>
        <v>Bin</v>
      </c>
      <c r="AF663" t="str">
        <f t="shared" si="21"/>
        <v>OLD</v>
      </c>
    </row>
    <row r="664" spans="1:32" x14ac:dyDescent="0.2">
      <c r="A664" t="s">
        <v>1118</v>
      </c>
      <c r="B664" t="s">
        <v>39</v>
      </c>
      <c r="C664">
        <v>1012854842</v>
      </c>
      <c r="D664" t="s">
        <v>714</v>
      </c>
      <c r="E664" t="s">
        <v>31</v>
      </c>
      <c r="F664" t="s">
        <v>707</v>
      </c>
      <c r="G664" t="s">
        <v>247</v>
      </c>
      <c r="H664" t="s">
        <v>33</v>
      </c>
      <c r="I664" t="s">
        <v>41</v>
      </c>
      <c r="J664" t="s">
        <v>691</v>
      </c>
      <c r="K664">
        <v>6</v>
      </c>
      <c r="L664">
        <v>0</v>
      </c>
      <c r="M664" t="s">
        <v>36</v>
      </c>
      <c r="N664" t="s">
        <v>37</v>
      </c>
      <c r="O664">
        <v>0</v>
      </c>
      <c r="P664">
        <v>0</v>
      </c>
      <c r="Q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 t="s">
        <v>36</v>
      </c>
      <c r="AC664" t="s">
        <v>43</v>
      </c>
      <c r="AD664" t="str">
        <f t="shared" si="20"/>
        <v>CP</v>
      </c>
      <c r="AE664" t="str">
        <f>_xlfn.XLOOKUP(D664,Mapping!A:A,Mapping!D:D,0,0)</f>
        <v>Bin</v>
      </c>
      <c r="AF664" t="str">
        <f t="shared" si="21"/>
        <v>OLD</v>
      </c>
    </row>
    <row r="665" spans="1:32" x14ac:dyDescent="0.2">
      <c r="A665" t="s">
        <v>1118</v>
      </c>
      <c r="B665" t="s">
        <v>39</v>
      </c>
      <c r="C665">
        <v>1012858692</v>
      </c>
      <c r="D665" t="s">
        <v>715</v>
      </c>
      <c r="E665" t="s">
        <v>31</v>
      </c>
      <c r="F665" s="1">
        <v>0.67291666666666672</v>
      </c>
      <c r="G665" t="s">
        <v>32</v>
      </c>
      <c r="H665" t="s">
        <v>33</v>
      </c>
      <c r="I665" t="s">
        <v>34</v>
      </c>
      <c r="J665" t="s">
        <v>716</v>
      </c>
      <c r="K665">
        <v>280</v>
      </c>
      <c r="L665">
        <v>0</v>
      </c>
      <c r="M665" t="s">
        <v>63</v>
      </c>
      <c r="N665">
        <v>250</v>
      </c>
      <c r="O665">
        <v>0</v>
      </c>
      <c r="P665">
        <v>0</v>
      </c>
      <c r="Q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 t="s">
        <v>36</v>
      </c>
      <c r="AC665" t="s">
        <v>43</v>
      </c>
      <c r="AD665" t="str">
        <f t="shared" si="20"/>
        <v>CP</v>
      </c>
      <c r="AE665" t="str">
        <f>_xlfn.XLOOKUP(D665,Mapping!A:A,Mapping!D:D,0,0)</f>
        <v>Bin</v>
      </c>
      <c r="AF665" t="str">
        <f t="shared" si="21"/>
        <v>OLD</v>
      </c>
    </row>
    <row r="666" spans="1:32" x14ac:dyDescent="0.2">
      <c r="A666" t="s">
        <v>1118</v>
      </c>
      <c r="B666" t="s">
        <v>39</v>
      </c>
      <c r="C666">
        <v>1012860402</v>
      </c>
      <c r="D666" t="s">
        <v>717</v>
      </c>
      <c r="E666" t="s">
        <v>31</v>
      </c>
      <c r="F666" s="1">
        <v>0.67291666666666672</v>
      </c>
      <c r="G666" t="s">
        <v>32</v>
      </c>
      <c r="H666" t="s">
        <v>33</v>
      </c>
      <c r="I666" t="s">
        <v>34</v>
      </c>
      <c r="J666" t="s">
        <v>716</v>
      </c>
      <c r="K666">
        <v>280</v>
      </c>
      <c r="L666">
        <v>0</v>
      </c>
      <c r="M666" t="s">
        <v>63</v>
      </c>
      <c r="N666">
        <v>250</v>
      </c>
      <c r="O666">
        <v>0</v>
      </c>
      <c r="P666">
        <v>0</v>
      </c>
      <c r="Q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 t="s">
        <v>36</v>
      </c>
      <c r="AC666" t="s">
        <v>43</v>
      </c>
      <c r="AD666" t="str">
        <f t="shared" si="20"/>
        <v>CP</v>
      </c>
      <c r="AE666" t="str">
        <f>_xlfn.XLOOKUP(D666,Mapping!A:A,Mapping!D:D,0,0)</f>
        <v>Bin</v>
      </c>
      <c r="AF666" t="str">
        <f t="shared" si="21"/>
        <v>OLD</v>
      </c>
    </row>
    <row r="667" spans="1:32" x14ac:dyDescent="0.2">
      <c r="A667" t="s">
        <v>1118</v>
      </c>
      <c r="B667" t="s">
        <v>39</v>
      </c>
      <c r="C667">
        <v>1012863632</v>
      </c>
      <c r="D667" t="s">
        <v>718</v>
      </c>
      <c r="E667" t="s">
        <v>31</v>
      </c>
      <c r="F667" s="1">
        <v>0.67291666666666672</v>
      </c>
      <c r="G667" t="s">
        <v>32</v>
      </c>
      <c r="H667" t="s">
        <v>33</v>
      </c>
      <c r="I667" t="s">
        <v>34</v>
      </c>
      <c r="J667" t="s">
        <v>719</v>
      </c>
      <c r="K667">
        <v>252</v>
      </c>
      <c r="L667">
        <v>0</v>
      </c>
      <c r="M667" t="s">
        <v>63</v>
      </c>
      <c r="N667">
        <v>250</v>
      </c>
      <c r="O667">
        <v>0</v>
      </c>
      <c r="P667">
        <v>0</v>
      </c>
      <c r="Q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 t="s">
        <v>36</v>
      </c>
      <c r="AC667" t="s">
        <v>43</v>
      </c>
      <c r="AD667" t="str">
        <f t="shared" si="20"/>
        <v>CP</v>
      </c>
      <c r="AE667" t="str">
        <f>_xlfn.XLOOKUP(D667,Mapping!A:A,Mapping!D:D,0,0)</f>
        <v>Bin</v>
      </c>
      <c r="AF667" t="str">
        <f t="shared" si="21"/>
        <v>OLD</v>
      </c>
    </row>
    <row r="668" spans="1:32" x14ac:dyDescent="0.2">
      <c r="A668" t="s">
        <v>1118</v>
      </c>
      <c r="B668" t="s">
        <v>29</v>
      </c>
      <c r="C668">
        <v>1012865892</v>
      </c>
      <c r="D668" t="s">
        <v>720</v>
      </c>
      <c r="E668" t="s">
        <v>31</v>
      </c>
      <c r="F668" s="1">
        <v>0.67291666666666672</v>
      </c>
      <c r="G668" t="s">
        <v>32</v>
      </c>
      <c r="H668" t="s">
        <v>33</v>
      </c>
      <c r="I668" t="s">
        <v>41</v>
      </c>
      <c r="J668" t="s">
        <v>62</v>
      </c>
      <c r="K668">
        <v>560</v>
      </c>
      <c r="L668">
        <v>0</v>
      </c>
      <c r="M668" t="s">
        <v>36</v>
      </c>
      <c r="N668" t="s">
        <v>37</v>
      </c>
      <c r="O668">
        <v>85</v>
      </c>
      <c r="P668">
        <v>3</v>
      </c>
      <c r="Q668">
        <v>3.5294099999999999</v>
      </c>
      <c r="R668">
        <v>0</v>
      </c>
      <c r="S668">
        <v>0.06</v>
      </c>
      <c r="T668">
        <v>0.74399999999999999</v>
      </c>
      <c r="U668">
        <v>2.1000000000000001E-2</v>
      </c>
      <c r="V668">
        <v>0</v>
      </c>
      <c r="W668">
        <v>1</v>
      </c>
      <c r="X668">
        <v>0</v>
      </c>
      <c r="Y668" t="s">
        <v>36</v>
      </c>
      <c r="Z668">
        <v>85</v>
      </c>
      <c r="AA668">
        <v>71</v>
      </c>
      <c r="AB668">
        <v>9</v>
      </c>
      <c r="AC668" t="s">
        <v>484</v>
      </c>
      <c r="AD668" t="str">
        <f t="shared" si="20"/>
        <v>CP</v>
      </c>
      <c r="AE668" t="str">
        <f>_xlfn.XLOOKUP(D668,Mapping!A:A,Mapping!D:D,0,0)</f>
        <v>Keyword - Preroll</v>
      </c>
      <c r="AF668" t="str">
        <f t="shared" si="21"/>
        <v>OLD</v>
      </c>
    </row>
    <row r="669" spans="1:32" x14ac:dyDescent="0.2">
      <c r="A669" t="s">
        <v>1118</v>
      </c>
      <c r="B669" t="s">
        <v>29</v>
      </c>
      <c r="C669">
        <v>1012865902</v>
      </c>
      <c r="D669" t="s">
        <v>721</v>
      </c>
      <c r="E669" t="s">
        <v>31</v>
      </c>
      <c r="F669" s="1">
        <v>0.67291666666666672</v>
      </c>
      <c r="G669" t="s">
        <v>32</v>
      </c>
      <c r="H669" t="s">
        <v>33</v>
      </c>
      <c r="I669" t="s">
        <v>41</v>
      </c>
      <c r="J669" t="s">
        <v>62</v>
      </c>
      <c r="K669">
        <v>560</v>
      </c>
      <c r="L669">
        <v>0</v>
      </c>
      <c r="M669" t="s">
        <v>36</v>
      </c>
      <c r="N669" t="s">
        <v>37</v>
      </c>
      <c r="O669">
        <v>2756</v>
      </c>
      <c r="P669">
        <v>166</v>
      </c>
      <c r="Q669">
        <v>6.0232200000000002</v>
      </c>
      <c r="R669">
        <v>0</v>
      </c>
      <c r="S669">
        <v>3.66</v>
      </c>
      <c r="T669">
        <v>1.329</v>
      </c>
      <c r="U669">
        <v>2.1999999999999999E-2</v>
      </c>
      <c r="V669">
        <v>0</v>
      </c>
      <c r="W669">
        <v>1</v>
      </c>
      <c r="X669">
        <v>0</v>
      </c>
      <c r="Y669" t="s">
        <v>36</v>
      </c>
      <c r="Z669">
        <v>2752</v>
      </c>
      <c r="AA669">
        <v>2444</v>
      </c>
      <c r="AB669">
        <v>208</v>
      </c>
      <c r="AC669" t="s">
        <v>484</v>
      </c>
      <c r="AD669" t="str">
        <f t="shared" si="20"/>
        <v>CP</v>
      </c>
      <c r="AE669" t="str">
        <f>_xlfn.XLOOKUP(D669,Mapping!A:A,Mapping!D:D,0,0)</f>
        <v>Keyword - Preroll</v>
      </c>
      <c r="AF669" t="str">
        <f t="shared" si="21"/>
        <v>OLD</v>
      </c>
    </row>
    <row r="670" spans="1:32" x14ac:dyDescent="0.2">
      <c r="A670" t="s">
        <v>1118</v>
      </c>
      <c r="B670" t="s">
        <v>39</v>
      </c>
      <c r="C670">
        <v>1012865912</v>
      </c>
      <c r="D670" t="s">
        <v>511</v>
      </c>
      <c r="E670" t="s">
        <v>31</v>
      </c>
      <c r="F670" s="1">
        <v>0.67291666666666672</v>
      </c>
      <c r="G670" t="s">
        <v>32</v>
      </c>
      <c r="H670" t="s">
        <v>33</v>
      </c>
      <c r="I670" t="s">
        <v>41</v>
      </c>
      <c r="J670" t="s">
        <v>62</v>
      </c>
      <c r="K670">
        <v>560</v>
      </c>
      <c r="L670">
        <v>0</v>
      </c>
      <c r="M670" t="s">
        <v>36</v>
      </c>
      <c r="N670" t="s">
        <v>37</v>
      </c>
      <c r="O670">
        <v>0</v>
      </c>
      <c r="P670">
        <v>0</v>
      </c>
      <c r="Q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 t="s">
        <v>36</v>
      </c>
      <c r="AC670" t="s">
        <v>119</v>
      </c>
      <c r="AD670" t="str">
        <f t="shared" si="20"/>
        <v>CP</v>
      </c>
      <c r="AE670" t="str">
        <f>_xlfn.XLOOKUP(D670,Mapping!A:A,Mapping!D:D,0,0)</f>
        <v>Keyword - Preroll</v>
      </c>
      <c r="AF670" t="str">
        <f t="shared" si="21"/>
        <v>OLD</v>
      </c>
    </row>
    <row r="671" spans="1:32" x14ac:dyDescent="0.2">
      <c r="A671" t="s">
        <v>1118</v>
      </c>
      <c r="B671" t="s">
        <v>29</v>
      </c>
      <c r="C671">
        <v>1012865922</v>
      </c>
      <c r="D671" t="s">
        <v>722</v>
      </c>
      <c r="E671" t="s">
        <v>31</v>
      </c>
      <c r="F671" s="1">
        <v>0.67291666666666672</v>
      </c>
      <c r="G671" t="s">
        <v>32</v>
      </c>
      <c r="H671" t="s">
        <v>33</v>
      </c>
      <c r="I671" t="s">
        <v>41</v>
      </c>
      <c r="J671" t="s">
        <v>62</v>
      </c>
      <c r="K671">
        <v>560</v>
      </c>
      <c r="L671">
        <v>0</v>
      </c>
      <c r="M671" t="s">
        <v>36</v>
      </c>
      <c r="N671" t="s">
        <v>37</v>
      </c>
      <c r="O671">
        <v>117</v>
      </c>
      <c r="P671">
        <v>6</v>
      </c>
      <c r="Q671">
        <v>5.1282100000000002</v>
      </c>
      <c r="R671">
        <v>0</v>
      </c>
      <c r="S671">
        <v>0.1</v>
      </c>
      <c r="T671">
        <v>0.86</v>
      </c>
      <c r="U671">
        <v>1.7000000000000001E-2</v>
      </c>
      <c r="V671">
        <v>0</v>
      </c>
      <c r="W671">
        <v>1</v>
      </c>
      <c r="X671">
        <v>0</v>
      </c>
      <c r="Y671" t="s">
        <v>36</v>
      </c>
      <c r="Z671">
        <v>117</v>
      </c>
      <c r="AA671">
        <v>105</v>
      </c>
      <c r="AB671">
        <v>10</v>
      </c>
      <c r="AC671" t="s">
        <v>484</v>
      </c>
      <c r="AD671" t="str">
        <f t="shared" si="20"/>
        <v>CP</v>
      </c>
      <c r="AE671" t="str">
        <f>_xlfn.XLOOKUP(D671,Mapping!A:A,Mapping!D:D,0,0)</f>
        <v>Keyword - Preroll</v>
      </c>
      <c r="AF671" t="str">
        <f t="shared" si="21"/>
        <v>OLD</v>
      </c>
    </row>
    <row r="672" spans="1:32" x14ac:dyDescent="0.2">
      <c r="A672" t="s">
        <v>1118</v>
      </c>
      <c r="B672" t="s">
        <v>29</v>
      </c>
      <c r="C672">
        <v>1012866372</v>
      </c>
      <c r="D672" t="s">
        <v>354</v>
      </c>
      <c r="E672" t="s">
        <v>31</v>
      </c>
      <c r="F672" s="1">
        <v>0.67291666666666672</v>
      </c>
      <c r="G672" t="s">
        <v>32</v>
      </c>
      <c r="H672" t="s">
        <v>33</v>
      </c>
      <c r="I672" t="s">
        <v>34</v>
      </c>
      <c r="J672" t="s">
        <v>84</v>
      </c>
      <c r="K672">
        <v>72</v>
      </c>
      <c r="L672">
        <v>0</v>
      </c>
      <c r="M672" t="s">
        <v>36</v>
      </c>
      <c r="N672" t="s">
        <v>37</v>
      </c>
      <c r="O672">
        <v>13395</v>
      </c>
      <c r="P672">
        <v>534</v>
      </c>
      <c r="Q672">
        <v>3.9865599999999999</v>
      </c>
      <c r="R672">
        <v>0</v>
      </c>
      <c r="S672">
        <v>37.409999999999997</v>
      </c>
      <c r="T672">
        <v>2.7930000000000001</v>
      </c>
      <c r="U672">
        <v>7.0000000000000007E-2</v>
      </c>
      <c r="V672">
        <v>0</v>
      </c>
      <c r="W672">
        <v>1</v>
      </c>
      <c r="X672">
        <v>0</v>
      </c>
      <c r="Y672" t="s">
        <v>36</v>
      </c>
      <c r="Z672">
        <v>13399</v>
      </c>
      <c r="AA672">
        <v>10441</v>
      </c>
      <c r="AB672">
        <v>1611</v>
      </c>
      <c r="AC672" t="s">
        <v>348</v>
      </c>
      <c r="AD672" t="str">
        <f t="shared" si="20"/>
        <v>CP</v>
      </c>
      <c r="AE672" t="str">
        <f>_xlfn.XLOOKUP(D672,Mapping!A:A,Mapping!D:D,0,0)</f>
        <v>Keyword - Preroll</v>
      </c>
      <c r="AF672" t="str">
        <f t="shared" si="21"/>
        <v>OLD</v>
      </c>
    </row>
    <row r="673" spans="1:32" x14ac:dyDescent="0.2">
      <c r="A673" t="s">
        <v>1118</v>
      </c>
      <c r="B673" t="s">
        <v>29</v>
      </c>
      <c r="C673">
        <v>1012866382</v>
      </c>
      <c r="D673" t="s">
        <v>351</v>
      </c>
      <c r="E673" t="s">
        <v>31</v>
      </c>
      <c r="F673" s="1">
        <v>0.67291666666666672</v>
      </c>
      <c r="G673" t="s">
        <v>32</v>
      </c>
      <c r="H673" t="s">
        <v>33</v>
      </c>
      <c r="I673" t="s">
        <v>34</v>
      </c>
      <c r="J673" t="s">
        <v>723</v>
      </c>
      <c r="K673">
        <v>72</v>
      </c>
      <c r="L673">
        <v>0</v>
      </c>
      <c r="M673" t="s">
        <v>63</v>
      </c>
      <c r="N673">
        <v>250</v>
      </c>
      <c r="O673">
        <v>30532</v>
      </c>
      <c r="P673">
        <v>1313</v>
      </c>
      <c r="Q673">
        <v>4.3004100000000003</v>
      </c>
      <c r="R673">
        <v>0</v>
      </c>
      <c r="S673">
        <v>46.6</v>
      </c>
      <c r="T673">
        <v>1.526</v>
      </c>
      <c r="U673">
        <v>3.5000000000000003E-2</v>
      </c>
      <c r="V673">
        <v>0</v>
      </c>
      <c r="W673">
        <v>1</v>
      </c>
      <c r="X673">
        <v>0</v>
      </c>
      <c r="Y673" t="s">
        <v>36</v>
      </c>
      <c r="Z673">
        <v>30547</v>
      </c>
      <c r="AA673">
        <v>23553</v>
      </c>
      <c r="AB673">
        <v>4026</v>
      </c>
      <c r="AC673" t="s">
        <v>348</v>
      </c>
      <c r="AD673" t="str">
        <f t="shared" si="20"/>
        <v>CP</v>
      </c>
      <c r="AE673" t="str">
        <f>_xlfn.XLOOKUP(D673,Mapping!A:A,Mapping!D:D,0,0)</f>
        <v>Keyword - Preroll</v>
      </c>
      <c r="AF673" t="str">
        <f t="shared" si="21"/>
        <v>OLD</v>
      </c>
    </row>
    <row r="674" spans="1:32" x14ac:dyDescent="0.2">
      <c r="A674" t="s">
        <v>1118</v>
      </c>
      <c r="B674" t="s">
        <v>29</v>
      </c>
      <c r="C674">
        <v>1012866392</v>
      </c>
      <c r="D674" t="s">
        <v>724</v>
      </c>
      <c r="E674" t="s">
        <v>31</v>
      </c>
      <c r="F674" s="1">
        <v>0.67291666666666672</v>
      </c>
      <c r="G674" t="s">
        <v>32</v>
      </c>
      <c r="H674" t="s">
        <v>33</v>
      </c>
      <c r="I674" t="s">
        <v>34</v>
      </c>
      <c r="J674" t="s">
        <v>84</v>
      </c>
      <c r="K674">
        <v>72</v>
      </c>
      <c r="L674">
        <v>0</v>
      </c>
      <c r="M674" t="s">
        <v>63</v>
      </c>
      <c r="N674">
        <v>250</v>
      </c>
      <c r="O674">
        <v>326</v>
      </c>
      <c r="P674">
        <v>17</v>
      </c>
      <c r="Q674">
        <v>5.2147199999999998</v>
      </c>
      <c r="R674">
        <v>0</v>
      </c>
      <c r="S674">
        <v>0.41</v>
      </c>
      <c r="T674">
        <v>1.2509999999999999</v>
      </c>
      <c r="U674">
        <v>2.4E-2</v>
      </c>
      <c r="V674">
        <v>0</v>
      </c>
      <c r="W674">
        <v>1</v>
      </c>
      <c r="X674">
        <v>0</v>
      </c>
      <c r="Y674" t="s">
        <v>36</v>
      </c>
      <c r="Z674">
        <v>326</v>
      </c>
      <c r="AA674">
        <v>230</v>
      </c>
      <c r="AB674">
        <v>58</v>
      </c>
      <c r="AC674" t="s">
        <v>348</v>
      </c>
      <c r="AD674" t="str">
        <f t="shared" si="20"/>
        <v>CP</v>
      </c>
      <c r="AE674" t="str">
        <f>_xlfn.XLOOKUP(D674,Mapping!A:A,Mapping!D:D,0,0)</f>
        <v>Keyword - Preroll</v>
      </c>
      <c r="AF674" t="str">
        <f t="shared" si="21"/>
        <v>OLD</v>
      </c>
    </row>
    <row r="675" spans="1:32" x14ac:dyDescent="0.2">
      <c r="A675" t="s">
        <v>1118</v>
      </c>
      <c r="B675" t="s">
        <v>29</v>
      </c>
      <c r="C675">
        <v>1012866402</v>
      </c>
      <c r="D675" t="s">
        <v>595</v>
      </c>
      <c r="E675" t="s">
        <v>31</v>
      </c>
      <c r="F675" s="1">
        <v>0.67291666666666672</v>
      </c>
      <c r="G675" t="s">
        <v>32</v>
      </c>
      <c r="H675" t="s">
        <v>33</v>
      </c>
      <c r="I675" t="s">
        <v>34</v>
      </c>
      <c r="J675" t="s">
        <v>84</v>
      </c>
      <c r="K675">
        <v>72</v>
      </c>
      <c r="L675">
        <v>0</v>
      </c>
      <c r="M675" t="s">
        <v>36</v>
      </c>
      <c r="N675" t="s">
        <v>37</v>
      </c>
      <c r="O675">
        <v>30264</v>
      </c>
      <c r="P675">
        <v>1310</v>
      </c>
      <c r="Q675">
        <v>4.32857</v>
      </c>
      <c r="R675">
        <v>0</v>
      </c>
      <c r="S675">
        <v>39</v>
      </c>
      <c r="T675">
        <v>1.2889999999999999</v>
      </c>
      <c r="U675">
        <v>0.03</v>
      </c>
      <c r="V675">
        <v>0</v>
      </c>
      <c r="W675">
        <v>1</v>
      </c>
      <c r="X675">
        <v>0</v>
      </c>
      <c r="Y675" t="s">
        <v>36</v>
      </c>
      <c r="Z675">
        <v>30259</v>
      </c>
      <c r="AA675">
        <v>23211</v>
      </c>
      <c r="AB675">
        <v>3712</v>
      </c>
      <c r="AC675" t="s">
        <v>348</v>
      </c>
      <c r="AD675" t="str">
        <f t="shared" si="20"/>
        <v>CP</v>
      </c>
      <c r="AE675" t="str">
        <f>_xlfn.XLOOKUP(D675,Mapping!A:A,Mapping!D:D,0,0)</f>
        <v>Keyword - Preroll</v>
      </c>
      <c r="AF675" t="str">
        <f t="shared" si="21"/>
        <v>OLD</v>
      </c>
    </row>
    <row r="676" spans="1:32" x14ac:dyDescent="0.2">
      <c r="A676" t="s">
        <v>1118</v>
      </c>
      <c r="B676" t="s">
        <v>39</v>
      </c>
      <c r="C676">
        <v>1012866412</v>
      </c>
      <c r="D676" t="s">
        <v>725</v>
      </c>
      <c r="E676" t="s">
        <v>31</v>
      </c>
      <c r="F676" s="1">
        <v>0.67291666666666672</v>
      </c>
      <c r="G676" t="s">
        <v>32</v>
      </c>
      <c r="H676" t="s">
        <v>33</v>
      </c>
      <c r="I676" t="s">
        <v>41</v>
      </c>
      <c r="J676" t="s">
        <v>62</v>
      </c>
      <c r="K676">
        <v>162</v>
      </c>
      <c r="L676">
        <v>0</v>
      </c>
      <c r="M676" t="s">
        <v>63</v>
      </c>
      <c r="N676">
        <v>250</v>
      </c>
      <c r="O676">
        <v>0</v>
      </c>
      <c r="P676">
        <v>0</v>
      </c>
      <c r="Q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 t="s">
        <v>36</v>
      </c>
      <c r="AC676" t="s">
        <v>348</v>
      </c>
      <c r="AD676" t="str">
        <f t="shared" si="20"/>
        <v>CP</v>
      </c>
      <c r="AE676" t="str">
        <f>_xlfn.XLOOKUP(D676,Mapping!A:A,Mapping!D:D,0,0)</f>
        <v>Missionary</v>
      </c>
      <c r="AF676" t="str">
        <f t="shared" si="21"/>
        <v>OLD</v>
      </c>
    </row>
    <row r="677" spans="1:32" x14ac:dyDescent="0.2">
      <c r="A677" t="s">
        <v>1118</v>
      </c>
      <c r="B677" t="s">
        <v>39</v>
      </c>
      <c r="C677">
        <v>1012866422</v>
      </c>
      <c r="D677" t="s">
        <v>636</v>
      </c>
      <c r="E677" t="s">
        <v>31</v>
      </c>
      <c r="F677" s="1">
        <v>0.67291666666666672</v>
      </c>
      <c r="G677" t="s">
        <v>32</v>
      </c>
      <c r="H677" t="s">
        <v>33</v>
      </c>
      <c r="I677" t="s">
        <v>41</v>
      </c>
      <c r="J677" t="s">
        <v>62</v>
      </c>
      <c r="K677">
        <v>162</v>
      </c>
      <c r="L677">
        <v>0</v>
      </c>
      <c r="M677" t="s">
        <v>63</v>
      </c>
      <c r="N677">
        <v>250</v>
      </c>
      <c r="O677">
        <v>0</v>
      </c>
      <c r="P677">
        <v>0</v>
      </c>
      <c r="Q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 t="s">
        <v>36</v>
      </c>
      <c r="AC677" t="s">
        <v>348</v>
      </c>
      <c r="AD677" t="str">
        <f t="shared" si="20"/>
        <v>CP</v>
      </c>
      <c r="AE677" t="str">
        <f>_xlfn.XLOOKUP(D677,Mapping!A:A,Mapping!D:D,0,0)</f>
        <v>Bin</v>
      </c>
      <c r="AF677" t="str">
        <f t="shared" si="21"/>
        <v>OLD</v>
      </c>
    </row>
    <row r="678" spans="1:32" x14ac:dyDescent="0.2">
      <c r="A678" t="s">
        <v>1118</v>
      </c>
      <c r="B678" t="s">
        <v>39</v>
      </c>
      <c r="C678">
        <v>1012866432</v>
      </c>
      <c r="D678" t="s">
        <v>726</v>
      </c>
      <c r="E678" t="s">
        <v>31</v>
      </c>
      <c r="F678" s="1">
        <v>0.67291666666666672</v>
      </c>
      <c r="G678" t="s">
        <v>32</v>
      </c>
      <c r="H678" t="s">
        <v>33</v>
      </c>
      <c r="I678" t="s">
        <v>41</v>
      </c>
      <c r="J678" t="s">
        <v>62</v>
      </c>
      <c r="K678">
        <v>162</v>
      </c>
      <c r="L678">
        <v>0</v>
      </c>
      <c r="M678" t="s">
        <v>63</v>
      </c>
      <c r="N678">
        <v>250</v>
      </c>
      <c r="O678">
        <v>0</v>
      </c>
      <c r="P678">
        <v>0</v>
      </c>
      <c r="Q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 t="s">
        <v>36</v>
      </c>
      <c r="AC678" t="s">
        <v>348</v>
      </c>
      <c r="AD678" t="str">
        <f t="shared" si="20"/>
        <v>CP</v>
      </c>
      <c r="AE678" t="str">
        <f>_xlfn.XLOOKUP(D678,Mapping!A:A,Mapping!D:D,0,0)</f>
        <v>Missionary</v>
      </c>
      <c r="AF678" t="str">
        <f t="shared" si="21"/>
        <v>OLD</v>
      </c>
    </row>
    <row r="679" spans="1:32" x14ac:dyDescent="0.2">
      <c r="A679" t="s">
        <v>1118</v>
      </c>
      <c r="B679" t="s">
        <v>39</v>
      </c>
      <c r="C679">
        <v>1012866442</v>
      </c>
      <c r="D679" t="s">
        <v>727</v>
      </c>
      <c r="E679" t="s">
        <v>31</v>
      </c>
      <c r="F679" s="1">
        <v>0.67291666666666672</v>
      </c>
      <c r="G679" t="s">
        <v>32</v>
      </c>
      <c r="H679" t="s">
        <v>33</v>
      </c>
      <c r="I679" t="s">
        <v>41</v>
      </c>
      <c r="J679" t="s">
        <v>62</v>
      </c>
      <c r="K679">
        <v>162</v>
      </c>
      <c r="L679">
        <v>0</v>
      </c>
      <c r="M679" t="s">
        <v>63</v>
      </c>
      <c r="N679">
        <v>250</v>
      </c>
      <c r="O679">
        <v>0</v>
      </c>
      <c r="P679">
        <v>0</v>
      </c>
      <c r="Q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 t="s">
        <v>36</v>
      </c>
      <c r="AC679" t="s">
        <v>348</v>
      </c>
      <c r="AD679" t="str">
        <f t="shared" si="20"/>
        <v>CP</v>
      </c>
      <c r="AE679" t="str">
        <f>_xlfn.XLOOKUP(D679,Mapping!A:A,Mapping!D:D,0,0)</f>
        <v>Missionary</v>
      </c>
      <c r="AF679" t="str">
        <f t="shared" si="21"/>
        <v>OLD</v>
      </c>
    </row>
    <row r="680" spans="1:32" x14ac:dyDescent="0.2">
      <c r="A680" t="s">
        <v>1118</v>
      </c>
      <c r="B680" t="s">
        <v>39</v>
      </c>
      <c r="C680">
        <v>1012866452</v>
      </c>
      <c r="D680" t="s">
        <v>728</v>
      </c>
      <c r="E680" t="s">
        <v>31</v>
      </c>
      <c r="F680" s="1">
        <v>0.67291666666666672</v>
      </c>
      <c r="G680" t="s">
        <v>32</v>
      </c>
      <c r="H680" t="s">
        <v>33</v>
      </c>
      <c r="I680" t="s">
        <v>41</v>
      </c>
      <c r="J680" t="s">
        <v>62</v>
      </c>
      <c r="K680">
        <v>81</v>
      </c>
      <c r="L680">
        <v>0</v>
      </c>
      <c r="M680" t="s">
        <v>63</v>
      </c>
      <c r="N680">
        <v>250</v>
      </c>
      <c r="O680">
        <v>0</v>
      </c>
      <c r="P680">
        <v>0</v>
      </c>
      <c r="Q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 t="s">
        <v>36</v>
      </c>
      <c r="AC680" t="s">
        <v>348</v>
      </c>
      <c r="AD680" t="str">
        <f t="shared" si="20"/>
        <v>CP</v>
      </c>
      <c r="AE680" t="str">
        <f>_xlfn.XLOOKUP(D680,Mapping!A:A,Mapping!D:D,0,0)</f>
        <v>Missionary</v>
      </c>
      <c r="AF680" t="str">
        <f t="shared" si="21"/>
        <v>OLD</v>
      </c>
    </row>
    <row r="681" spans="1:32" x14ac:dyDescent="0.2">
      <c r="A681" t="s">
        <v>1118</v>
      </c>
      <c r="B681" t="s">
        <v>39</v>
      </c>
      <c r="C681">
        <v>1012866462</v>
      </c>
      <c r="D681" t="s">
        <v>349</v>
      </c>
      <c r="E681" t="s">
        <v>31</v>
      </c>
      <c r="F681" s="1">
        <v>0.67291666666666672</v>
      </c>
      <c r="G681" t="s">
        <v>32</v>
      </c>
      <c r="H681" t="s">
        <v>33</v>
      </c>
      <c r="I681" t="s">
        <v>41</v>
      </c>
      <c r="J681" t="s">
        <v>62</v>
      </c>
      <c r="K681">
        <v>81</v>
      </c>
      <c r="L681">
        <v>0</v>
      </c>
      <c r="M681" t="s">
        <v>63</v>
      </c>
      <c r="N681">
        <v>250</v>
      </c>
      <c r="O681">
        <v>0</v>
      </c>
      <c r="P681">
        <v>0</v>
      </c>
      <c r="Q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 t="s">
        <v>36</v>
      </c>
      <c r="AC681" t="s">
        <v>348</v>
      </c>
      <c r="AD681" t="str">
        <f t="shared" si="20"/>
        <v>CP</v>
      </c>
      <c r="AE681" t="str">
        <f>_xlfn.XLOOKUP(D681,Mapping!A:A,Mapping!D:D,0,0)</f>
        <v>Bin</v>
      </c>
      <c r="AF681" t="str">
        <f t="shared" si="21"/>
        <v>OLD</v>
      </c>
    </row>
    <row r="682" spans="1:32" x14ac:dyDescent="0.2">
      <c r="A682" t="s">
        <v>1118</v>
      </c>
      <c r="B682" t="s">
        <v>39</v>
      </c>
      <c r="C682">
        <v>1012866472</v>
      </c>
      <c r="D682" t="s">
        <v>597</v>
      </c>
      <c r="E682" t="s">
        <v>31</v>
      </c>
      <c r="F682" s="1">
        <v>0.67291666666666672</v>
      </c>
      <c r="G682" t="s">
        <v>32</v>
      </c>
      <c r="H682" t="s">
        <v>33</v>
      </c>
      <c r="I682" t="s">
        <v>41</v>
      </c>
      <c r="J682" t="s">
        <v>62</v>
      </c>
      <c r="K682">
        <v>81</v>
      </c>
      <c r="L682">
        <v>0</v>
      </c>
      <c r="M682" t="s">
        <v>63</v>
      </c>
      <c r="N682">
        <v>250</v>
      </c>
      <c r="O682">
        <v>0</v>
      </c>
      <c r="P682">
        <v>0</v>
      </c>
      <c r="Q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 t="s">
        <v>36</v>
      </c>
      <c r="AC682" t="s">
        <v>348</v>
      </c>
      <c r="AD682" t="str">
        <f t="shared" si="20"/>
        <v>CP</v>
      </c>
      <c r="AE682" t="str">
        <f>_xlfn.XLOOKUP(D682,Mapping!A:A,Mapping!D:D,0,0)</f>
        <v>Bin</v>
      </c>
      <c r="AF682" t="str">
        <f t="shared" si="21"/>
        <v>OLD</v>
      </c>
    </row>
    <row r="683" spans="1:32" x14ac:dyDescent="0.2">
      <c r="A683" t="s">
        <v>1118</v>
      </c>
      <c r="B683" t="s">
        <v>39</v>
      </c>
      <c r="C683">
        <v>1012866482</v>
      </c>
      <c r="D683" t="s">
        <v>352</v>
      </c>
      <c r="E683" t="s">
        <v>31</v>
      </c>
      <c r="F683" s="1">
        <v>0.67291666666666672</v>
      </c>
      <c r="G683" t="s">
        <v>32</v>
      </c>
      <c r="H683" t="s">
        <v>33</v>
      </c>
      <c r="I683" t="s">
        <v>41</v>
      </c>
      <c r="J683" t="s">
        <v>62</v>
      </c>
      <c r="K683">
        <v>81</v>
      </c>
      <c r="L683">
        <v>0</v>
      </c>
      <c r="M683" t="s">
        <v>63</v>
      </c>
      <c r="N683">
        <v>250</v>
      </c>
      <c r="O683">
        <v>0</v>
      </c>
      <c r="P683">
        <v>0</v>
      </c>
      <c r="Q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 t="s">
        <v>36</v>
      </c>
      <c r="AC683" t="s">
        <v>348</v>
      </c>
      <c r="AD683" t="str">
        <f t="shared" si="20"/>
        <v>CP</v>
      </c>
      <c r="AE683" t="str">
        <f>_xlfn.XLOOKUP(D683,Mapping!A:A,Mapping!D:D,0,0)</f>
        <v>Bin</v>
      </c>
      <c r="AF683" t="str">
        <f t="shared" si="21"/>
        <v>OLD</v>
      </c>
    </row>
    <row r="684" spans="1:32" x14ac:dyDescent="0.2">
      <c r="A684" t="s">
        <v>1118</v>
      </c>
      <c r="B684" t="s">
        <v>39</v>
      </c>
      <c r="C684">
        <v>1012866492</v>
      </c>
      <c r="D684" t="s">
        <v>355</v>
      </c>
      <c r="E684" t="s">
        <v>31</v>
      </c>
      <c r="F684" s="1">
        <v>0.67291666666666672</v>
      </c>
      <c r="G684" t="s">
        <v>32</v>
      </c>
      <c r="H684" t="s">
        <v>33</v>
      </c>
      <c r="I684" t="s">
        <v>41</v>
      </c>
      <c r="J684" t="s">
        <v>62</v>
      </c>
      <c r="K684">
        <v>162</v>
      </c>
      <c r="L684">
        <v>0</v>
      </c>
      <c r="M684" t="s">
        <v>63</v>
      </c>
      <c r="N684">
        <v>250</v>
      </c>
      <c r="O684">
        <v>0</v>
      </c>
      <c r="P684">
        <v>0</v>
      </c>
      <c r="Q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 t="s">
        <v>36</v>
      </c>
      <c r="AC684" t="s">
        <v>348</v>
      </c>
      <c r="AD684" t="str">
        <f t="shared" si="20"/>
        <v>CP</v>
      </c>
      <c r="AE684" t="str">
        <f>_xlfn.XLOOKUP(D684,Mapping!A:A,Mapping!D:D,0,0)</f>
        <v>Bin</v>
      </c>
      <c r="AF684" t="str">
        <f t="shared" si="21"/>
        <v>OLD</v>
      </c>
    </row>
    <row r="685" spans="1:32" x14ac:dyDescent="0.2">
      <c r="A685" t="s">
        <v>1118</v>
      </c>
      <c r="B685" t="s">
        <v>39</v>
      </c>
      <c r="C685">
        <v>1012866502</v>
      </c>
      <c r="D685" t="s">
        <v>729</v>
      </c>
      <c r="E685" t="s">
        <v>31</v>
      </c>
      <c r="F685" s="1">
        <v>0.67291666666666672</v>
      </c>
      <c r="G685" t="s">
        <v>32</v>
      </c>
      <c r="H685" t="s">
        <v>33</v>
      </c>
      <c r="I685" t="s">
        <v>41</v>
      </c>
      <c r="J685" t="s">
        <v>62</v>
      </c>
      <c r="K685">
        <v>120</v>
      </c>
      <c r="L685">
        <v>0</v>
      </c>
      <c r="M685" t="s">
        <v>36</v>
      </c>
      <c r="N685" t="s">
        <v>37</v>
      </c>
      <c r="O685">
        <v>0</v>
      </c>
      <c r="P685">
        <v>0</v>
      </c>
      <c r="Q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 t="s">
        <v>36</v>
      </c>
      <c r="AC685" t="s">
        <v>423</v>
      </c>
      <c r="AD685" t="str">
        <f t="shared" si="20"/>
        <v>CP</v>
      </c>
      <c r="AE685" t="str">
        <f>_xlfn.XLOOKUP(D685,Mapping!A:A,Mapping!D:D,0,0)</f>
        <v>Bin</v>
      </c>
      <c r="AF685" t="str">
        <f t="shared" si="21"/>
        <v>OLD</v>
      </c>
    </row>
    <row r="686" spans="1:32" x14ac:dyDescent="0.2">
      <c r="A686" t="s">
        <v>1118</v>
      </c>
      <c r="B686" t="s">
        <v>39</v>
      </c>
      <c r="C686">
        <v>1012866512</v>
      </c>
      <c r="D686" t="s">
        <v>431</v>
      </c>
      <c r="E686" t="s">
        <v>31</v>
      </c>
      <c r="F686" s="1">
        <v>0.67291666666666672</v>
      </c>
      <c r="G686" t="s">
        <v>32</v>
      </c>
      <c r="H686" t="s">
        <v>33</v>
      </c>
      <c r="I686" t="s">
        <v>41</v>
      </c>
      <c r="J686" t="s">
        <v>62</v>
      </c>
      <c r="K686">
        <v>62</v>
      </c>
      <c r="L686">
        <v>89</v>
      </c>
      <c r="M686" t="s">
        <v>36</v>
      </c>
      <c r="N686" t="s">
        <v>37</v>
      </c>
      <c r="O686">
        <v>0</v>
      </c>
      <c r="P686">
        <v>0</v>
      </c>
      <c r="Q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 t="s">
        <v>36</v>
      </c>
      <c r="AC686" t="s">
        <v>423</v>
      </c>
      <c r="AD686" t="str">
        <f t="shared" si="20"/>
        <v>CP</v>
      </c>
      <c r="AE686" t="str">
        <f>_xlfn.XLOOKUP(D686,Mapping!A:A,Mapping!D:D,0,0)</f>
        <v>Trans</v>
      </c>
      <c r="AF686" t="str">
        <f t="shared" si="21"/>
        <v>OLD</v>
      </c>
    </row>
    <row r="687" spans="1:32" x14ac:dyDescent="0.2">
      <c r="A687" t="s">
        <v>1118</v>
      </c>
      <c r="B687" t="s">
        <v>39</v>
      </c>
      <c r="C687">
        <v>1012866522</v>
      </c>
      <c r="D687" t="s">
        <v>430</v>
      </c>
      <c r="E687" t="s">
        <v>31</v>
      </c>
      <c r="F687" s="1">
        <v>0.67291666666666672</v>
      </c>
      <c r="G687" t="s">
        <v>32</v>
      </c>
      <c r="H687" t="s">
        <v>33</v>
      </c>
      <c r="I687" t="s">
        <v>41</v>
      </c>
      <c r="J687" t="s">
        <v>62</v>
      </c>
      <c r="K687">
        <v>240</v>
      </c>
      <c r="L687">
        <v>0</v>
      </c>
      <c r="M687" t="s">
        <v>36</v>
      </c>
      <c r="N687" t="s">
        <v>37</v>
      </c>
      <c r="O687">
        <v>0</v>
      </c>
      <c r="P687">
        <v>0</v>
      </c>
      <c r="Q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 t="s">
        <v>36</v>
      </c>
      <c r="AC687" t="s">
        <v>423</v>
      </c>
      <c r="AD687" t="str">
        <f t="shared" si="20"/>
        <v>CP</v>
      </c>
      <c r="AE687" t="str">
        <f>_xlfn.XLOOKUP(D687,Mapping!A:A,Mapping!D:D,0,0)</f>
        <v>Bin</v>
      </c>
      <c r="AF687" t="str">
        <f t="shared" si="21"/>
        <v>OLD</v>
      </c>
    </row>
    <row r="688" spans="1:32" x14ac:dyDescent="0.2">
      <c r="A688" t="s">
        <v>1118</v>
      </c>
      <c r="B688" t="s">
        <v>29</v>
      </c>
      <c r="C688">
        <v>1012866532</v>
      </c>
      <c r="D688" t="s">
        <v>730</v>
      </c>
      <c r="E688" t="s">
        <v>31</v>
      </c>
      <c r="F688" s="1">
        <v>0.67291666666666672</v>
      </c>
      <c r="G688" t="s">
        <v>32</v>
      </c>
      <c r="H688" t="s">
        <v>33</v>
      </c>
      <c r="I688" t="s">
        <v>41</v>
      </c>
      <c r="J688" t="s">
        <v>62</v>
      </c>
      <c r="K688">
        <v>240</v>
      </c>
      <c r="L688">
        <v>0</v>
      </c>
      <c r="M688" t="s">
        <v>36</v>
      </c>
      <c r="N688" t="s">
        <v>37</v>
      </c>
      <c r="O688">
        <v>171</v>
      </c>
      <c r="P688">
        <v>14</v>
      </c>
      <c r="Q688">
        <v>8.1871299999999998</v>
      </c>
      <c r="R688">
        <v>0</v>
      </c>
      <c r="S688">
        <v>0.12</v>
      </c>
      <c r="T688">
        <v>0.67900000000000005</v>
      </c>
      <c r="U688">
        <v>8.0000000000000002E-3</v>
      </c>
      <c r="V688">
        <v>0</v>
      </c>
      <c r="W688">
        <v>1</v>
      </c>
      <c r="X688">
        <v>0</v>
      </c>
      <c r="Y688" t="s">
        <v>36</v>
      </c>
      <c r="Z688">
        <v>171</v>
      </c>
      <c r="AA688">
        <v>153</v>
      </c>
      <c r="AB688">
        <v>12</v>
      </c>
      <c r="AC688" t="s">
        <v>423</v>
      </c>
      <c r="AD688" t="str">
        <f t="shared" si="20"/>
        <v>CP</v>
      </c>
      <c r="AE688" t="str">
        <f>_xlfn.XLOOKUP(D688,Mapping!A:A,Mapping!D:D,0,0)</f>
        <v>Trans</v>
      </c>
      <c r="AF688" t="str">
        <f t="shared" si="21"/>
        <v>OLD</v>
      </c>
    </row>
    <row r="689" spans="1:32" x14ac:dyDescent="0.2">
      <c r="A689" t="s">
        <v>1118</v>
      </c>
      <c r="B689" t="s">
        <v>690</v>
      </c>
      <c r="C689">
        <v>1012866542</v>
      </c>
      <c r="D689" t="s">
        <v>425</v>
      </c>
      <c r="E689" t="s">
        <v>31</v>
      </c>
      <c r="F689" s="1">
        <v>0.67291666666666672</v>
      </c>
      <c r="G689" t="s">
        <v>32</v>
      </c>
      <c r="H689" t="s">
        <v>33</v>
      </c>
      <c r="I689" t="s">
        <v>41</v>
      </c>
      <c r="J689" t="s">
        <v>62</v>
      </c>
      <c r="K689">
        <v>240</v>
      </c>
      <c r="L689">
        <v>0</v>
      </c>
      <c r="M689" t="s">
        <v>36</v>
      </c>
      <c r="N689" t="s">
        <v>37</v>
      </c>
      <c r="O689">
        <v>0</v>
      </c>
      <c r="P689">
        <v>0</v>
      </c>
      <c r="Q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 t="s">
        <v>36</v>
      </c>
      <c r="AC689" t="s">
        <v>423</v>
      </c>
      <c r="AD689" t="str">
        <f t="shared" si="20"/>
        <v>CP</v>
      </c>
      <c r="AE689" t="str">
        <f>_xlfn.XLOOKUP(D689,Mapping!A:A,Mapping!D:D,0,0)</f>
        <v>Bin</v>
      </c>
      <c r="AF689" t="str">
        <f t="shared" si="21"/>
        <v>OLD</v>
      </c>
    </row>
    <row r="690" spans="1:32" x14ac:dyDescent="0.2">
      <c r="A690" t="s">
        <v>1118</v>
      </c>
      <c r="B690" t="s">
        <v>29</v>
      </c>
      <c r="C690">
        <v>1012866552</v>
      </c>
      <c r="D690" t="s">
        <v>731</v>
      </c>
      <c r="E690" t="s">
        <v>31</v>
      </c>
      <c r="F690" s="1">
        <v>0.67291666666666672</v>
      </c>
      <c r="G690" t="s">
        <v>32</v>
      </c>
      <c r="H690" t="s">
        <v>33</v>
      </c>
      <c r="I690" t="s">
        <v>41</v>
      </c>
      <c r="J690" t="s">
        <v>62</v>
      </c>
      <c r="K690">
        <v>240</v>
      </c>
      <c r="L690">
        <v>0</v>
      </c>
      <c r="M690" t="s">
        <v>36</v>
      </c>
      <c r="N690" t="s">
        <v>37</v>
      </c>
      <c r="O690">
        <v>164</v>
      </c>
      <c r="P690">
        <v>7</v>
      </c>
      <c r="Q690">
        <v>4.2682900000000004</v>
      </c>
      <c r="R690">
        <v>0</v>
      </c>
      <c r="S690">
        <v>0.1</v>
      </c>
      <c r="T690">
        <v>0.628</v>
      </c>
      <c r="U690">
        <v>1.4999999999999999E-2</v>
      </c>
      <c r="V690">
        <v>0</v>
      </c>
      <c r="W690">
        <v>1</v>
      </c>
      <c r="X690">
        <v>0</v>
      </c>
      <c r="Y690" t="s">
        <v>36</v>
      </c>
      <c r="Z690">
        <v>164</v>
      </c>
      <c r="AA690">
        <v>147</v>
      </c>
      <c r="AB690">
        <v>13</v>
      </c>
      <c r="AC690" t="s">
        <v>423</v>
      </c>
      <c r="AD690" t="str">
        <f t="shared" si="20"/>
        <v>CP</v>
      </c>
      <c r="AE690" t="str">
        <f>_xlfn.XLOOKUP(D690,Mapping!A:A,Mapping!D:D,0,0)</f>
        <v>Trans</v>
      </c>
      <c r="AF690" t="str">
        <f t="shared" si="21"/>
        <v>OLD</v>
      </c>
    </row>
    <row r="691" spans="1:32" x14ac:dyDescent="0.2">
      <c r="A691" t="s">
        <v>1118</v>
      </c>
      <c r="B691" t="s">
        <v>39</v>
      </c>
      <c r="C691">
        <v>1012866562</v>
      </c>
      <c r="D691" t="s">
        <v>424</v>
      </c>
      <c r="E691" t="s">
        <v>31</v>
      </c>
      <c r="F691" s="1">
        <v>0.67291666666666672</v>
      </c>
      <c r="G691" t="s">
        <v>32</v>
      </c>
      <c r="H691" t="s">
        <v>33</v>
      </c>
      <c r="I691" t="s">
        <v>41</v>
      </c>
      <c r="J691" t="s">
        <v>62</v>
      </c>
      <c r="K691">
        <v>240</v>
      </c>
      <c r="L691">
        <v>0</v>
      </c>
      <c r="M691" t="s">
        <v>36</v>
      </c>
      <c r="N691" t="s">
        <v>37</v>
      </c>
      <c r="O691">
        <v>0</v>
      </c>
      <c r="P691">
        <v>0</v>
      </c>
      <c r="Q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 t="s">
        <v>36</v>
      </c>
      <c r="AC691" t="s">
        <v>423</v>
      </c>
      <c r="AD691" t="str">
        <f t="shared" si="20"/>
        <v>CP</v>
      </c>
      <c r="AE691" t="str">
        <f>_xlfn.XLOOKUP(D691,Mapping!A:A,Mapping!D:D,0,0)</f>
        <v>Bin</v>
      </c>
      <c r="AF691" t="str">
        <f t="shared" si="21"/>
        <v>OLD</v>
      </c>
    </row>
    <row r="692" spans="1:32" x14ac:dyDescent="0.2">
      <c r="A692" t="s">
        <v>1118</v>
      </c>
      <c r="B692" t="s">
        <v>39</v>
      </c>
      <c r="C692">
        <v>1012866572</v>
      </c>
      <c r="D692" t="s">
        <v>732</v>
      </c>
      <c r="E692" t="s">
        <v>31</v>
      </c>
      <c r="F692" s="1">
        <v>0.67291666666666672</v>
      </c>
      <c r="G692" t="s">
        <v>32</v>
      </c>
      <c r="H692" t="s">
        <v>33</v>
      </c>
      <c r="I692" t="s">
        <v>41</v>
      </c>
      <c r="J692" t="s">
        <v>62</v>
      </c>
      <c r="K692">
        <v>240</v>
      </c>
      <c r="L692">
        <v>0</v>
      </c>
      <c r="M692" t="s">
        <v>36</v>
      </c>
      <c r="N692" t="s">
        <v>37</v>
      </c>
      <c r="O692">
        <v>0</v>
      </c>
      <c r="P692">
        <v>0</v>
      </c>
      <c r="Q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 t="s">
        <v>36</v>
      </c>
      <c r="AC692" t="s">
        <v>423</v>
      </c>
      <c r="AD692" t="str">
        <f t="shared" si="20"/>
        <v>CP</v>
      </c>
      <c r="AE692" t="str">
        <f>_xlfn.XLOOKUP(D692,Mapping!A:A,Mapping!D:D,0,0)</f>
        <v>Trans</v>
      </c>
      <c r="AF692" t="str">
        <f t="shared" si="21"/>
        <v>OLD</v>
      </c>
    </row>
    <row r="693" spans="1:32" x14ac:dyDescent="0.2">
      <c r="A693" t="s">
        <v>1118</v>
      </c>
      <c r="B693" t="s">
        <v>29</v>
      </c>
      <c r="C693">
        <v>1012866582</v>
      </c>
      <c r="D693" t="s">
        <v>733</v>
      </c>
      <c r="E693" t="s">
        <v>31</v>
      </c>
      <c r="F693" s="1">
        <v>0.67291666666666672</v>
      </c>
      <c r="G693" t="s">
        <v>32</v>
      </c>
      <c r="H693" t="s">
        <v>33</v>
      </c>
      <c r="I693" t="s">
        <v>41</v>
      </c>
      <c r="J693" t="s">
        <v>62</v>
      </c>
      <c r="K693">
        <v>240</v>
      </c>
      <c r="L693">
        <v>0</v>
      </c>
      <c r="M693" t="s">
        <v>36</v>
      </c>
      <c r="N693" t="s">
        <v>37</v>
      </c>
      <c r="O693">
        <v>73</v>
      </c>
      <c r="P693">
        <v>7</v>
      </c>
      <c r="Q693">
        <v>9.5890400000000007</v>
      </c>
      <c r="R693">
        <v>0</v>
      </c>
      <c r="S693">
        <v>0.03</v>
      </c>
      <c r="T693">
        <v>0.39300000000000002</v>
      </c>
      <c r="U693">
        <v>4.0000000000000001E-3</v>
      </c>
      <c r="V693">
        <v>0</v>
      </c>
      <c r="W693">
        <v>1</v>
      </c>
      <c r="X693">
        <v>0</v>
      </c>
      <c r="Y693" t="s">
        <v>36</v>
      </c>
      <c r="Z693">
        <v>73</v>
      </c>
      <c r="AA693">
        <v>67</v>
      </c>
      <c r="AB693">
        <v>4</v>
      </c>
      <c r="AC693" t="s">
        <v>423</v>
      </c>
      <c r="AD693" t="str">
        <f t="shared" si="20"/>
        <v>CP</v>
      </c>
      <c r="AE693" t="str">
        <f>_xlfn.XLOOKUP(D693,Mapping!A:A,Mapping!D:D,0,0)</f>
        <v>Trans</v>
      </c>
      <c r="AF693" t="str">
        <f t="shared" si="21"/>
        <v>OLD</v>
      </c>
    </row>
    <row r="694" spans="1:32" x14ac:dyDescent="0.2">
      <c r="A694" t="s">
        <v>1118</v>
      </c>
      <c r="B694" t="s">
        <v>29</v>
      </c>
      <c r="C694">
        <v>1012866592</v>
      </c>
      <c r="D694" t="s">
        <v>734</v>
      </c>
      <c r="E694" t="s">
        <v>31</v>
      </c>
      <c r="F694" s="1">
        <v>0.67291666666666672</v>
      </c>
      <c r="G694" t="s">
        <v>32</v>
      </c>
      <c r="H694" t="s">
        <v>33</v>
      </c>
      <c r="I694" t="s">
        <v>41</v>
      </c>
      <c r="J694" t="s">
        <v>62</v>
      </c>
      <c r="K694">
        <v>240</v>
      </c>
      <c r="L694">
        <v>0</v>
      </c>
      <c r="M694" t="s">
        <v>36</v>
      </c>
      <c r="N694" t="s">
        <v>37</v>
      </c>
      <c r="O694">
        <v>31</v>
      </c>
      <c r="P694">
        <v>1</v>
      </c>
      <c r="Q694">
        <v>3.2258100000000001</v>
      </c>
      <c r="R694">
        <v>0</v>
      </c>
      <c r="S694">
        <v>0.01</v>
      </c>
      <c r="T694">
        <v>0.443</v>
      </c>
      <c r="U694">
        <v>1.4E-2</v>
      </c>
      <c r="V694">
        <v>0</v>
      </c>
      <c r="W694">
        <v>1</v>
      </c>
      <c r="X694">
        <v>0</v>
      </c>
      <c r="Y694" t="s">
        <v>36</v>
      </c>
      <c r="Z694">
        <v>31</v>
      </c>
      <c r="AA694">
        <v>28</v>
      </c>
      <c r="AB694">
        <v>1</v>
      </c>
      <c r="AC694" t="s">
        <v>423</v>
      </c>
      <c r="AD694" t="str">
        <f t="shared" si="20"/>
        <v>CP</v>
      </c>
      <c r="AE694" t="str">
        <f>_xlfn.XLOOKUP(D694,Mapping!A:A,Mapping!D:D,0,0)</f>
        <v>Trans</v>
      </c>
      <c r="AF694" t="str">
        <f t="shared" si="21"/>
        <v>OLD</v>
      </c>
    </row>
    <row r="695" spans="1:32" x14ac:dyDescent="0.2">
      <c r="A695" t="s">
        <v>1118</v>
      </c>
      <c r="B695" t="s">
        <v>29</v>
      </c>
      <c r="C695">
        <v>1012866602</v>
      </c>
      <c r="D695" t="s">
        <v>735</v>
      </c>
      <c r="E695" t="s">
        <v>31</v>
      </c>
      <c r="F695" s="1">
        <v>0.67291666666666672</v>
      </c>
      <c r="G695" t="s">
        <v>32</v>
      </c>
      <c r="H695" t="s">
        <v>33</v>
      </c>
      <c r="I695" t="s">
        <v>34</v>
      </c>
      <c r="J695" t="s">
        <v>84</v>
      </c>
      <c r="K695">
        <v>416</v>
      </c>
      <c r="L695">
        <v>0</v>
      </c>
      <c r="M695" t="s">
        <v>36</v>
      </c>
      <c r="N695" t="s">
        <v>37</v>
      </c>
      <c r="O695">
        <v>339</v>
      </c>
      <c r="P695">
        <v>15</v>
      </c>
      <c r="Q695">
        <v>4.4247800000000002</v>
      </c>
      <c r="R695">
        <v>0</v>
      </c>
      <c r="S695">
        <v>0.35</v>
      </c>
      <c r="T695">
        <v>1.0189999999999999</v>
      </c>
      <c r="U695">
        <v>2.3E-2</v>
      </c>
      <c r="V695">
        <v>0</v>
      </c>
      <c r="W695">
        <v>1</v>
      </c>
      <c r="X695">
        <v>0</v>
      </c>
      <c r="Y695" t="s">
        <v>36</v>
      </c>
      <c r="Z695">
        <v>339</v>
      </c>
      <c r="AA695">
        <v>239</v>
      </c>
      <c r="AB695">
        <v>49</v>
      </c>
      <c r="AC695" t="s">
        <v>423</v>
      </c>
      <c r="AD695" t="str">
        <f t="shared" si="20"/>
        <v>CP</v>
      </c>
      <c r="AE695" t="str">
        <f>_xlfn.XLOOKUP(D695,Mapping!A:A,Mapping!D:D,0,0)</f>
        <v>Trans</v>
      </c>
      <c r="AF695" t="str">
        <f t="shared" si="21"/>
        <v>OLD</v>
      </c>
    </row>
    <row r="696" spans="1:32" x14ac:dyDescent="0.2">
      <c r="A696" t="s">
        <v>1118</v>
      </c>
      <c r="B696" t="s">
        <v>39</v>
      </c>
      <c r="C696">
        <v>1012866612</v>
      </c>
      <c r="D696" t="s">
        <v>736</v>
      </c>
      <c r="E696" t="s">
        <v>31</v>
      </c>
      <c r="F696" s="1">
        <v>0.67291666666666672</v>
      </c>
      <c r="G696" t="s">
        <v>32</v>
      </c>
      <c r="H696" t="s">
        <v>33</v>
      </c>
      <c r="I696" t="s">
        <v>737</v>
      </c>
      <c r="J696" t="s">
        <v>84</v>
      </c>
      <c r="K696">
        <v>168</v>
      </c>
      <c r="L696">
        <v>0</v>
      </c>
      <c r="M696" t="s">
        <v>63</v>
      </c>
      <c r="N696">
        <v>250</v>
      </c>
      <c r="O696">
        <v>0</v>
      </c>
      <c r="P696">
        <v>0</v>
      </c>
      <c r="Q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 t="s">
        <v>63</v>
      </c>
      <c r="AC696" t="s">
        <v>303</v>
      </c>
      <c r="AD696" t="str">
        <f t="shared" si="20"/>
        <v>CP</v>
      </c>
      <c r="AE696" t="str">
        <f>_xlfn.XLOOKUP(D696,Mapping!A:A,Mapping!D:D,0,0)</f>
        <v>Tests</v>
      </c>
      <c r="AF696" t="str">
        <f t="shared" si="21"/>
        <v>OLD</v>
      </c>
    </row>
    <row r="697" spans="1:32" x14ac:dyDescent="0.2">
      <c r="A697" t="s">
        <v>1118</v>
      </c>
      <c r="B697" t="s">
        <v>29</v>
      </c>
      <c r="C697">
        <v>1012866632</v>
      </c>
      <c r="D697" t="s">
        <v>738</v>
      </c>
      <c r="E697" t="s">
        <v>31</v>
      </c>
      <c r="F697" s="1">
        <v>0.67291666666666672</v>
      </c>
      <c r="G697" t="s">
        <v>32</v>
      </c>
      <c r="H697" t="s">
        <v>33</v>
      </c>
      <c r="I697" t="s">
        <v>737</v>
      </c>
      <c r="J697" t="s">
        <v>84</v>
      </c>
      <c r="K697">
        <v>168</v>
      </c>
      <c r="L697">
        <v>0</v>
      </c>
      <c r="M697" t="s">
        <v>63</v>
      </c>
      <c r="N697">
        <v>250</v>
      </c>
      <c r="O697">
        <v>1016</v>
      </c>
      <c r="P697">
        <v>42</v>
      </c>
      <c r="Q697">
        <v>4.1338600000000003</v>
      </c>
      <c r="R697">
        <v>0</v>
      </c>
      <c r="S697">
        <v>2.29</v>
      </c>
      <c r="T697">
        <v>2.2549999999999999</v>
      </c>
      <c r="U697">
        <v>5.5E-2</v>
      </c>
      <c r="V697">
        <v>0</v>
      </c>
      <c r="W697">
        <v>1</v>
      </c>
      <c r="X697">
        <v>0</v>
      </c>
      <c r="Y697" t="s">
        <v>63</v>
      </c>
      <c r="Z697">
        <v>1016</v>
      </c>
      <c r="AA697">
        <v>866</v>
      </c>
      <c r="AB697">
        <v>116</v>
      </c>
      <c r="AC697" t="s">
        <v>303</v>
      </c>
      <c r="AD697" t="str">
        <f t="shared" si="20"/>
        <v>CP</v>
      </c>
      <c r="AE697" t="str">
        <f>_xlfn.XLOOKUP(D697,Mapping!A:A,Mapping!D:D,0,0)</f>
        <v>Keyword - Preroll</v>
      </c>
      <c r="AF697" t="str">
        <f t="shared" si="21"/>
        <v>OLD</v>
      </c>
    </row>
    <row r="698" spans="1:32" x14ac:dyDescent="0.2">
      <c r="A698" t="s">
        <v>1118</v>
      </c>
      <c r="B698" t="s">
        <v>29</v>
      </c>
      <c r="C698">
        <v>1012866642</v>
      </c>
      <c r="D698" t="s">
        <v>739</v>
      </c>
      <c r="E698" t="s">
        <v>31</v>
      </c>
      <c r="F698" s="1">
        <v>0.67291666666666672</v>
      </c>
      <c r="G698" t="s">
        <v>32</v>
      </c>
      <c r="H698" t="s">
        <v>33</v>
      </c>
      <c r="I698" t="s">
        <v>737</v>
      </c>
      <c r="J698" t="s">
        <v>84</v>
      </c>
      <c r="K698">
        <v>168</v>
      </c>
      <c r="L698">
        <v>0</v>
      </c>
      <c r="M698" t="s">
        <v>36</v>
      </c>
      <c r="N698" t="s">
        <v>37</v>
      </c>
      <c r="O698">
        <v>96155</v>
      </c>
      <c r="P698">
        <v>4685</v>
      </c>
      <c r="Q698">
        <v>4.8723400000000003</v>
      </c>
      <c r="R698">
        <v>1</v>
      </c>
      <c r="S698">
        <v>217.82</v>
      </c>
      <c r="T698">
        <v>2.2650000000000001</v>
      </c>
      <c r="U698">
        <v>4.5999999999999999E-2</v>
      </c>
      <c r="V698">
        <v>217.822</v>
      </c>
      <c r="W698">
        <v>1</v>
      </c>
      <c r="X698">
        <v>0</v>
      </c>
      <c r="Y698" t="s">
        <v>63</v>
      </c>
      <c r="Z698">
        <v>96121</v>
      </c>
      <c r="AA698">
        <v>85142</v>
      </c>
      <c r="AB698">
        <v>7586</v>
      </c>
      <c r="AC698" t="s">
        <v>303</v>
      </c>
      <c r="AD698" t="str">
        <f t="shared" si="20"/>
        <v>CP</v>
      </c>
      <c r="AE698" t="str">
        <f>_xlfn.XLOOKUP(D698,Mapping!A:A,Mapping!D:D,0,0)</f>
        <v>Keyword - Preroll</v>
      </c>
      <c r="AF698" t="str">
        <f t="shared" si="21"/>
        <v>OLD</v>
      </c>
    </row>
    <row r="699" spans="1:32" x14ac:dyDescent="0.2">
      <c r="A699" t="s">
        <v>1118</v>
      </c>
      <c r="B699" t="s">
        <v>39</v>
      </c>
      <c r="C699">
        <v>1012866652</v>
      </c>
      <c r="D699" t="s">
        <v>740</v>
      </c>
      <c r="E699" t="s">
        <v>31</v>
      </c>
      <c r="F699" s="1">
        <v>0.67291666666666672</v>
      </c>
      <c r="G699" t="s">
        <v>32</v>
      </c>
      <c r="H699" t="s">
        <v>33</v>
      </c>
      <c r="I699" t="s">
        <v>737</v>
      </c>
      <c r="J699" t="s">
        <v>84</v>
      </c>
      <c r="K699">
        <v>168</v>
      </c>
      <c r="L699">
        <v>0</v>
      </c>
      <c r="M699" t="s">
        <v>36</v>
      </c>
      <c r="N699" t="s">
        <v>37</v>
      </c>
      <c r="O699">
        <v>0</v>
      </c>
      <c r="P699">
        <v>0</v>
      </c>
      <c r="Q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 t="s">
        <v>63</v>
      </c>
      <c r="AC699" t="s">
        <v>303</v>
      </c>
      <c r="AD699" t="str">
        <f t="shared" si="20"/>
        <v>CP</v>
      </c>
      <c r="AE699" t="str">
        <f>_xlfn.XLOOKUP(D699,Mapping!A:A,Mapping!D:D,0,0)</f>
        <v>Tests</v>
      </c>
      <c r="AF699" t="str">
        <f t="shared" si="21"/>
        <v>OLD</v>
      </c>
    </row>
    <row r="700" spans="1:32" x14ac:dyDescent="0.2">
      <c r="A700" t="s">
        <v>1118</v>
      </c>
      <c r="B700" t="s">
        <v>39</v>
      </c>
      <c r="C700">
        <v>1012866662</v>
      </c>
      <c r="D700" t="s">
        <v>741</v>
      </c>
      <c r="E700" t="s">
        <v>31</v>
      </c>
      <c r="F700" s="1">
        <v>0.67291666666666672</v>
      </c>
      <c r="G700" t="s">
        <v>32</v>
      </c>
      <c r="H700" t="s">
        <v>33</v>
      </c>
      <c r="I700" t="s">
        <v>737</v>
      </c>
      <c r="J700" t="s">
        <v>84</v>
      </c>
      <c r="K700">
        <v>168</v>
      </c>
      <c r="L700">
        <v>0</v>
      </c>
      <c r="M700" t="s">
        <v>63</v>
      </c>
      <c r="N700">
        <v>250</v>
      </c>
      <c r="O700">
        <v>0</v>
      </c>
      <c r="P700">
        <v>0</v>
      </c>
      <c r="Q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 t="s">
        <v>63</v>
      </c>
      <c r="AC700" t="s">
        <v>303</v>
      </c>
      <c r="AD700" t="str">
        <f t="shared" si="20"/>
        <v>CP</v>
      </c>
      <c r="AE700" t="str">
        <f>_xlfn.XLOOKUP(D700,Mapping!A:A,Mapping!D:D,0,0)</f>
        <v>Tests</v>
      </c>
      <c r="AF700" t="str">
        <f t="shared" si="21"/>
        <v>OLD</v>
      </c>
    </row>
    <row r="701" spans="1:32" x14ac:dyDescent="0.2">
      <c r="A701" t="s">
        <v>1118</v>
      </c>
      <c r="B701" t="s">
        <v>29</v>
      </c>
      <c r="C701">
        <v>1012866672</v>
      </c>
      <c r="D701" t="s">
        <v>742</v>
      </c>
      <c r="E701" t="s">
        <v>31</v>
      </c>
      <c r="F701" s="1">
        <v>0.67291666666666672</v>
      </c>
      <c r="G701" t="s">
        <v>32</v>
      </c>
      <c r="H701" t="s">
        <v>33</v>
      </c>
      <c r="I701" t="s">
        <v>737</v>
      </c>
      <c r="J701" t="s">
        <v>84</v>
      </c>
      <c r="K701">
        <v>168</v>
      </c>
      <c r="L701">
        <v>0</v>
      </c>
      <c r="M701" t="s">
        <v>63</v>
      </c>
      <c r="N701">
        <v>250</v>
      </c>
      <c r="O701">
        <v>634</v>
      </c>
      <c r="P701">
        <v>22</v>
      </c>
      <c r="Q701">
        <v>3.4700299999999999</v>
      </c>
      <c r="R701">
        <v>0</v>
      </c>
      <c r="S701">
        <v>1.44</v>
      </c>
      <c r="T701">
        <v>2.2709999999999999</v>
      </c>
      <c r="U701">
        <v>6.5000000000000002E-2</v>
      </c>
      <c r="V701">
        <v>0</v>
      </c>
      <c r="W701">
        <v>1</v>
      </c>
      <c r="X701">
        <v>0</v>
      </c>
      <c r="Y701" t="s">
        <v>63</v>
      </c>
      <c r="Z701">
        <v>634</v>
      </c>
      <c r="AA701">
        <v>575</v>
      </c>
      <c r="AB701">
        <v>40</v>
      </c>
      <c r="AC701" t="s">
        <v>303</v>
      </c>
      <c r="AD701" t="str">
        <f t="shared" si="20"/>
        <v>CP</v>
      </c>
      <c r="AE701" t="str">
        <f>_xlfn.XLOOKUP(D701,Mapping!A:A,Mapping!D:D,0,0)</f>
        <v>Keyword - Preroll</v>
      </c>
      <c r="AF701" t="str">
        <f t="shared" si="21"/>
        <v>OLD</v>
      </c>
    </row>
    <row r="702" spans="1:32" x14ac:dyDescent="0.2">
      <c r="A702" t="s">
        <v>1118</v>
      </c>
      <c r="B702" t="s">
        <v>39</v>
      </c>
      <c r="C702">
        <v>1012867202</v>
      </c>
      <c r="D702" t="s">
        <v>743</v>
      </c>
      <c r="E702" t="s">
        <v>31</v>
      </c>
      <c r="F702" s="1">
        <v>0.67291666666666672</v>
      </c>
      <c r="G702" t="s">
        <v>32</v>
      </c>
      <c r="H702" t="s">
        <v>33</v>
      </c>
      <c r="I702" t="s">
        <v>737</v>
      </c>
      <c r="J702" t="s">
        <v>35</v>
      </c>
      <c r="K702">
        <v>168</v>
      </c>
      <c r="L702">
        <v>0</v>
      </c>
      <c r="M702" t="s">
        <v>63</v>
      </c>
      <c r="N702">
        <v>250</v>
      </c>
      <c r="O702">
        <v>0</v>
      </c>
      <c r="P702">
        <v>0</v>
      </c>
      <c r="Q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 t="s">
        <v>63</v>
      </c>
      <c r="AC702" t="s">
        <v>303</v>
      </c>
      <c r="AD702" t="str">
        <f t="shared" si="20"/>
        <v>CP</v>
      </c>
      <c r="AE702" t="str">
        <f>_xlfn.XLOOKUP(D702,Mapping!A:A,Mapping!D:D,0,0)</f>
        <v>Tests</v>
      </c>
      <c r="AF702" t="str">
        <f t="shared" si="21"/>
        <v>OLD</v>
      </c>
    </row>
    <row r="703" spans="1:32" x14ac:dyDescent="0.2">
      <c r="A703" t="s">
        <v>1118</v>
      </c>
      <c r="B703" t="s">
        <v>39</v>
      </c>
      <c r="C703">
        <v>1012867212</v>
      </c>
      <c r="D703" t="s">
        <v>744</v>
      </c>
      <c r="E703" t="s">
        <v>31</v>
      </c>
      <c r="F703" s="1">
        <v>0.67291666666666672</v>
      </c>
      <c r="G703" t="s">
        <v>32</v>
      </c>
      <c r="H703" t="s">
        <v>33</v>
      </c>
      <c r="I703" t="s">
        <v>737</v>
      </c>
      <c r="J703" t="s">
        <v>35</v>
      </c>
      <c r="K703">
        <v>168</v>
      </c>
      <c r="L703">
        <v>0</v>
      </c>
      <c r="M703" t="s">
        <v>63</v>
      </c>
      <c r="N703">
        <v>250</v>
      </c>
      <c r="O703">
        <v>0</v>
      </c>
      <c r="P703">
        <v>0</v>
      </c>
      <c r="Q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 t="s">
        <v>63</v>
      </c>
      <c r="AC703" t="s">
        <v>43</v>
      </c>
      <c r="AD703" t="str">
        <f t="shared" si="20"/>
        <v>CP</v>
      </c>
      <c r="AE703" t="str">
        <f>_xlfn.XLOOKUP(D703,Mapping!A:A,Mapping!D:D,0,0)</f>
        <v>Bin</v>
      </c>
      <c r="AF703" t="str">
        <f t="shared" si="21"/>
        <v>OLD</v>
      </c>
    </row>
    <row r="704" spans="1:32" x14ac:dyDescent="0.2">
      <c r="A704" t="s">
        <v>1118</v>
      </c>
      <c r="B704" t="s">
        <v>39</v>
      </c>
      <c r="C704">
        <v>1012867222</v>
      </c>
      <c r="D704" t="s">
        <v>745</v>
      </c>
      <c r="E704" t="s">
        <v>31</v>
      </c>
      <c r="F704" s="1">
        <v>0.67291666666666672</v>
      </c>
      <c r="G704" t="s">
        <v>32</v>
      </c>
      <c r="H704" t="s">
        <v>33</v>
      </c>
      <c r="I704" t="s">
        <v>737</v>
      </c>
      <c r="J704" t="s">
        <v>35</v>
      </c>
      <c r="K704">
        <v>168</v>
      </c>
      <c r="L704">
        <v>0</v>
      </c>
      <c r="M704" t="s">
        <v>63</v>
      </c>
      <c r="N704">
        <v>250</v>
      </c>
      <c r="O704">
        <v>0</v>
      </c>
      <c r="P704">
        <v>0</v>
      </c>
      <c r="Q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 t="s">
        <v>63</v>
      </c>
      <c r="AC704" t="s">
        <v>303</v>
      </c>
      <c r="AD704" t="str">
        <f t="shared" si="20"/>
        <v>CP</v>
      </c>
      <c r="AE704" t="str">
        <f>_xlfn.XLOOKUP(D704,Mapping!A:A,Mapping!D:D,0,0)</f>
        <v>Tests</v>
      </c>
      <c r="AF704" t="str">
        <f t="shared" si="21"/>
        <v>OLD</v>
      </c>
    </row>
    <row r="705" spans="1:32" x14ac:dyDescent="0.2">
      <c r="A705" t="s">
        <v>1118</v>
      </c>
      <c r="B705" t="s">
        <v>39</v>
      </c>
      <c r="C705">
        <v>1012867232</v>
      </c>
      <c r="D705" t="s">
        <v>746</v>
      </c>
      <c r="E705" t="s">
        <v>31</v>
      </c>
      <c r="F705" s="1">
        <v>0.67291666666666672</v>
      </c>
      <c r="G705" t="s">
        <v>32</v>
      </c>
      <c r="H705" t="s">
        <v>33</v>
      </c>
      <c r="I705" t="s">
        <v>737</v>
      </c>
      <c r="J705" t="s">
        <v>35</v>
      </c>
      <c r="K705">
        <v>168</v>
      </c>
      <c r="L705">
        <v>0</v>
      </c>
      <c r="M705" t="s">
        <v>63</v>
      </c>
      <c r="N705">
        <v>250</v>
      </c>
      <c r="O705">
        <v>0</v>
      </c>
      <c r="P705">
        <v>0</v>
      </c>
      <c r="Q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 t="s">
        <v>63</v>
      </c>
      <c r="AC705" t="s">
        <v>43</v>
      </c>
      <c r="AD705" t="str">
        <f t="shared" si="20"/>
        <v>CP</v>
      </c>
      <c r="AE705" t="str">
        <f>_xlfn.XLOOKUP(D705,Mapping!A:A,Mapping!D:D,0,0)</f>
        <v>Bin</v>
      </c>
      <c r="AF705" t="str">
        <f t="shared" si="21"/>
        <v>OLD</v>
      </c>
    </row>
    <row r="706" spans="1:32" x14ac:dyDescent="0.2">
      <c r="A706" t="s">
        <v>1118</v>
      </c>
      <c r="B706" t="s">
        <v>39</v>
      </c>
      <c r="C706">
        <v>1012867242</v>
      </c>
      <c r="D706" t="s">
        <v>747</v>
      </c>
      <c r="E706" t="s">
        <v>31</v>
      </c>
      <c r="F706" s="1">
        <v>0.67291666666666672</v>
      </c>
      <c r="G706" t="s">
        <v>32</v>
      </c>
      <c r="H706" t="s">
        <v>33</v>
      </c>
      <c r="I706" t="s">
        <v>737</v>
      </c>
      <c r="J706" t="s">
        <v>35</v>
      </c>
      <c r="K706">
        <v>168</v>
      </c>
      <c r="L706">
        <v>0</v>
      </c>
      <c r="M706" t="s">
        <v>63</v>
      </c>
      <c r="N706">
        <v>250</v>
      </c>
      <c r="O706">
        <v>0</v>
      </c>
      <c r="P706">
        <v>0</v>
      </c>
      <c r="Q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 t="s">
        <v>63</v>
      </c>
      <c r="AC706" t="s">
        <v>303</v>
      </c>
      <c r="AD706" t="str">
        <f t="shared" si="20"/>
        <v>CP</v>
      </c>
      <c r="AE706" t="str">
        <f>_xlfn.XLOOKUP(D706,Mapping!A:A,Mapping!D:D,0,0)</f>
        <v>Tests</v>
      </c>
      <c r="AF706" t="str">
        <f t="shared" si="21"/>
        <v>OLD</v>
      </c>
    </row>
    <row r="707" spans="1:32" x14ac:dyDescent="0.2">
      <c r="A707" t="s">
        <v>1118</v>
      </c>
      <c r="B707" t="s">
        <v>39</v>
      </c>
      <c r="C707">
        <v>1012867252</v>
      </c>
      <c r="D707" t="s">
        <v>748</v>
      </c>
      <c r="E707" t="s">
        <v>31</v>
      </c>
      <c r="F707" s="1">
        <v>0.67291666666666672</v>
      </c>
      <c r="G707" t="s">
        <v>32</v>
      </c>
      <c r="H707" t="s">
        <v>33</v>
      </c>
      <c r="I707" t="s">
        <v>737</v>
      </c>
      <c r="J707" t="s">
        <v>35</v>
      </c>
      <c r="K707">
        <v>168</v>
      </c>
      <c r="L707">
        <v>0</v>
      </c>
      <c r="M707" t="s">
        <v>63</v>
      </c>
      <c r="N707">
        <v>250</v>
      </c>
      <c r="O707">
        <v>0</v>
      </c>
      <c r="P707">
        <v>0</v>
      </c>
      <c r="Q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 t="s">
        <v>63</v>
      </c>
      <c r="AC707" t="s">
        <v>43</v>
      </c>
      <c r="AD707" t="str">
        <f t="shared" ref="AD707:AD770" si="22">LEFT(D707,2)</f>
        <v>CP</v>
      </c>
      <c r="AE707" t="str">
        <f>_xlfn.XLOOKUP(D707,Mapping!A:A,Mapping!D:D,0,0)</f>
        <v>Bin</v>
      </c>
      <c r="AF707" t="str">
        <f t="shared" ref="AF707:AF770" si="23">IFERROR(IF(SEARCH("_TJ",D707)&gt;0,"TJ",NA()),IFERROR(IF(SEARCH("_JB",D707)&gt;0,"JB",NA()),"OLD"))</f>
        <v>OLD</v>
      </c>
    </row>
    <row r="708" spans="1:32" x14ac:dyDescent="0.2">
      <c r="A708" t="s">
        <v>1118</v>
      </c>
      <c r="B708" t="s">
        <v>39</v>
      </c>
      <c r="C708">
        <v>1012867262</v>
      </c>
      <c r="D708" t="s">
        <v>749</v>
      </c>
      <c r="E708" t="s">
        <v>31</v>
      </c>
      <c r="F708" s="1">
        <v>0.67291666666666672</v>
      </c>
      <c r="G708" t="s">
        <v>32</v>
      </c>
      <c r="H708" t="s">
        <v>33</v>
      </c>
      <c r="I708" t="s">
        <v>737</v>
      </c>
      <c r="J708" t="s">
        <v>35</v>
      </c>
      <c r="K708">
        <v>168</v>
      </c>
      <c r="L708">
        <v>0</v>
      </c>
      <c r="M708" t="s">
        <v>63</v>
      </c>
      <c r="N708">
        <v>250</v>
      </c>
      <c r="O708">
        <v>0</v>
      </c>
      <c r="P708">
        <v>0</v>
      </c>
      <c r="Q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 t="s">
        <v>63</v>
      </c>
      <c r="AC708" t="s">
        <v>303</v>
      </c>
      <c r="AD708" t="str">
        <f t="shared" si="22"/>
        <v>CP</v>
      </c>
      <c r="AE708" t="str">
        <f>_xlfn.XLOOKUP(D708,Mapping!A:A,Mapping!D:D,0,0)</f>
        <v>Tests</v>
      </c>
      <c r="AF708" t="str">
        <f t="shared" si="23"/>
        <v>OLD</v>
      </c>
    </row>
    <row r="709" spans="1:32" x14ac:dyDescent="0.2">
      <c r="A709" t="s">
        <v>1118</v>
      </c>
      <c r="B709" t="s">
        <v>39</v>
      </c>
      <c r="C709">
        <v>1012867272</v>
      </c>
      <c r="D709" t="s">
        <v>750</v>
      </c>
      <c r="E709" t="s">
        <v>31</v>
      </c>
      <c r="F709" s="1">
        <v>0.67291666666666672</v>
      </c>
      <c r="G709" t="s">
        <v>32</v>
      </c>
      <c r="H709" t="s">
        <v>33</v>
      </c>
      <c r="I709" t="s">
        <v>737</v>
      </c>
      <c r="J709" t="s">
        <v>35</v>
      </c>
      <c r="K709">
        <v>168</v>
      </c>
      <c r="L709">
        <v>0</v>
      </c>
      <c r="M709" t="s">
        <v>63</v>
      </c>
      <c r="N709">
        <v>250</v>
      </c>
      <c r="O709">
        <v>0</v>
      </c>
      <c r="P709">
        <v>0</v>
      </c>
      <c r="Q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 t="s">
        <v>63</v>
      </c>
      <c r="AC709" t="s">
        <v>303</v>
      </c>
      <c r="AD709" t="str">
        <f t="shared" si="22"/>
        <v>CP</v>
      </c>
      <c r="AE709" t="str">
        <f>_xlfn.XLOOKUP(D709,Mapping!A:A,Mapping!D:D,0,0)</f>
        <v>Tests</v>
      </c>
      <c r="AF709" t="str">
        <f t="shared" si="23"/>
        <v>OLD</v>
      </c>
    </row>
    <row r="710" spans="1:32" x14ac:dyDescent="0.2">
      <c r="A710" t="s">
        <v>1118</v>
      </c>
      <c r="B710" t="s">
        <v>29</v>
      </c>
      <c r="C710">
        <v>1012869782</v>
      </c>
      <c r="D710" t="s">
        <v>751</v>
      </c>
      <c r="E710" t="s">
        <v>31</v>
      </c>
      <c r="F710" s="1">
        <v>0.67291666666666672</v>
      </c>
      <c r="G710" t="s">
        <v>32</v>
      </c>
      <c r="H710" t="s">
        <v>33</v>
      </c>
      <c r="I710" t="s">
        <v>34</v>
      </c>
      <c r="J710" t="s">
        <v>84</v>
      </c>
      <c r="K710">
        <v>104</v>
      </c>
      <c r="L710">
        <v>0</v>
      </c>
      <c r="M710" t="s">
        <v>36</v>
      </c>
      <c r="N710" t="s">
        <v>37</v>
      </c>
      <c r="O710">
        <v>2783</v>
      </c>
      <c r="P710">
        <v>154</v>
      </c>
      <c r="Q710">
        <v>5.5335999999999999</v>
      </c>
      <c r="R710">
        <v>0</v>
      </c>
      <c r="S710">
        <v>6.92</v>
      </c>
      <c r="T710">
        <v>2.4849999999999999</v>
      </c>
      <c r="U710">
        <v>4.4999999999999998E-2</v>
      </c>
      <c r="V710">
        <v>0</v>
      </c>
      <c r="W710">
        <v>1</v>
      </c>
      <c r="X710">
        <v>0</v>
      </c>
      <c r="Y710" t="s">
        <v>36</v>
      </c>
      <c r="Z710">
        <v>2783</v>
      </c>
      <c r="AA710">
        <v>2181</v>
      </c>
      <c r="AB710">
        <v>326</v>
      </c>
      <c r="AC710" t="s">
        <v>96</v>
      </c>
      <c r="AD710" t="str">
        <f t="shared" si="22"/>
        <v>CP</v>
      </c>
      <c r="AE710" t="str">
        <f>_xlfn.XLOOKUP(D710,Mapping!A:A,Mapping!D:D,0,0)</f>
        <v>Keyword - Preroll</v>
      </c>
      <c r="AF710" t="str">
        <f t="shared" si="23"/>
        <v>OLD</v>
      </c>
    </row>
    <row r="711" spans="1:32" x14ac:dyDescent="0.2">
      <c r="A711" t="s">
        <v>1118</v>
      </c>
      <c r="B711" t="s">
        <v>29</v>
      </c>
      <c r="C711">
        <v>1012869792</v>
      </c>
      <c r="D711" t="s">
        <v>97</v>
      </c>
      <c r="E711" t="s">
        <v>31</v>
      </c>
      <c r="F711" s="1">
        <v>0.67291666666666672</v>
      </c>
      <c r="G711" t="s">
        <v>32</v>
      </c>
      <c r="H711" t="s">
        <v>33</v>
      </c>
      <c r="I711" t="s">
        <v>34</v>
      </c>
      <c r="J711" t="s">
        <v>84</v>
      </c>
      <c r="K711">
        <v>104</v>
      </c>
      <c r="L711">
        <v>0</v>
      </c>
      <c r="M711" t="s">
        <v>36</v>
      </c>
      <c r="N711" t="s">
        <v>37</v>
      </c>
      <c r="O711">
        <v>1170</v>
      </c>
      <c r="P711">
        <v>56</v>
      </c>
      <c r="Q711">
        <v>4.7863199999999999</v>
      </c>
      <c r="R711">
        <v>0</v>
      </c>
      <c r="S711">
        <v>3.01</v>
      </c>
      <c r="T711">
        <v>2.577</v>
      </c>
      <c r="U711">
        <v>5.3999999999999999E-2</v>
      </c>
      <c r="V711">
        <v>0</v>
      </c>
      <c r="W711">
        <v>1</v>
      </c>
      <c r="X711">
        <v>0</v>
      </c>
      <c r="Y711" t="s">
        <v>36</v>
      </c>
      <c r="Z711">
        <v>1169</v>
      </c>
      <c r="AA711">
        <v>816</v>
      </c>
      <c r="AB711">
        <v>142</v>
      </c>
      <c r="AC711" t="s">
        <v>96</v>
      </c>
      <c r="AD711" t="str">
        <f t="shared" si="22"/>
        <v>CP</v>
      </c>
      <c r="AE711" t="str">
        <f>_xlfn.XLOOKUP(D711,Mapping!A:A,Mapping!D:D,0,0)</f>
        <v>Keyword - Preroll</v>
      </c>
      <c r="AF711" t="str">
        <f t="shared" si="23"/>
        <v>OLD</v>
      </c>
    </row>
    <row r="712" spans="1:32" x14ac:dyDescent="0.2">
      <c r="A712" t="s">
        <v>1118</v>
      </c>
      <c r="B712" t="s">
        <v>29</v>
      </c>
      <c r="C712">
        <v>1012869802</v>
      </c>
      <c r="D712" t="s">
        <v>103</v>
      </c>
      <c r="E712" t="s">
        <v>31</v>
      </c>
      <c r="F712" s="1">
        <v>0.67291666666666672</v>
      </c>
      <c r="G712" t="s">
        <v>32</v>
      </c>
      <c r="H712" t="s">
        <v>33</v>
      </c>
      <c r="I712" t="s">
        <v>34</v>
      </c>
      <c r="J712" t="s">
        <v>84</v>
      </c>
      <c r="K712">
        <v>104</v>
      </c>
      <c r="L712">
        <v>0</v>
      </c>
      <c r="M712" t="s">
        <v>36</v>
      </c>
      <c r="N712" t="s">
        <v>37</v>
      </c>
      <c r="O712">
        <v>114</v>
      </c>
      <c r="P712">
        <v>5</v>
      </c>
      <c r="Q712">
        <v>4.3859599999999999</v>
      </c>
      <c r="R712">
        <v>0</v>
      </c>
      <c r="S712">
        <v>0.31</v>
      </c>
      <c r="T712">
        <v>2.7610000000000001</v>
      </c>
      <c r="U712">
        <v>6.3E-2</v>
      </c>
      <c r="V712">
        <v>0</v>
      </c>
      <c r="W712">
        <v>1</v>
      </c>
      <c r="X712">
        <v>0</v>
      </c>
      <c r="Y712" t="s">
        <v>36</v>
      </c>
      <c r="Z712">
        <v>114</v>
      </c>
      <c r="AA712">
        <v>79</v>
      </c>
      <c r="AB712">
        <v>11</v>
      </c>
      <c r="AC712" t="s">
        <v>96</v>
      </c>
      <c r="AD712" t="str">
        <f t="shared" si="22"/>
        <v>CP</v>
      </c>
      <c r="AE712" t="str">
        <f>_xlfn.XLOOKUP(D712,Mapping!A:A,Mapping!D:D,0,0)</f>
        <v>Keyword - Preroll</v>
      </c>
      <c r="AF712" t="str">
        <f t="shared" si="23"/>
        <v>OLD</v>
      </c>
    </row>
    <row r="713" spans="1:32" x14ac:dyDescent="0.2">
      <c r="A713" t="s">
        <v>1118</v>
      </c>
      <c r="B713" t="s">
        <v>29</v>
      </c>
      <c r="C713">
        <v>1012869812</v>
      </c>
      <c r="D713" t="s">
        <v>752</v>
      </c>
      <c r="E713" t="s">
        <v>31</v>
      </c>
      <c r="F713" s="1">
        <v>0.67291666666666672</v>
      </c>
      <c r="G713" t="s">
        <v>32</v>
      </c>
      <c r="H713" t="s">
        <v>33</v>
      </c>
      <c r="I713" t="s">
        <v>34</v>
      </c>
      <c r="J713" t="s">
        <v>84</v>
      </c>
      <c r="K713">
        <v>104</v>
      </c>
      <c r="L713">
        <v>0</v>
      </c>
      <c r="M713" t="s">
        <v>36</v>
      </c>
      <c r="N713" t="s">
        <v>37</v>
      </c>
      <c r="O713">
        <v>37</v>
      </c>
      <c r="P713">
        <v>4</v>
      </c>
      <c r="Q713">
        <v>10.81081</v>
      </c>
      <c r="R713">
        <v>0</v>
      </c>
      <c r="S713">
        <v>0.02</v>
      </c>
      <c r="T713">
        <v>0.59</v>
      </c>
      <c r="U713">
        <v>5.0000000000000001E-3</v>
      </c>
      <c r="V713">
        <v>0</v>
      </c>
      <c r="W713">
        <v>1</v>
      </c>
      <c r="X713">
        <v>0</v>
      </c>
      <c r="Y713" t="s">
        <v>36</v>
      </c>
      <c r="Z713">
        <v>37</v>
      </c>
      <c r="AA713">
        <v>31</v>
      </c>
      <c r="AB713">
        <v>3</v>
      </c>
      <c r="AC713" t="s">
        <v>96</v>
      </c>
      <c r="AD713" t="str">
        <f t="shared" si="22"/>
        <v>CP</v>
      </c>
      <c r="AE713" t="str">
        <f>_xlfn.XLOOKUP(D713,Mapping!A:A,Mapping!D:D,0,0)</f>
        <v>Keyword - Preroll</v>
      </c>
      <c r="AF713" t="str">
        <f t="shared" si="23"/>
        <v>OLD</v>
      </c>
    </row>
    <row r="714" spans="1:32" x14ac:dyDescent="0.2">
      <c r="A714" t="s">
        <v>1118</v>
      </c>
      <c r="B714" t="s">
        <v>690</v>
      </c>
      <c r="C714">
        <v>1012869822</v>
      </c>
      <c r="D714" t="s">
        <v>753</v>
      </c>
      <c r="E714" t="s">
        <v>31</v>
      </c>
      <c r="F714" s="1">
        <v>0.67291666666666672</v>
      </c>
      <c r="G714" t="s">
        <v>32</v>
      </c>
      <c r="H714" t="s">
        <v>33</v>
      </c>
      <c r="I714" t="s">
        <v>41</v>
      </c>
      <c r="J714" t="s">
        <v>62</v>
      </c>
      <c r="K714">
        <v>260</v>
      </c>
      <c r="L714">
        <v>0</v>
      </c>
      <c r="M714" t="s">
        <v>36</v>
      </c>
      <c r="N714" t="s">
        <v>37</v>
      </c>
      <c r="O714">
        <v>4</v>
      </c>
      <c r="P714">
        <v>0</v>
      </c>
      <c r="Q714">
        <v>0</v>
      </c>
      <c r="R714">
        <v>0</v>
      </c>
      <c r="S714">
        <v>0</v>
      </c>
      <c r="T714">
        <v>0.66100000000000003</v>
      </c>
      <c r="U714">
        <v>0</v>
      </c>
      <c r="V714">
        <v>0</v>
      </c>
      <c r="W714">
        <v>1</v>
      </c>
      <c r="X714">
        <v>0</v>
      </c>
      <c r="Y714" t="s">
        <v>36</v>
      </c>
      <c r="Z714">
        <v>4</v>
      </c>
      <c r="AA714">
        <v>3</v>
      </c>
      <c r="AB714">
        <v>0</v>
      </c>
      <c r="AC714" t="s">
        <v>96</v>
      </c>
      <c r="AD714" t="str">
        <f t="shared" si="22"/>
        <v>CP</v>
      </c>
      <c r="AE714" t="str">
        <f>_xlfn.XLOOKUP(D714,Mapping!A:A,Mapping!D:D,0,0)</f>
        <v>Keyword - Preroll</v>
      </c>
      <c r="AF714" t="str">
        <f t="shared" si="23"/>
        <v>OLD</v>
      </c>
    </row>
    <row r="715" spans="1:32" x14ac:dyDescent="0.2">
      <c r="A715" t="s">
        <v>1118</v>
      </c>
      <c r="B715" t="s">
        <v>690</v>
      </c>
      <c r="C715">
        <v>1012869832</v>
      </c>
      <c r="D715" t="s">
        <v>754</v>
      </c>
      <c r="E715" t="s">
        <v>31</v>
      </c>
      <c r="F715" s="1">
        <v>0.67291666666666672</v>
      </c>
      <c r="G715" t="s">
        <v>32</v>
      </c>
      <c r="H715" t="s">
        <v>33</v>
      </c>
      <c r="I715" t="s">
        <v>41</v>
      </c>
      <c r="J715" t="s">
        <v>62</v>
      </c>
      <c r="K715">
        <v>260</v>
      </c>
      <c r="L715">
        <v>0</v>
      </c>
      <c r="M715" t="s">
        <v>36</v>
      </c>
      <c r="N715" t="s">
        <v>37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0.32</v>
      </c>
      <c r="U715">
        <v>0</v>
      </c>
      <c r="V715">
        <v>0</v>
      </c>
      <c r="W715">
        <v>1</v>
      </c>
      <c r="X715">
        <v>0</v>
      </c>
      <c r="Y715" t="s">
        <v>36</v>
      </c>
      <c r="Z715">
        <v>1</v>
      </c>
      <c r="AA715">
        <v>1</v>
      </c>
      <c r="AB715">
        <v>0</v>
      </c>
      <c r="AC715" t="s">
        <v>96</v>
      </c>
      <c r="AD715" t="str">
        <f t="shared" si="22"/>
        <v>CP</v>
      </c>
      <c r="AE715" t="str">
        <f>_xlfn.XLOOKUP(D715,Mapping!A:A,Mapping!D:D,0,0)</f>
        <v>Keyword - Preroll</v>
      </c>
      <c r="AF715" t="str">
        <f t="shared" si="23"/>
        <v>OLD</v>
      </c>
    </row>
    <row r="716" spans="1:32" x14ac:dyDescent="0.2">
      <c r="A716" t="s">
        <v>1118</v>
      </c>
      <c r="B716" t="s">
        <v>39</v>
      </c>
      <c r="C716">
        <v>1012869842</v>
      </c>
      <c r="D716" t="s">
        <v>755</v>
      </c>
      <c r="E716" t="s">
        <v>31</v>
      </c>
      <c r="F716" s="1">
        <v>0.67291666666666672</v>
      </c>
      <c r="G716" t="s">
        <v>32</v>
      </c>
      <c r="H716" t="s">
        <v>33</v>
      </c>
      <c r="I716" t="s">
        <v>41</v>
      </c>
      <c r="J716" t="s">
        <v>62</v>
      </c>
      <c r="K716">
        <v>260</v>
      </c>
      <c r="L716">
        <v>0</v>
      </c>
      <c r="M716" t="s">
        <v>36</v>
      </c>
      <c r="N716" t="s">
        <v>37</v>
      </c>
      <c r="O716">
        <v>0</v>
      </c>
      <c r="P716">
        <v>0</v>
      </c>
      <c r="Q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 t="s">
        <v>36</v>
      </c>
      <c r="AC716" t="s">
        <v>96</v>
      </c>
      <c r="AD716" t="str">
        <f t="shared" si="22"/>
        <v>CP</v>
      </c>
      <c r="AE716" t="str">
        <f>_xlfn.XLOOKUP(D716,Mapping!A:A,Mapping!D:D,0,0)</f>
        <v>Furry</v>
      </c>
      <c r="AF716" t="str">
        <f t="shared" si="23"/>
        <v>OLD</v>
      </c>
    </row>
    <row r="717" spans="1:32" x14ac:dyDescent="0.2">
      <c r="A717" t="s">
        <v>1118</v>
      </c>
      <c r="B717" t="s">
        <v>690</v>
      </c>
      <c r="C717">
        <v>1012869852</v>
      </c>
      <c r="D717" t="s">
        <v>756</v>
      </c>
      <c r="E717" t="s">
        <v>31</v>
      </c>
      <c r="F717" s="1">
        <v>0.67291666666666672</v>
      </c>
      <c r="G717" t="s">
        <v>32</v>
      </c>
      <c r="H717" t="s">
        <v>33</v>
      </c>
      <c r="I717" t="s">
        <v>41</v>
      </c>
      <c r="J717" t="s">
        <v>62</v>
      </c>
      <c r="K717">
        <v>260</v>
      </c>
      <c r="L717">
        <v>0</v>
      </c>
      <c r="M717" t="s">
        <v>36</v>
      </c>
      <c r="N717" t="s">
        <v>37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0.52500000000000002</v>
      </c>
      <c r="U717">
        <v>0</v>
      </c>
      <c r="V717">
        <v>0</v>
      </c>
      <c r="W717">
        <v>1</v>
      </c>
      <c r="X717">
        <v>0</v>
      </c>
      <c r="Y717" t="s">
        <v>36</v>
      </c>
      <c r="Z717">
        <v>1</v>
      </c>
      <c r="AA717">
        <v>1</v>
      </c>
      <c r="AB717">
        <v>0</v>
      </c>
      <c r="AC717" t="s">
        <v>96</v>
      </c>
      <c r="AD717" t="str">
        <f t="shared" si="22"/>
        <v>CP</v>
      </c>
      <c r="AE717" t="str">
        <f>_xlfn.XLOOKUP(D717,Mapping!A:A,Mapping!D:D,0,0)</f>
        <v>Keyword - Preroll</v>
      </c>
      <c r="AF717" t="str">
        <f t="shared" si="23"/>
        <v>OLD</v>
      </c>
    </row>
    <row r="718" spans="1:32" x14ac:dyDescent="0.2">
      <c r="A718" t="s">
        <v>1118</v>
      </c>
      <c r="B718" t="s">
        <v>29</v>
      </c>
      <c r="C718">
        <v>1012869862</v>
      </c>
      <c r="D718" t="s">
        <v>94</v>
      </c>
      <c r="E718" t="s">
        <v>31</v>
      </c>
      <c r="F718" s="1">
        <v>0.67291666666666672</v>
      </c>
      <c r="G718" t="s">
        <v>32</v>
      </c>
      <c r="H718" t="s">
        <v>33</v>
      </c>
      <c r="I718" t="s">
        <v>41</v>
      </c>
      <c r="J718" t="s">
        <v>62</v>
      </c>
      <c r="K718">
        <v>130</v>
      </c>
      <c r="L718">
        <v>0</v>
      </c>
      <c r="M718" t="s">
        <v>36</v>
      </c>
      <c r="N718" t="s">
        <v>37</v>
      </c>
      <c r="O718">
        <v>2190</v>
      </c>
      <c r="P718">
        <v>137</v>
      </c>
      <c r="Q718">
        <v>6.2557099999999997</v>
      </c>
      <c r="R718">
        <v>0</v>
      </c>
      <c r="S718">
        <v>7.25</v>
      </c>
      <c r="T718">
        <v>3.31</v>
      </c>
      <c r="U718">
        <v>5.2999999999999999E-2</v>
      </c>
      <c r="V718">
        <v>0</v>
      </c>
      <c r="W718">
        <v>1</v>
      </c>
      <c r="X718">
        <v>0</v>
      </c>
      <c r="Y718" t="s">
        <v>36</v>
      </c>
      <c r="Z718">
        <v>2187</v>
      </c>
      <c r="AA718">
        <v>2014</v>
      </c>
      <c r="AB718">
        <v>101</v>
      </c>
      <c r="AC718" t="s">
        <v>96</v>
      </c>
      <c r="AD718" t="str">
        <f t="shared" si="22"/>
        <v>CP</v>
      </c>
      <c r="AE718" t="str">
        <f>_xlfn.XLOOKUP(D718,Mapping!A:A,Mapping!D:D,0,0)</f>
        <v>Keyword - Preroll</v>
      </c>
      <c r="AF718" t="str">
        <f t="shared" si="23"/>
        <v>OLD</v>
      </c>
    </row>
    <row r="719" spans="1:32" x14ac:dyDescent="0.2">
      <c r="A719" t="s">
        <v>1118</v>
      </c>
      <c r="B719" t="s">
        <v>29</v>
      </c>
      <c r="C719">
        <v>1012869872</v>
      </c>
      <c r="D719" t="s">
        <v>101</v>
      </c>
      <c r="E719" t="s">
        <v>31</v>
      </c>
      <c r="F719" s="1">
        <v>0.67291666666666672</v>
      </c>
      <c r="G719" t="s">
        <v>32</v>
      </c>
      <c r="H719" t="s">
        <v>33</v>
      </c>
      <c r="I719" t="s">
        <v>41</v>
      </c>
      <c r="J719" t="s">
        <v>62</v>
      </c>
      <c r="K719">
        <v>260</v>
      </c>
      <c r="L719">
        <v>0</v>
      </c>
      <c r="M719" t="s">
        <v>36</v>
      </c>
      <c r="N719" t="s">
        <v>37</v>
      </c>
      <c r="O719">
        <v>7</v>
      </c>
      <c r="P719">
        <v>0</v>
      </c>
      <c r="Q719">
        <v>0</v>
      </c>
      <c r="R719">
        <v>0</v>
      </c>
      <c r="S719">
        <v>0</v>
      </c>
      <c r="T719">
        <v>0.63900000000000001</v>
      </c>
      <c r="U719">
        <v>0</v>
      </c>
      <c r="V719">
        <v>0</v>
      </c>
      <c r="W719">
        <v>1</v>
      </c>
      <c r="X719">
        <v>0</v>
      </c>
      <c r="Y719" t="s">
        <v>36</v>
      </c>
      <c r="Z719">
        <v>7</v>
      </c>
      <c r="AA719">
        <v>6</v>
      </c>
      <c r="AB719">
        <v>1</v>
      </c>
      <c r="AC719" t="s">
        <v>96</v>
      </c>
      <c r="AD719" t="str">
        <f t="shared" si="22"/>
        <v>CP</v>
      </c>
      <c r="AE719" t="str">
        <f>_xlfn.XLOOKUP(D719,Mapping!A:A,Mapping!D:D,0,0)</f>
        <v>Keyword - Preroll</v>
      </c>
      <c r="AF719" t="str">
        <f t="shared" si="23"/>
        <v>OLD</v>
      </c>
    </row>
    <row r="720" spans="1:32" x14ac:dyDescent="0.2">
      <c r="A720" t="s">
        <v>1118</v>
      </c>
      <c r="B720" t="s">
        <v>690</v>
      </c>
      <c r="C720">
        <v>1012869882</v>
      </c>
      <c r="D720" t="s">
        <v>104</v>
      </c>
      <c r="E720" t="s">
        <v>31</v>
      </c>
      <c r="F720" s="1">
        <v>0.67291666666666672</v>
      </c>
      <c r="G720" t="s">
        <v>32</v>
      </c>
      <c r="H720" t="s">
        <v>33</v>
      </c>
      <c r="I720" t="s">
        <v>41</v>
      </c>
      <c r="J720" t="s">
        <v>62</v>
      </c>
      <c r="K720">
        <v>260</v>
      </c>
      <c r="L720">
        <v>0</v>
      </c>
      <c r="M720" t="s">
        <v>36</v>
      </c>
      <c r="N720" t="s">
        <v>37</v>
      </c>
      <c r="O720">
        <v>0</v>
      </c>
      <c r="P720">
        <v>0</v>
      </c>
      <c r="Q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 t="s">
        <v>36</v>
      </c>
      <c r="AC720" t="s">
        <v>96</v>
      </c>
      <c r="AD720" t="str">
        <f t="shared" si="22"/>
        <v>CP</v>
      </c>
      <c r="AE720" t="str">
        <f>_xlfn.XLOOKUP(D720,Mapping!A:A,Mapping!D:D,0,0)</f>
        <v>Bin</v>
      </c>
      <c r="AF720" t="str">
        <f t="shared" si="23"/>
        <v>OLD</v>
      </c>
    </row>
    <row r="721" spans="1:32" x14ac:dyDescent="0.2">
      <c r="A721" t="s">
        <v>1118</v>
      </c>
      <c r="B721" t="s">
        <v>39</v>
      </c>
      <c r="C721">
        <v>1012869902</v>
      </c>
      <c r="D721" t="s">
        <v>621</v>
      </c>
      <c r="E721" t="s">
        <v>31</v>
      </c>
      <c r="F721" s="1">
        <v>0.67291666666666672</v>
      </c>
      <c r="G721" t="s">
        <v>32</v>
      </c>
      <c r="H721" t="s">
        <v>33</v>
      </c>
      <c r="I721" t="s">
        <v>41</v>
      </c>
      <c r="J721" t="s">
        <v>62</v>
      </c>
      <c r="K721">
        <v>260</v>
      </c>
      <c r="L721">
        <v>0</v>
      </c>
      <c r="M721" t="s">
        <v>36</v>
      </c>
      <c r="N721" t="s">
        <v>37</v>
      </c>
      <c r="O721">
        <v>0</v>
      </c>
      <c r="P721">
        <v>0</v>
      </c>
      <c r="Q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 t="s">
        <v>36</v>
      </c>
      <c r="AC721" t="s">
        <v>96</v>
      </c>
      <c r="AD721" t="str">
        <f t="shared" si="22"/>
        <v>CP</v>
      </c>
      <c r="AE721" t="str">
        <f>_xlfn.XLOOKUP(D721,Mapping!A:A,Mapping!D:D,0,0)</f>
        <v>Bin</v>
      </c>
      <c r="AF721" t="str">
        <f t="shared" si="23"/>
        <v>OLD</v>
      </c>
    </row>
    <row r="722" spans="1:32" x14ac:dyDescent="0.2">
      <c r="A722" t="s">
        <v>1118</v>
      </c>
      <c r="B722" t="s">
        <v>29</v>
      </c>
      <c r="C722">
        <v>1012869912</v>
      </c>
      <c r="D722" t="s">
        <v>757</v>
      </c>
      <c r="E722" t="s">
        <v>31</v>
      </c>
      <c r="F722" s="1">
        <v>0.67291666666666672</v>
      </c>
      <c r="G722" t="s">
        <v>32</v>
      </c>
      <c r="H722" t="s">
        <v>33</v>
      </c>
      <c r="I722" t="s">
        <v>41</v>
      </c>
      <c r="J722" t="s">
        <v>62</v>
      </c>
      <c r="K722">
        <v>260</v>
      </c>
      <c r="L722">
        <v>0</v>
      </c>
      <c r="M722" t="s">
        <v>36</v>
      </c>
      <c r="N722" t="s">
        <v>37</v>
      </c>
      <c r="O722">
        <v>4</v>
      </c>
      <c r="P722">
        <v>0</v>
      </c>
      <c r="Q722">
        <v>0</v>
      </c>
      <c r="R722">
        <v>0</v>
      </c>
      <c r="S722">
        <v>0</v>
      </c>
      <c r="T722">
        <v>0.42599999999999999</v>
      </c>
      <c r="U722">
        <v>0</v>
      </c>
      <c r="V722">
        <v>0</v>
      </c>
      <c r="W722">
        <v>1</v>
      </c>
      <c r="X722">
        <v>0</v>
      </c>
      <c r="Y722" t="s">
        <v>36</v>
      </c>
      <c r="Z722">
        <v>4</v>
      </c>
      <c r="AA722">
        <v>2</v>
      </c>
      <c r="AB722">
        <v>1</v>
      </c>
      <c r="AC722" t="s">
        <v>96</v>
      </c>
      <c r="AD722" t="str">
        <f t="shared" si="22"/>
        <v>CP</v>
      </c>
      <c r="AE722" t="str">
        <f>_xlfn.XLOOKUP(D722,Mapping!A:A,Mapping!D:D,0,0)</f>
        <v>Keyword - Preroll</v>
      </c>
      <c r="AF722" t="str">
        <f t="shared" si="23"/>
        <v>OLD</v>
      </c>
    </row>
    <row r="723" spans="1:32" x14ac:dyDescent="0.2">
      <c r="A723" t="s">
        <v>1118</v>
      </c>
      <c r="B723" t="s">
        <v>29</v>
      </c>
      <c r="C723">
        <v>1012905942</v>
      </c>
      <c r="D723" t="s">
        <v>758</v>
      </c>
      <c r="E723" t="s">
        <v>31</v>
      </c>
      <c r="F723" s="1">
        <v>0.67291666666666672</v>
      </c>
      <c r="G723" t="s">
        <v>32</v>
      </c>
      <c r="H723" t="s">
        <v>33</v>
      </c>
      <c r="I723" t="s">
        <v>41</v>
      </c>
      <c r="J723" t="s">
        <v>759</v>
      </c>
      <c r="K723">
        <v>129</v>
      </c>
      <c r="L723">
        <v>0</v>
      </c>
      <c r="M723" t="s">
        <v>36</v>
      </c>
      <c r="N723" t="s">
        <v>37</v>
      </c>
      <c r="O723">
        <v>86091</v>
      </c>
      <c r="P723">
        <v>4148</v>
      </c>
      <c r="Q723">
        <v>4.8181599999999998</v>
      </c>
      <c r="R723">
        <v>0</v>
      </c>
      <c r="S723">
        <v>191.83</v>
      </c>
      <c r="T723">
        <v>2.2280000000000002</v>
      </c>
      <c r="U723">
        <v>4.5999999999999999E-2</v>
      </c>
      <c r="V723">
        <v>0</v>
      </c>
      <c r="W723">
        <v>1</v>
      </c>
      <c r="X723">
        <v>0</v>
      </c>
      <c r="Y723" t="s">
        <v>63</v>
      </c>
      <c r="Z723">
        <v>86052</v>
      </c>
      <c r="AA723">
        <v>75145</v>
      </c>
      <c r="AB723">
        <v>8017</v>
      </c>
      <c r="AC723" t="s">
        <v>760</v>
      </c>
      <c r="AD723" t="str">
        <f t="shared" si="22"/>
        <v>CP</v>
      </c>
      <c r="AE723" t="str">
        <f>_xlfn.XLOOKUP(D723,Mapping!A:A,Mapping!D:D,0,0)</f>
        <v>Remarketing</v>
      </c>
      <c r="AF723" t="str">
        <f t="shared" si="23"/>
        <v>OLD</v>
      </c>
    </row>
    <row r="724" spans="1:32" x14ac:dyDescent="0.2">
      <c r="A724" t="s">
        <v>1118</v>
      </c>
      <c r="B724" t="s">
        <v>29</v>
      </c>
      <c r="C724">
        <v>1012905952</v>
      </c>
      <c r="D724" t="s">
        <v>761</v>
      </c>
      <c r="E724" t="s">
        <v>31</v>
      </c>
      <c r="F724" s="1">
        <v>0.67291666666666672</v>
      </c>
      <c r="G724" t="s">
        <v>32</v>
      </c>
      <c r="H724" t="s">
        <v>33</v>
      </c>
      <c r="I724" t="s">
        <v>41</v>
      </c>
      <c r="J724" t="s">
        <v>759</v>
      </c>
      <c r="K724">
        <v>129</v>
      </c>
      <c r="L724">
        <v>0</v>
      </c>
      <c r="M724" t="s">
        <v>63</v>
      </c>
      <c r="N724">
        <v>250</v>
      </c>
      <c r="O724">
        <v>10904</v>
      </c>
      <c r="P724">
        <v>510</v>
      </c>
      <c r="Q724">
        <v>4.6771799999999999</v>
      </c>
      <c r="R724">
        <v>1</v>
      </c>
      <c r="S724">
        <v>21.73</v>
      </c>
      <c r="T724">
        <v>1.9930000000000001</v>
      </c>
      <c r="U724">
        <v>4.2999999999999997E-2</v>
      </c>
      <c r="V724">
        <v>21.734000000000002</v>
      </c>
      <c r="W724">
        <v>1</v>
      </c>
      <c r="X724">
        <v>0</v>
      </c>
      <c r="Y724" t="s">
        <v>63</v>
      </c>
      <c r="Z724">
        <v>10904</v>
      </c>
      <c r="AA724">
        <v>9488</v>
      </c>
      <c r="AB724">
        <v>1116</v>
      </c>
      <c r="AC724" t="s">
        <v>760</v>
      </c>
      <c r="AD724" t="str">
        <f t="shared" si="22"/>
        <v>CP</v>
      </c>
      <c r="AE724" t="str">
        <f>_xlfn.XLOOKUP(D724,Mapping!A:A,Mapping!D:D,0,0)</f>
        <v>Remarketing</v>
      </c>
      <c r="AF724" t="str">
        <f t="shared" si="23"/>
        <v>OLD</v>
      </c>
    </row>
    <row r="725" spans="1:32" x14ac:dyDescent="0.2">
      <c r="A725" t="s">
        <v>1118</v>
      </c>
      <c r="B725" t="s">
        <v>29</v>
      </c>
      <c r="C725">
        <v>1012905962</v>
      </c>
      <c r="D725" t="s">
        <v>762</v>
      </c>
      <c r="E725" t="s">
        <v>31</v>
      </c>
      <c r="F725" s="1">
        <v>0.67291666666666672</v>
      </c>
      <c r="G725" t="s">
        <v>32</v>
      </c>
      <c r="H725" t="s">
        <v>33</v>
      </c>
      <c r="I725" t="s">
        <v>41</v>
      </c>
      <c r="J725" t="s">
        <v>759</v>
      </c>
      <c r="K725">
        <v>129</v>
      </c>
      <c r="L725">
        <v>0</v>
      </c>
      <c r="M725" t="s">
        <v>36</v>
      </c>
      <c r="N725" t="s">
        <v>37</v>
      </c>
      <c r="O725">
        <v>4651</v>
      </c>
      <c r="P725">
        <v>284</v>
      </c>
      <c r="Q725">
        <v>6.1062099999999999</v>
      </c>
      <c r="R725">
        <v>0</v>
      </c>
      <c r="S725">
        <v>4.07</v>
      </c>
      <c r="T725">
        <v>0.874</v>
      </c>
      <c r="U725">
        <v>1.4E-2</v>
      </c>
      <c r="V725">
        <v>0</v>
      </c>
      <c r="W725">
        <v>1</v>
      </c>
      <c r="X725">
        <v>0</v>
      </c>
      <c r="Y725" t="s">
        <v>63</v>
      </c>
      <c r="Z725">
        <v>4650</v>
      </c>
      <c r="AA725">
        <v>4108</v>
      </c>
      <c r="AB725">
        <v>338</v>
      </c>
      <c r="AC725" t="s">
        <v>760</v>
      </c>
      <c r="AD725" t="str">
        <f t="shared" si="22"/>
        <v>CP</v>
      </c>
      <c r="AE725" t="str">
        <f>_xlfn.XLOOKUP(D725,Mapping!A:A,Mapping!D:D,0,0)</f>
        <v>Remarketing</v>
      </c>
      <c r="AF725" t="str">
        <f t="shared" si="23"/>
        <v>OLD</v>
      </c>
    </row>
    <row r="726" spans="1:32" x14ac:dyDescent="0.2">
      <c r="A726" t="s">
        <v>1118</v>
      </c>
      <c r="B726" t="s">
        <v>29</v>
      </c>
      <c r="C726">
        <v>1012905982</v>
      </c>
      <c r="D726" t="s">
        <v>763</v>
      </c>
      <c r="E726" t="s">
        <v>31</v>
      </c>
      <c r="F726" s="1">
        <v>0.67291666666666672</v>
      </c>
      <c r="G726" t="s">
        <v>32</v>
      </c>
      <c r="H726" t="s">
        <v>33</v>
      </c>
      <c r="I726" t="s">
        <v>41</v>
      </c>
      <c r="J726" t="s">
        <v>759</v>
      </c>
      <c r="K726">
        <v>129</v>
      </c>
      <c r="L726">
        <v>0</v>
      </c>
      <c r="M726" t="s">
        <v>63</v>
      </c>
      <c r="N726">
        <v>250</v>
      </c>
      <c r="O726">
        <v>155</v>
      </c>
      <c r="P726">
        <v>7</v>
      </c>
      <c r="Q726">
        <v>4.5161300000000004</v>
      </c>
      <c r="R726">
        <v>0</v>
      </c>
      <c r="S726">
        <v>0.08</v>
      </c>
      <c r="T726">
        <v>0.53200000000000003</v>
      </c>
      <c r="U726">
        <v>1.2E-2</v>
      </c>
      <c r="V726">
        <v>0</v>
      </c>
      <c r="W726">
        <v>1</v>
      </c>
      <c r="X726">
        <v>0</v>
      </c>
      <c r="Y726" t="s">
        <v>63</v>
      </c>
      <c r="Z726">
        <v>155</v>
      </c>
      <c r="AA726">
        <v>137</v>
      </c>
      <c r="AB726">
        <v>11</v>
      </c>
      <c r="AC726" t="s">
        <v>760</v>
      </c>
      <c r="AD726" t="str">
        <f t="shared" si="22"/>
        <v>CP</v>
      </c>
      <c r="AE726" t="str">
        <f>_xlfn.XLOOKUP(D726,Mapping!A:A,Mapping!D:D,0,0)</f>
        <v>Remarketing</v>
      </c>
      <c r="AF726" t="str">
        <f t="shared" si="23"/>
        <v>OLD</v>
      </c>
    </row>
    <row r="727" spans="1:32" x14ac:dyDescent="0.2">
      <c r="A727" t="s">
        <v>1118</v>
      </c>
      <c r="B727" t="s">
        <v>29</v>
      </c>
      <c r="C727">
        <v>1012905992</v>
      </c>
      <c r="D727" t="s">
        <v>764</v>
      </c>
      <c r="E727" t="s">
        <v>31</v>
      </c>
      <c r="F727" s="1">
        <v>0.67291666666666672</v>
      </c>
      <c r="G727" t="s">
        <v>32</v>
      </c>
      <c r="H727" t="s">
        <v>33</v>
      </c>
      <c r="I727" t="s">
        <v>41</v>
      </c>
      <c r="J727" t="s">
        <v>759</v>
      </c>
      <c r="K727">
        <v>129</v>
      </c>
      <c r="L727">
        <v>0</v>
      </c>
      <c r="M727" t="s">
        <v>63</v>
      </c>
      <c r="N727">
        <v>250</v>
      </c>
      <c r="O727">
        <v>856</v>
      </c>
      <c r="P727">
        <v>47</v>
      </c>
      <c r="Q727">
        <v>5.4906499999999996</v>
      </c>
      <c r="R727">
        <v>0</v>
      </c>
      <c r="S727">
        <v>0.95</v>
      </c>
      <c r="T727">
        <v>1.1140000000000001</v>
      </c>
      <c r="U727">
        <v>0.02</v>
      </c>
      <c r="V727">
        <v>0</v>
      </c>
      <c r="W727">
        <v>1</v>
      </c>
      <c r="X727">
        <v>0</v>
      </c>
      <c r="Y727" t="s">
        <v>63</v>
      </c>
      <c r="Z727">
        <v>856</v>
      </c>
      <c r="AA727">
        <v>728</v>
      </c>
      <c r="AB727">
        <v>82</v>
      </c>
      <c r="AC727" t="s">
        <v>760</v>
      </c>
      <c r="AD727" t="str">
        <f t="shared" si="22"/>
        <v>CP</v>
      </c>
      <c r="AE727" t="str">
        <f>_xlfn.XLOOKUP(D727,Mapping!A:A,Mapping!D:D,0,0)</f>
        <v>Remarketing</v>
      </c>
      <c r="AF727" t="str">
        <f t="shared" si="23"/>
        <v>OLD</v>
      </c>
    </row>
    <row r="728" spans="1:32" x14ac:dyDescent="0.2">
      <c r="A728" t="s">
        <v>1118</v>
      </c>
      <c r="B728" t="s">
        <v>29</v>
      </c>
      <c r="C728">
        <v>1012906002</v>
      </c>
      <c r="D728" t="s">
        <v>765</v>
      </c>
      <c r="E728" t="s">
        <v>31</v>
      </c>
      <c r="F728" s="1">
        <v>0.67291666666666672</v>
      </c>
      <c r="G728" t="s">
        <v>32</v>
      </c>
      <c r="H728" t="s">
        <v>33</v>
      </c>
      <c r="I728" t="s">
        <v>41</v>
      </c>
      <c r="J728" t="s">
        <v>759</v>
      </c>
      <c r="K728">
        <v>129</v>
      </c>
      <c r="L728">
        <v>0</v>
      </c>
      <c r="M728" t="s">
        <v>63</v>
      </c>
      <c r="N728">
        <v>250</v>
      </c>
      <c r="O728">
        <v>1888</v>
      </c>
      <c r="P728">
        <v>92</v>
      </c>
      <c r="Q728">
        <v>4.8728800000000003</v>
      </c>
      <c r="R728">
        <v>0</v>
      </c>
      <c r="S728">
        <v>3.18</v>
      </c>
      <c r="T728">
        <v>1.6859999999999999</v>
      </c>
      <c r="U728">
        <v>3.5000000000000003E-2</v>
      </c>
      <c r="V728">
        <v>0</v>
      </c>
      <c r="W728">
        <v>1</v>
      </c>
      <c r="X728">
        <v>0</v>
      </c>
      <c r="Y728" t="s">
        <v>63</v>
      </c>
      <c r="Z728">
        <v>1889</v>
      </c>
      <c r="AA728">
        <v>1669</v>
      </c>
      <c r="AB728">
        <v>119</v>
      </c>
      <c r="AC728" t="s">
        <v>760</v>
      </c>
      <c r="AD728" t="str">
        <f t="shared" si="22"/>
        <v>CP</v>
      </c>
      <c r="AE728" t="str">
        <f>_xlfn.XLOOKUP(D728,Mapping!A:A,Mapping!D:D,0,0)</f>
        <v>Remarketing</v>
      </c>
      <c r="AF728" t="str">
        <f t="shared" si="23"/>
        <v>OLD</v>
      </c>
    </row>
    <row r="729" spans="1:32" x14ac:dyDescent="0.2">
      <c r="A729" t="s">
        <v>1118</v>
      </c>
      <c r="B729" t="s">
        <v>29</v>
      </c>
      <c r="C729">
        <v>1012906012</v>
      </c>
      <c r="D729" t="s">
        <v>766</v>
      </c>
      <c r="E729" t="s">
        <v>31</v>
      </c>
      <c r="F729" s="1">
        <v>0.67291666666666672</v>
      </c>
      <c r="G729" t="s">
        <v>32</v>
      </c>
      <c r="H729" t="s">
        <v>33</v>
      </c>
      <c r="I729" t="s">
        <v>41</v>
      </c>
      <c r="J729" t="s">
        <v>759</v>
      </c>
      <c r="K729">
        <v>129</v>
      </c>
      <c r="L729">
        <v>0</v>
      </c>
      <c r="M729" t="s">
        <v>63</v>
      </c>
      <c r="N729">
        <v>250</v>
      </c>
      <c r="O729">
        <v>5442</v>
      </c>
      <c r="P729">
        <v>248</v>
      </c>
      <c r="Q729">
        <v>4.55715</v>
      </c>
      <c r="R729">
        <v>0</v>
      </c>
      <c r="S729">
        <v>13.5</v>
      </c>
      <c r="T729">
        <v>2.48</v>
      </c>
      <c r="U729">
        <v>5.3999999999999999E-2</v>
      </c>
      <c r="V729">
        <v>0</v>
      </c>
      <c r="W729">
        <v>1</v>
      </c>
      <c r="X729">
        <v>0</v>
      </c>
      <c r="Y729" t="s">
        <v>63</v>
      </c>
      <c r="Z729">
        <v>5444</v>
      </c>
      <c r="AA729">
        <v>4856</v>
      </c>
      <c r="AB729">
        <v>428</v>
      </c>
      <c r="AC729" t="s">
        <v>760</v>
      </c>
      <c r="AD729" t="str">
        <f t="shared" si="22"/>
        <v>CP</v>
      </c>
      <c r="AE729" t="str">
        <f>_xlfn.XLOOKUP(D729,Mapping!A:A,Mapping!D:D,0,0)</f>
        <v>Remarketing</v>
      </c>
      <c r="AF729" t="str">
        <f t="shared" si="23"/>
        <v>OLD</v>
      </c>
    </row>
    <row r="730" spans="1:32" x14ac:dyDescent="0.2">
      <c r="A730" t="s">
        <v>1118</v>
      </c>
      <c r="B730" t="s">
        <v>39</v>
      </c>
      <c r="C730">
        <v>1012914792</v>
      </c>
      <c r="D730" t="s">
        <v>306</v>
      </c>
      <c r="E730" t="s">
        <v>31</v>
      </c>
      <c r="F730" s="1">
        <v>0.67291666666666672</v>
      </c>
      <c r="G730" t="s">
        <v>32</v>
      </c>
      <c r="H730" t="s">
        <v>33</v>
      </c>
      <c r="I730" t="s">
        <v>34</v>
      </c>
      <c r="J730" t="s">
        <v>84</v>
      </c>
      <c r="K730">
        <v>100</v>
      </c>
      <c r="L730">
        <v>0</v>
      </c>
      <c r="M730" t="s">
        <v>63</v>
      </c>
      <c r="N730">
        <v>250</v>
      </c>
      <c r="O730">
        <v>0</v>
      </c>
      <c r="P730">
        <v>0</v>
      </c>
      <c r="Q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 t="s">
        <v>36</v>
      </c>
      <c r="AC730" t="s">
        <v>606</v>
      </c>
      <c r="AD730" t="str">
        <f t="shared" si="22"/>
        <v>CP</v>
      </c>
      <c r="AE730" t="str">
        <f>_xlfn.XLOOKUP(D730,Mapping!A:A,Mapping!D:D,0,0)</f>
        <v>Archive</v>
      </c>
      <c r="AF730" t="str">
        <f t="shared" si="23"/>
        <v>OLD</v>
      </c>
    </row>
    <row r="731" spans="1:32" x14ac:dyDescent="0.2">
      <c r="A731" t="s">
        <v>1118</v>
      </c>
      <c r="B731" t="s">
        <v>39</v>
      </c>
      <c r="C731">
        <v>1012914802</v>
      </c>
      <c r="D731" t="s">
        <v>607</v>
      </c>
      <c r="E731" t="s">
        <v>31</v>
      </c>
      <c r="F731" s="1">
        <v>0.67291666666666672</v>
      </c>
      <c r="G731" t="s">
        <v>32</v>
      </c>
      <c r="H731" t="s">
        <v>33</v>
      </c>
      <c r="I731" t="s">
        <v>34</v>
      </c>
      <c r="J731" t="s">
        <v>84</v>
      </c>
      <c r="K731">
        <v>100</v>
      </c>
      <c r="L731">
        <v>0</v>
      </c>
      <c r="M731" t="s">
        <v>63</v>
      </c>
      <c r="N731">
        <v>250</v>
      </c>
      <c r="O731">
        <v>0</v>
      </c>
      <c r="P731">
        <v>0</v>
      </c>
      <c r="Q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 t="s">
        <v>36</v>
      </c>
      <c r="AC731" t="s">
        <v>606</v>
      </c>
      <c r="AD731" t="str">
        <f t="shared" si="22"/>
        <v>CP</v>
      </c>
      <c r="AE731" t="str">
        <f>_xlfn.XLOOKUP(D731,Mapping!A:A,Mapping!D:D,0,0)</f>
        <v>Archive</v>
      </c>
      <c r="AF731" t="str">
        <f t="shared" si="23"/>
        <v>OLD</v>
      </c>
    </row>
    <row r="732" spans="1:32" x14ac:dyDescent="0.2">
      <c r="A732" t="s">
        <v>1118</v>
      </c>
      <c r="B732" t="s">
        <v>39</v>
      </c>
      <c r="C732">
        <v>1012914812</v>
      </c>
      <c r="D732" t="s">
        <v>312</v>
      </c>
      <c r="E732" t="s">
        <v>31</v>
      </c>
      <c r="F732" s="1">
        <v>0.67291666666666672</v>
      </c>
      <c r="G732" t="s">
        <v>32</v>
      </c>
      <c r="H732" t="s">
        <v>33</v>
      </c>
      <c r="I732" t="s">
        <v>34</v>
      </c>
      <c r="J732" t="s">
        <v>84</v>
      </c>
      <c r="K732">
        <v>100</v>
      </c>
      <c r="L732">
        <v>0</v>
      </c>
      <c r="M732" t="s">
        <v>63</v>
      </c>
      <c r="N732">
        <v>250</v>
      </c>
      <c r="O732">
        <v>0</v>
      </c>
      <c r="P732">
        <v>0</v>
      </c>
      <c r="Q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 t="s">
        <v>36</v>
      </c>
      <c r="AC732" t="s">
        <v>606</v>
      </c>
      <c r="AD732" t="str">
        <f t="shared" si="22"/>
        <v>CP</v>
      </c>
      <c r="AE732" t="str">
        <f>_xlfn.XLOOKUP(D732,Mapping!A:A,Mapping!D:D,0,0)</f>
        <v>Bin</v>
      </c>
      <c r="AF732" t="str">
        <f t="shared" si="23"/>
        <v>OLD</v>
      </c>
    </row>
    <row r="733" spans="1:32" x14ac:dyDescent="0.2">
      <c r="A733" t="s">
        <v>1118</v>
      </c>
      <c r="B733" t="s">
        <v>29</v>
      </c>
      <c r="C733">
        <v>1012914822</v>
      </c>
      <c r="D733" t="s">
        <v>767</v>
      </c>
      <c r="E733" t="s">
        <v>31</v>
      </c>
      <c r="F733" s="1">
        <v>0.67291666666666672</v>
      </c>
      <c r="G733" t="s">
        <v>32</v>
      </c>
      <c r="H733" t="s">
        <v>33</v>
      </c>
      <c r="I733" t="s">
        <v>34</v>
      </c>
      <c r="J733" t="s">
        <v>84</v>
      </c>
      <c r="K733">
        <v>100</v>
      </c>
      <c r="L733">
        <v>0</v>
      </c>
      <c r="M733" t="s">
        <v>63</v>
      </c>
      <c r="N733">
        <v>250</v>
      </c>
      <c r="O733">
        <v>765</v>
      </c>
      <c r="P733">
        <v>24</v>
      </c>
      <c r="Q733">
        <v>3.1372499999999999</v>
      </c>
      <c r="R733">
        <v>0</v>
      </c>
      <c r="S733">
        <v>0.73</v>
      </c>
      <c r="T733">
        <v>0.95299999999999996</v>
      </c>
      <c r="U733">
        <v>0.03</v>
      </c>
      <c r="V733">
        <v>0</v>
      </c>
      <c r="W733">
        <v>1</v>
      </c>
      <c r="X733">
        <v>0</v>
      </c>
      <c r="Y733" t="s">
        <v>36</v>
      </c>
      <c r="Z733">
        <v>765</v>
      </c>
      <c r="AA733">
        <v>541</v>
      </c>
      <c r="AB733">
        <v>124</v>
      </c>
      <c r="AC733" t="s">
        <v>606</v>
      </c>
      <c r="AD733" t="str">
        <f t="shared" si="22"/>
        <v>CP</v>
      </c>
      <c r="AE733" t="str">
        <f>_xlfn.XLOOKUP(D733,Mapping!A:A,Mapping!D:D,0,0)</f>
        <v>Keyword - Preroll</v>
      </c>
      <c r="AF733" t="str">
        <f t="shared" si="23"/>
        <v>OLD</v>
      </c>
    </row>
    <row r="734" spans="1:32" x14ac:dyDescent="0.2">
      <c r="A734" t="s">
        <v>1118</v>
      </c>
      <c r="B734" t="s">
        <v>39</v>
      </c>
      <c r="C734">
        <v>1012914832</v>
      </c>
      <c r="D734" t="s">
        <v>305</v>
      </c>
      <c r="E734" t="s">
        <v>31</v>
      </c>
      <c r="F734" s="1">
        <v>0.67291666666666672</v>
      </c>
      <c r="G734" t="s">
        <v>32</v>
      </c>
      <c r="H734" t="s">
        <v>33</v>
      </c>
      <c r="I734" t="s">
        <v>41</v>
      </c>
      <c r="J734" t="s">
        <v>62</v>
      </c>
      <c r="K734">
        <v>90</v>
      </c>
      <c r="L734">
        <v>0</v>
      </c>
      <c r="M734" t="s">
        <v>63</v>
      </c>
      <c r="N734">
        <v>250</v>
      </c>
      <c r="O734">
        <v>0</v>
      </c>
      <c r="P734">
        <v>0</v>
      </c>
      <c r="Q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 t="s">
        <v>36</v>
      </c>
      <c r="AC734" t="s">
        <v>606</v>
      </c>
      <c r="AD734" t="str">
        <f t="shared" si="22"/>
        <v>CP</v>
      </c>
      <c r="AE734" t="str">
        <f>_xlfn.XLOOKUP(D734,Mapping!A:A,Mapping!D:D,0,0)</f>
        <v>Bin</v>
      </c>
      <c r="AF734" t="str">
        <f t="shared" si="23"/>
        <v>OLD</v>
      </c>
    </row>
    <row r="735" spans="1:32" x14ac:dyDescent="0.2">
      <c r="A735" t="s">
        <v>1118</v>
      </c>
      <c r="B735" t="s">
        <v>39</v>
      </c>
      <c r="C735">
        <v>1012914842</v>
      </c>
      <c r="D735" t="s">
        <v>311</v>
      </c>
      <c r="E735" t="s">
        <v>31</v>
      </c>
      <c r="F735" s="1">
        <v>0.67291666666666672</v>
      </c>
      <c r="G735" t="s">
        <v>32</v>
      </c>
      <c r="H735" t="s">
        <v>33</v>
      </c>
      <c r="I735" t="s">
        <v>41</v>
      </c>
      <c r="J735" t="s">
        <v>62</v>
      </c>
      <c r="K735">
        <v>90</v>
      </c>
      <c r="L735">
        <v>0</v>
      </c>
      <c r="M735" t="s">
        <v>63</v>
      </c>
      <c r="N735">
        <v>250</v>
      </c>
      <c r="O735">
        <v>0</v>
      </c>
      <c r="P735">
        <v>0</v>
      </c>
      <c r="Q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 t="s">
        <v>36</v>
      </c>
      <c r="AC735" t="s">
        <v>606</v>
      </c>
      <c r="AD735" t="str">
        <f t="shared" si="22"/>
        <v>CP</v>
      </c>
      <c r="AE735" t="str">
        <f>_xlfn.XLOOKUP(D735,Mapping!A:A,Mapping!D:D,0,0)</f>
        <v>Bin</v>
      </c>
      <c r="AF735" t="str">
        <f t="shared" si="23"/>
        <v>OLD</v>
      </c>
    </row>
    <row r="736" spans="1:32" x14ac:dyDescent="0.2">
      <c r="A736" t="s">
        <v>1118</v>
      </c>
      <c r="B736" t="s">
        <v>39</v>
      </c>
      <c r="C736">
        <v>1012914852</v>
      </c>
      <c r="D736" t="s">
        <v>308</v>
      </c>
      <c r="E736" t="s">
        <v>31</v>
      </c>
      <c r="F736" s="1">
        <v>0.67291666666666672</v>
      </c>
      <c r="G736" t="s">
        <v>32</v>
      </c>
      <c r="H736" t="s">
        <v>33</v>
      </c>
      <c r="I736" t="s">
        <v>41</v>
      </c>
      <c r="J736" t="s">
        <v>62</v>
      </c>
      <c r="K736">
        <v>90</v>
      </c>
      <c r="L736">
        <v>0</v>
      </c>
      <c r="M736" t="s">
        <v>63</v>
      </c>
      <c r="N736">
        <v>250</v>
      </c>
      <c r="O736">
        <v>0</v>
      </c>
      <c r="P736">
        <v>0</v>
      </c>
      <c r="Q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 t="s">
        <v>36</v>
      </c>
      <c r="AC736" t="s">
        <v>606</v>
      </c>
      <c r="AD736" t="str">
        <f t="shared" si="22"/>
        <v>CP</v>
      </c>
      <c r="AE736" t="str">
        <f>_xlfn.XLOOKUP(D736,Mapping!A:A,Mapping!D:D,0,0)</f>
        <v>Bin</v>
      </c>
      <c r="AF736" t="str">
        <f t="shared" si="23"/>
        <v>OLD</v>
      </c>
    </row>
    <row r="737" spans="1:32" x14ac:dyDescent="0.2">
      <c r="A737" t="s">
        <v>1118</v>
      </c>
      <c r="B737" t="s">
        <v>39</v>
      </c>
      <c r="C737">
        <v>1012914862</v>
      </c>
      <c r="D737" t="s">
        <v>316</v>
      </c>
      <c r="E737" t="s">
        <v>31</v>
      </c>
      <c r="F737" s="1">
        <v>0.67291666666666672</v>
      </c>
      <c r="G737" t="s">
        <v>32</v>
      </c>
      <c r="H737" t="s">
        <v>33</v>
      </c>
      <c r="I737" t="s">
        <v>41</v>
      </c>
      <c r="J737" t="s">
        <v>62</v>
      </c>
      <c r="K737">
        <v>90</v>
      </c>
      <c r="L737">
        <v>0</v>
      </c>
      <c r="M737" t="s">
        <v>63</v>
      </c>
      <c r="N737">
        <v>250</v>
      </c>
      <c r="O737">
        <v>0</v>
      </c>
      <c r="P737">
        <v>0</v>
      </c>
      <c r="Q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 t="s">
        <v>36</v>
      </c>
      <c r="AC737" t="s">
        <v>606</v>
      </c>
      <c r="AD737" t="str">
        <f t="shared" si="22"/>
        <v>CP</v>
      </c>
      <c r="AE737" t="str">
        <f>_xlfn.XLOOKUP(D737,Mapping!A:A,Mapping!D:D,0,0)</f>
        <v>Bin</v>
      </c>
      <c r="AF737" t="str">
        <f t="shared" si="23"/>
        <v>OLD</v>
      </c>
    </row>
    <row r="738" spans="1:32" x14ac:dyDescent="0.2">
      <c r="A738" t="s">
        <v>1118</v>
      </c>
      <c r="B738" t="s">
        <v>29</v>
      </c>
      <c r="C738">
        <v>1012914872</v>
      </c>
      <c r="D738" t="s">
        <v>768</v>
      </c>
      <c r="E738" t="s">
        <v>31</v>
      </c>
      <c r="F738" s="1">
        <v>0.67291666666666672</v>
      </c>
      <c r="G738" t="s">
        <v>32</v>
      </c>
      <c r="H738" t="s">
        <v>33</v>
      </c>
      <c r="I738" t="s">
        <v>41</v>
      </c>
      <c r="J738" t="s">
        <v>62</v>
      </c>
      <c r="K738">
        <v>90</v>
      </c>
      <c r="L738">
        <v>0</v>
      </c>
      <c r="M738" t="s">
        <v>63</v>
      </c>
      <c r="N738">
        <v>250</v>
      </c>
      <c r="O738">
        <v>2255</v>
      </c>
      <c r="P738">
        <v>131</v>
      </c>
      <c r="Q738">
        <v>5.80931</v>
      </c>
      <c r="R738">
        <v>0</v>
      </c>
      <c r="S738">
        <v>2.25</v>
      </c>
      <c r="T738">
        <v>0.997</v>
      </c>
      <c r="U738">
        <v>1.7000000000000001E-2</v>
      </c>
      <c r="V738">
        <v>0</v>
      </c>
      <c r="W738">
        <v>1</v>
      </c>
      <c r="X738">
        <v>0</v>
      </c>
      <c r="Y738" t="s">
        <v>36</v>
      </c>
      <c r="Z738">
        <v>2256</v>
      </c>
      <c r="AA738">
        <v>1943</v>
      </c>
      <c r="AB738">
        <v>220</v>
      </c>
      <c r="AC738" t="s">
        <v>606</v>
      </c>
      <c r="AD738" t="str">
        <f t="shared" si="22"/>
        <v>CP</v>
      </c>
      <c r="AE738" t="str">
        <f>_xlfn.XLOOKUP(D738,Mapping!A:A,Mapping!D:D,0,0)</f>
        <v>Keyword - Preroll</v>
      </c>
      <c r="AF738" t="str">
        <f t="shared" si="23"/>
        <v>OLD</v>
      </c>
    </row>
    <row r="739" spans="1:32" x14ac:dyDescent="0.2">
      <c r="A739" t="s">
        <v>1118</v>
      </c>
      <c r="B739" t="s">
        <v>39</v>
      </c>
      <c r="C739">
        <v>1012914882</v>
      </c>
      <c r="D739" t="s">
        <v>769</v>
      </c>
      <c r="E739" t="s">
        <v>31</v>
      </c>
      <c r="F739" s="1">
        <v>0.67291666666666672</v>
      </c>
      <c r="G739" t="s">
        <v>32</v>
      </c>
      <c r="H739" t="s">
        <v>33</v>
      </c>
      <c r="I739" t="s">
        <v>41</v>
      </c>
      <c r="J739" t="s">
        <v>62</v>
      </c>
      <c r="K739">
        <v>90</v>
      </c>
      <c r="L739">
        <v>0</v>
      </c>
      <c r="M739" t="s">
        <v>63</v>
      </c>
      <c r="N739">
        <v>250</v>
      </c>
      <c r="O739">
        <v>0</v>
      </c>
      <c r="P739">
        <v>0</v>
      </c>
      <c r="Q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 t="s">
        <v>36</v>
      </c>
      <c r="AC739" t="s">
        <v>606</v>
      </c>
      <c r="AD739" t="str">
        <f t="shared" si="22"/>
        <v>CP</v>
      </c>
      <c r="AE739" t="str">
        <f>_xlfn.XLOOKUP(D739,Mapping!A:A,Mapping!D:D,0,0)</f>
        <v>Blowjob</v>
      </c>
      <c r="AF739" t="str">
        <f t="shared" si="23"/>
        <v>OLD</v>
      </c>
    </row>
    <row r="740" spans="1:32" x14ac:dyDescent="0.2">
      <c r="A740" t="s">
        <v>1118</v>
      </c>
      <c r="B740" t="s">
        <v>39</v>
      </c>
      <c r="C740">
        <v>1012914892</v>
      </c>
      <c r="D740" t="s">
        <v>770</v>
      </c>
      <c r="E740" t="s">
        <v>31</v>
      </c>
      <c r="F740" s="1">
        <v>0.67291666666666672</v>
      </c>
      <c r="G740" t="s">
        <v>32</v>
      </c>
      <c r="H740" t="s">
        <v>33</v>
      </c>
      <c r="I740" t="s">
        <v>41</v>
      </c>
      <c r="J740" t="s">
        <v>62</v>
      </c>
      <c r="K740">
        <v>90</v>
      </c>
      <c r="L740">
        <v>0</v>
      </c>
      <c r="M740" t="s">
        <v>63</v>
      </c>
      <c r="N740">
        <v>250</v>
      </c>
      <c r="O740">
        <v>0</v>
      </c>
      <c r="P740">
        <v>0</v>
      </c>
      <c r="Q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 t="s">
        <v>36</v>
      </c>
      <c r="AC740" t="s">
        <v>606</v>
      </c>
      <c r="AD740" t="str">
        <f t="shared" si="22"/>
        <v>CP</v>
      </c>
      <c r="AE740" t="str">
        <f>_xlfn.XLOOKUP(D740,Mapping!A:A,Mapping!D:D,0,0)</f>
        <v>Blowjob</v>
      </c>
      <c r="AF740" t="str">
        <f t="shared" si="23"/>
        <v>OLD</v>
      </c>
    </row>
    <row r="741" spans="1:32" x14ac:dyDescent="0.2">
      <c r="A741" t="s">
        <v>1118</v>
      </c>
      <c r="B741" t="s">
        <v>39</v>
      </c>
      <c r="C741">
        <v>1012914902</v>
      </c>
      <c r="D741" t="s">
        <v>771</v>
      </c>
      <c r="E741" t="s">
        <v>31</v>
      </c>
      <c r="F741" s="1">
        <v>0.67291666666666672</v>
      </c>
      <c r="G741" t="s">
        <v>32</v>
      </c>
      <c r="H741" t="s">
        <v>33</v>
      </c>
      <c r="I741" t="s">
        <v>41</v>
      </c>
      <c r="J741" t="s">
        <v>62</v>
      </c>
      <c r="K741">
        <v>90</v>
      </c>
      <c r="L741">
        <v>0</v>
      </c>
      <c r="M741" t="s">
        <v>63</v>
      </c>
      <c r="N741">
        <v>250</v>
      </c>
      <c r="O741">
        <v>0</v>
      </c>
      <c r="P741">
        <v>0</v>
      </c>
      <c r="Q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 t="s">
        <v>36</v>
      </c>
      <c r="AC741" t="s">
        <v>606</v>
      </c>
      <c r="AD741" t="str">
        <f t="shared" si="22"/>
        <v>CP</v>
      </c>
      <c r="AE741" t="str">
        <f>_xlfn.XLOOKUP(D741,Mapping!A:A,Mapping!D:D,0,0)</f>
        <v>Blowjob</v>
      </c>
      <c r="AF741" t="str">
        <f t="shared" si="23"/>
        <v>OLD</v>
      </c>
    </row>
    <row r="742" spans="1:32" x14ac:dyDescent="0.2">
      <c r="A742" t="s">
        <v>1118</v>
      </c>
      <c r="B742" t="s">
        <v>39</v>
      </c>
      <c r="C742">
        <v>1012914912</v>
      </c>
      <c r="D742" t="s">
        <v>772</v>
      </c>
      <c r="E742" t="s">
        <v>31</v>
      </c>
      <c r="F742" s="1">
        <v>0.67291666666666672</v>
      </c>
      <c r="G742" t="s">
        <v>32</v>
      </c>
      <c r="H742" t="s">
        <v>33</v>
      </c>
      <c r="I742" t="s">
        <v>41</v>
      </c>
      <c r="J742" t="s">
        <v>62</v>
      </c>
      <c r="K742">
        <v>90</v>
      </c>
      <c r="L742">
        <v>0</v>
      </c>
      <c r="M742" t="s">
        <v>63</v>
      </c>
      <c r="N742">
        <v>250</v>
      </c>
      <c r="O742">
        <v>0</v>
      </c>
      <c r="P742">
        <v>0</v>
      </c>
      <c r="Q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 t="s">
        <v>36</v>
      </c>
      <c r="AC742" t="s">
        <v>606</v>
      </c>
      <c r="AD742" t="str">
        <f t="shared" si="22"/>
        <v>CP</v>
      </c>
      <c r="AE742" t="str">
        <f>_xlfn.XLOOKUP(D742,Mapping!A:A,Mapping!D:D,0,0)</f>
        <v>Blowjob</v>
      </c>
      <c r="AF742" t="str">
        <f t="shared" si="23"/>
        <v>OLD</v>
      </c>
    </row>
    <row r="743" spans="1:32" x14ac:dyDescent="0.2">
      <c r="A743" t="s">
        <v>1118</v>
      </c>
      <c r="B743" t="s">
        <v>39</v>
      </c>
      <c r="C743">
        <v>1012914922</v>
      </c>
      <c r="D743" t="s">
        <v>635</v>
      </c>
      <c r="E743" t="s">
        <v>31</v>
      </c>
      <c r="F743" s="1">
        <v>0.67291666666666672</v>
      </c>
      <c r="G743" t="s">
        <v>32</v>
      </c>
      <c r="H743" t="s">
        <v>33</v>
      </c>
      <c r="I743" t="s">
        <v>41</v>
      </c>
      <c r="J743" t="s">
        <v>62</v>
      </c>
      <c r="K743">
        <v>90</v>
      </c>
      <c r="L743">
        <v>0</v>
      </c>
      <c r="M743" t="s">
        <v>63</v>
      </c>
      <c r="N743">
        <v>250</v>
      </c>
      <c r="O743">
        <v>0</v>
      </c>
      <c r="P743">
        <v>0</v>
      </c>
      <c r="Q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 t="s">
        <v>36</v>
      </c>
      <c r="AC743" t="s">
        <v>606</v>
      </c>
      <c r="AD743" t="str">
        <f t="shared" si="22"/>
        <v>CP</v>
      </c>
      <c r="AE743" t="str">
        <f>_xlfn.XLOOKUP(D743,Mapping!A:A,Mapping!D:D,0,0)</f>
        <v>Bin</v>
      </c>
      <c r="AF743" t="str">
        <f t="shared" si="23"/>
        <v>OLD</v>
      </c>
    </row>
    <row r="744" spans="1:32" x14ac:dyDescent="0.2">
      <c r="A744" t="s">
        <v>1118</v>
      </c>
      <c r="B744" t="s">
        <v>39</v>
      </c>
      <c r="C744">
        <v>1012914992</v>
      </c>
      <c r="D744" t="s">
        <v>773</v>
      </c>
      <c r="E744" t="s">
        <v>31</v>
      </c>
      <c r="F744" s="1">
        <v>0.38611111111111113</v>
      </c>
      <c r="G744" t="s">
        <v>32</v>
      </c>
      <c r="H744" t="s">
        <v>33</v>
      </c>
      <c r="I744" t="s">
        <v>41</v>
      </c>
      <c r="J744" t="s">
        <v>58</v>
      </c>
      <c r="K744">
        <v>3</v>
      </c>
      <c r="L744">
        <v>0</v>
      </c>
      <c r="M744" t="s">
        <v>36</v>
      </c>
      <c r="N744" t="s">
        <v>37</v>
      </c>
      <c r="O744">
        <v>0</v>
      </c>
      <c r="P744">
        <v>0</v>
      </c>
      <c r="Q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 t="s">
        <v>36</v>
      </c>
      <c r="AC744" t="s">
        <v>60</v>
      </c>
      <c r="AD744" t="str">
        <f t="shared" si="22"/>
        <v>CP</v>
      </c>
      <c r="AE744" t="str">
        <f>_xlfn.XLOOKUP(D744,Mapping!A:A,Mapping!D:D,0,0)</f>
        <v>Shorties</v>
      </c>
      <c r="AF744" t="str">
        <f t="shared" si="23"/>
        <v>OLD</v>
      </c>
    </row>
    <row r="745" spans="1:32" x14ac:dyDescent="0.2">
      <c r="A745" t="s">
        <v>1118</v>
      </c>
      <c r="B745" t="s">
        <v>29</v>
      </c>
      <c r="C745">
        <v>1012915002</v>
      </c>
      <c r="D745" t="s">
        <v>774</v>
      </c>
      <c r="E745" t="s">
        <v>31</v>
      </c>
      <c r="F745" s="1">
        <v>0.38611111111111113</v>
      </c>
      <c r="G745" t="s">
        <v>32</v>
      </c>
      <c r="H745" t="s">
        <v>33</v>
      </c>
      <c r="I745" t="s">
        <v>41</v>
      </c>
      <c r="J745" t="s">
        <v>58</v>
      </c>
      <c r="K745">
        <v>3</v>
      </c>
      <c r="L745">
        <v>0</v>
      </c>
      <c r="M745" t="s">
        <v>36</v>
      </c>
      <c r="N745" t="s">
        <v>37</v>
      </c>
      <c r="O745">
        <v>32677</v>
      </c>
      <c r="P745">
        <v>351</v>
      </c>
      <c r="Q745">
        <v>1.0741499999999999</v>
      </c>
      <c r="R745">
        <v>1</v>
      </c>
      <c r="S745">
        <v>118.29</v>
      </c>
      <c r="T745">
        <v>3.62</v>
      </c>
      <c r="U745">
        <v>0.33700000000000002</v>
      </c>
      <c r="V745">
        <v>118.291</v>
      </c>
      <c r="W745">
        <v>1</v>
      </c>
      <c r="X745">
        <v>0</v>
      </c>
      <c r="Y745" t="s">
        <v>36</v>
      </c>
      <c r="Z745">
        <v>32665</v>
      </c>
      <c r="AA745">
        <v>0</v>
      </c>
      <c r="AB745">
        <v>414</v>
      </c>
      <c r="AC745" t="s">
        <v>60</v>
      </c>
      <c r="AD745" t="str">
        <f t="shared" si="22"/>
        <v>CP</v>
      </c>
      <c r="AE745" t="str">
        <f>_xlfn.XLOOKUP(D745,Mapping!A:A,Mapping!D:D,0,0)</f>
        <v>Shorties</v>
      </c>
      <c r="AF745" t="str">
        <f t="shared" si="23"/>
        <v>OLD</v>
      </c>
    </row>
    <row r="746" spans="1:32" x14ac:dyDescent="0.2">
      <c r="A746" t="s">
        <v>1118</v>
      </c>
      <c r="B746" t="s">
        <v>29</v>
      </c>
      <c r="C746">
        <v>1012915022</v>
      </c>
      <c r="D746" t="s">
        <v>775</v>
      </c>
      <c r="E746" t="s">
        <v>31</v>
      </c>
      <c r="F746" s="1">
        <v>0.38611111111111113</v>
      </c>
      <c r="G746" t="s">
        <v>32</v>
      </c>
      <c r="H746" t="s">
        <v>33</v>
      </c>
      <c r="I746" t="s">
        <v>41</v>
      </c>
      <c r="J746" t="s">
        <v>58</v>
      </c>
      <c r="K746">
        <v>3</v>
      </c>
      <c r="L746">
        <v>0</v>
      </c>
      <c r="M746" t="s">
        <v>36</v>
      </c>
      <c r="N746" t="s">
        <v>37</v>
      </c>
      <c r="O746">
        <v>7238</v>
      </c>
      <c r="P746">
        <v>81</v>
      </c>
      <c r="Q746">
        <v>1.1190800000000001</v>
      </c>
      <c r="R746">
        <v>0</v>
      </c>
      <c r="S746">
        <v>13.19</v>
      </c>
      <c r="T746">
        <v>1.823</v>
      </c>
      <c r="U746">
        <v>0.16300000000000001</v>
      </c>
      <c r="V746">
        <v>0</v>
      </c>
      <c r="W746">
        <v>1</v>
      </c>
      <c r="X746">
        <v>0</v>
      </c>
      <c r="Y746" t="s">
        <v>36</v>
      </c>
      <c r="Z746">
        <v>7242</v>
      </c>
      <c r="AA746">
        <v>0</v>
      </c>
      <c r="AB746">
        <v>104</v>
      </c>
      <c r="AC746" t="s">
        <v>60</v>
      </c>
      <c r="AD746" t="str">
        <f t="shared" si="22"/>
        <v>CP</v>
      </c>
      <c r="AE746" t="str">
        <f>_xlfn.XLOOKUP(D746,Mapping!A:A,Mapping!D:D,0,0)</f>
        <v>Shorties</v>
      </c>
      <c r="AF746" t="str">
        <f t="shared" si="23"/>
        <v>OLD</v>
      </c>
    </row>
    <row r="747" spans="1:32" x14ac:dyDescent="0.2">
      <c r="A747" t="s">
        <v>1118</v>
      </c>
      <c r="B747" t="s">
        <v>29</v>
      </c>
      <c r="C747">
        <v>1012915032</v>
      </c>
      <c r="D747" t="s">
        <v>776</v>
      </c>
      <c r="E747" t="s">
        <v>31</v>
      </c>
      <c r="F747" s="1">
        <v>0.38611111111111113</v>
      </c>
      <c r="G747" t="s">
        <v>32</v>
      </c>
      <c r="H747" t="s">
        <v>33</v>
      </c>
      <c r="I747" t="s">
        <v>41</v>
      </c>
      <c r="J747" t="s">
        <v>58</v>
      </c>
      <c r="K747">
        <v>3</v>
      </c>
      <c r="L747">
        <v>0</v>
      </c>
      <c r="M747" t="s">
        <v>36</v>
      </c>
      <c r="N747" t="s">
        <v>37</v>
      </c>
      <c r="O747">
        <v>2321</v>
      </c>
      <c r="P747">
        <v>32</v>
      </c>
      <c r="Q747">
        <v>1.3787199999999999</v>
      </c>
      <c r="R747">
        <v>1</v>
      </c>
      <c r="S747">
        <v>3.18</v>
      </c>
      <c r="T747">
        <v>1.3680000000000001</v>
      </c>
      <c r="U747">
        <v>9.9000000000000005E-2</v>
      </c>
      <c r="V747">
        <v>3.1749999999999998</v>
      </c>
      <c r="W747">
        <v>1</v>
      </c>
      <c r="X747">
        <v>0</v>
      </c>
      <c r="Y747" t="s">
        <v>36</v>
      </c>
      <c r="Z747">
        <v>2321</v>
      </c>
      <c r="AA747">
        <v>0</v>
      </c>
      <c r="AB747">
        <v>37</v>
      </c>
      <c r="AC747" t="s">
        <v>60</v>
      </c>
      <c r="AD747" t="str">
        <f t="shared" si="22"/>
        <v>CP</v>
      </c>
      <c r="AE747" t="str">
        <f>_xlfn.XLOOKUP(D747,Mapping!A:A,Mapping!D:D,0,0)</f>
        <v>Shorties</v>
      </c>
      <c r="AF747" t="str">
        <f t="shared" si="23"/>
        <v>OLD</v>
      </c>
    </row>
    <row r="748" spans="1:32" x14ac:dyDescent="0.2">
      <c r="A748" t="s">
        <v>1118</v>
      </c>
      <c r="B748" t="s">
        <v>39</v>
      </c>
      <c r="C748">
        <v>1012915042</v>
      </c>
      <c r="D748" t="s">
        <v>777</v>
      </c>
      <c r="E748" t="s">
        <v>31</v>
      </c>
      <c r="F748" s="1">
        <v>0.38611111111111113</v>
      </c>
      <c r="G748" t="s">
        <v>32</v>
      </c>
      <c r="H748" t="s">
        <v>33</v>
      </c>
      <c r="I748" t="s">
        <v>41</v>
      </c>
      <c r="J748" t="s">
        <v>58</v>
      </c>
      <c r="K748">
        <v>3</v>
      </c>
      <c r="L748">
        <v>0</v>
      </c>
      <c r="M748" t="s">
        <v>36</v>
      </c>
      <c r="N748" t="s">
        <v>37</v>
      </c>
      <c r="O748">
        <v>0</v>
      </c>
      <c r="P748">
        <v>0</v>
      </c>
      <c r="Q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 t="s">
        <v>36</v>
      </c>
      <c r="AC748" t="s">
        <v>60</v>
      </c>
      <c r="AD748" t="str">
        <f t="shared" si="22"/>
        <v>CP</v>
      </c>
      <c r="AE748" t="str">
        <f>_xlfn.XLOOKUP(D748,Mapping!A:A,Mapping!D:D,0,0)</f>
        <v>Shorties</v>
      </c>
      <c r="AF748" t="str">
        <f t="shared" si="23"/>
        <v>OLD</v>
      </c>
    </row>
    <row r="749" spans="1:32" x14ac:dyDescent="0.2">
      <c r="A749" t="s">
        <v>1118</v>
      </c>
      <c r="B749" t="s">
        <v>29</v>
      </c>
      <c r="C749">
        <v>1012915052</v>
      </c>
      <c r="D749" t="s">
        <v>778</v>
      </c>
      <c r="E749" t="s">
        <v>31</v>
      </c>
      <c r="F749" s="1">
        <v>0.38611111111111113</v>
      </c>
      <c r="G749" t="s">
        <v>32</v>
      </c>
      <c r="H749" t="s">
        <v>33</v>
      </c>
      <c r="I749" t="s">
        <v>41</v>
      </c>
      <c r="J749" t="s">
        <v>58</v>
      </c>
      <c r="K749">
        <v>3</v>
      </c>
      <c r="L749">
        <v>0</v>
      </c>
      <c r="M749" t="s">
        <v>36</v>
      </c>
      <c r="N749" t="s">
        <v>37</v>
      </c>
      <c r="O749">
        <v>460</v>
      </c>
      <c r="P749">
        <v>11</v>
      </c>
      <c r="Q749">
        <v>2.3913000000000002</v>
      </c>
      <c r="R749">
        <v>0</v>
      </c>
      <c r="S749">
        <v>0.17</v>
      </c>
      <c r="T749">
        <v>0.36499999999999999</v>
      </c>
      <c r="U749">
        <v>1.4999999999999999E-2</v>
      </c>
      <c r="V749">
        <v>0</v>
      </c>
      <c r="W749">
        <v>1</v>
      </c>
      <c r="X749">
        <v>0</v>
      </c>
      <c r="Y749" t="s">
        <v>36</v>
      </c>
      <c r="Z749">
        <v>460</v>
      </c>
      <c r="AA749">
        <v>0</v>
      </c>
      <c r="AB749">
        <v>3</v>
      </c>
      <c r="AC749" t="s">
        <v>60</v>
      </c>
      <c r="AD749" t="str">
        <f t="shared" si="22"/>
        <v>CP</v>
      </c>
      <c r="AE749" t="str">
        <f>_xlfn.XLOOKUP(D749,Mapping!A:A,Mapping!D:D,0,0)</f>
        <v>Shorties</v>
      </c>
      <c r="AF749" t="str">
        <f t="shared" si="23"/>
        <v>OLD</v>
      </c>
    </row>
    <row r="750" spans="1:32" x14ac:dyDescent="0.2">
      <c r="A750" t="s">
        <v>1118</v>
      </c>
      <c r="B750" t="s">
        <v>39</v>
      </c>
      <c r="C750">
        <v>1012915072</v>
      </c>
      <c r="D750" t="s">
        <v>779</v>
      </c>
      <c r="E750" t="s">
        <v>31</v>
      </c>
      <c r="F750" s="1">
        <v>0.38611111111111113</v>
      </c>
      <c r="G750" t="s">
        <v>32</v>
      </c>
      <c r="H750" t="s">
        <v>33</v>
      </c>
      <c r="I750" t="s">
        <v>41</v>
      </c>
      <c r="J750" t="s">
        <v>58</v>
      </c>
      <c r="K750">
        <v>3</v>
      </c>
      <c r="L750">
        <v>0</v>
      </c>
      <c r="M750" t="s">
        <v>36</v>
      </c>
      <c r="N750" t="s">
        <v>37</v>
      </c>
      <c r="O750">
        <v>0</v>
      </c>
      <c r="P750">
        <v>0</v>
      </c>
      <c r="Q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 t="s">
        <v>36</v>
      </c>
      <c r="AC750" t="s">
        <v>60</v>
      </c>
      <c r="AD750" t="str">
        <f t="shared" si="22"/>
        <v>CP</v>
      </c>
      <c r="AE750" t="str">
        <f>_xlfn.XLOOKUP(D750,Mapping!A:A,Mapping!D:D,0,0)</f>
        <v>Shorties</v>
      </c>
      <c r="AF750" t="str">
        <f t="shared" si="23"/>
        <v>OLD</v>
      </c>
    </row>
    <row r="751" spans="1:32" x14ac:dyDescent="0.2">
      <c r="A751" t="s">
        <v>1118</v>
      </c>
      <c r="B751" t="s">
        <v>39</v>
      </c>
      <c r="C751">
        <v>1012915082</v>
      </c>
      <c r="D751" t="s">
        <v>780</v>
      </c>
      <c r="E751" t="s">
        <v>31</v>
      </c>
      <c r="F751" s="1">
        <v>0.38611111111111113</v>
      </c>
      <c r="G751" t="s">
        <v>32</v>
      </c>
      <c r="H751" t="s">
        <v>33</v>
      </c>
      <c r="I751" t="s">
        <v>41</v>
      </c>
      <c r="J751" t="s">
        <v>58</v>
      </c>
      <c r="K751">
        <v>3</v>
      </c>
      <c r="L751">
        <v>0</v>
      </c>
      <c r="M751" t="s">
        <v>36</v>
      </c>
      <c r="N751" t="s">
        <v>37</v>
      </c>
      <c r="O751">
        <v>0</v>
      </c>
      <c r="P751">
        <v>0</v>
      </c>
      <c r="Q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 t="s">
        <v>36</v>
      </c>
      <c r="AC751" t="s">
        <v>60</v>
      </c>
      <c r="AD751" t="str">
        <f t="shared" si="22"/>
        <v>CP</v>
      </c>
      <c r="AE751" t="str">
        <f>_xlfn.XLOOKUP(D751,Mapping!A:A,Mapping!D:D,0,0)</f>
        <v>Shorties</v>
      </c>
      <c r="AF751" t="str">
        <f t="shared" si="23"/>
        <v>OLD</v>
      </c>
    </row>
    <row r="752" spans="1:32" x14ac:dyDescent="0.2">
      <c r="A752" t="s">
        <v>1118</v>
      </c>
      <c r="B752" t="s">
        <v>29</v>
      </c>
      <c r="C752">
        <v>1012915092</v>
      </c>
      <c r="D752" t="s">
        <v>781</v>
      </c>
      <c r="E752" t="s">
        <v>31</v>
      </c>
      <c r="F752" s="1">
        <v>0.38611111111111113</v>
      </c>
      <c r="G752" t="s">
        <v>32</v>
      </c>
      <c r="H752" t="s">
        <v>33</v>
      </c>
      <c r="I752" t="s">
        <v>41</v>
      </c>
      <c r="J752" t="s">
        <v>58</v>
      </c>
      <c r="K752">
        <v>3</v>
      </c>
      <c r="L752">
        <v>0</v>
      </c>
      <c r="M752" t="s">
        <v>36</v>
      </c>
      <c r="N752" t="s">
        <v>37</v>
      </c>
      <c r="O752">
        <v>11463</v>
      </c>
      <c r="P752">
        <v>90</v>
      </c>
      <c r="Q752">
        <v>0.78512999999999999</v>
      </c>
      <c r="R752">
        <v>0</v>
      </c>
      <c r="S752">
        <v>20.9</v>
      </c>
      <c r="T752">
        <v>1.823</v>
      </c>
      <c r="U752">
        <v>0.23200000000000001</v>
      </c>
      <c r="V752">
        <v>0</v>
      </c>
      <c r="W752">
        <v>1</v>
      </c>
      <c r="X752">
        <v>0</v>
      </c>
      <c r="Y752" t="s">
        <v>36</v>
      </c>
      <c r="Z752">
        <v>11466</v>
      </c>
      <c r="AA752">
        <v>0</v>
      </c>
      <c r="AB752">
        <v>110</v>
      </c>
      <c r="AC752" t="s">
        <v>60</v>
      </c>
      <c r="AD752" t="str">
        <f t="shared" si="22"/>
        <v>CP</v>
      </c>
      <c r="AE752" t="str">
        <f>_xlfn.XLOOKUP(D752,Mapping!A:A,Mapping!D:D,0,0)</f>
        <v>Shorties</v>
      </c>
      <c r="AF752" t="str">
        <f t="shared" si="23"/>
        <v>OLD</v>
      </c>
    </row>
    <row r="753" spans="1:32" x14ac:dyDescent="0.2">
      <c r="A753" t="s">
        <v>1118</v>
      </c>
      <c r="B753" t="s">
        <v>29</v>
      </c>
      <c r="C753">
        <v>1012915102</v>
      </c>
      <c r="D753" t="s">
        <v>782</v>
      </c>
      <c r="E753" t="s">
        <v>31</v>
      </c>
      <c r="F753" s="1">
        <v>0.38611111111111113</v>
      </c>
      <c r="G753" t="s">
        <v>32</v>
      </c>
      <c r="H753" t="s">
        <v>33</v>
      </c>
      <c r="I753" t="s">
        <v>41</v>
      </c>
      <c r="J753" t="s">
        <v>58</v>
      </c>
      <c r="K753">
        <v>3</v>
      </c>
      <c r="L753">
        <v>0</v>
      </c>
      <c r="M753" t="s">
        <v>36</v>
      </c>
      <c r="N753" t="s">
        <v>37</v>
      </c>
      <c r="O753">
        <v>389</v>
      </c>
      <c r="P753">
        <v>3</v>
      </c>
      <c r="Q753">
        <v>0.77120999999999995</v>
      </c>
      <c r="R753">
        <v>0</v>
      </c>
      <c r="S753">
        <v>0.14000000000000001</v>
      </c>
      <c r="T753">
        <v>0.36499999999999999</v>
      </c>
      <c r="U753">
        <v>4.7E-2</v>
      </c>
      <c r="V753">
        <v>0</v>
      </c>
      <c r="W753">
        <v>1</v>
      </c>
      <c r="X753">
        <v>0</v>
      </c>
      <c r="Y753" t="s">
        <v>36</v>
      </c>
      <c r="Z753">
        <v>388</v>
      </c>
      <c r="AA753">
        <v>0</v>
      </c>
      <c r="AB753">
        <v>0</v>
      </c>
      <c r="AC753" t="s">
        <v>60</v>
      </c>
      <c r="AD753" t="str">
        <f t="shared" si="22"/>
        <v>CP</v>
      </c>
      <c r="AE753" t="str">
        <f>_xlfn.XLOOKUP(D753,Mapping!A:A,Mapping!D:D,0,0)</f>
        <v>Shorties</v>
      </c>
      <c r="AF753" t="str">
        <f t="shared" si="23"/>
        <v>OLD</v>
      </c>
    </row>
    <row r="754" spans="1:32" x14ac:dyDescent="0.2">
      <c r="A754" t="s">
        <v>1118</v>
      </c>
      <c r="B754" t="s">
        <v>39</v>
      </c>
      <c r="C754">
        <v>1012915132</v>
      </c>
      <c r="D754" t="s">
        <v>599</v>
      </c>
      <c r="E754" t="s">
        <v>31</v>
      </c>
      <c r="F754" s="1">
        <v>0.67291666666666672</v>
      </c>
      <c r="G754" t="s">
        <v>32</v>
      </c>
      <c r="H754" t="s">
        <v>33</v>
      </c>
      <c r="I754" t="s">
        <v>34</v>
      </c>
      <c r="J754" t="s">
        <v>84</v>
      </c>
      <c r="K754">
        <v>36</v>
      </c>
      <c r="L754">
        <v>0</v>
      </c>
      <c r="M754" t="s">
        <v>63</v>
      </c>
      <c r="N754">
        <v>250</v>
      </c>
      <c r="O754">
        <v>0</v>
      </c>
      <c r="P754">
        <v>0</v>
      </c>
      <c r="Q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 t="s">
        <v>36</v>
      </c>
      <c r="AC754" t="s">
        <v>783</v>
      </c>
      <c r="AD754" t="str">
        <f t="shared" si="22"/>
        <v>CP</v>
      </c>
      <c r="AE754" t="str">
        <f>_xlfn.XLOOKUP(D754,Mapping!A:A,Mapping!D:D,0,0)</f>
        <v>Bin</v>
      </c>
      <c r="AF754" t="str">
        <f t="shared" si="23"/>
        <v>OLD</v>
      </c>
    </row>
    <row r="755" spans="1:32" x14ac:dyDescent="0.2">
      <c r="A755" t="s">
        <v>1118</v>
      </c>
      <c r="B755" t="s">
        <v>39</v>
      </c>
      <c r="C755">
        <v>1012915142</v>
      </c>
      <c r="D755" t="s">
        <v>627</v>
      </c>
      <c r="E755" t="s">
        <v>31</v>
      </c>
      <c r="F755" s="1">
        <v>0.67291666666666672</v>
      </c>
      <c r="G755" t="s">
        <v>32</v>
      </c>
      <c r="H755" t="s">
        <v>33</v>
      </c>
      <c r="I755" t="s">
        <v>41</v>
      </c>
      <c r="J755" t="s">
        <v>62</v>
      </c>
      <c r="K755">
        <v>90</v>
      </c>
      <c r="L755">
        <v>0</v>
      </c>
      <c r="M755" t="s">
        <v>63</v>
      </c>
      <c r="N755">
        <v>250</v>
      </c>
      <c r="O755">
        <v>0</v>
      </c>
      <c r="P755">
        <v>0</v>
      </c>
      <c r="Q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 t="s">
        <v>36</v>
      </c>
      <c r="AC755" t="s">
        <v>783</v>
      </c>
      <c r="AD755" t="str">
        <f t="shared" si="22"/>
        <v>CP</v>
      </c>
      <c r="AE755" t="str">
        <f>_xlfn.XLOOKUP(D755,Mapping!A:A,Mapping!D:D,0,0)</f>
        <v>Bin</v>
      </c>
      <c r="AF755" t="str">
        <f t="shared" si="23"/>
        <v>OLD</v>
      </c>
    </row>
    <row r="756" spans="1:32" x14ac:dyDescent="0.2">
      <c r="A756" t="s">
        <v>1118</v>
      </c>
      <c r="B756" t="s">
        <v>39</v>
      </c>
      <c r="C756">
        <v>1012915172</v>
      </c>
      <c r="D756" t="s">
        <v>339</v>
      </c>
      <c r="E756" t="s">
        <v>31</v>
      </c>
      <c r="F756" s="1">
        <v>0.67291666666666672</v>
      </c>
      <c r="G756" t="s">
        <v>32</v>
      </c>
      <c r="H756" t="s">
        <v>33</v>
      </c>
      <c r="I756" t="s">
        <v>41</v>
      </c>
      <c r="J756" t="s">
        <v>62</v>
      </c>
      <c r="K756">
        <v>90</v>
      </c>
      <c r="L756">
        <v>0</v>
      </c>
      <c r="M756" t="s">
        <v>63</v>
      </c>
      <c r="N756">
        <v>250</v>
      </c>
      <c r="O756">
        <v>0</v>
      </c>
      <c r="P756">
        <v>0</v>
      </c>
      <c r="Q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 t="s">
        <v>36</v>
      </c>
      <c r="AC756" t="s">
        <v>783</v>
      </c>
      <c r="AD756" t="str">
        <f t="shared" si="22"/>
        <v>CP</v>
      </c>
      <c r="AE756" t="str">
        <f>_xlfn.XLOOKUP(D756,Mapping!A:A,Mapping!D:D,0,0)</f>
        <v>Bin</v>
      </c>
      <c r="AF756" t="str">
        <f t="shared" si="23"/>
        <v>OLD</v>
      </c>
    </row>
    <row r="757" spans="1:32" x14ac:dyDescent="0.2">
      <c r="A757" t="s">
        <v>1118</v>
      </c>
      <c r="B757" t="s">
        <v>39</v>
      </c>
      <c r="C757">
        <v>1012915182</v>
      </c>
      <c r="D757" t="s">
        <v>336</v>
      </c>
      <c r="E757" t="s">
        <v>31</v>
      </c>
      <c r="F757" s="1">
        <v>0.67291666666666672</v>
      </c>
      <c r="G757" t="s">
        <v>32</v>
      </c>
      <c r="H757" t="s">
        <v>33</v>
      </c>
      <c r="I757" t="s">
        <v>41</v>
      </c>
      <c r="J757" t="s">
        <v>62</v>
      </c>
      <c r="K757">
        <v>90</v>
      </c>
      <c r="L757">
        <v>0</v>
      </c>
      <c r="M757" t="s">
        <v>63</v>
      </c>
      <c r="N757">
        <v>250</v>
      </c>
      <c r="O757">
        <v>0</v>
      </c>
      <c r="P757">
        <v>0</v>
      </c>
      <c r="Q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 t="s">
        <v>36</v>
      </c>
      <c r="AC757" t="s">
        <v>783</v>
      </c>
      <c r="AD757" t="str">
        <f t="shared" si="22"/>
        <v>CP</v>
      </c>
      <c r="AE757" t="str">
        <f>_xlfn.XLOOKUP(D757,Mapping!A:A,Mapping!D:D,0,0)</f>
        <v>Bin</v>
      </c>
      <c r="AF757" t="str">
        <f t="shared" si="23"/>
        <v>OLD</v>
      </c>
    </row>
    <row r="758" spans="1:32" x14ac:dyDescent="0.2">
      <c r="A758" t="s">
        <v>1118</v>
      </c>
      <c r="B758" t="s">
        <v>39</v>
      </c>
      <c r="C758">
        <v>1012915192</v>
      </c>
      <c r="D758" t="s">
        <v>342</v>
      </c>
      <c r="E758" t="s">
        <v>31</v>
      </c>
      <c r="F758" s="1">
        <v>0.67291666666666672</v>
      </c>
      <c r="G758" t="s">
        <v>32</v>
      </c>
      <c r="H758" t="s">
        <v>33</v>
      </c>
      <c r="I758" t="s">
        <v>41</v>
      </c>
      <c r="J758" t="s">
        <v>62</v>
      </c>
      <c r="K758">
        <v>90</v>
      </c>
      <c r="L758">
        <v>0</v>
      </c>
      <c r="M758" t="s">
        <v>63</v>
      </c>
      <c r="N758">
        <v>250</v>
      </c>
      <c r="O758">
        <v>0</v>
      </c>
      <c r="P758">
        <v>0</v>
      </c>
      <c r="Q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 t="s">
        <v>36</v>
      </c>
      <c r="AC758" t="s">
        <v>783</v>
      </c>
      <c r="AD758" t="str">
        <f t="shared" si="22"/>
        <v>CP</v>
      </c>
      <c r="AE758" t="str">
        <f>_xlfn.XLOOKUP(D758,Mapping!A:A,Mapping!D:D,0,0)</f>
        <v>Bin</v>
      </c>
      <c r="AF758" t="str">
        <f t="shared" si="23"/>
        <v>OLD</v>
      </c>
    </row>
    <row r="759" spans="1:32" x14ac:dyDescent="0.2">
      <c r="A759" t="s">
        <v>1118</v>
      </c>
      <c r="B759" t="s">
        <v>39</v>
      </c>
      <c r="C759">
        <v>1012915202</v>
      </c>
      <c r="D759" t="s">
        <v>784</v>
      </c>
      <c r="E759" t="s">
        <v>31</v>
      </c>
      <c r="F759" s="1">
        <v>0.67291666666666672</v>
      </c>
      <c r="G759" t="s">
        <v>32</v>
      </c>
      <c r="H759" t="s">
        <v>33</v>
      </c>
      <c r="I759" t="s">
        <v>41</v>
      </c>
      <c r="J759" t="s">
        <v>62</v>
      </c>
      <c r="K759">
        <v>90</v>
      </c>
      <c r="L759">
        <v>0</v>
      </c>
      <c r="M759" t="s">
        <v>63</v>
      </c>
      <c r="N759">
        <v>250</v>
      </c>
      <c r="O759">
        <v>0</v>
      </c>
      <c r="P759">
        <v>0</v>
      </c>
      <c r="Q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 t="s">
        <v>36</v>
      </c>
      <c r="AC759" t="s">
        <v>783</v>
      </c>
      <c r="AD759" t="str">
        <f t="shared" si="22"/>
        <v>CP</v>
      </c>
      <c r="AE759" t="str">
        <f>_xlfn.XLOOKUP(D759,Mapping!A:A,Mapping!D:D,0,0)</f>
        <v>Cowgirl</v>
      </c>
      <c r="AF759" t="str">
        <f t="shared" si="23"/>
        <v>OLD</v>
      </c>
    </row>
    <row r="760" spans="1:32" x14ac:dyDescent="0.2">
      <c r="A760" t="s">
        <v>1118</v>
      </c>
      <c r="B760" t="s">
        <v>39</v>
      </c>
      <c r="C760">
        <v>1012915212</v>
      </c>
      <c r="D760" t="s">
        <v>637</v>
      </c>
      <c r="E760" t="s">
        <v>31</v>
      </c>
      <c r="F760" s="1">
        <v>0.67291666666666672</v>
      </c>
      <c r="G760" t="s">
        <v>32</v>
      </c>
      <c r="H760" t="s">
        <v>33</v>
      </c>
      <c r="I760" t="s">
        <v>41</v>
      </c>
      <c r="J760" t="s">
        <v>62</v>
      </c>
      <c r="K760">
        <v>90</v>
      </c>
      <c r="L760">
        <v>0</v>
      </c>
      <c r="M760" t="s">
        <v>63</v>
      </c>
      <c r="N760">
        <v>250</v>
      </c>
      <c r="O760">
        <v>0</v>
      </c>
      <c r="P760">
        <v>0</v>
      </c>
      <c r="Q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 t="s">
        <v>36</v>
      </c>
      <c r="AC760" t="s">
        <v>783</v>
      </c>
      <c r="AD760" t="str">
        <f t="shared" si="22"/>
        <v>CP</v>
      </c>
      <c r="AE760" t="str">
        <f>_xlfn.XLOOKUP(D760,Mapping!A:A,Mapping!D:D,0,0)</f>
        <v>Bin</v>
      </c>
      <c r="AF760" t="str">
        <f t="shared" si="23"/>
        <v>OLD</v>
      </c>
    </row>
    <row r="761" spans="1:32" x14ac:dyDescent="0.2">
      <c r="A761" t="s">
        <v>1118</v>
      </c>
      <c r="B761" t="s">
        <v>39</v>
      </c>
      <c r="C761">
        <v>1012915222</v>
      </c>
      <c r="D761" t="s">
        <v>785</v>
      </c>
      <c r="E761" t="s">
        <v>31</v>
      </c>
      <c r="F761" s="1">
        <v>0.67291666666666672</v>
      </c>
      <c r="G761" t="s">
        <v>32</v>
      </c>
      <c r="H761" t="s">
        <v>33</v>
      </c>
      <c r="I761" t="s">
        <v>41</v>
      </c>
      <c r="J761" t="s">
        <v>62</v>
      </c>
      <c r="K761">
        <v>90</v>
      </c>
      <c r="L761">
        <v>0</v>
      </c>
      <c r="M761" t="s">
        <v>63</v>
      </c>
      <c r="N761">
        <v>250</v>
      </c>
      <c r="O761">
        <v>0</v>
      </c>
      <c r="P761">
        <v>0</v>
      </c>
      <c r="Q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 t="s">
        <v>36</v>
      </c>
      <c r="AC761" t="s">
        <v>783</v>
      </c>
      <c r="AD761" t="str">
        <f t="shared" si="22"/>
        <v>CP</v>
      </c>
      <c r="AE761" t="str">
        <f>_xlfn.XLOOKUP(D761,Mapping!A:A,Mapping!D:D,0,0)</f>
        <v>Cowgirl</v>
      </c>
      <c r="AF761" t="str">
        <f t="shared" si="23"/>
        <v>OLD</v>
      </c>
    </row>
    <row r="762" spans="1:32" x14ac:dyDescent="0.2">
      <c r="A762" t="s">
        <v>1118</v>
      </c>
      <c r="B762" t="s">
        <v>39</v>
      </c>
      <c r="C762">
        <v>1012915232</v>
      </c>
      <c r="D762" t="s">
        <v>786</v>
      </c>
      <c r="E762" t="s">
        <v>31</v>
      </c>
      <c r="F762" s="1">
        <v>0.67291666666666672</v>
      </c>
      <c r="G762" t="s">
        <v>32</v>
      </c>
      <c r="H762" t="s">
        <v>33</v>
      </c>
      <c r="I762" t="s">
        <v>41</v>
      </c>
      <c r="J762" t="s">
        <v>62</v>
      </c>
      <c r="K762">
        <v>90</v>
      </c>
      <c r="L762">
        <v>0</v>
      </c>
      <c r="M762" t="s">
        <v>63</v>
      </c>
      <c r="N762">
        <v>250</v>
      </c>
      <c r="O762">
        <v>0</v>
      </c>
      <c r="P762">
        <v>0</v>
      </c>
      <c r="Q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 t="s">
        <v>36</v>
      </c>
      <c r="AC762" t="s">
        <v>783</v>
      </c>
      <c r="AD762" t="str">
        <f t="shared" si="22"/>
        <v>CP</v>
      </c>
      <c r="AE762" t="str">
        <f>_xlfn.XLOOKUP(D762,Mapping!A:A,Mapping!D:D,0,0)</f>
        <v>Cowgirl</v>
      </c>
      <c r="AF762" t="str">
        <f t="shared" si="23"/>
        <v>OLD</v>
      </c>
    </row>
    <row r="763" spans="1:32" x14ac:dyDescent="0.2">
      <c r="A763" t="s">
        <v>1118</v>
      </c>
      <c r="B763" t="s">
        <v>39</v>
      </c>
      <c r="C763">
        <v>1012915242</v>
      </c>
      <c r="D763" t="s">
        <v>343</v>
      </c>
      <c r="E763" t="s">
        <v>31</v>
      </c>
      <c r="F763" s="1">
        <v>0.67291666666666672</v>
      </c>
      <c r="G763" t="s">
        <v>32</v>
      </c>
      <c r="H763" t="s">
        <v>33</v>
      </c>
      <c r="I763" t="s">
        <v>41</v>
      </c>
      <c r="J763" t="s">
        <v>62</v>
      </c>
      <c r="K763">
        <v>90</v>
      </c>
      <c r="L763">
        <v>0</v>
      </c>
      <c r="M763" t="s">
        <v>63</v>
      </c>
      <c r="N763">
        <v>250</v>
      </c>
      <c r="O763">
        <v>0</v>
      </c>
      <c r="P763">
        <v>0</v>
      </c>
      <c r="Q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 t="s">
        <v>36</v>
      </c>
      <c r="AC763" t="s">
        <v>783</v>
      </c>
      <c r="AD763" t="str">
        <f t="shared" si="22"/>
        <v>CP</v>
      </c>
      <c r="AE763" t="str">
        <f>_xlfn.XLOOKUP(D763,Mapping!A:A,Mapping!D:D,0,0)</f>
        <v>Archive</v>
      </c>
      <c r="AF763" t="str">
        <f t="shared" si="23"/>
        <v>OLD</v>
      </c>
    </row>
    <row r="764" spans="1:32" x14ac:dyDescent="0.2">
      <c r="A764" t="s">
        <v>1118</v>
      </c>
      <c r="B764" t="s">
        <v>39</v>
      </c>
      <c r="C764">
        <v>1012915252</v>
      </c>
      <c r="D764" t="s">
        <v>787</v>
      </c>
      <c r="E764" t="s">
        <v>31</v>
      </c>
      <c r="F764" s="1">
        <v>0.67291666666666672</v>
      </c>
      <c r="G764" t="s">
        <v>32</v>
      </c>
      <c r="H764" t="s">
        <v>33</v>
      </c>
      <c r="I764" t="s">
        <v>41</v>
      </c>
      <c r="J764" t="s">
        <v>62</v>
      </c>
      <c r="K764">
        <v>90</v>
      </c>
      <c r="L764">
        <v>0</v>
      </c>
      <c r="M764" t="s">
        <v>63</v>
      </c>
      <c r="N764">
        <v>250</v>
      </c>
      <c r="O764">
        <v>0</v>
      </c>
      <c r="P764">
        <v>0</v>
      </c>
      <c r="Q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 t="s">
        <v>36</v>
      </c>
      <c r="AC764" t="s">
        <v>783</v>
      </c>
      <c r="AD764" t="str">
        <f t="shared" si="22"/>
        <v>CP</v>
      </c>
      <c r="AE764" t="str">
        <f>_xlfn.XLOOKUP(D764,Mapping!A:A,Mapping!D:D,0,0)</f>
        <v>Cowgirl</v>
      </c>
      <c r="AF764" t="str">
        <f t="shared" si="23"/>
        <v>OLD</v>
      </c>
    </row>
    <row r="765" spans="1:32" x14ac:dyDescent="0.2">
      <c r="A765" t="s">
        <v>1118</v>
      </c>
      <c r="B765" t="s">
        <v>29</v>
      </c>
      <c r="C765">
        <v>1012915262</v>
      </c>
      <c r="D765" t="s">
        <v>788</v>
      </c>
      <c r="E765" t="s">
        <v>31</v>
      </c>
      <c r="F765" s="1">
        <v>0.67291666666666672</v>
      </c>
      <c r="G765" t="s">
        <v>32</v>
      </c>
      <c r="H765" t="s">
        <v>33</v>
      </c>
      <c r="I765" t="s">
        <v>34</v>
      </c>
      <c r="J765" t="s">
        <v>84</v>
      </c>
      <c r="K765">
        <v>36</v>
      </c>
      <c r="L765">
        <v>0</v>
      </c>
      <c r="M765" t="s">
        <v>63</v>
      </c>
      <c r="N765">
        <v>250</v>
      </c>
      <c r="O765">
        <v>456</v>
      </c>
      <c r="P765">
        <v>26</v>
      </c>
      <c r="Q765">
        <v>5.7017499999999997</v>
      </c>
      <c r="R765">
        <v>0</v>
      </c>
      <c r="S765">
        <v>0.48</v>
      </c>
      <c r="T765">
        <v>1.042</v>
      </c>
      <c r="U765">
        <v>1.7999999999999999E-2</v>
      </c>
      <c r="V765">
        <v>0</v>
      </c>
      <c r="W765">
        <v>1</v>
      </c>
      <c r="X765">
        <v>0</v>
      </c>
      <c r="Y765" t="s">
        <v>36</v>
      </c>
      <c r="Z765">
        <v>456</v>
      </c>
      <c r="AA765">
        <v>304</v>
      </c>
      <c r="AB765">
        <v>85</v>
      </c>
      <c r="AC765" t="s">
        <v>783</v>
      </c>
      <c r="AD765" t="str">
        <f t="shared" si="22"/>
        <v>CP</v>
      </c>
      <c r="AE765" t="str">
        <f>_xlfn.XLOOKUP(D765,Mapping!A:A,Mapping!D:D,0,0)</f>
        <v>Keyword - Preroll</v>
      </c>
      <c r="AF765" t="str">
        <f t="shared" si="23"/>
        <v>OLD</v>
      </c>
    </row>
    <row r="766" spans="1:32" x14ac:dyDescent="0.2">
      <c r="A766" t="s">
        <v>1118</v>
      </c>
      <c r="B766" t="s">
        <v>39</v>
      </c>
      <c r="C766">
        <v>1012915272</v>
      </c>
      <c r="D766" t="s">
        <v>344</v>
      </c>
      <c r="E766" t="s">
        <v>31</v>
      </c>
      <c r="F766" s="1">
        <v>0.67291666666666672</v>
      </c>
      <c r="G766" t="s">
        <v>32</v>
      </c>
      <c r="H766" t="s">
        <v>33</v>
      </c>
      <c r="I766" t="s">
        <v>34</v>
      </c>
      <c r="J766" t="s">
        <v>84</v>
      </c>
      <c r="K766">
        <v>36</v>
      </c>
      <c r="L766">
        <v>0</v>
      </c>
      <c r="M766" t="s">
        <v>63</v>
      </c>
      <c r="N766">
        <v>250</v>
      </c>
      <c r="O766">
        <v>0</v>
      </c>
      <c r="P766">
        <v>0</v>
      </c>
      <c r="Q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 t="s">
        <v>36</v>
      </c>
      <c r="AC766" t="s">
        <v>783</v>
      </c>
      <c r="AD766" t="str">
        <f t="shared" si="22"/>
        <v>CP</v>
      </c>
      <c r="AE766" t="str">
        <f>_xlfn.XLOOKUP(D766,Mapping!A:A,Mapping!D:D,0,0)</f>
        <v>Bin</v>
      </c>
      <c r="AF766" t="str">
        <f t="shared" si="23"/>
        <v>OLD</v>
      </c>
    </row>
    <row r="767" spans="1:32" x14ac:dyDescent="0.2">
      <c r="A767" t="s">
        <v>1118</v>
      </c>
      <c r="B767" t="s">
        <v>39</v>
      </c>
      <c r="C767">
        <v>1012915282</v>
      </c>
      <c r="D767" t="s">
        <v>341</v>
      </c>
      <c r="E767" t="s">
        <v>31</v>
      </c>
      <c r="F767" s="1">
        <v>0.67291666666666672</v>
      </c>
      <c r="G767" t="s">
        <v>32</v>
      </c>
      <c r="H767" t="s">
        <v>33</v>
      </c>
      <c r="I767" t="s">
        <v>34</v>
      </c>
      <c r="J767" t="s">
        <v>84</v>
      </c>
      <c r="K767">
        <v>36</v>
      </c>
      <c r="L767">
        <v>0</v>
      </c>
      <c r="M767" t="s">
        <v>63</v>
      </c>
      <c r="N767">
        <v>250</v>
      </c>
      <c r="O767">
        <v>0</v>
      </c>
      <c r="P767">
        <v>0</v>
      </c>
      <c r="Q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 t="s">
        <v>36</v>
      </c>
      <c r="AC767" t="s">
        <v>783</v>
      </c>
      <c r="AD767" t="str">
        <f t="shared" si="22"/>
        <v>CP</v>
      </c>
      <c r="AE767" t="str">
        <f>_xlfn.XLOOKUP(D767,Mapping!A:A,Mapping!D:D,0,0)</f>
        <v>Bin</v>
      </c>
      <c r="AF767" t="str">
        <f t="shared" si="23"/>
        <v>OLD</v>
      </c>
    </row>
    <row r="768" spans="1:32" x14ac:dyDescent="0.2">
      <c r="A768" t="s">
        <v>1118</v>
      </c>
      <c r="B768" t="s">
        <v>39</v>
      </c>
      <c r="C768">
        <v>1012915292</v>
      </c>
      <c r="D768" t="s">
        <v>598</v>
      </c>
      <c r="E768" t="s">
        <v>31</v>
      </c>
      <c r="F768" s="1">
        <v>0.67291666666666672</v>
      </c>
      <c r="G768" t="s">
        <v>32</v>
      </c>
      <c r="H768" t="s">
        <v>33</v>
      </c>
      <c r="I768" t="s">
        <v>34</v>
      </c>
      <c r="J768" t="s">
        <v>84</v>
      </c>
      <c r="K768">
        <v>36</v>
      </c>
      <c r="L768">
        <v>0</v>
      </c>
      <c r="M768" t="s">
        <v>63</v>
      </c>
      <c r="N768">
        <v>250</v>
      </c>
      <c r="O768">
        <v>0</v>
      </c>
      <c r="P768">
        <v>0</v>
      </c>
      <c r="Q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 t="s">
        <v>36</v>
      </c>
      <c r="AC768" t="s">
        <v>783</v>
      </c>
      <c r="AD768" t="str">
        <f t="shared" si="22"/>
        <v>CP</v>
      </c>
      <c r="AE768" t="str">
        <f>_xlfn.XLOOKUP(D768,Mapping!A:A,Mapping!D:D,0,0)</f>
        <v>Keyword - Preroll</v>
      </c>
      <c r="AF768" t="str">
        <f t="shared" si="23"/>
        <v>OLD</v>
      </c>
    </row>
    <row r="769" spans="1:32" x14ac:dyDescent="0.2">
      <c r="A769" t="s">
        <v>1118</v>
      </c>
      <c r="B769" t="s">
        <v>39</v>
      </c>
      <c r="C769">
        <v>1012915392</v>
      </c>
      <c r="D769" t="s">
        <v>122</v>
      </c>
      <c r="E769" t="s">
        <v>31</v>
      </c>
      <c r="F769" s="1">
        <v>0.67291666666666672</v>
      </c>
      <c r="G769" t="s">
        <v>32</v>
      </c>
      <c r="H769" t="s">
        <v>33</v>
      </c>
      <c r="I769" t="s">
        <v>41</v>
      </c>
      <c r="J769" t="s">
        <v>58</v>
      </c>
      <c r="K769">
        <v>20</v>
      </c>
      <c r="L769">
        <v>0</v>
      </c>
      <c r="M769" t="s">
        <v>63</v>
      </c>
      <c r="N769">
        <v>250</v>
      </c>
      <c r="O769">
        <v>0</v>
      </c>
      <c r="P769">
        <v>0</v>
      </c>
      <c r="Q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 t="s">
        <v>36</v>
      </c>
      <c r="AC769" t="s">
        <v>789</v>
      </c>
      <c r="AD769" t="str">
        <f t="shared" si="22"/>
        <v>CP</v>
      </c>
      <c r="AE769" t="str">
        <f>_xlfn.XLOOKUP(D769,Mapping!A:A,Mapping!D:D,0,0)</f>
        <v>Bin</v>
      </c>
      <c r="AF769" t="str">
        <f t="shared" si="23"/>
        <v>OLD</v>
      </c>
    </row>
    <row r="770" spans="1:32" x14ac:dyDescent="0.2">
      <c r="A770" t="s">
        <v>1118</v>
      </c>
      <c r="B770" t="s">
        <v>29</v>
      </c>
      <c r="C770">
        <v>1012915402</v>
      </c>
      <c r="D770" t="s">
        <v>123</v>
      </c>
      <c r="E770" t="s">
        <v>31</v>
      </c>
      <c r="F770" s="1">
        <v>0.67291666666666672</v>
      </c>
      <c r="G770" t="s">
        <v>32</v>
      </c>
      <c r="H770" t="s">
        <v>33</v>
      </c>
      <c r="I770" t="s">
        <v>34</v>
      </c>
      <c r="J770" t="s">
        <v>124</v>
      </c>
      <c r="K770">
        <v>16</v>
      </c>
      <c r="L770">
        <v>0</v>
      </c>
      <c r="M770" t="s">
        <v>36</v>
      </c>
      <c r="N770" t="s">
        <v>37</v>
      </c>
      <c r="O770">
        <v>9739</v>
      </c>
      <c r="P770">
        <v>427</v>
      </c>
      <c r="Q770">
        <v>4.38443</v>
      </c>
      <c r="R770">
        <v>0</v>
      </c>
      <c r="S770">
        <v>27.73</v>
      </c>
      <c r="T770">
        <v>2.847</v>
      </c>
      <c r="U770">
        <v>6.5000000000000002E-2</v>
      </c>
      <c r="V770">
        <v>0</v>
      </c>
      <c r="W770">
        <v>1</v>
      </c>
      <c r="X770">
        <v>0</v>
      </c>
      <c r="Y770" t="s">
        <v>36</v>
      </c>
      <c r="Z770">
        <v>9731</v>
      </c>
      <c r="AA770">
        <v>7735</v>
      </c>
      <c r="AB770">
        <v>1075</v>
      </c>
      <c r="AC770" t="s">
        <v>789</v>
      </c>
      <c r="AD770" t="str">
        <f t="shared" si="22"/>
        <v>CP</v>
      </c>
      <c r="AE770" t="str">
        <f>_xlfn.XLOOKUP(D770,Mapping!A:A,Mapping!D:D,0,0)</f>
        <v>Trans</v>
      </c>
      <c r="AF770" t="str">
        <f t="shared" si="23"/>
        <v>OLD</v>
      </c>
    </row>
    <row r="771" spans="1:32" x14ac:dyDescent="0.2">
      <c r="A771" t="s">
        <v>1118</v>
      </c>
      <c r="B771" t="s">
        <v>39</v>
      </c>
      <c r="C771">
        <v>1012915422</v>
      </c>
      <c r="D771" t="s">
        <v>639</v>
      </c>
      <c r="E771" t="s">
        <v>31</v>
      </c>
      <c r="F771" s="1">
        <v>0.67291666666666672</v>
      </c>
      <c r="G771" t="s">
        <v>32</v>
      </c>
      <c r="H771" t="s">
        <v>33</v>
      </c>
      <c r="I771" t="s">
        <v>41</v>
      </c>
      <c r="J771" t="s">
        <v>58</v>
      </c>
      <c r="K771">
        <v>20</v>
      </c>
      <c r="L771">
        <v>0</v>
      </c>
      <c r="M771" t="s">
        <v>63</v>
      </c>
      <c r="N771">
        <v>250</v>
      </c>
      <c r="O771">
        <v>0</v>
      </c>
      <c r="P771">
        <v>0</v>
      </c>
      <c r="Q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 t="s">
        <v>36</v>
      </c>
      <c r="AC771" t="s">
        <v>789</v>
      </c>
      <c r="AD771" t="str">
        <f t="shared" ref="AD771:AD834" si="24">LEFT(D771,2)</f>
        <v>CP</v>
      </c>
      <c r="AE771" t="str">
        <f>_xlfn.XLOOKUP(D771,Mapping!A:A,Mapping!D:D,0,0)</f>
        <v>Bin</v>
      </c>
      <c r="AF771" t="str">
        <f t="shared" ref="AF771:AF834" si="25">IFERROR(IF(SEARCH("_TJ",D771)&gt;0,"TJ",NA()),IFERROR(IF(SEARCH("_JB",D771)&gt;0,"JB",NA()),"OLD"))</f>
        <v>OLD</v>
      </c>
    </row>
    <row r="772" spans="1:32" x14ac:dyDescent="0.2">
      <c r="A772" t="s">
        <v>1118</v>
      </c>
      <c r="B772" t="s">
        <v>39</v>
      </c>
      <c r="C772">
        <v>1012915432</v>
      </c>
      <c r="D772" t="s">
        <v>790</v>
      </c>
      <c r="E772" t="s">
        <v>31</v>
      </c>
      <c r="F772" s="1">
        <v>0.67291666666666672</v>
      </c>
      <c r="G772" t="s">
        <v>32</v>
      </c>
      <c r="H772" t="s">
        <v>33</v>
      </c>
      <c r="I772" t="s">
        <v>34</v>
      </c>
      <c r="J772" t="s">
        <v>35</v>
      </c>
      <c r="K772">
        <v>36</v>
      </c>
      <c r="L772">
        <v>0</v>
      </c>
      <c r="M772" t="s">
        <v>63</v>
      </c>
      <c r="N772">
        <v>250</v>
      </c>
      <c r="O772">
        <v>0</v>
      </c>
      <c r="P772">
        <v>0</v>
      </c>
      <c r="Q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 t="s">
        <v>36</v>
      </c>
      <c r="AC772" t="s">
        <v>791</v>
      </c>
      <c r="AD772" t="str">
        <f t="shared" si="24"/>
        <v>CP</v>
      </c>
      <c r="AE772" t="str">
        <f>_xlfn.XLOOKUP(D772,Mapping!A:A,Mapping!D:D,0,0)</f>
        <v>Erotica Interest</v>
      </c>
      <c r="AF772" t="str">
        <f t="shared" si="25"/>
        <v>OLD</v>
      </c>
    </row>
    <row r="773" spans="1:32" x14ac:dyDescent="0.2">
      <c r="A773" t="s">
        <v>1118</v>
      </c>
      <c r="B773" t="s">
        <v>39</v>
      </c>
      <c r="C773">
        <v>1012915442</v>
      </c>
      <c r="D773" t="s">
        <v>792</v>
      </c>
      <c r="E773" t="s">
        <v>31</v>
      </c>
      <c r="F773" s="1">
        <v>0.67291666666666672</v>
      </c>
      <c r="G773" t="s">
        <v>32</v>
      </c>
      <c r="H773" t="s">
        <v>33</v>
      </c>
      <c r="I773" t="s">
        <v>41</v>
      </c>
      <c r="J773" t="s">
        <v>42</v>
      </c>
      <c r="K773">
        <v>90</v>
      </c>
      <c r="L773">
        <v>0</v>
      </c>
      <c r="M773" t="s">
        <v>63</v>
      </c>
      <c r="N773">
        <v>250</v>
      </c>
      <c r="O773">
        <v>0</v>
      </c>
      <c r="P773">
        <v>0</v>
      </c>
      <c r="Q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 t="s">
        <v>36</v>
      </c>
      <c r="AC773" t="s">
        <v>791</v>
      </c>
      <c r="AD773" t="str">
        <f t="shared" si="24"/>
        <v>CP</v>
      </c>
      <c r="AE773" t="str">
        <f>_xlfn.XLOOKUP(D773,Mapping!A:A,Mapping!D:D,0,0)</f>
        <v>Erotica Interest</v>
      </c>
      <c r="AF773" t="str">
        <f t="shared" si="25"/>
        <v>OLD</v>
      </c>
    </row>
    <row r="774" spans="1:32" x14ac:dyDescent="0.2">
      <c r="A774" t="s">
        <v>1118</v>
      </c>
      <c r="B774" t="s">
        <v>29</v>
      </c>
      <c r="C774">
        <v>1012915452</v>
      </c>
      <c r="D774" t="s">
        <v>793</v>
      </c>
      <c r="E774" t="s">
        <v>31</v>
      </c>
      <c r="F774" s="1">
        <v>0.67291666666666672</v>
      </c>
      <c r="G774" t="s">
        <v>32</v>
      </c>
      <c r="H774" t="s">
        <v>33</v>
      </c>
      <c r="I774" t="s">
        <v>41</v>
      </c>
      <c r="J774" t="s">
        <v>42</v>
      </c>
      <c r="K774">
        <v>90</v>
      </c>
      <c r="L774">
        <v>0</v>
      </c>
      <c r="M774" t="s">
        <v>63</v>
      </c>
      <c r="N774">
        <v>250</v>
      </c>
      <c r="O774">
        <v>7076</v>
      </c>
      <c r="P774">
        <v>379</v>
      </c>
      <c r="Q774">
        <v>5.3561300000000003</v>
      </c>
      <c r="R774">
        <v>0</v>
      </c>
      <c r="S774">
        <v>22.45</v>
      </c>
      <c r="T774">
        <v>3.173</v>
      </c>
      <c r="U774">
        <v>5.8999999999999997E-2</v>
      </c>
      <c r="V774">
        <v>0</v>
      </c>
      <c r="W774">
        <v>1</v>
      </c>
      <c r="X774">
        <v>0</v>
      </c>
      <c r="Y774" t="s">
        <v>36</v>
      </c>
      <c r="Z774">
        <v>7071</v>
      </c>
      <c r="AA774">
        <v>6255</v>
      </c>
      <c r="AB774">
        <v>560</v>
      </c>
      <c r="AC774" t="s">
        <v>791</v>
      </c>
      <c r="AD774" t="str">
        <f t="shared" si="24"/>
        <v>CP</v>
      </c>
      <c r="AE774" t="str">
        <f>_xlfn.XLOOKUP(D774,Mapping!A:A,Mapping!D:D,0,0)</f>
        <v>Keyword - Preroll</v>
      </c>
      <c r="AF774" t="str">
        <f t="shared" si="25"/>
        <v>OLD</v>
      </c>
    </row>
    <row r="775" spans="1:32" x14ac:dyDescent="0.2">
      <c r="A775" t="s">
        <v>1118</v>
      </c>
      <c r="B775" t="s">
        <v>29</v>
      </c>
      <c r="C775">
        <v>1012915462</v>
      </c>
      <c r="D775" t="s">
        <v>794</v>
      </c>
      <c r="E775" t="s">
        <v>31</v>
      </c>
      <c r="F775" s="1">
        <v>0.67291666666666672</v>
      </c>
      <c r="G775" t="s">
        <v>32</v>
      </c>
      <c r="H775" t="s">
        <v>33</v>
      </c>
      <c r="I775" t="s">
        <v>34</v>
      </c>
      <c r="J775" t="s">
        <v>35</v>
      </c>
      <c r="K775">
        <v>36</v>
      </c>
      <c r="L775">
        <v>0</v>
      </c>
      <c r="M775" t="s">
        <v>36</v>
      </c>
      <c r="N775" t="s">
        <v>37</v>
      </c>
      <c r="O775">
        <v>307</v>
      </c>
      <c r="P775">
        <v>16</v>
      </c>
      <c r="Q775">
        <v>5.2117300000000002</v>
      </c>
      <c r="R775">
        <v>0</v>
      </c>
      <c r="S775">
        <v>0.77</v>
      </c>
      <c r="T775">
        <v>2.4990000000000001</v>
      </c>
      <c r="U775">
        <v>4.8000000000000001E-2</v>
      </c>
      <c r="V775">
        <v>0</v>
      </c>
      <c r="W775">
        <v>1</v>
      </c>
      <c r="X775">
        <v>0</v>
      </c>
      <c r="Y775" t="s">
        <v>36</v>
      </c>
      <c r="Z775">
        <v>307</v>
      </c>
      <c r="AA775">
        <v>240</v>
      </c>
      <c r="AB775">
        <v>42</v>
      </c>
      <c r="AC775" t="s">
        <v>791</v>
      </c>
      <c r="AD775" t="str">
        <f t="shared" si="24"/>
        <v>CP</v>
      </c>
      <c r="AE775" t="str">
        <f>_xlfn.XLOOKUP(D775,Mapping!A:A,Mapping!D:D,0,0)</f>
        <v>Keyword - Preroll</v>
      </c>
      <c r="AF775" t="str">
        <f t="shared" si="25"/>
        <v>OLD</v>
      </c>
    </row>
    <row r="776" spans="1:32" x14ac:dyDescent="0.2">
      <c r="A776" t="s">
        <v>1118</v>
      </c>
      <c r="B776" t="s">
        <v>29</v>
      </c>
      <c r="C776">
        <v>1012915472</v>
      </c>
      <c r="D776" t="s">
        <v>795</v>
      </c>
      <c r="E776" t="s">
        <v>31</v>
      </c>
      <c r="F776" s="1">
        <v>0.67291666666666672</v>
      </c>
      <c r="G776" t="s">
        <v>32</v>
      </c>
      <c r="H776" t="s">
        <v>33</v>
      </c>
      <c r="I776" t="s">
        <v>34</v>
      </c>
      <c r="J776" t="s">
        <v>35</v>
      </c>
      <c r="K776">
        <v>36</v>
      </c>
      <c r="L776">
        <v>0</v>
      </c>
      <c r="M776" t="s">
        <v>63</v>
      </c>
      <c r="N776">
        <v>250</v>
      </c>
      <c r="O776">
        <v>80</v>
      </c>
      <c r="P776">
        <v>1</v>
      </c>
      <c r="Q776">
        <v>1.25</v>
      </c>
      <c r="R776">
        <v>0</v>
      </c>
      <c r="S776">
        <v>0.22</v>
      </c>
      <c r="T776">
        <v>2.7949999999999999</v>
      </c>
      <c r="U776">
        <v>0.224</v>
      </c>
      <c r="V776">
        <v>0</v>
      </c>
      <c r="W776">
        <v>1</v>
      </c>
      <c r="X776">
        <v>0</v>
      </c>
      <c r="Y776" t="s">
        <v>36</v>
      </c>
      <c r="Z776">
        <v>80</v>
      </c>
      <c r="AA776">
        <v>63</v>
      </c>
      <c r="AB776">
        <v>8</v>
      </c>
      <c r="AC776" t="s">
        <v>791</v>
      </c>
      <c r="AD776" t="str">
        <f t="shared" si="24"/>
        <v>CP</v>
      </c>
      <c r="AE776" t="str">
        <f>_xlfn.XLOOKUP(D776,Mapping!A:A,Mapping!D:D,0,0)</f>
        <v>Keyword - Preroll</v>
      </c>
      <c r="AF776" t="str">
        <f t="shared" si="25"/>
        <v>OLD</v>
      </c>
    </row>
    <row r="777" spans="1:32" x14ac:dyDescent="0.2">
      <c r="A777" t="s">
        <v>1118</v>
      </c>
      <c r="B777" t="s">
        <v>29</v>
      </c>
      <c r="C777">
        <v>1012915482</v>
      </c>
      <c r="D777" t="s">
        <v>796</v>
      </c>
      <c r="E777" t="s">
        <v>31</v>
      </c>
      <c r="F777" s="1">
        <v>0.67291666666666672</v>
      </c>
      <c r="G777" t="s">
        <v>32</v>
      </c>
      <c r="H777" t="s">
        <v>33</v>
      </c>
      <c r="I777" t="s">
        <v>34</v>
      </c>
      <c r="J777" t="s">
        <v>35</v>
      </c>
      <c r="K777">
        <v>36</v>
      </c>
      <c r="L777">
        <v>0</v>
      </c>
      <c r="M777" t="s">
        <v>63</v>
      </c>
      <c r="N777">
        <v>250</v>
      </c>
      <c r="O777">
        <v>482</v>
      </c>
      <c r="P777">
        <v>30</v>
      </c>
      <c r="Q777">
        <v>6.2240700000000002</v>
      </c>
      <c r="R777">
        <v>0</v>
      </c>
      <c r="S777">
        <v>1.24</v>
      </c>
      <c r="T777">
        <v>2.5640000000000001</v>
      </c>
      <c r="U777">
        <v>4.1000000000000002E-2</v>
      </c>
      <c r="V777">
        <v>0</v>
      </c>
      <c r="W777">
        <v>1</v>
      </c>
      <c r="X777">
        <v>0</v>
      </c>
      <c r="Y777" t="s">
        <v>36</v>
      </c>
      <c r="Z777">
        <v>482</v>
      </c>
      <c r="AA777">
        <v>372</v>
      </c>
      <c r="AB777">
        <v>54</v>
      </c>
      <c r="AC777" t="s">
        <v>791</v>
      </c>
      <c r="AD777" t="str">
        <f t="shared" si="24"/>
        <v>CP</v>
      </c>
      <c r="AE777" t="str">
        <f>_xlfn.XLOOKUP(D777,Mapping!A:A,Mapping!D:D,0,0)</f>
        <v>Keyword - Preroll</v>
      </c>
      <c r="AF777" t="str">
        <f t="shared" si="25"/>
        <v>OLD</v>
      </c>
    </row>
    <row r="778" spans="1:32" x14ac:dyDescent="0.2">
      <c r="A778" t="s">
        <v>1118</v>
      </c>
      <c r="B778" t="s">
        <v>690</v>
      </c>
      <c r="C778">
        <v>1012915492</v>
      </c>
      <c r="D778" t="s">
        <v>797</v>
      </c>
      <c r="E778" t="s">
        <v>31</v>
      </c>
      <c r="F778" s="1">
        <v>0.67291666666666672</v>
      </c>
      <c r="G778" t="s">
        <v>32</v>
      </c>
      <c r="H778" t="s">
        <v>33</v>
      </c>
      <c r="I778" t="s">
        <v>34</v>
      </c>
      <c r="J778" t="s">
        <v>35</v>
      </c>
      <c r="K778">
        <v>36</v>
      </c>
      <c r="L778">
        <v>0</v>
      </c>
      <c r="M778" t="s">
        <v>63</v>
      </c>
      <c r="N778">
        <v>250</v>
      </c>
      <c r="O778">
        <v>6</v>
      </c>
      <c r="P778">
        <v>0</v>
      </c>
      <c r="Q778">
        <v>0</v>
      </c>
      <c r="R778">
        <v>0</v>
      </c>
      <c r="S778">
        <v>0</v>
      </c>
      <c r="T778">
        <v>0.59</v>
      </c>
      <c r="U778">
        <v>0</v>
      </c>
      <c r="V778">
        <v>0</v>
      </c>
      <c r="W778">
        <v>1</v>
      </c>
      <c r="X778">
        <v>0</v>
      </c>
      <c r="Y778" t="s">
        <v>36</v>
      </c>
      <c r="Z778">
        <v>6</v>
      </c>
      <c r="AA778">
        <v>4</v>
      </c>
      <c r="AB778">
        <v>1</v>
      </c>
      <c r="AC778" t="s">
        <v>791</v>
      </c>
      <c r="AD778" t="str">
        <f t="shared" si="24"/>
        <v>CP</v>
      </c>
      <c r="AE778" t="str">
        <f>_xlfn.XLOOKUP(D778,Mapping!A:A,Mapping!D:D,0,0)</f>
        <v>Keyword - Preroll</v>
      </c>
      <c r="AF778" t="str">
        <f t="shared" si="25"/>
        <v>OLD</v>
      </c>
    </row>
    <row r="779" spans="1:32" x14ac:dyDescent="0.2">
      <c r="A779" t="s">
        <v>1118</v>
      </c>
      <c r="B779" t="s">
        <v>690</v>
      </c>
      <c r="C779">
        <v>1012915502</v>
      </c>
      <c r="D779" t="s">
        <v>798</v>
      </c>
      <c r="E779" t="s">
        <v>31</v>
      </c>
      <c r="F779" s="1">
        <v>0.67291666666666672</v>
      </c>
      <c r="G779" t="s">
        <v>32</v>
      </c>
      <c r="H779" t="s">
        <v>33</v>
      </c>
      <c r="I779" t="s">
        <v>41</v>
      </c>
      <c r="J779" t="s">
        <v>42</v>
      </c>
      <c r="K779">
        <v>90</v>
      </c>
      <c r="L779">
        <v>0</v>
      </c>
      <c r="M779" t="s">
        <v>63</v>
      </c>
      <c r="N779">
        <v>250</v>
      </c>
      <c r="O779">
        <v>0</v>
      </c>
      <c r="P779">
        <v>0</v>
      </c>
      <c r="Q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 t="s">
        <v>36</v>
      </c>
      <c r="AC779" t="s">
        <v>791</v>
      </c>
      <c r="AD779" t="str">
        <f t="shared" si="24"/>
        <v>CP</v>
      </c>
      <c r="AE779" t="str">
        <f>_xlfn.XLOOKUP(D779,Mapping!A:A,Mapping!D:D,0,0)</f>
        <v>Erotica Interest</v>
      </c>
      <c r="AF779" t="str">
        <f t="shared" si="25"/>
        <v>OLD</v>
      </c>
    </row>
    <row r="780" spans="1:32" x14ac:dyDescent="0.2">
      <c r="A780" t="s">
        <v>1118</v>
      </c>
      <c r="B780" t="s">
        <v>29</v>
      </c>
      <c r="C780">
        <v>1012915512</v>
      </c>
      <c r="D780" t="s">
        <v>799</v>
      </c>
      <c r="E780" t="s">
        <v>31</v>
      </c>
      <c r="F780" s="1">
        <v>0.67291666666666672</v>
      </c>
      <c r="G780" t="s">
        <v>32</v>
      </c>
      <c r="H780" t="s">
        <v>33</v>
      </c>
      <c r="I780" t="s">
        <v>41</v>
      </c>
      <c r="J780" t="s">
        <v>42</v>
      </c>
      <c r="K780">
        <v>90</v>
      </c>
      <c r="L780">
        <v>0</v>
      </c>
      <c r="M780" t="s">
        <v>36</v>
      </c>
      <c r="N780" t="s">
        <v>37</v>
      </c>
      <c r="O780">
        <v>1669</v>
      </c>
      <c r="P780">
        <v>53</v>
      </c>
      <c r="Q780">
        <v>3.1755499999999999</v>
      </c>
      <c r="R780">
        <v>0</v>
      </c>
      <c r="S780">
        <v>3.59</v>
      </c>
      <c r="T780">
        <v>2.1509999999999998</v>
      </c>
      <c r="U780">
        <v>6.8000000000000005E-2</v>
      </c>
      <c r="V780">
        <v>0</v>
      </c>
      <c r="W780">
        <v>1</v>
      </c>
      <c r="X780">
        <v>0</v>
      </c>
      <c r="Y780" t="s">
        <v>36</v>
      </c>
      <c r="Z780">
        <v>1669</v>
      </c>
      <c r="AA780">
        <v>1492</v>
      </c>
      <c r="AB780">
        <v>127</v>
      </c>
      <c r="AC780" t="s">
        <v>791</v>
      </c>
      <c r="AD780" t="str">
        <f t="shared" si="24"/>
        <v>CP</v>
      </c>
      <c r="AE780" t="str">
        <f>_xlfn.XLOOKUP(D780,Mapping!A:A,Mapping!D:D,0,0)</f>
        <v>Keyword - Preroll</v>
      </c>
      <c r="AF780" t="str">
        <f t="shared" si="25"/>
        <v>OLD</v>
      </c>
    </row>
    <row r="781" spans="1:32" x14ac:dyDescent="0.2">
      <c r="A781" t="s">
        <v>1118</v>
      </c>
      <c r="B781" t="s">
        <v>690</v>
      </c>
      <c r="C781">
        <v>1012915522</v>
      </c>
      <c r="D781" t="s">
        <v>800</v>
      </c>
      <c r="E781" t="s">
        <v>31</v>
      </c>
      <c r="F781" s="1">
        <v>0.67291666666666672</v>
      </c>
      <c r="G781" t="s">
        <v>32</v>
      </c>
      <c r="H781" t="s">
        <v>33</v>
      </c>
      <c r="I781" t="s">
        <v>41</v>
      </c>
      <c r="J781" t="s">
        <v>42</v>
      </c>
      <c r="K781">
        <v>90</v>
      </c>
      <c r="L781">
        <v>0</v>
      </c>
      <c r="M781" t="s">
        <v>63</v>
      </c>
      <c r="N781">
        <v>250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0.83699999999999997</v>
      </c>
      <c r="U781">
        <v>0</v>
      </c>
      <c r="V781">
        <v>0</v>
      </c>
      <c r="W781">
        <v>1</v>
      </c>
      <c r="X781">
        <v>0</v>
      </c>
      <c r="Y781" t="s">
        <v>36</v>
      </c>
      <c r="Z781">
        <v>1</v>
      </c>
      <c r="AA781">
        <v>1</v>
      </c>
      <c r="AB781">
        <v>0</v>
      </c>
      <c r="AC781" t="s">
        <v>791</v>
      </c>
      <c r="AD781" t="str">
        <f t="shared" si="24"/>
        <v>CP</v>
      </c>
      <c r="AE781" t="str">
        <f>_xlfn.XLOOKUP(D781,Mapping!A:A,Mapping!D:D,0,0)</f>
        <v>Keyword - Preroll</v>
      </c>
      <c r="AF781" t="str">
        <f t="shared" si="25"/>
        <v>OLD</v>
      </c>
    </row>
    <row r="782" spans="1:32" x14ac:dyDescent="0.2">
      <c r="A782" t="s">
        <v>1118</v>
      </c>
      <c r="B782" t="s">
        <v>690</v>
      </c>
      <c r="C782">
        <v>1012915532</v>
      </c>
      <c r="D782" t="s">
        <v>801</v>
      </c>
      <c r="E782" t="s">
        <v>31</v>
      </c>
      <c r="F782" s="1">
        <v>0.67291666666666672</v>
      </c>
      <c r="G782" t="s">
        <v>32</v>
      </c>
      <c r="H782" t="s">
        <v>33</v>
      </c>
      <c r="I782" t="s">
        <v>41</v>
      </c>
      <c r="J782" t="s">
        <v>42</v>
      </c>
      <c r="K782">
        <v>90</v>
      </c>
      <c r="L782">
        <v>0</v>
      </c>
      <c r="M782" t="s">
        <v>63</v>
      </c>
      <c r="N782">
        <v>250</v>
      </c>
      <c r="O782">
        <v>0</v>
      </c>
      <c r="P782">
        <v>0</v>
      </c>
      <c r="Q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 t="s">
        <v>36</v>
      </c>
      <c r="AC782" t="s">
        <v>791</v>
      </c>
      <c r="AD782" t="str">
        <f t="shared" si="24"/>
        <v>CP</v>
      </c>
      <c r="AE782" t="str">
        <f>_xlfn.XLOOKUP(D782,Mapping!A:A,Mapping!D:D,0,0)</f>
        <v>Keyword - Preroll</v>
      </c>
      <c r="AF782" t="str">
        <f t="shared" si="25"/>
        <v>OLD</v>
      </c>
    </row>
    <row r="783" spans="1:32" x14ac:dyDescent="0.2">
      <c r="A783" t="s">
        <v>1118</v>
      </c>
      <c r="B783" t="s">
        <v>690</v>
      </c>
      <c r="C783">
        <v>1012915552</v>
      </c>
      <c r="D783" t="s">
        <v>802</v>
      </c>
      <c r="E783" t="s">
        <v>31</v>
      </c>
      <c r="F783" s="1">
        <v>0.67291666666666672</v>
      </c>
      <c r="G783" t="s">
        <v>32</v>
      </c>
      <c r="H783" t="s">
        <v>33</v>
      </c>
      <c r="I783" t="s">
        <v>41</v>
      </c>
      <c r="J783" t="s">
        <v>42</v>
      </c>
      <c r="K783">
        <v>90</v>
      </c>
      <c r="L783">
        <v>0</v>
      </c>
      <c r="M783" t="s">
        <v>63</v>
      </c>
      <c r="N783">
        <v>250</v>
      </c>
      <c r="O783">
        <v>0</v>
      </c>
      <c r="P783">
        <v>0</v>
      </c>
      <c r="Q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 t="s">
        <v>36</v>
      </c>
      <c r="AC783" t="s">
        <v>791</v>
      </c>
      <c r="AD783" t="str">
        <f t="shared" si="24"/>
        <v>CP</v>
      </c>
      <c r="AE783" t="str">
        <f>_xlfn.XLOOKUP(D783,Mapping!A:A,Mapping!D:D,0,0)</f>
        <v>Keyword - Preroll</v>
      </c>
      <c r="AF783" t="str">
        <f t="shared" si="25"/>
        <v>OLD</v>
      </c>
    </row>
    <row r="784" spans="1:32" x14ac:dyDescent="0.2">
      <c r="A784" t="s">
        <v>1118</v>
      </c>
      <c r="B784" t="s">
        <v>29</v>
      </c>
      <c r="C784">
        <v>1012915562</v>
      </c>
      <c r="D784" t="s">
        <v>803</v>
      </c>
      <c r="E784" t="s">
        <v>31</v>
      </c>
      <c r="F784" s="1">
        <v>0.67291666666666672</v>
      </c>
      <c r="G784" t="s">
        <v>32</v>
      </c>
      <c r="H784" t="s">
        <v>33</v>
      </c>
      <c r="I784" t="s">
        <v>41</v>
      </c>
      <c r="J784" t="s">
        <v>42</v>
      </c>
      <c r="K784">
        <v>90</v>
      </c>
      <c r="L784">
        <v>0</v>
      </c>
      <c r="M784" t="s">
        <v>63</v>
      </c>
      <c r="N784">
        <v>250</v>
      </c>
      <c r="O784">
        <v>1200</v>
      </c>
      <c r="P784">
        <v>63</v>
      </c>
      <c r="Q784">
        <v>5.25</v>
      </c>
      <c r="R784">
        <v>0</v>
      </c>
      <c r="S784">
        <v>2.39</v>
      </c>
      <c r="T784">
        <v>1.9950000000000001</v>
      </c>
      <c r="U784">
        <v>3.7999999999999999E-2</v>
      </c>
      <c r="V784">
        <v>0</v>
      </c>
      <c r="W784">
        <v>1</v>
      </c>
      <c r="X784">
        <v>0</v>
      </c>
      <c r="Y784" t="s">
        <v>36</v>
      </c>
      <c r="Z784">
        <v>1200</v>
      </c>
      <c r="AA784">
        <v>1064</v>
      </c>
      <c r="AB784">
        <v>108</v>
      </c>
      <c r="AC784" t="s">
        <v>791</v>
      </c>
      <c r="AD784" t="str">
        <f t="shared" si="24"/>
        <v>CP</v>
      </c>
      <c r="AE784" t="str">
        <f>_xlfn.XLOOKUP(D784,Mapping!A:A,Mapping!D:D,0,0)</f>
        <v>Keyword - Preroll</v>
      </c>
      <c r="AF784" t="str">
        <f t="shared" si="25"/>
        <v>OLD</v>
      </c>
    </row>
    <row r="785" spans="1:32" x14ac:dyDescent="0.2">
      <c r="A785" t="s">
        <v>1118</v>
      </c>
      <c r="B785" t="s">
        <v>690</v>
      </c>
      <c r="C785">
        <v>1012915572</v>
      </c>
      <c r="D785" t="s">
        <v>804</v>
      </c>
      <c r="E785" t="s">
        <v>31</v>
      </c>
      <c r="F785" s="1">
        <v>0.67291666666666672</v>
      </c>
      <c r="G785" t="s">
        <v>32</v>
      </c>
      <c r="H785" t="s">
        <v>33</v>
      </c>
      <c r="I785" t="s">
        <v>41</v>
      </c>
      <c r="J785" t="s">
        <v>42</v>
      </c>
      <c r="K785">
        <v>90</v>
      </c>
      <c r="L785">
        <v>0</v>
      </c>
      <c r="M785" t="s">
        <v>63</v>
      </c>
      <c r="N785">
        <v>250</v>
      </c>
      <c r="O785">
        <v>0</v>
      </c>
      <c r="P785">
        <v>0</v>
      </c>
      <c r="Q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 t="s">
        <v>36</v>
      </c>
      <c r="AC785" t="s">
        <v>791</v>
      </c>
      <c r="AD785" t="str">
        <f t="shared" si="24"/>
        <v>CP</v>
      </c>
      <c r="AE785" t="str">
        <f>_xlfn.XLOOKUP(D785,Mapping!A:A,Mapping!D:D,0,0)</f>
        <v>Keyword - Preroll</v>
      </c>
      <c r="AF785" t="str">
        <f t="shared" si="25"/>
        <v>OLD</v>
      </c>
    </row>
    <row r="786" spans="1:32" x14ac:dyDescent="0.2">
      <c r="A786" t="s">
        <v>1118</v>
      </c>
      <c r="B786" t="s">
        <v>690</v>
      </c>
      <c r="C786">
        <v>1012915582</v>
      </c>
      <c r="D786" t="s">
        <v>805</v>
      </c>
      <c r="E786" t="s">
        <v>31</v>
      </c>
      <c r="F786" s="1">
        <v>0.67291666666666672</v>
      </c>
      <c r="G786" t="s">
        <v>32</v>
      </c>
      <c r="H786" t="s">
        <v>33</v>
      </c>
      <c r="I786" t="s">
        <v>41</v>
      </c>
      <c r="J786" t="s">
        <v>42</v>
      </c>
      <c r="K786">
        <v>90</v>
      </c>
      <c r="L786">
        <v>0</v>
      </c>
      <c r="M786" t="s">
        <v>63</v>
      </c>
      <c r="N786">
        <v>250</v>
      </c>
      <c r="O786">
        <v>0</v>
      </c>
      <c r="P786">
        <v>0</v>
      </c>
      <c r="Q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 t="s">
        <v>36</v>
      </c>
      <c r="AC786" t="s">
        <v>791</v>
      </c>
      <c r="AD786" t="str">
        <f t="shared" si="24"/>
        <v>CP</v>
      </c>
      <c r="AE786" t="str">
        <f>_xlfn.XLOOKUP(D786,Mapping!A:A,Mapping!D:D,0,0)</f>
        <v>Keyword - Preroll</v>
      </c>
      <c r="AF786" t="str">
        <f t="shared" si="25"/>
        <v>OLD</v>
      </c>
    </row>
    <row r="787" spans="1:32" x14ac:dyDescent="0.2">
      <c r="A787" t="s">
        <v>1118</v>
      </c>
      <c r="B787" t="s">
        <v>29</v>
      </c>
      <c r="C787">
        <v>1012915592</v>
      </c>
      <c r="D787" t="s">
        <v>806</v>
      </c>
      <c r="E787" t="s">
        <v>31</v>
      </c>
      <c r="F787" s="1">
        <v>0.67291666666666672</v>
      </c>
      <c r="G787" t="s">
        <v>32</v>
      </c>
      <c r="H787" t="s">
        <v>33</v>
      </c>
      <c r="I787" t="s">
        <v>34</v>
      </c>
      <c r="J787" t="s">
        <v>35</v>
      </c>
      <c r="K787">
        <v>36</v>
      </c>
      <c r="L787">
        <v>0</v>
      </c>
      <c r="M787" t="s">
        <v>63</v>
      </c>
      <c r="N787">
        <v>250</v>
      </c>
      <c r="O787">
        <v>397</v>
      </c>
      <c r="P787">
        <v>11</v>
      </c>
      <c r="Q787">
        <v>2.7707799999999998</v>
      </c>
      <c r="R787">
        <v>0</v>
      </c>
      <c r="S787">
        <v>1.51</v>
      </c>
      <c r="T787">
        <v>3.7919999999999998</v>
      </c>
      <c r="U787">
        <v>0.13700000000000001</v>
      </c>
      <c r="V787">
        <v>0</v>
      </c>
      <c r="W787">
        <v>1</v>
      </c>
      <c r="X787">
        <v>0</v>
      </c>
      <c r="Y787" t="s">
        <v>36</v>
      </c>
      <c r="Z787">
        <v>396</v>
      </c>
      <c r="AA787">
        <v>315</v>
      </c>
      <c r="AB787">
        <v>45</v>
      </c>
      <c r="AC787" t="s">
        <v>807</v>
      </c>
      <c r="AD787" t="str">
        <f t="shared" si="24"/>
        <v>CP</v>
      </c>
      <c r="AE787" t="str">
        <f>_xlfn.XLOOKUP(D787,Mapping!A:A,Mapping!D:D,0,0)</f>
        <v>Keyword - Preroll</v>
      </c>
      <c r="AF787" t="str">
        <f t="shared" si="25"/>
        <v>OLD</v>
      </c>
    </row>
    <row r="788" spans="1:32" x14ac:dyDescent="0.2">
      <c r="A788" t="s">
        <v>1118</v>
      </c>
      <c r="B788" t="s">
        <v>39</v>
      </c>
      <c r="C788">
        <v>1012915602</v>
      </c>
      <c r="D788" t="s">
        <v>808</v>
      </c>
      <c r="E788" t="s">
        <v>31</v>
      </c>
      <c r="F788" s="1">
        <v>0.67291666666666672</v>
      </c>
      <c r="G788" t="s">
        <v>32</v>
      </c>
      <c r="H788" t="s">
        <v>33</v>
      </c>
      <c r="I788" t="s">
        <v>41</v>
      </c>
      <c r="J788" t="s">
        <v>42</v>
      </c>
      <c r="K788">
        <v>90</v>
      </c>
      <c r="L788">
        <v>0</v>
      </c>
      <c r="M788" t="s">
        <v>63</v>
      </c>
      <c r="N788">
        <v>250</v>
      </c>
      <c r="O788">
        <v>0</v>
      </c>
      <c r="P788">
        <v>0</v>
      </c>
      <c r="Q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 t="s">
        <v>36</v>
      </c>
      <c r="AC788" t="s">
        <v>807</v>
      </c>
      <c r="AD788" t="str">
        <f t="shared" si="24"/>
        <v>CP</v>
      </c>
      <c r="AE788" t="str">
        <f>_xlfn.XLOOKUP(D788,Mapping!A:A,Mapping!D:D,0,0)</f>
        <v>VR Intent</v>
      </c>
      <c r="AF788" t="str">
        <f t="shared" si="25"/>
        <v>OLD</v>
      </c>
    </row>
    <row r="789" spans="1:32" x14ac:dyDescent="0.2">
      <c r="A789" t="s">
        <v>1118</v>
      </c>
      <c r="B789" t="s">
        <v>29</v>
      </c>
      <c r="C789">
        <v>1012915612</v>
      </c>
      <c r="D789" t="s">
        <v>809</v>
      </c>
      <c r="E789" t="s">
        <v>31</v>
      </c>
      <c r="F789" s="1">
        <v>0.67291666666666672</v>
      </c>
      <c r="G789" t="s">
        <v>32</v>
      </c>
      <c r="H789" t="s">
        <v>33</v>
      </c>
      <c r="I789" t="s">
        <v>41</v>
      </c>
      <c r="J789" t="s">
        <v>42</v>
      </c>
      <c r="K789">
        <v>90</v>
      </c>
      <c r="L789">
        <v>0</v>
      </c>
      <c r="M789" t="s">
        <v>36</v>
      </c>
      <c r="N789" t="s">
        <v>37</v>
      </c>
      <c r="O789">
        <v>2684</v>
      </c>
      <c r="P789">
        <v>103</v>
      </c>
      <c r="Q789">
        <v>3.8375599999999999</v>
      </c>
      <c r="R789">
        <v>0</v>
      </c>
      <c r="S789">
        <v>8.61</v>
      </c>
      <c r="T789">
        <v>3.21</v>
      </c>
      <c r="U789">
        <v>8.4000000000000005E-2</v>
      </c>
      <c r="V789">
        <v>0</v>
      </c>
      <c r="W789">
        <v>1</v>
      </c>
      <c r="X789">
        <v>0</v>
      </c>
      <c r="Y789" t="s">
        <v>36</v>
      </c>
      <c r="Z789">
        <v>2683</v>
      </c>
      <c r="AA789">
        <v>2338</v>
      </c>
      <c r="AB789">
        <v>267</v>
      </c>
      <c r="AC789" t="s">
        <v>807</v>
      </c>
      <c r="AD789" t="str">
        <f t="shared" si="24"/>
        <v>CP</v>
      </c>
      <c r="AE789" t="str">
        <f>_xlfn.XLOOKUP(D789,Mapping!A:A,Mapping!D:D,0,0)</f>
        <v>Keyword - Preroll</v>
      </c>
      <c r="AF789" t="str">
        <f t="shared" si="25"/>
        <v>OLD</v>
      </c>
    </row>
    <row r="790" spans="1:32" x14ac:dyDescent="0.2">
      <c r="A790" t="s">
        <v>1118</v>
      </c>
      <c r="B790" t="s">
        <v>29</v>
      </c>
      <c r="C790">
        <v>1012915622</v>
      </c>
      <c r="D790" t="s">
        <v>810</v>
      </c>
      <c r="E790" t="s">
        <v>31</v>
      </c>
      <c r="F790" s="1">
        <v>0.67291666666666672</v>
      </c>
      <c r="G790" t="s">
        <v>32</v>
      </c>
      <c r="H790" t="s">
        <v>33</v>
      </c>
      <c r="I790" t="s">
        <v>34</v>
      </c>
      <c r="J790" t="s">
        <v>35</v>
      </c>
      <c r="K790">
        <v>36</v>
      </c>
      <c r="L790">
        <v>0</v>
      </c>
      <c r="M790" t="s">
        <v>63</v>
      </c>
      <c r="N790">
        <v>250</v>
      </c>
      <c r="O790">
        <v>52</v>
      </c>
      <c r="P790">
        <v>4</v>
      </c>
      <c r="Q790">
        <v>7.69231</v>
      </c>
      <c r="R790">
        <v>0</v>
      </c>
      <c r="S790">
        <v>0.13</v>
      </c>
      <c r="T790">
        <v>2.4860000000000002</v>
      </c>
      <c r="U790">
        <v>3.2000000000000001E-2</v>
      </c>
      <c r="V790">
        <v>0</v>
      </c>
      <c r="W790">
        <v>1</v>
      </c>
      <c r="X790">
        <v>0</v>
      </c>
      <c r="Y790" t="s">
        <v>36</v>
      </c>
      <c r="Z790">
        <v>52</v>
      </c>
      <c r="AA790">
        <v>36</v>
      </c>
      <c r="AB790">
        <v>8</v>
      </c>
      <c r="AC790" t="s">
        <v>807</v>
      </c>
      <c r="AD790" t="str">
        <f t="shared" si="24"/>
        <v>CP</v>
      </c>
      <c r="AE790" t="str">
        <f>_xlfn.XLOOKUP(D790,Mapping!A:A,Mapping!D:D,0,0)</f>
        <v>Keyword - Preroll</v>
      </c>
      <c r="AF790" t="str">
        <f t="shared" si="25"/>
        <v>OLD</v>
      </c>
    </row>
    <row r="791" spans="1:32" x14ac:dyDescent="0.2">
      <c r="A791" t="s">
        <v>1118</v>
      </c>
      <c r="B791" t="s">
        <v>29</v>
      </c>
      <c r="C791">
        <v>1012915652</v>
      </c>
      <c r="D791" t="s">
        <v>811</v>
      </c>
      <c r="E791" t="s">
        <v>31</v>
      </c>
      <c r="F791" s="1">
        <v>0.67291666666666672</v>
      </c>
      <c r="G791" t="s">
        <v>32</v>
      </c>
      <c r="H791" t="s">
        <v>33</v>
      </c>
      <c r="I791" t="s">
        <v>34</v>
      </c>
      <c r="J791" t="s">
        <v>35</v>
      </c>
      <c r="K791">
        <v>36</v>
      </c>
      <c r="L791">
        <v>0</v>
      </c>
      <c r="M791" t="s">
        <v>63</v>
      </c>
      <c r="N791">
        <v>250</v>
      </c>
      <c r="O791">
        <v>15</v>
      </c>
      <c r="P791">
        <v>2</v>
      </c>
      <c r="Q791">
        <v>13.33333</v>
      </c>
      <c r="R791">
        <v>0</v>
      </c>
      <c r="S791">
        <v>0.04</v>
      </c>
      <c r="T791">
        <v>2.7949999999999999</v>
      </c>
      <c r="U791">
        <v>2.1000000000000001E-2</v>
      </c>
      <c r="V791">
        <v>0</v>
      </c>
      <c r="W791">
        <v>1</v>
      </c>
      <c r="X791">
        <v>0</v>
      </c>
      <c r="Y791" t="s">
        <v>36</v>
      </c>
      <c r="Z791">
        <v>15</v>
      </c>
      <c r="AA791">
        <v>10</v>
      </c>
      <c r="AB791">
        <v>4</v>
      </c>
      <c r="AC791" t="s">
        <v>807</v>
      </c>
      <c r="AD791" t="str">
        <f t="shared" si="24"/>
        <v>CP</v>
      </c>
      <c r="AE791" t="str">
        <f>_xlfn.XLOOKUP(D791,Mapping!A:A,Mapping!D:D,0,0)</f>
        <v>Keyword - Preroll</v>
      </c>
      <c r="AF791" t="str">
        <f t="shared" si="25"/>
        <v>OLD</v>
      </c>
    </row>
    <row r="792" spans="1:32" x14ac:dyDescent="0.2">
      <c r="A792" t="s">
        <v>1118</v>
      </c>
      <c r="B792" t="s">
        <v>690</v>
      </c>
      <c r="C792">
        <v>1012915672</v>
      </c>
      <c r="D792" t="s">
        <v>812</v>
      </c>
      <c r="E792" t="s">
        <v>31</v>
      </c>
      <c r="F792" s="1">
        <v>0.67291666666666672</v>
      </c>
      <c r="G792" t="s">
        <v>32</v>
      </c>
      <c r="H792" t="s">
        <v>33</v>
      </c>
      <c r="I792" t="s">
        <v>34</v>
      </c>
      <c r="J792" t="s">
        <v>35</v>
      </c>
      <c r="K792">
        <v>36</v>
      </c>
      <c r="L792">
        <v>0</v>
      </c>
      <c r="M792" t="s">
        <v>63</v>
      </c>
      <c r="N792">
        <v>250</v>
      </c>
      <c r="O792">
        <v>0</v>
      </c>
      <c r="P792">
        <v>0</v>
      </c>
      <c r="Q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 t="s">
        <v>36</v>
      </c>
      <c r="AC792" t="s">
        <v>807</v>
      </c>
      <c r="AD792" t="str">
        <f t="shared" si="24"/>
        <v>CP</v>
      </c>
      <c r="AE792" t="str">
        <f>_xlfn.XLOOKUP(D792,Mapping!A:A,Mapping!D:D,0,0)</f>
        <v>Keyword - Preroll</v>
      </c>
      <c r="AF792" t="str">
        <f t="shared" si="25"/>
        <v>OLD</v>
      </c>
    </row>
    <row r="793" spans="1:32" x14ac:dyDescent="0.2">
      <c r="A793" t="s">
        <v>1118</v>
      </c>
      <c r="B793" t="s">
        <v>29</v>
      </c>
      <c r="C793">
        <v>1012915682</v>
      </c>
      <c r="D793" t="s">
        <v>813</v>
      </c>
      <c r="E793" t="s">
        <v>31</v>
      </c>
      <c r="F793" s="1">
        <v>0.67291666666666672</v>
      </c>
      <c r="G793" t="s">
        <v>32</v>
      </c>
      <c r="H793" t="s">
        <v>33</v>
      </c>
      <c r="I793" t="s">
        <v>34</v>
      </c>
      <c r="J793" t="s">
        <v>35</v>
      </c>
      <c r="K793">
        <v>36</v>
      </c>
      <c r="L793">
        <v>0</v>
      </c>
      <c r="M793" t="s">
        <v>63</v>
      </c>
      <c r="N793">
        <v>250</v>
      </c>
      <c r="O793">
        <v>89</v>
      </c>
      <c r="P793">
        <v>5</v>
      </c>
      <c r="Q793">
        <v>5.6179800000000002</v>
      </c>
      <c r="R793">
        <v>0</v>
      </c>
      <c r="S793">
        <v>0.23</v>
      </c>
      <c r="T793">
        <v>2.552</v>
      </c>
      <c r="U793">
        <v>4.4999999999999998E-2</v>
      </c>
      <c r="V793">
        <v>0</v>
      </c>
      <c r="W793">
        <v>1</v>
      </c>
      <c r="X793">
        <v>0</v>
      </c>
      <c r="Y793" t="s">
        <v>36</v>
      </c>
      <c r="Z793">
        <v>89</v>
      </c>
      <c r="AA793">
        <v>61</v>
      </c>
      <c r="AB793">
        <v>12</v>
      </c>
      <c r="AC793" t="s">
        <v>807</v>
      </c>
      <c r="AD793" t="str">
        <f t="shared" si="24"/>
        <v>CP</v>
      </c>
      <c r="AE793" t="str">
        <f>_xlfn.XLOOKUP(D793,Mapping!A:A,Mapping!D:D,0,0)</f>
        <v>Keyword - Preroll</v>
      </c>
      <c r="AF793" t="str">
        <f t="shared" si="25"/>
        <v>OLD</v>
      </c>
    </row>
    <row r="794" spans="1:32" x14ac:dyDescent="0.2">
      <c r="A794" t="s">
        <v>1118</v>
      </c>
      <c r="B794" t="s">
        <v>690</v>
      </c>
      <c r="C794">
        <v>1012915692</v>
      </c>
      <c r="D794" t="s">
        <v>814</v>
      </c>
      <c r="E794" t="s">
        <v>31</v>
      </c>
      <c r="F794" s="1">
        <v>0.67291666666666672</v>
      </c>
      <c r="G794" t="s">
        <v>32</v>
      </c>
      <c r="H794" t="s">
        <v>33</v>
      </c>
      <c r="I794" t="s">
        <v>41</v>
      </c>
      <c r="J794" t="s">
        <v>42</v>
      </c>
      <c r="K794">
        <v>90</v>
      </c>
      <c r="L794">
        <v>0</v>
      </c>
      <c r="M794" t="s">
        <v>63</v>
      </c>
      <c r="N794">
        <v>250</v>
      </c>
      <c r="O794">
        <v>0</v>
      </c>
      <c r="P794">
        <v>0</v>
      </c>
      <c r="Q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 t="s">
        <v>36</v>
      </c>
      <c r="AC794" t="s">
        <v>807</v>
      </c>
      <c r="AD794" t="str">
        <f t="shared" si="24"/>
        <v>CP</v>
      </c>
      <c r="AE794" t="str">
        <f>_xlfn.XLOOKUP(D794,Mapping!A:A,Mapping!D:D,0,0)</f>
        <v>Keyword - Preroll</v>
      </c>
      <c r="AF794" t="str">
        <f t="shared" si="25"/>
        <v>OLD</v>
      </c>
    </row>
    <row r="795" spans="1:32" x14ac:dyDescent="0.2">
      <c r="A795" t="s">
        <v>1118</v>
      </c>
      <c r="B795" t="s">
        <v>690</v>
      </c>
      <c r="C795">
        <v>1012915702</v>
      </c>
      <c r="D795" t="s">
        <v>815</v>
      </c>
      <c r="E795" t="s">
        <v>31</v>
      </c>
      <c r="F795" s="1">
        <v>0.67291666666666672</v>
      </c>
      <c r="G795" t="s">
        <v>32</v>
      </c>
      <c r="H795" t="s">
        <v>33</v>
      </c>
      <c r="I795" t="s">
        <v>41</v>
      </c>
      <c r="J795" t="s">
        <v>42</v>
      </c>
      <c r="K795">
        <v>90</v>
      </c>
      <c r="L795">
        <v>0</v>
      </c>
      <c r="M795" t="s">
        <v>63</v>
      </c>
      <c r="N795">
        <v>250</v>
      </c>
      <c r="O795">
        <v>0</v>
      </c>
      <c r="P795">
        <v>0</v>
      </c>
      <c r="Q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 t="s">
        <v>36</v>
      </c>
      <c r="AC795" t="s">
        <v>807</v>
      </c>
      <c r="AD795" t="str">
        <f t="shared" si="24"/>
        <v>CP</v>
      </c>
      <c r="AE795" t="str">
        <f>_xlfn.XLOOKUP(D795,Mapping!A:A,Mapping!D:D,0,0)</f>
        <v>VR Intent</v>
      </c>
      <c r="AF795" t="str">
        <f t="shared" si="25"/>
        <v>OLD</v>
      </c>
    </row>
    <row r="796" spans="1:32" x14ac:dyDescent="0.2">
      <c r="A796" t="s">
        <v>1118</v>
      </c>
      <c r="B796" t="s">
        <v>29</v>
      </c>
      <c r="C796">
        <v>1012915712</v>
      </c>
      <c r="D796" t="s">
        <v>816</v>
      </c>
      <c r="E796" t="s">
        <v>31</v>
      </c>
      <c r="F796" s="1">
        <v>0.67291666666666672</v>
      </c>
      <c r="G796" t="s">
        <v>32</v>
      </c>
      <c r="H796" t="s">
        <v>33</v>
      </c>
      <c r="I796" t="s">
        <v>41</v>
      </c>
      <c r="J796" t="s">
        <v>42</v>
      </c>
      <c r="K796">
        <v>90</v>
      </c>
      <c r="L796">
        <v>0</v>
      </c>
      <c r="M796" t="s">
        <v>63</v>
      </c>
      <c r="N796">
        <v>250</v>
      </c>
      <c r="O796">
        <v>1477</v>
      </c>
      <c r="P796">
        <v>56</v>
      </c>
      <c r="Q796">
        <v>3.7914699999999999</v>
      </c>
      <c r="R796">
        <v>0</v>
      </c>
      <c r="S796">
        <v>3.17</v>
      </c>
      <c r="T796">
        <v>2.1440000000000001</v>
      </c>
      <c r="U796">
        <v>5.7000000000000002E-2</v>
      </c>
      <c r="V796">
        <v>0</v>
      </c>
      <c r="W796">
        <v>1</v>
      </c>
      <c r="X796">
        <v>0</v>
      </c>
      <c r="Y796" t="s">
        <v>36</v>
      </c>
      <c r="Z796">
        <v>1477</v>
      </c>
      <c r="AA796">
        <v>1342</v>
      </c>
      <c r="AB796">
        <v>106</v>
      </c>
      <c r="AC796" t="s">
        <v>807</v>
      </c>
      <c r="AD796" t="str">
        <f t="shared" si="24"/>
        <v>CP</v>
      </c>
      <c r="AE796" t="str">
        <f>_xlfn.XLOOKUP(D796,Mapping!A:A,Mapping!D:D,0,0)</f>
        <v>Keyword - Preroll</v>
      </c>
      <c r="AF796" t="str">
        <f t="shared" si="25"/>
        <v>OLD</v>
      </c>
    </row>
    <row r="797" spans="1:32" x14ac:dyDescent="0.2">
      <c r="A797" t="s">
        <v>1118</v>
      </c>
      <c r="B797" t="s">
        <v>690</v>
      </c>
      <c r="C797">
        <v>1012915722</v>
      </c>
      <c r="D797" t="s">
        <v>817</v>
      </c>
      <c r="E797" t="s">
        <v>31</v>
      </c>
      <c r="F797" s="1">
        <v>0.67291666666666672</v>
      </c>
      <c r="G797" t="s">
        <v>32</v>
      </c>
      <c r="H797" t="s">
        <v>33</v>
      </c>
      <c r="I797" t="s">
        <v>41</v>
      </c>
      <c r="J797" t="s">
        <v>42</v>
      </c>
      <c r="K797">
        <v>90</v>
      </c>
      <c r="L797">
        <v>0</v>
      </c>
      <c r="M797" t="s">
        <v>63</v>
      </c>
      <c r="N797">
        <v>250</v>
      </c>
      <c r="O797">
        <v>0</v>
      </c>
      <c r="P797">
        <v>0</v>
      </c>
      <c r="Q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 t="s">
        <v>36</v>
      </c>
      <c r="AC797" t="s">
        <v>807</v>
      </c>
      <c r="AD797" t="str">
        <f t="shared" si="24"/>
        <v>CP</v>
      </c>
      <c r="AE797" t="str">
        <f>_xlfn.XLOOKUP(D797,Mapping!A:A,Mapping!D:D,0,0)</f>
        <v>Keyword - Preroll</v>
      </c>
      <c r="AF797" t="str">
        <f t="shared" si="25"/>
        <v>OLD</v>
      </c>
    </row>
    <row r="798" spans="1:32" x14ac:dyDescent="0.2">
      <c r="A798" t="s">
        <v>1118</v>
      </c>
      <c r="B798" t="s">
        <v>690</v>
      </c>
      <c r="C798">
        <v>1012915732</v>
      </c>
      <c r="D798" t="s">
        <v>818</v>
      </c>
      <c r="E798" t="s">
        <v>31</v>
      </c>
      <c r="F798" s="1">
        <v>0.67291666666666672</v>
      </c>
      <c r="G798" t="s">
        <v>32</v>
      </c>
      <c r="H798" t="s">
        <v>33</v>
      </c>
      <c r="I798" t="s">
        <v>41</v>
      </c>
      <c r="J798" t="s">
        <v>42</v>
      </c>
      <c r="K798">
        <v>90</v>
      </c>
      <c r="L798">
        <v>0</v>
      </c>
      <c r="M798" t="s">
        <v>63</v>
      </c>
      <c r="N798">
        <v>250</v>
      </c>
      <c r="O798">
        <v>0</v>
      </c>
      <c r="P798">
        <v>0</v>
      </c>
      <c r="Q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 t="s">
        <v>36</v>
      </c>
      <c r="AC798" t="s">
        <v>807</v>
      </c>
      <c r="AD798" t="str">
        <f t="shared" si="24"/>
        <v>CP</v>
      </c>
      <c r="AE798" t="str">
        <f>_xlfn.XLOOKUP(D798,Mapping!A:A,Mapping!D:D,0,0)</f>
        <v>Keyword - Preroll</v>
      </c>
      <c r="AF798" t="str">
        <f t="shared" si="25"/>
        <v>OLD</v>
      </c>
    </row>
    <row r="799" spans="1:32" x14ac:dyDescent="0.2">
      <c r="A799" t="s">
        <v>1118</v>
      </c>
      <c r="B799" t="s">
        <v>29</v>
      </c>
      <c r="C799">
        <v>1012915742</v>
      </c>
      <c r="D799" t="s">
        <v>819</v>
      </c>
      <c r="E799" t="s">
        <v>31</v>
      </c>
      <c r="F799" s="1">
        <v>0.67291666666666672</v>
      </c>
      <c r="G799" t="s">
        <v>32</v>
      </c>
      <c r="H799" t="s">
        <v>33</v>
      </c>
      <c r="I799" t="s">
        <v>41</v>
      </c>
      <c r="J799" t="s">
        <v>42</v>
      </c>
      <c r="K799">
        <v>90</v>
      </c>
      <c r="L799">
        <v>0</v>
      </c>
      <c r="M799" t="s">
        <v>63</v>
      </c>
      <c r="N799">
        <v>250</v>
      </c>
      <c r="O799">
        <v>784</v>
      </c>
      <c r="P799">
        <v>65</v>
      </c>
      <c r="Q799">
        <v>8.2908200000000001</v>
      </c>
      <c r="R799">
        <v>0</v>
      </c>
      <c r="S799">
        <v>1.63</v>
      </c>
      <c r="T799">
        <v>2.0819999999999999</v>
      </c>
      <c r="U799">
        <v>2.5000000000000001E-2</v>
      </c>
      <c r="V799">
        <v>0</v>
      </c>
      <c r="W799">
        <v>1</v>
      </c>
      <c r="X799">
        <v>0</v>
      </c>
      <c r="Y799" t="s">
        <v>36</v>
      </c>
      <c r="Z799">
        <v>782</v>
      </c>
      <c r="AA799">
        <v>657</v>
      </c>
      <c r="AB799">
        <v>79</v>
      </c>
      <c r="AC799" t="s">
        <v>807</v>
      </c>
      <c r="AD799" t="str">
        <f t="shared" si="24"/>
        <v>CP</v>
      </c>
      <c r="AE799" t="str">
        <f>_xlfn.XLOOKUP(D799,Mapping!A:A,Mapping!D:D,0,0)</f>
        <v>Keyword - Preroll</v>
      </c>
      <c r="AF799" t="str">
        <f t="shared" si="25"/>
        <v>OLD</v>
      </c>
    </row>
    <row r="800" spans="1:32" x14ac:dyDescent="0.2">
      <c r="A800" t="s">
        <v>1118</v>
      </c>
      <c r="B800" t="s">
        <v>690</v>
      </c>
      <c r="C800">
        <v>1012915752</v>
      </c>
      <c r="D800" t="s">
        <v>820</v>
      </c>
      <c r="E800" t="s">
        <v>31</v>
      </c>
      <c r="F800" s="1">
        <v>0.67291666666666672</v>
      </c>
      <c r="G800" t="s">
        <v>32</v>
      </c>
      <c r="H800" t="s">
        <v>33</v>
      </c>
      <c r="I800" t="s">
        <v>41</v>
      </c>
      <c r="J800" t="s">
        <v>42</v>
      </c>
      <c r="K800">
        <v>90</v>
      </c>
      <c r="L800">
        <v>0</v>
      </c>
      <c r="M800" t="s">
        <v>63</v>
      </c>
      <c r="N800">
        <v>250</v>
      </c>
      <c r="O800">
        <v>0</v>
      </c>
      <c r="P800">
        <v>0</v>
      </c>
      <c r="Q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 t="s">
        <v>36</v>
      </c>
      <c r="AC800" t="s">
        <v>807</v>
      </c>
      <c r="AD800" t="str">
        <f t="shared" si="24"/>
        <v>CP</v>
      </c>
      <c r="AE800" t="str">
        <f>_xlfn.XLOOKUP(D800,Mapping!A:A,Mapping!D:D,0,0)</f>
        <v>Keyword - Preroll</v>
      </c>
      <c r="AF800" t="str">
        <f t="shared" si="25"/>
        <v>OLD</v>
      </c>
    </row>
    <row r="801" spans="1:32" x14ac:dyDescent="0.2">
      <c r="A801" t="s">
        <v>1118</v>
      </c>
      <c r="B801" t="s">
        <v>690</v>
      </c>
      <c r="C801">
        <v>1012915762</v>
      </c>
      <c r="D801" t="s">
        <v>821</v>
      </c>
      <c r="E801" t="s">
        <v>31</v>
      </c>
      <c r="F801" s="1">
        <v>0.67291666666666672</v>
      </c>
      <c r="G801" t="s">
        <v>32</v>
      </c>
      <c r="H801" t="s">
        <v>33</v>
      </c>
      <c r="I801" t="s">
        <v>41</v>
      </c>
      <c r="J801" t="s">
        <v>42</v>
      </c>
      <c r="K801">
        <v>90</v>
      </c>
      <c r="L801">
        <v>0</v>
      </c>
      <c r="M801" t="s">
        <v>63</v>
      </c>
      <c r="N801">
        <v>250</v>
      </c>
      <c r="O801">
        <v>2</v>
      </c>
      <c r="P801">
        <v>0</v>
      </c>
      <c r="Q801">
        <v>0</v>
      </c>
      <c r="R801">
        <v>0</v>
      </c>
      <c r="S801">
        <v>0</v>
      </c>
      <c r="T801">
        <v>0.83699999999999997</v>
      </c>
      <c r="U801">
        <v>0</v>
      </c>
      <c r="V801">
        <v>0</v>
      </c>
      <c r="W801">
        <v>1</v>
      </c>
      <c r="X801">
        <v>0</v>
      </c>
      <c r="Y801" t="s">
        <v>36</v>
      </c>
      <c r="Z801">
        <v>2</v>
      </c>
      <c r="AA801">
        <v>2</v>
      </c>
      <c r="AB801">
        <v>0</v>
      </c>
      <c r="AC801" t="s">
        <v>807</v>
      </c>
      <c r="AD801" t="str">
        <f t="shared" si="24"/>
        <v>CP</v>
      </c>
      <c r="AE801" t="str">
        <f>_xlfn.XLOOKUP(D801,Mapping!A:A,Mapping!D:D,0,0)</f>
        <v>Keyword - Preroll</v>
      </c>
      <c r="AF801" t="str">
        <f t="shared" si="25"/>
        <v>OLD</v>
      </c>
    </row>
    <row r="802" spans="1:32" x14ac:dyDescent="0.2">
      <c r="A802" t="s">
        <v>1118</v>
      </c>
      <c r="B802" t="s">
        <v>39</v>
      </c>
      <c r="C802">
        <v>1012915772</v>
      </c>
      <c r="D802" t="s">
        <v>822</v>
      </c>
      <c r="E802" t="s">
        <v>31</v>
      </c>
      <c r="F802" s="1">
        <v>0.67291666666666672</v>
      </c>
      <c r="G802" t="s">
        <v>32</v>
      </c>
      <c r="H802" t="s">
        <v>33</v>
      </c>
      <c r="I802" t="s">
        <v>34</v>
      </c>
      <c r="J802" t="s">
        <v>35</v>
      </c>
      <c r="K802">
        <v>36</v>
      </c>
      <c r="L802">
        <v>0</v>
      </c>
      <c r="M802" t="s">
        <v>63</v>
      </c>
      <c r="N802">
        <v>250</v>
      </c>
      <c r="O802">
        <v>0</v>
      </c>
      <c r="P802">
        <v>0</v>
      </c>
      <c r="Q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 t="s">
        <v>36</v>
      </c>
      <c r="AC802" t="s">
        <v>823</v>
      </c>
      <c r="AD802" t="str">
        <f t="shared" si="24"/>
        <v>CP</v>
      </c>
      <c r="AE802" t="str">
        <f>_xlfn.XLOOKUP(D802,Mapping!A:A,Mapping!D:D,0,0)</f>
        <v>Keyword - Preroll</v>
      </c>
      <c r="AF802" t="str">
        <f t="shared" si="25"/>
        <v>OLD</v>
      </c>
    </row>
    <row r="803" spans="1:32" x14ac:dyDescent="0.2">
      <c r="A803" t="s">
        <v>1118</v>
      </c>
      <c r="B803" t="s">
        <v>39</v>
      </c>
      <c r="C803">
        <v>1012915792</v>
      </c>
      <c r="D803" t="s">
        <v>824</v>
      </c>
      <c r="E803" t="s">
        <v>31</v>
      </c>
      <c r="F803" s="1">
        <v>0.67291666666666672</v>
      </c>
      <c r="G803" t="s">
        <v>32</v>
      </c>
      <c r="H803" t="s">
        <v>33</v>
      </c>
      <c r="I803" t="s">
        <v>41</v>
      </c>
      <c r="J803" t="s">
        <v>42</v>
      </c>
      <c r="K803">
        <v>90</v>
      </c>
      <c r="L803">
        <v>0</v>
      </c>
      <c r="M803" t="s">
        <v>63</v>
      </c>
      <c r="N803">
        <v>250</v>
      </c>
      <c r="O803">
        <v>0</v>
      </c>
      <c r="P803">
        <v>0</v>
      </c>
      <c r="Q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 t="s">
        <v>36</v>
      </c>
      <c r="AC803" t="s">
        <v>823</v>
      </c>
      <c r="AD803" t="str">
        <f t="shared" si="24"/>
        <v>CP</v>
      </c>
      <c r="AE803" t="str">
        <f>_xlfn.XLOOKUP(D803,Mapping!A:A,Mapping!D:D,0,0)</f>
        <v>VOD Hentai Intent</v>
      </c>
      <c r="AF803" t="str">
        <f t="shared" si="25"/>
        <v>OLD</v>
      </c>
    </row>
    <row r="804" spans="1:32" x14ac:dyDescent="0.2">
      <c r="A804" t="s">
        <v>1118</v>
      </c>
      <c r="B804" t="s">
        <v>39</v>
      </c>
      <c r="C804">
        <v>1012915802</v>
      </c>
      <c r="D804" t="s">
        <v>825</v>
      </c>
      <c r="E804" t="s">
        <v>31</v>
      </c>
      <c r="F804" s="1">
        <v>0.67291666666666672</v>
      </c>
      <c r="G804" t="s">
        <v>32</v>
      </c>
      <c r="H804" t="s">
        <v>33</v>
      </c>
      <c r="I804" t="s">
        <v>41</v>
      </c>
      <c r="J804" t="s">
        <v>42</v>
      </c>
      <c r="K804">
        <v>90</v>
      </c>
      <c r="L804">
        <v>0</v>
      </c>
      <c r="M804" t="s">
        <v>63</v>
      </c>
      <c r="N804">
        <v>250</v>
      </c>
      <c r="O804">
        <v>0</v>
      </c>
      <c r="P804">
        <v>0</v>
      </c>
      <c r="Q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 t="s">
        <v>36</v>
      </c>
      <c r="AC804" t="s">
        <v>823</v>
      </c>
      <c r="AD804" t="str">
        <f t="shared" si="24"/>
        <v>CP</v>
      </c>
      <c r="AE804" t="str">
        <f>_xlfn.XLOOKUP(D804,Mapping!A:A,Mapping!D:D,0,0)</f>
        <v>VOD Hentai Intent</v>
      </c>
      <c r="AF804" t="str">
        <f t="shared" si="25"/>
        <v>OLD</v>
      </c>
    </row>
    <row r="805" spans="1:32" x14ac:dyDescent="0.2">
      <c r="A805" t="s">
        <v>1118</v>
      </c>
      <c r="B805" t="s">
        <v>29</v>
      </c>
      <c r="C805">
        <v>1012915832</v>
      </c>
      <c r="D805" t="s">
        <v>826</v>
      </c>
      <c r="E805" t="s">
        <v>31</v>
      </c>
      <c r="F805" s="1">
        <v>0.67291666666666672</v>
      </c>
      <c r="G805" t="s">
        <v>32</v>
      </c>
      <c r="H805" t="s">
        <v>33</v>
      </c>
      <c r="I805" t="s">
        <v>34</v>
      </c>
      <c r="J805" t="s">
        <v>35</v>
      </c>
      <c r="K805">
        <v>36</v>
      </c>
      <c r="L805">
        <v>0</v>
      </c>
      <c r="M805" t="s">
        <v>63</v>
      </c>
      <c r="N805">
        <v>250</v>
      </c>
      <c r="O805">
        <v>10</v>
      </c>
      <c r="P805">
        <v>0</v>
      </c>
      <c r="Q805">
        <v>0</v>
      </c>
      <c r="R805">
        <v>0</v>
      </c>
      <c r="S805">
        <v>0.01</v>
      </c>
      <c r="T805">
        <v>0.59</v>
      </c>
      <c r="U805">
        <v>0</v>
      </c>
      <c r="V805">
        <v>0</v>
      </c>
      <c r="W805">
        <v>1</v>
      </c>
      <c r="X805">
        <v>0</v>
      </c>
      <c r="Y805" t="s">
        <v>36</v>
      </c>
      <c r="Z805">
        <v>10</v>
      </c>
      <c r="AA805">
        <v>9</v>
      </c>
      <c r="AB805">
        <v>0</v>
      </c>
      <c r="AC805" t="s">
        <v>823</v>
      </c>
      <c r="AD805" t="str">
        <f t="shared" si="24"/>
        <v>CP</v>
      </c>
      <c r="AE805" t="str">
        <f>_xlfn.XLOOKUP(D805,Mapping!A:A,Mapping!D:D,0,0)</f>
        <v>Keyword - Preroll</v>
      </c>
      <c r="AF805" t="str">
        <f t="shared" si="25"/>
        <v>OLD</v>
      </c>
    </row>
    <row r="806" spans="1:32" x14ac:dyDescent="0.2">
      <c r="A806" t="s">
        <v>1118</v>
      </c>
      <c r="B806" t="s">
        <v>29</v>
      </c>
      <c r="C806">
        <v>1012915842</v>
      </c>
      <c r="D806" t="s">
        <v>827</v>
      </c>
      <c r="E806" t="s">
        <v>31</v>
      </c>
      <c r="F806" s="1">
        <v>0.67291666666666672</v>
      </c>
      <c r="G806" t="s">
        <v>32</v>
      </c>
      <c r="H806" t="s">
        <v>33</v>
      </c>
      <c r="I806" t="s">
        <v>34</v>
      </c>
      <c r="J806" t="s">
        <v>35</v>
      </c>
      <c r="K806">
        <v>36</v>
      </c>
      <c r="L806">
        <v>0</v>
      </c>
      <c r="M806" t="s">
        <v>63</v>
      </c>
      <c r="N806">
        <v>250</v>
      </c>
      <c r="O806">
        <v>337</v>
      </c>
      <c r="P806">
        <v>21</v>
      </c>
      <c r="Q806">
        <v>6.2314499999999997</v>
      </c>
      <c r="R806">
        <v>0</v>
      </c>
      <c r="S806">
        <v>0.85</v>
      </c>
      <c r="T806">
        <v>2.512</v>
      </c>
      <c r="U806">
        <v>0.04</v>
      </c>
      <c r="V806">
        <v>0</v>
      </c>
      <c r="W806">
        <v>1</v>
      </c>
      <c r="X806">
        <v>0</v>
      </c>
      <c r="Y806" t="s">
        <v>36</v>
      </c>
      <c r="Z806">
        <v>338</v>
      </c>
      <c r="AA806">
        <v>268</v>
      </c>
      <c r="AB806">
        <v>25</v>
      </c>
      <c r="AC806" t="s">
        <v>823</v>
      </c>
      <c r="AD806" t="str">
        <f t="shared" si="24"/>
        <v>CP</v>
      </c>
      <c r="AE806" t="str">
        <f>_xlfn.XLOOKUP(D806,Mapping!A:A,Mapping!D:D,0,0)</f>
        <v>Keyword - Preroll</v>
      </c>
      <c r="AF806" t="str">
        <f t="shared" si="25"/>
        <v>OLD</v>
      </c>
    </row>
    <row r="807" spans="1:32" x14ac:dyDescent="0.2">
      <c r="A807" t="s">
        <v>1118</v>
      </c>
      <c r="B807" t="s">
        <v>29</v>
      </c>
      <c r="C807">
        <v>1012915852</v>
      </c>
      <c r="D807" t="s">
        <v>828</v>
      </c>
      <c r="E807" t="s">
        <v>31</v>
      </c>
      <c r="F807" s="1">
        <v>0.67291666666666672</v>
      </c>
      <c r="G807" t="s">
        <v>32</v>
      </c>
      <c r="H807" t="s">
        <v>33</v>
      </c>
      <c r="I807" t="s">
        <v>34</v>
      </c>
      <c r="J807" t="s">
        <v>35</v>
      </c>
      <c r="K807">
        <v>36</v>
      </c>
      <c r="L807">
        <v>0</v>
      </c>
      <c r="M807" t="s">
        <v>63</v>
      </c>
      <c r="N807">
        <v>250</v>
      </c>
      <c r="O807">
        <v>415</v>
      </c>
      <c r="P807">
        <v>18</v>
      </c>
      <c r="Q807">
        <v>4.3373499999999998</v>
      </c>
      <c r="R807">
        <v>0</v>
      </c>
      <c r="S807">
        <v>1.07</v>
      </c>
      <c r="T807">
        <v>2.5840000000000001</v>
      </c>
      <c r="U807">
        <v>0.06</v>
      </c>
      <c r="V807">
        <v>0</v>
      </c>
      <c r="W807">
        <v>1</v>
      </c>
      <c r="X807">
        <v>0</v>
      </c>
      <c r="Y807" t="s">
        <v>36</v>
      </c>
      <c r="Z807">
        <v>414</v>
      </c>
      <c r="AA807">
        <v>336</v>
      </c>
      <c r="AB807">
        <v>32</v>
      </c>
      <c r="AC807" t="s">
        <v>823</v>
      </c>
      <c r="AD807" t="str">
        <f t="shared" si="24"/>
        <v>CP</v>
      </c>
      <c r="AE807" t="str">
        <f>_xlfn.XLOOKUP(D807,Mapping!A:A,Mapping!D:D,0,0)</f>
        <v>Keyword - Preroll</v>
      </c>
      <c r="AF807" t="str">
        <f t="shared" si="25"/>
        <v>OLD</v>
      </c>
    </row>
    <row r="808" spans="1:32" x14ac:dyDescent="0.2">
      <c r="A808" t="s">
        <v>1118</v>
      </c>
      <c r="B808" t="s">
        <v>29</v>
      </c>
      <c r="C808">
        <v>1012915862</v>
      </c>
      <c r="D808" t="s">
        <v>829</v>
      </c>
      <c r="E808" t="s">
        <v>31</v>
      </c>
      <c r="F808" s="1">
        <v>0.67291666666666672</v>
      </c>
      <c r="G808" t="s">
        <v>32</v>
      </c>
      <c r="H808" t="s">
        <v>33</v>
      </c>
      <c r="I808" t="s">
        <v>34</v>
      </c>
      <c r="J808" t="s">
        <v>35</v>
      </c>
      <c r="K808">
        <v>36</v>
      </c>
      <c r="L808">
        <v>0</v>
      </c>
      <c r="M808" t="s">
        <v>63</v>
      </c>
      <c r="N808">
        <v>250</v>
      </c>
      <c r="O808">
        <v>31</v>
      </c>
      <c r="P808">
        <v>1</v>
      </c>
      <c r="Q808">
        <v>3.2258100000000001</v>
      </c>
      <c r="R808">
        <v>0</v>
      </c>
      <c r="S808">
        <v>0.09</v>
      </c>
      <c r="T808">
        <v>2.7949999999999999</v>
      </c>
      <c r="U808">
        <v>8.6999999999999994E-2</v>
      </c>
      <c r="V808">
        <v>0</v>
      </c>
      <c r="W808">
        <v>1</v>
      </c>
      <c r="X808">
        <v>0</v>
      </c>
      <c r="Y808" t="s">
        <v>36</v>
      </c>
      <c r="Z808">
        <v>31</v>
      </c>
      <c r="AA808">
        <v>21</v>
      </c>
      <c r="AB808">
        <v>3</v>
      </c>
      <c r="AC808" t="s">
        <v>823</v>
      </c>
      <c r="AD808" t="str">
        <f t="shared" si="24"/>
        <v>CP</v>
      </c>
      <c r="AE808" t="str">
        <f>_xlfn.XLOOKUP(D808,Mapping!A:A,Mapping!D:D,0,0)</f>
        <v>Keyword - Preroll</v>
      </c>
      <c r="AF808" t="str">
        <f t="shared" si="25"/>
        <v>OLD</v>
      </c>
    </row>
    <row r="809" spans="1:32" x14ac:dyDescent="0.2">
      <c r="A809" t="s">
        <v>1118</v>
      </c>
      <c r="B809" t="s">
        <v>690</v>
      </c>
      <c r="C809">
        <v>1012915872</v>
      </c>
      <c r="D809" t="s">
        <v>830</v>
      </c>
      <c r="E809" t="s">
        <v>31</v>
      </c>
      <c r="F809" s="1">
        <v>0.67291666666666672</v>
      </c>
      <c r="G809" t="s">
        <v>32</v>
      </c>
      <c r="H809" t="s">
        <v>33</v>
      </c>
      <c r="I809" t="s">
        <v>41</v>
      </c>
      <c r="J809" t="s">
        <v>42</v>
      </c>
      <c r="K809">
        <v>90</v>
      </c>
      <c r="L809">
        <v>0</v>
      </c>
      <c r="M809" t="s">
        <v>63</v>
      </c>
      <c r="N809">
        <v>250</v>
      </c>
      <c r="O809">
        <v>0</v>
      </c>
      <c r="P809">
        <v>0</v>
      </c>
      <c r="Q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 t="s">
        <v>36</v>
      </c>
      <c r="AC809" t="s">
        <v>823</v>
      </c>
      <c r="AD809" t="str">
        <f t="shared" si="24"/>
        <v>CP</v>
      </c>
      <c r="AE809" t="str">
        <f>_xlfn.XLOOKUP(D809,Mapping!A:A,Mapping!D:D,0,0)</f>
        <v>Keyword - Preroll</v>
      </c>
      <c r="AF809" t="str">
        <f t="shared" si="25"/>
        <v>OLD</v>
      </c>
    </row>
    <row r="810" spans="1:32" x14ac:dyDescent="0.2">
      <c r="A810" t="s">
        <v>1118</v>
      </c>
      <c r="B810" t="s">
        <v>29</v>
      </c>
      <c r="C810">
        <v>1012915882</v>
      </c>
      <c r="D810" t="s">
        <v>831</v>
      </c>
      <c r="E810" t="s">
        <v>31</v>
      </c>
      <c r="F810" s="1">
        <v>0.67291666666666672</v>
      </c>
      <c r="G810" t="s">
        <v>32</v>
      </c>
      <c r="H810" t="s">
        <v>33</v>
      </c>
      <c r="I810" t="s">
        <v>41</v>
      </c>
      <c r="J810" t="s">
        <v>42</v>
      </c>
      <c r="K810">
        <v>90</v>
      </c>
      <c r="L810">
        <v>0</v>
      </c>
      <c r="M810" t="s">
        <v>63</v>
      </c>
      <c r="N810">
        <v>250</v>
      </c>
      <c r="O810">
        <v>1560</v>
      </c>
      <c r="P810">
        <v>66</v>
      </c>
      <c r="Q810">
        <v>4.2307600000000001</v>
      </c>
      <c r="R810">
        <v>0</v>
      </c>
      <c r="S810">
        <v>3.37</v>
      </c>
      <c r="T810">
        <v>2.1619999999999999</v>
      </c>
      <c r="U810">
        <v>5.0999999999999997E-2</v>
      </c>
      <c r="V810">
        <v>0</v>
      </c>
      <c r="W810">
        <v>1</v>
      </c>
      <c r="X810">
        <v>0</v>
      </c>
      <c r="Y810" t="s">
        <v>36</v>
      </c>
      <c r="Z810">
        <v>1560</v>
      </c>
      <c r="AA810">
        <v>1393</v>
      </c>
      <c r="AB810">
        <v>107</v>
      </c>
      <c r="AC810" t="s">
        <v>823</v>
      </c>
      <c r="AD810" t="str">
        <f t="shared" si="24"/>
        <v>CP</v>
      </c>
      <c r="AE810" t="str">
        <f>_xlfn.XLOOKUP(D810,Mapping!A:A,Mapping!D:D,0,0)</f>
        <v>Keyword - Preroll</v>
      </c>
      <c r="AF810" t="str">
        <f t="shared" si="25"/>
        <v>OLD</v>
      </c>
    </row>
    <row r="811" spans="1:32" x14ac:dyDescent="0.2">
      <c r="A811" t="s">
        <v>1118</v>
      </c>
      <c r="B811" t="s">
        <v>690</v>
      </c>
      <c r="C811">
        <v>1012915892</v>
      </c>
      <c r="D811" t="s">
        <v>832</v>
      </c>
      <c r="E811" t="s">
        <v>31</v>
      </c>
      <c r="F811" s="1">
        <v>0.67291666666666672</v>
      </c>
      <c r="G811" t="s">
        <v>32</v>
      </c>
      <c r="H811" t="s">
        <v>33</v>
      </c>
      <c r="I811" t="s">
        <v>41</v>
      </c>
      <c r="J811" t="s">
        <v>42</v>
      </c>
      <c r="K811">
        <v>90</v>
      </c>
      <c r="L811">
        <v>0</v>
      </c>
      <c r="M811" t="s">
        <v>63</v>
      </c>
      <c r="N811">
        <v>250</v>
      </c>
      <c r="O811">
        <v>0</v>
      </c>
      <c r="P811">
        <v>0</v>
      </c>
      <c r="Q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 t="s">
        <v>36</v>
      </c>
      <c r="AC811" t="s">
        <v>823</v>
      </c>
      <c r="AD811" t="str">
        <f t="shared" si="24"/>
        <v>CP</v>
      </c>
      <c r="AE811" t="str">
        <f>_xlfn.XLOOKUP(D811,Mapping!A:A,Mapping!D:D,0,0)</f>
        <v>VOD Hentai Intent</v>
      </c>
      <c r="AF811" t="str">
        <f t="shared" si="25"/>
        <v>OLD</v>
      </c>
    </row>
    <row r="812" spans="1:32" x14ac:dyDescent="0.2">
      <c r="A812" t="s">
        <v>1118</v>
      </c>
      <c r="B812" t="s">
        <v>690</v>
      </c>
      <c r="C812">
        <v>1012915902</v>
      </c>
      <c r="D812" t="s">
        <v>833</v>
      </c>
      <c r="E812" t="s">
        <v>31</v>
      </c>
      <c r="F812" s="1">
        <v>0.67291666666666672</v>
      </c>
      <c r="G812" t="s">
        <v>32</v>
      </c>
      <c r="H812" t="s">
        <v>33</v>
      </c>
      <c r="I812" t="s">
        <v>41</v>
      </c>
      <c r="J812" t="s">
        <v>42</v>
      </c>
      <c r="K812">
        <v>90</v>
      </c>
      <c r="L812">
        <v>0</v>
      </c>
      <c r="M812" t="s">
        <v>63</v>
      </c>
      <c r="N812">
        <v>250</v>
      </c>
      <c r="O812">
        <v>0</v>
      </c>
      <c r="P812">
        <v>0</v>
      </c>
      <c r="Q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 t="s">
        <v>36</v>
      </c>
      <c r="AC812" t="s">
        <v>823</v>
      </c>
      <c r="AD812" t="str">
        <f t="shared" si="24"/>
        <v>CP</v>
      </c>
      <c r="AE812" t="str">
        <f>_xlfn.XLOOKUP(D812,Mapping!A:A,Mapping!D:D,0,0)</f>
        <v>Keyword - Preroll</v>
      </c>
      <c r="AF812" t="str">
        <f t="shared" si="25"/>
        <v>OLD</v>
      </c>
    </row>
    <row r="813" spans="1:32" x14ac:dyDescent="0.2">
      <c r="A813" t="s">
        <v>1118</v>
      </c>
      <c r="B813" t="s">
        <v>690</v>
      </c>
      <c r="C813">
        <v>1012915922</v>
      </c>
      <c r="D813" t="s">
        <v>834</v>
      </c>
      <c r="E813" t="s">
        <v>31</v>
      </c>
      <c r="F813" s="1">
        <v>0.67291666666666672</v>
      </c>
      <c r="G813" t="s">
        <v>32</v>
      </c>
      <c r="H813" t="s">
        <v>33</v>
      </c>
      <c r="I813" t="s">
        <v>41</v>
      </c>
      <c r="J813" t="s">
        <v>42</v>
      </c>
      <c r="K813">
        <v>90</v>
      </c>
      <c r="L813">
        <v>0</v>
      </c>
      <c r="M813" t="s">
        <v>63</v>
      </c>
      <c r="N813">
        <v>250</v>
      </c>
      <c r="O813">
        <v>0</v>
      </c>
      <c r="P813">
        <v>0</v>
      </c>
      <c r="Q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 t="s">
        <v>36</v>
      </c>
      <c r="AC813" t="s">
        <v>823</v>
      </c>
      <c r="AD813" t="str">
        <f t="shared" si="24"/>
        <v>CP</v>
      </c>
      <c r="AE813" t="str">
        <f>_xlfn.XLOOKUP(D813,Mapping!A:A,Mapping!D:D,0,0)</f>
        <v>VOD Hentai Intent</v>
      </c>
      <c r="AF813" t="str">
        <f t="shared" si="25"/>
        <v>OLD</v>
      </c>
    </row>
    <row r="814" spans="1:32" x14ac:dyDescent="0.2">
      <c r="A814" t="s">
        <v>1118</v>
      </c>
      <c r="B814" t="s">
        <v>690</v>
      </c>
      <c r="C814">
        <v>1012915932</v>
      </c>
      <c r="D814" t="s">
        <v>835</v>
      </c>
      <c r="E814" t="s">
        <v>31</v>
      </c>
      <c r="F814" s="1">
        <v>0.67291666666666672</v>
      </c>
      <c r="G814" t="s">
        <v>32</v>
      </c>
      <c r="H814" t="s">
        <v>33</v>
      </c>
      <c r="I814" t="s">
        <v>41</v>
      </c>
      <c r="J814" t="s">
        <v>42</v>
      </c>
      <c r="K814">
        <v>90</v>
      </c>
      <c r="L814">
        <v>0</v>
      </c>
      <c r="M814" t="s">
        <v>63</v>
      </c>
      <c r="N814">
        <v>250</v>
      </c>
      <c r="O814">
        <v>0</v>
      </c>
      <c r="P814">
        <v>0</v>
      </c>
      <c r="Q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 t="s">
        <v>36</v>
      </c>
      <c r="AC814" t="s">
        <v>823</v>
      </c>
      <c r="AD814" t="str">
        <f t="shared" si="24"/>
        <v>CP</v>
      </c>
      <c r="AE814" t="str">
        <f>_xlfn.XLOOKUP(D814,Mapping!A:A,Mapping!D:D,0,0)</f>
        <v>VOD Hentai Intent</v>
      </c>
      <c r="AF814" t="str">
        <f t="shared" si="25"/>
        <v>OLD</v>
      </c>
    </row>
    <row r="815" spans="1:32" x14ac:dyDescent="0.2">
      <c r="A815" t="s">
        <v>1118</v>
      </c>
      <c r="B815" t="s">
        <v>690</v>
      </c>
      <c r="C815">
        <v>1012915942</v>
      </c>
      <c r="D815" t="s">
        <v>836</v>
      </c>
      <c r="E815" t="s">
        <v>31</v>
      </c>
      <c r="F815" s="1">
        <v>0.67291666666666672</v>
      </c>
      <c r="G815" t="s">
        <v>32</v>
      </c>
      <c r="H815" t="s">
        <v>33</v>
      </c>
      <c r="I815" t="s">
        <v>41</v>
      </c>
      <c r="J815" t="s">
        <v>42</v>
      </c>
      <c r="K815">
        <v>90</v>
      </c>
      <c r="L815">
        <v>0</v>
      </c>
      <c r="M815" t="s">
        <v>63</v>
      </c>
      <c r="N815">
        <v>250</v>
      </c>
      <c r="O815">
        <v>0</v>
      </c>
      <c r="P815">
        <v>0</v>
      </c>
      <c r="Q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 t="s">
        <v>36</v>
      </c>
      <c r="AC815" t="s">
        <v>823</v>
      </c>
      <c r="AD815" t="str">
        <f t="shared" si="24"/>
        <v>CP</v>
      </c>
      <c r="AE815" t="str">
        <f>_xlfn.XLOOKUP(D815,Mapping!A:A,Mapping!D:D,0,0)</f>
        <v>Keyword - Preroll</v>
      </c>
      <c r="AF815" t="str">
        <f t="shared" si="25"/>
        <v>OLD</v>
      </c>
    </row>
    <row r="816" spans="1:32" x14ac:dyDescent="0.2">
      <c r="A816" t="s">
        <v>1118</v>
      </c>
      <c r="B816" t="s">
        <v>29</v>
      </c>
      <c r="C816">
        <v>1012915952</v>
      </c>
      <c r="D816" t="s">
        <v>837</v>
      </c>
      <c r="E816" t="s">
        <v>31</v>
      </c>
      <c r="F816" s="1">
        <v>0.67291666666666672</v>
      </c>
      <c r="G816" t="s">
        <v>32</v>
      </c>
      <c r="H816" t="s">
        <v>33</v>
      </c>
      <c r="I816" t="s">
        <v>41</v>
      </c>
      <c r="J816" t="s">
        <v>42</v>
      </c>
      <c r="K816">
        <v>90</v>
      </c>
      <c r="L816">
        <v>0</v>
      </c>
      <c r="M816" t="s">
        <v>63</v>
      </c>
      <c r="N816">
        <v>250</v>
      </c>
      <c r="O816">
        <v>1568</v>
      </c>
      <c r="P816">
        <v>74</v>
      </c>
      <c r="Q816">
        <v>4.7193899999999998</v>
      </c>
      <c r="R816">
        <v>0</v>
      </c>
      <c r="S816">
        <v>3.22</v>
      </c>
      <c r="T816">
        <v>2.0510000000000002</v>
      </c>
      <c r="U816">
        <v>4.2999999999999997E-2</v>
      </c>
      <c r="V816">
        <v>0</v>
      </c>
      <c r="W816">
        <v>1</v>
      </c>
      <c r="X816">
        <v>0</v>
      </c>
      <c r="Y816" t="s">
        <v>36</v>
      </c>
      <c r="Z816">
        <v>1566</v>
      </c>
      <c r="AA816">
        <v>1369</v>
      </c>
      <c r="AB816">
        <v>136</v>
      </c>
      <c r="AC816" t="s">
        <v>823</v>
      </c>
      <c r="AD816" t="str">
        <f t="shared" si="24"/>
        <v>CP</v>
      </c>
      <c r="AE816" t="str">
        <f>_xlfn.XLOOKUP(D816,Mapping!A:A,Mapping!D:D,0,0)</f>
        <v>Keyword - Preroll</v>
      </c>
      <c r="AF816" t="str">
        <f t="shared" si="25"/>
        <v>OLD</v>
      </c>
    </row>
    <row r="817" spans="1:32" x14ac:dyDescent="0.2">
      <c r="A817" t="s">
        <v>1118</v>
      </c>
      <c r="B817" t="s">
        <v>29</v>
      </c>
      <c r="C817">
        <v>1012915962</v>
      </c>
      <c r="D817" t="s">
        <v>126</v>
      </c>
      <c r="E817" t="s">
        <v>31</v>
      </c>
      <c r="F817" s="1">
        <v>0.67291666666666672</v>
      </c>
      <c r="G817" t="s">
        <v>32</v>
      </c>
      <c r="H817" t="s">
        <v>33</v>
      </c>
      <c r="I817" t="s">
        <v>41</v>
      </c>
      <c r="J817" t="s">
        <v>58</v>
      </c>
      <c r="K817">
        <v>20</v>
      </c>
      <c r="L817">
        <v>0</v>
      </c>
      <c r="M817" t="s">
        <v>63</v>
      </c>
      <c r="N817">
        <v>250</v>
      </c>
      <c r="O817">
        <v>150</v>
      </c>
      <c r="P817">
        <v>7</v>
      </c>
      <c r="Q817">
        <v>4.6666699999999999</v>
      </c>
      <c r="R817">
        <v>0</v>
      </c>
      <c r="S817">
        <v>0.1</v>
      </c>
      <c r="T817">
        <v>0.66300000000000003</v>
      </c>
      <c r="U817">
        <v>1.4E-2</v>
      </c>
      <c r="V817">
        <v>0</v>
      </c>
      <c r="W817">
        <v>1</v>
      </c>
      <c r="X817">
        <v>0</v>
      </c>
      <c r="Y817" t="s">
        <v>36</v>
      </c>
      <c r="Z817">
        <v>149</v>
      </c>
      <c r="AA817">
        <v>137</v>
      </c>
      <c r="AB817">
        <v>4</v>
      </c>
      <c r="AC817" t="s">
        <v>789</v>
      </c>
      <c r="AD817" t="str">
        <f t="shared" si="24"/>
        <v>CP</v>
      </c>
      <c r="AE817" t="str">
        <f>_xlfn.XLOOKUP(D817,Mapping!A:A,Mapping!D:D,0,0)</f>
        <v>Trans</v>
      </c>
      <c r="AF817" t="str">
        <f t="shared" si="25"/>
        <v>OLD</v>
      </c>
    </row>
    <row r="818" spans="1:32" x14ac:dyDescent="0.2">
      <c r="A818" t="s">
        <v>1118</v>
      </c>
      <c r="B818" t="s">
        <v>690</v>
      </c>
      <c r="C818">
        <v>1012915972</v>
      </c>
      <c r="D818" t="s">
        <v>132</v>
      </c>
      <c r="E818" t="s">
        <v>31</v>
      </c>
      <c r="F818" s="1">
        <v>0.67291666666666672</v>
      </c>
      <c r="G818" t="s">
        <v>32</v>
      </c>
      <c r="H818" t="s">
        <v>33</v>
      </c>
      <c r="I818" t="s">
        <v>41</v>
      </c>
      <c r="J818" t="s">
        <v>58</v>
      </c>
      <c r="K818">
        <v>20</v>
      </c>
      <c r="L818">
        <v>0</v>
      </c>
      <c r="M818" t="s">
        <v>63</v>
      </c>
      <c r="N818">
        <v>250</v>
      </c>
      <c r="O818">
        <v>5</v>
      </c>
      <c r="P818">
        <v>0</v>
      </c>
      <c r="Q818">
        <v>0</v>
      </c>
      <c r="R818">
        <v>0</v>
      </c>
      <c r="S818">
        <v>0</v>
      </c>
      <c r="T818">
        <v>0.76400000000000001</v>
      </c>
      <c r="U818">
        <v>0</v>
      </c>
      <c r="V818">
        <v>0</v>
      </c>
      <c r="W818">
        <v>1</v>
      </c>
      <c r="X818">
        <v>0</v>
      </c>
      <c r="Y818" t="s">
        <v>36</v>
      </c>
      <c r="Z818">
        <v>5</v>
      </c>
      <c r="AA818">
        <v>5</v>
      </c>
      <c r="AB818">
        <v>0</v>
      </c>
      <c r="AC818" t="s">
        <v>789</v>
      </c>
      <c r="AD818" t="str">
        <f t="shared" si="24"/>
        <v>CP</v>
      </c>
      <c r="AE818" t="str">
        <f>_xlfn.XLOOKUP(D818,Mapping!A:A,Mapping!D:D,0,0)</f>
        <v>Trans</v>
      </c>
      <c r="AF818" t="str">
        <f t="shared" si="25"/>
        <v>OLD</v>
      </c>
    </row>
    <row r="819" spans="1:32" x14ac:dyDescent="0.2">
      <c r="A819" t="s">
        <v>1118</v>
      </c>
      <c r="B819" t="s">
        <v>39</v>
      </c>
      <c r="C819">
        <v>1012915982</v>
      </c>
      <c r="D819" t="s">
        <v>128</v>
      </c>
      <c r="E819" t="s">
        <v>31</v>
      </c>
      <c r="F819" s="1">
        <v>0.67291666666666672</v>
      </c>
      <c r="G819" t="s">
        <v>32</v>
      </c>
      <c r="H819" t="s">
        <v>33</v>
      </c>
      <c r="I819" t="s">
        <v>41</v>
      </c>
      <c r="J819" t="s">
        <v>58</v>
      </c>
      <c r="K819">
        <v>20</v>
      </c>
      <c r="L819">
        <v>0</v>
      </c>
      <c r="M819" t="s">
        <v>63</v>
      </c>
      <c r="N819">
        <v>250</v>
      </c>
      <c r="O819">
        <v>0</v>
      </c>
      <c r="P819">
        <v>0</v>
      </c>
      <c r="Q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 t="s">
        <v>36</v>
      </c>
      <c r="AC819" t="s">
        <v>789</v>
      </c>
      <c r="AD819" t="str">
        <f t="shared" si="24"/>
        <v>CP</v>
      </c>
      <c r="AE819" t="str">
        <f>_xlfn.XLOOKUP(D819,Mapping!A:A,Mapping!D:D,0,0)</f>
        <v>Bin</v>
      </c>
      <c r="AF819" t="str">
        <f t="shared" si="25"/>
        <v>OLD</v>
      </c>
    </row>
    <row r="820" spans="1:32" x14ac:dyDescent="0.2">
      <c r="A820" t="s">
        <v>1118</v>
      </c>
      <c r="B820" t="s">
        <v>690</v>
      </c>
      <c r="C820">
        <v>1012915992</v>
      </c>
      <c r="D820" t="s">
        <v>838</v>
      </c>
      <c r="E820" t="s">
        <v>31</v>
      </c>
      <c r="F820" s="1">
        <v>0.67291666666666672</v>
      </c>
      <c r="G820" t="s">
        <v>32</v>
      </c>
      <c r="H820" t="s">
        <v>33</v>
      </c>
      <c r="I820" t="s">
        <v>41</v>
      </c>
      <c r="J820" t="s">
        <v>58</v>
      </c>
      <c r="K820">
        <v>20</v>
      </c>
      <c r="L820">
        <v>0</v>
      </c>
      <c r="M820" t="s">
        <v>63</v>
      </c>
      <c r="N820">
        <v>250</v>
      </c>
      <c r="O820">
        <v>0</v>
      </c>
      <c r="P820">
        <v>0</v>
      </c>
      <c r="Q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 t="s">
        <v>36</v>
      </c>
      <c r="AC820" t="s">
        <v>789</v>
      </c>
      <c r="AD820" t="str">
        <f t="shared" si="24"/>
        <v>CP</v>
      </c>
      <c r="AE820" t="str">
        <f>_xlfn.XLOOKUP(D820,Mapping!A:A,Mapping!D:D,0,0)</f>
        <v>Trans</v>
      </c>
      <c r="AF820" t="str">
        <f t="shared" si="25"/>
        <v>OLD</v>
      </c>
    </row>
    <row r="821" spans="1:32" x14ac:dyDescent="0.2">
      <c r="A821" t="s">
        <v>1118</v>
      </c>
      <c r="B821" t="s">
        <v>29</v>
      </c>
      <c r="C821">
        <v>1012916002</v>
      </c>
      <c r="D821" t="s">
        <v>129</v>
      </c>
      <c r="E821" t="s">
        <v>31</v>
      </c>
      <c r="F821" s="1">
        <v>0.67291666666666672</v>
      </c>
      <c r="G821" t="s">
        <v>32</v>
      </c>
      <c r="H821" t="s">
        <v>33</v>
      </c>
      <c r="I821" t="s">
        <v>34</v>
      </c>
      <c r="J821" t="s">
        <v>124</v>
      </c>
      <c r="K821">
        <v>8</v>
      </c>
      <c r="L821">
        <v>0</v>
      </c>
      <c r="M821" t="s">
        <v>63</v>
      </c>
      <c r="N821">
        <v>250</v>
      </c>
      <c r="O821">
        <v>4942</v>
      </c>
      <c r="P821">
        <v>221</v>
      </c>
      <c r="Q821">
        <v>4.47187</v>
      </c>
      <c r="R821">
        <v>0</v>
      </c>
      <c r="S821">
        <v>12.09</v>
      </c>
      <c r="T821">
        <v>2.4460000000000002</v>
      </c>
      <c r="U821">
        <v>5.5E-2</v>
      </c>
      <c r="V821">
        <v>0</v>
      </c>
      <c r="W821">
        <v>1</v>
      </c>
      <c r="X821">
        <v>0</v>
      </c>
      <c r="Y821" t="s">
        <v>36</v>
      </c>
      <c r="Z821">
        <v>4943</v>
      </c>
      <c r="AA821">
        <v>3772</v>
      </c>
      <c r="AB821">
        <v>657</v>
      </c>
      <c r="AC821" t="s">
        <v>789</v>
      </c>
      <c r="AD821" t="str">
        <f t="shared" si="24"/>
        <v>CP</v>
      </c>
      <c r="AE821" t="str">
        <f>_xlfn.XLOOKUP(D821,Mapping!A:A,Mapping!D:D,0,0)</f>
        <v>Trans</v>
      </c>
      <c r="AF821" t="str">
        <f t="shared" si="25"/>
        <v>OLD</v>
      </c>
    </row>
    <row r="822" spans="1:32" x14ac:dyDescent="0.2">
      <c r="A822" t="s">
        <v>1118</v>
      </c>
      <c r="B822" t="s">
        <v>29</v>
      </c>
      <c r="C822">
        <v>1012916012</v>
      </c>
      <c r="D822" t="s">
        <v>130</v>
      </c>
      <c r="E822" t="s">
        <v>31</v>
      </c>
      <c r="F822" s="1">
        <v>0.67291666666666672</v>
      </c>
      <c r="G822" t="s">
        <v>32</v>
      </c>
      <c r="H822" t="s">
        <v>33</v>
      </c>
      <c r="I822" t="s">
        <v>34</v>
      </c>
      <c r="J822" t="s">
        <v>124</v>
      </c>
      <c r="K822">
        <v>8</v>
      </c>
      <c r="L822">
        <v>0</v>
      </c>
      <c r="M822" t="s">
        <v>63</v>
      </c>
      <c r="N822">
        <v>250</v>
      </c>
      <c r="O822">
        <v>1233</v>
      </c>
      <c r="P822">
        <v>51</v>
      </c>
      <c r="Q822">
        <v>4.1362500000000004</v>
      </c>
      <c r="R822">
        <v>0</v>
      </c>
      <c r="S822">
        <v>3.35</v>
      </c>
      <c r="T822">
        <v>2.7170000000000001</v>
      </c>
      <c r="U822">
        <v>6.6000000000000003E-2</v>
      </c>
      <c r="V822">
        <v>0</v>
      </c>
      <c r="W822">
        <v>1</v>
      </c>
      <c r="X822">
        <v>0</v>
      </c>
      <c r="Y822" t="s">
        <v>36</v>
      </c>
      <c r="Z822">
        <v>1233</v>
      </c>
      <c r="AA822">
        <v>951</v>
      </c>
      <c r="AB822">
        <v>130</v>
      </c>
      <c r="AC822" t="s">
        <v>789</v>
      </c>
      <c r="AD822" t="str">
        <f t="shared" si="24"/>
        <v>CP</v>
      </c>
      <c r="AE822" t="str">
        <f>_xlfn.XLOOKUP(D822,Mapping!A:A,Mapping!D:D,0,0)</f>
        <v>Trans</v>
      </c>
      <c r="AF822" t="str">
        <f t="shared" si="25"/>
        <v>OLD</v>
      </c>
    </row>
    <row r="823" spans="1:32" x14ac:dyDescent="0.2">
      <c r="A823" t="s">
        <v>1118</v>
      </c>
      <c r="B823" t="s">
        <v>39</v>
      </c>
      <c r="C823">
        <v>1012916022</v>
      </c>
      <c r="D823" t="s">
        <v>131</v>
      </c>
      <c r="E823" t="s">
        <v>31</v>
      </c>
      <c r="F823" s="1">
        <v>0.67291666666666672</v>
      </c>
      <c r="G823" t="s">
        <v>32</v>
      </c>
      <c r="H823" t="s">
        <v>33</v>
      </c>
      <c r="I823" t="s">
        <v>34</v>
      </c>
      <c r="J823" t="s">
        <v>124</v>
      </c>
      <c r="K823">
        <v>8</v>
      </c>
      <c r="L823">
        <v>0</v>
      </c>
      <c r="M823" t="s">
        <v>63</v>
      </c>
      <c r="N823">
        <v>250</v>
      </c>
      <c r="O823">
        <v>0</v>
      </c>
      <c r="P823">
        <v>0</v>
      </c>
      <c r="Q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 t="s">
        <v>36</v>
      </c>
      <c r="AC823" t="s">
        <v>789</v>
      </c>
      <c r="AD823" t="str">
        <f t="shared" si="24"/>
        <v>CP</v>
      </c>
      <c r="AE823" t="str">
        <f>_xlfn.XLOOKUP(D823,Mapping!A:A,Mapping!D:D,0,0)</f>
        <v>Bin</v>
      </c>
      <c r="AF823" t="str">
        <f t="shared" si="25"/>
        <v>OLD</v>
      </c>
    </row>
    <row r="824" spans="1:32" x14ac:dyDescent="0.2">
      <c r="A824" t="s">
        <v>1118</v>
      </c>
      <c r="B824" t="s">
        <v>29</v>
      </c>
      <c r="C824">
        <v>1012916032</v>
      </c>
      <c r="D824" t="s">
        <v>839</v>
      </c>
      <c r="E824" t="s">
        <v>31</v>
      </c>
      <c r="F824" s="1">
        <v>0.67291666666666672</v>
      </c>
      <c r="G824" t="s">
        <v>32</v>
      </c>
      <c r="H824" t="s">
        <v>33</v>
      </c>
      <c r="I824" t="s">
        <v>34</v>
      </c>
      <c r="J824" t="s">
        <v>124</v>
      </c>
      <c r="K824">
        <v>8</v>
      </c>
      <c r="L824">
        <v>0</v>
      </c>
      <c r="M824" t="s">
        <v>63</v>
      </c>
      <c r="N824">
        <v>250</v>
      </c>
      <c r="O824">
        <v>26</v>
      </c>
      <c r="P824">
        <v>2</v>
      </c>
      <c r="Q824">
        <v>7.69231</v>
      </c>
      <c r="R824">
        <v>0</v>
      </c>
      <c r="S824">
        <v>0.01</v>
      </c>
      <c r="T824">
        <v>0.56200000000000006</v>
      </c>
      <c r="U824">
        <v>7.0000000000000001E-3</v>
      </c>
      <c r="V824">
        <v>0</v>
      </c>
      <c r="W824">
        <v>1</v>
      </c>
      <c r="X824">
        <v>0</v>
      </c>
      <c r="Y824" t="s">
        <v>36</v>
      </c>
      <c r="Z824">
        <v>26</v>
      </c>
      <c r="AA824">
        <v>15</v>
      </c>
      <c r="AB824">
        <v>5</v>
      </c>
      <c r="AC824" t="s">
        <v>789</v>
      </c>
      <c r="AD824" t="str">
        <f t="shared" si="24"/>
        <v>CP</v>
      </c>
      <c r="AE824" t="str">
        <f>_xlfn.XLOOKUP(D824,Mapping!A:A,Mapping!D:D,0,0)</f>
        <v>Trans</v>
      </c>
      <c r="AF824" t="str">
        <f t="shared" si="25"/>
        <v>OLD</v>
      </c>
    </row>
    <row r="825" spans="1:32" x14ac:dyDescent="0.2">
      <c r="A825" t="s">
        <v>1118</v>
      </c>
      <c r="B825" t="s">
        <v>29</v>
      </c>
      <c r="C825">
        <v>1012916052</v>
      </c>
      <c r="D825" t="s">
        <v>840</v>
      </c>
      <c r="E825" t="s">
        <v>31</v>
      </c>
      <c r="F825" s="1">
        <v>0.67291666666666672</v>
      </c>
      <c r="G825" t="s">
        <v>32</v>
      </c>
      <c r="H825" t="s">
        <v>33</v>
      </c>
      <c r="I825" t="s">
        <v>41</v>
      </c>
      <c r="J825" t="s">
        <v>58</v>
      </c>
      <c r="K825">
        <v>20</v>
      </c>
      <c r="L825">
        <v>0</v>
      </c>
      <c r="M825" t="s">
        <v>63</v>
      </c>
      <c r="N825">
        <v>250</v>
      </c>
      <c r="O825">
        <v>51</v>
      </c>
      <c r="P825">
        <v>0</v>
      </c>
      <c r="Q825">
        <v>0</v>
      </c>
      <c r="R825">
        <v>0</v>
      </c>
      <c r="S825">
        <v>0.04</v>
      </c>
      <c r="T825">
        <v>0.70199999999999996</v>
      </c>
      <c r="U825">
        <v>0</v>
      </c>
      <c r="V825">
        <v>0</v>
      </c>
      <c r="W825">
        <v>1</v>
      </c>
      <c r="X825">
        <v>0</v>
      </c>
      <c r="Y825" t="s">
        <v>36</v>
      </c>
      <c r="Z825">
        <v>51</v>
      </c>
      <c r="AA825">
        <v>46</v>
      </c>
      <c r="AB825">
        <v>4</v>
      </c>
      <c r="AC825" t="s">
        <v>789</v>
      </c>
      <c r="AD825" t="str">
        <f t="shared" si="24"/>
        <v>CP</v>
      </c>
      <c r="AE825" t="str">
        <f>_xlfn.XLOOKUP(D825,Mapping!A:A,Mapping!D:D,0,0)</f>
        <v>Trans</v>
      </c>
      <c r="AF825" t="str">
        <f t="shared" si="25"/>
        <v>OLD</v>
      </c>
    </row>
    <row r="826" spans="1:32" x14ac:dyDescent="0.2">
      <c r="A826" t="s">
        <v>1118</v>
      </c>
      <c r="B826" t="s">
        <v>39</v>
      </c>
      <c r="C826">
        <v>1012916062</v>
      </c>
      <c r="D826" t="s">
        <v>841</v>
      </c>
      <c r="E826" t="s">
        <v>31</v>
      </c>
      <c r="F826" s="1">
        <v>0.67291666666666672</v>
      </c>
      <c r="G826" t="s">
        <v>32</v>
      </c>
      <c r="H826" t="s">
        <v>33</v>
      </c>
      <c r="I826" t="s">
        <v>41</v>
      </c>
      <c r="J826" t="s">
        <v>58</v>
      </c>
      <c r="K826">
        <v>20</v>
      </c>
      <c r="L826">
        <v>0</v>
      </c>
      <c r="M826" t="s">
        <v>63</v>
      </c>
      <c r="N826">
        <v>250</v>
      </c>
      <c r="O826">
        <v>0</v>
      </c>
      <c r="P826">
        <v>0</v>
      </c>
      <c r="Q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 t="s">
        <v>36</v>
      </c>
      <c r="AC826" t="s">
        <v>789</v>
      </c>
      <c r="AD826" t="str">
        <f t="shared" si="24"/>
        <v>CP</v>
      </c>
      <c r="AE826" t="str">
        <f>_xlfn.XLOOKUP(D826,Mapping!A:A,Mapping!D:D,0,0)</f>
        <v>Trans</v>
      </c>
      <c r="AF826" t="str">
        <f t="shared" si="25"/>
        <v>OLD</v>
      </c>
    </row>
    <row r="827" spans="1:32" x14ac:dyDescent="0.2">
      <c r="A827" t="s">
        <v>1118</v>
      </c>
      <c r="B827" t="s">
        <v>29</v>
      </c>
      <c r="C827">
        <v>1012916072</v>
      </c>
      <c r="D827" t="s">
        <v>842</v>
      </c>
      <c r="E827" t="s">
        <v>31</v>
      </c>
      <c r="F827" s="1">
        <v>0.67291666666666672</v>
      </c>
      <c r="G827" t="s">
        <v>32</v>
      </c>
      <c r="H827" t="s">
        <v>33</v>
      </c>
      <c r="I827" t="s">
        <v>41</v>
      </c>
      <c r="J827" t="s">
        <v>58</v>
      </c>
      <c r="K827">
        <v>20</v>
      </c>
      <c r="L827">
        <v>0</v>
      </c>
      <c r="M827" t="s">
        <v>63</v>
      </c>
      <c r="N827">
        <v>250</v>
      </c>
      <c r="O827">
        <v>102</v>
      </c>
      <c r="P827">
        <v>2</v>
      </c>
      <c r="Q827">
        <v>1.96078</v>
      </c>
      <c r="R827">
        <v>0</v>
      </c>
      <c r="S827">
        <v>7.0000000000000007E-2</v>
      </c>
      <c r="T827">
        <v>0.66100000000000003</v>
      </c>
      <c r="U827">
        <v>3.4000000000000002E-2</v>
      </c>
      <c r="V827">
        <v>0</v>
      </c>
      <c r="W827">
        <v>1</v>
      </c>
      <c r="X827">
        <v>0</v>
      </c>
      <c r="Y827" t="s">
        <v>36</v>
      </c>
      <c r="Z827">
        <v>102</v>
      </c>
      <c r="AA827">
        <v>98</v>
      </c>
      <c r="AB827">
        <v>3</v>
      </c>
      <c r="AC827" t="s">
        <v>789</v>
      </c>
      <c r="AD827" t="str">
        <f t="shared" si="24"/>
        <v>CP</v>
      </c>
      <c r="AE827" t="str">
        <f>_xlfn.XLOOKUP(D827,Mapping!A:A,Mapping!D:D,0,0)</f>
        <v>Trans</v>
      </c>
      <c r="AF827" t="str">
        <f t="shared" si="25"/>
        <v>OLD</v>
      </c>
    </row>
    <row r="828" spans="1:32" x14ac:dyDescent="0.2">
      <c r="A828" t="s">
        <v>1118</v>
      </c>
      <c r="B828" t="s">
        <v>690</v>
      </c>
      <c r="C828">
        <v>1012916082</v>
      </c>
      <c r="D828" t="s">
        <v>843</v>
      </c>
      <c r="E828" t="s">
        <v>31</v>
      </c>
      <c r="F828" s="1">
        <v>0.67291666666666672</v>
      </c>
      <c r="G828" t="s">
        <v>32</v>
      </c>
      <c r="H828" t="s">
        <v>33</v>
      </c>
      <c r="I828" t="s">
        <v>41</v>
      </c>
      <c r="J828" t="s">
        <v>58</v>
      </c>
      <c r="K828">
        <v>20</v>
      </c>
      <c r="L828">
        <v>0</v>
      </c>
      <c r="M828" t="s">
        <v>63</v>
      </c>
      <c r="N828">
        <v>250</v>
      </c>
      <c r="O828">
        <v>0</v>
      </c>
      <c r="P828">
        <v>0</v>
      </c>
      <c r="Q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 t="s">
        <v>36</v>
      </c>
      <c r="AC828" t="s">
        <v>789</v>
      </c>
      <c r="AD828" t="str">
        <f t="shared" si="24"/>
        <v>CP</v>
      </c>
      <c r="AE828" t="str">
        <f>_xlfn.XLOOKUP(D828,Mapping!A:A,Mapping!D:D,0,0)</f>
        <v>Trans</v>
      </c>
      <c r="AF828" t="str">
        <f t="shared" si="25"/>
        <v>OLD</v>
      </c>
    </row>
    <row r="829" spans="1:32" x14ac:dyDescent="0.2">
      <c r="A829" t="s">
        <v>1118</v>
      </c>
      <c r="B829" t="s">
        <v>39</v>
      </c>
      <c r="C829">
        <v>1012921252</v>
      </c>
      <c r="D829" t="s">
        <v>844</v>
      </c>
      <c r="E829" t="s">
        <v>31</v>
      </c>
      <c r="F829" s="1">
        <v>0.67291666666666672</v>
      </c>
      <c r="G829" t="s">
        <v>32</v>
      </c>
      <c r="H829" t="s">
        <v>33</v>
      </c>
      <c r="I829" t="s">
        <v>41</v>
      </c>
      <c r="J829" t="s">
        <v>255</v>
      </c>
      <c r="K829">
        <v>6</v>
      </c>
      <c r="L829">
        <v>0</v>
      </c>
      <c r="M829" t="s">
        <v>63</v>
      </c>
      <c r="N829">
        <v>500</v>
      </c>
      <c r="O829">
        <v>0</v>
      </c>
      <c r="P829">
        <v>0</v>
      </c>
      <c r="Q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 t="s">
        <v>36</v>
      </c>
      <c r="AC829" t="s">
        <v>606</v>
      </c>
      <c r="AD829" t="str">
        <f t="shared" si="24"/>
        <v>CP</v>
      </c>
      <c r="AE829" t="str">
        <f>_xlfn.XLOOKUP(D829,Mapping!A:A,Mapping!D:D,0,0)</f>
        <v>Blowjob</v>
      </c>
      <c r="AF829" t="str">
        <f t="shared" si="25"/>
        <v>OLD</v>
      </c>
    </row>
    <row r="830" spans="1:32" x14ac:dyDescent="0.2">
      <c r="A830" t="s">
        <v>1118</v>
      </c>
      <c r="B830" t="s">
        <v>29</v>
      </c>
      <c r="C830">
        <v>1012921942</v>
      </c>
      <c r="D830" t="s">
        <v>845</v>
      </c>
      <c r="E830" t="s">
        <v>31</v>
      </c>
      <c r="F830" s="1">
        <v>0.67291666666666672</v>
      </c>
      <c r="G830" t="s">
        <v>32</v>
      </c>
      <c r="H830" t="s">
        <v>33</v>
      </c>
      <c r="I830" t="s">
        <v>41</v>
      </c>
      <c r="J830" t="s">
        <v>62</v>
      </c>
      <c r="K830">
        <v>1100</v>
      </c>
      <c r="L830">
        <v>0</v>
      </c>
      <c r="M830" t="s">
        <v>36</v>
      </c>
      <c r="N830" t="s">
        <v>37</v>
      </c>
      <c r="O830">
        <v>5607</v>
      </c>
      <c r="P830">
        <v>397</v>
      </c>
      <c r="Q830">
        <v>7.0804400000000003</v>
      </c>
      <c r="R830">
        <v>0</v>
      </c>
      <c r="S830">
        <v>6.97</v>
      </c>
      <c r="T830">
        <v>1.244</v>
      </c>
      <c r="U830">
        <v>1.7999999999999999E-2</v>
      </c>
      <c r="V830">
        <v>0</v>
      </c>
      <c r="W830">
        <v>1</v>
      </c>
      <c r="X830">
        <v>0</v>
      </c>
      <c r="Y830" t="s">
        <v>36</v>
      </c>
      <c r="Z830">
        <v>5607</v>
      </c>
      <c r="AA830">
        <v>4927</v>
      </c>
      <c r="AB830">
        <v>423</v>
      </c>
      <c r="AC830" t="s">
        <v>618</v>
      </c>
      <c r="AD830" t="str">
        <f t="shared" si="24"/>
        <v>CP</v>
      </c>
      <c r="AE830" t="str">
        <f>_xlfn.XLOOKUP(D830,Mapping!A:A,Mapping!D:D,0,0)</f>
        <v>Hentai</v>
      </c>
      <c r="AF830" t="str">
        <f t="shared" si="25"/>
        <v>OLD</v>
      </c>
    </row>
    <row r="831" spans="1:32" x14ac:dyDescent="0.2">
      <c r="A831" t="s">
        <v>1118</v>
      </c>
      <c r="B831" t="s">
        <v>29</v>
      </c>
      <c r="C831">
        <v>1012921952</v>
      </c>
      <c r="D831" t="s">
        <v>846</v>
      </c>
      <c r="E831" t="s">
        <v>31</v>
      </c>
      <c r="F831" s="1">
        <v>0.67291666666666672</v>
      </c>
      <c r="G831" t="s">
        <v>32</v>
      </c>
      <c r="H831" t="s">
        <v>33</v>
      </c>
      <c r="I831" t="s">
        <v>41</v>
      </c>
      <c r="J831" t="s">
        <v>62</v>
      </c>
      <c r="K831">
        <v>1100</v>
      </c>
      <c r="L831">
        <v>0</v>
      </c>
      <c r="M831" t="s">
        <v>63</v>
      </c>
      <c r="N831">
        <v>250</v>
      </c>
      <c r="O831">
        <v>3722</v>
      </c>
      <c r="P831">
        <v>222</v>
      </c>
      <c r="Q831">
        <v>5.9645400000000004</v>
      </c>
      <c r="R831">
        <v>0</v>
      </c>
      <c r="S831">
        <v>5.88</v>
      </c>
      <c r="T831">
        <v>1.58</v>
      </c>
      <c r="U831">
        <v>2.5999999999999999E-2</v>
      </c>
      <c r="V831">
        <v>0</v>
      </c>
      <c r="W831">
        <v>1</v>
      </c>
      <c r="X831">
        <v>0</v>
      </c>
      <c r="Y831" t="s">
        <v>36</v>
      </c>
      <c r="Z831">
        <v>3722</v>
      </c>
      <c r="AA831">
        <v>3267</v>
      </c>
      <c r="AB831">
        <v>292</v>
      </c>
      <c r="AC831" t="s">
        <v>618</v>
      </c>
      <c r="AD831" t="str">
        <f t="shared" si="24"/>
        <v>CP</v>
      </c>
      <c r="AE831" t="str">
        <f>_xlfn.XLOOKUP(D831,Mapping!A:A,Mapping!D:D,0,0)</f>
        <v>Hentai</v>
      </c>
      <c r="AF831" t="str">
        <f t="shared" si="25"/>
        <v>OLD</v>
      </c>
    </row>
    <row r="832" spans="1:32" x14ac:dyDescent="0.2">
      <c r="A832" t="s">
        <v>1118</v>
      </c>
      <c r="B832" t="s">
        <v>29</v>
      </c>
      <c r="C832">
        <v>1012921962</v>
      </c>
      <c r="D832" t="s">
        <v>847</v>
      </c>
      <c r="E832" t="s">
        <v>31</v>
      </c>
      <c r="F832" s="1">
        <v>0.67291666666666672</v>
      </c>
      <c r="G832" t="s">
        <v>32</v>
      </c>
      <c r="H832" t="s">
        <v>33</v>
      </c>
      <c r="I832" t="s">
        <v>34</v>
      </c>
      <c r="J832" t="s">
        <v>84</v>
      </c>
      <c r="K832">
        <v>520</v>
      </c>
      <c r="L832">
        <v>0</v>
      </c>
      <c r="M832" t="s">
        <v>36</v>
      </c>
      <c r="N832" t="s">
        <v>37</v>
      </c>
      <c r="O832">
        <v>2703</v>
      </c>
      <c r="P832">
        <v>182</v>
      </c>
      <c r="Q832">
        <v>6.7332599999999996</v>
      </c>
      <c r="R832">
        <v>0</v>
      </c>
      <c r="S832">
        <v>4.9400000000000004</v>
      </c>
      <c r="T832">
        <v>1.827</v>
      </c>
      <c r="U832">
        <v>2.7E-2</v>
      </c>
      <c r="V832">
        <v>0</v>
      </c>
      <c r="W832">
        <v>1</v>
      </c>
      <c r="X832">
        <v>0</v>
      </c>
      <c r="Y832" t="s">
        <v>36</v>
      </c>
      <c r="Z832">
        <v>2705</v>
      </c>
      <c r="AA832">
        <v>2120</v>
      </c>
      <c r="AB832">
        <v>300</v>
      </c>
      <c r="AC832" t="s">
        <v>618</v>
      </c>
      <c r="AD832" t="str">
        <f t="shared" si="24"/>
        <v>CP</v>
      </c>
      <c r="AE832" t="str">
        <f>_xlfn.XLOOKUP(D832,Mapping!A:A,Mapping!D:D,0,0)</f>
        <v>Hentai</v>
      </c>
      <c r="AF832" t="str">
        <f t="shared" si="25"/>
        <v>OLD</v>
      </c>
    </row>
    <row r="833" spans="1:32" x14ac:dyDescent="0.2">
      <c r="A833" t="s">
        <v>1118</v>
      </c>
      <c r="B833" t="s">
        <v>29</v>
      </c>
      <c r="C833">
        <v>1012924742</v>
      </c>
      <c r="D833" t="s">
        <v>848</v>
      </c>
      <c r="E833" t="s">
        <v>31</v>
      </c>
      <c r="F833" s="1">
        <v>0.67291666666666672</v>
      </c>
      <c r="G833" t="s">
        <v>32</v>
      </c>
      <c r="H833" t="s">
        <v>33</v>
      </c>
      <c r="I833" t="s">
        <v>34</v>
      </c>
      <c r="J833" t="s">
        <v>84</v>
      </c>
      <c r="K833">
        <v>360</v>
      </c>
      <c r="L833">
        <v>0</v>
      </c>
      <c r="M833" t="s">
        <v>36</v>
      </c>
      <c r="N833" t="s">
        <v>37</v>
      </c>
      <c r="O833">
        <v>62031</v>
      </c>
      <c r="P833">
        <v>3095</v>
      </c>
      <c r="Q833">
        <v>4.9894400000000001</v>
      </c>
      <c r="R833">
        <v>1</v>
      </c>
      <c r="S833">
        <v>115.72</v>
      </c>
      <c r="T833">
        <v>1.8660000000000001</v>
      </c>
      <c r="U833">
        <v>3.6999999999999998E-2</v>
      </c>
      <c r="V833">
        <v>115.72199999999999</v>
      </c>
      <c r="W833">
        <v>1</v>
      </c>
      <c r="X833">
        <v>0</v>
      </c>
      <c r="Y833" t="s">
        <v>36</v>
      </c>
      <c r="Z833">
        <v>62039</v>
      </c>
      <c r="AA833">
        <v>47882</v>
      </c>
      <c r="AB833">
        <v>7886</v>
      </c>
      <c r="AC833" t="s">
        <v>849</v>
      </c>
      <c r="AD833" t="str">
        <f t="shared" si="24"/>
        <v>CP</v>
      </c>
      <c r="AE833" t="str">
        <f>_xlfn.XLOOKUP(D833,Mapping!A:A,Mapping!D:D,0,0)</f>
        <v>Global</v>
      </c>
      <c r="AF833" t="str">
        <f t="shared" si="25"/>
        <v>OLD</v>
      </c>
    </row>
    <row r="834" spans="1:32" x14ac:dyDescent="0.2">
      <c r="A834" t="s">
        <v>1118</v>
      </c>
      <c r="B834" t="s">
        <v>39</v>
      </c>
      <c r="C834">
        <v>1012924752</v>
      </c>
      <c r="D834" t="s">
        <v>850</v>
      </c>
      <c r="E834" t="s">
        <v>31</v>
      </c>
      <c r="F834" s="1">
        <v>0.67291666666666672</v>
      </c>
      <c r="G834" t="s">
        <v>32</v>
      </c>
      <c r="H834" t="s">
        <v>33</v>
      </c>
      <c r="I834" t="s">
        <v>41</v>
      </c>
      <c r="J834" t="s">
        <v>62</v>
      </c>
      <c r="K834">
        <v>700</v>
      </c>
      <c r="L834">
        <v>0</v>
      </c>
      <c r="M834" t="s">
        <v>36</v>
      </c>
      <c r="N834" t="s">
        <v>37</v>
      </c>
      <c r="O834">
        <v>0</v>
      </c>
      <c r="P834">
        <v>0</v>
      </c>
      <c r="Q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 t="s">
        <v>36</v>
      </c>
      <c r="AC834" t="s">
        <v>849</v>
      </c>
      <c r="AD834" t="str">
        <f t="shared" si="24"/>
        <v>CP</v>
      </c>
      <c r="AE834" t="str">
        <f>_xlfn.XLOOKUP(D834,Mapping!A:A,Mapping!D:D,0,0)</f>
        <v>Global</v>
      </c>
      <c r="AF834" t="str">
        <f t="shared" si="25"/>
        <v>OLD</v>
      </c>
    </row>
    <row r="835" spans="1:32" x14ac:dyDescent="0.2">
      <c r="A835" t="s">
        <v>1118</v>
      </c>
      <c r="B835" t="s">
        <v>39</v>
      </c>
      <c r="C835">
        <v>1012924762</v>
      </c>
      <c r="D835" t="s">
        <v>851</v>
      </c>
      <c r="E835" t="s">
        <v>31</v>
      </c>
      <c r="F835" s="1">
        <v>0.67291666666666672</v>
      </c>
      <c r="G835" t="s">
        <v>32</v>
      </c>
      <c r="H835" t="s">
        <v>33</v>
      </c>
      <c r="I835" t="s">
        <v>41</v>
      </c>
      <c r="J835" t="s">
        <v>62</v>
      </c>
      <c r="K835">
        <v>700</v>
      </c>
      <c r="L835">
        <v>0</v>
      </c>
      <c r="M835" t="s">
        <v>36</v>
      </c>
      <c r="N835" t="s">
        <v>37</v>
      </c>
      <c r="O835">
        <v>0</v>
      </c>
      <c r="P835">
        <v>0</v>
      </c>
      <c r="Q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 t="s">
        <v>36</v>
      </c>
      <c r="AC835" t="s">
        <v>849</v>
      </c>
      <c r="AD835" t="str">
        <f t="shared" ref="AD835:AD898" si="26">LEFT(D835,2)</f>
        <v>CP</v>
      </c>
      <c r="AE835" t="str">
        <f>_xlfn.XLOOKUP(D835,Mapping!A:A,Mapping!D:D,0,0)</f>
        <v>Global</v>
      </c>
      <c r="AF835" t="str">
        <f t="shared" ref="AF835:AF898" si="27">IFERROR(IF(SEARCH("_TJ",D835)&gt;0,"TJ",NA()),IFERROR(IF(SEARCH("_JB",D835)&gt;0,"JB",NA()),"OLD"))</f>
        <v>OLD</v>
      </c>
    </row>
    <row r="836" spans="1:32" x14ac:dyDescent="0.2">
      <c r="A836" t="s">
        <v>1118</v>
      </c>
      <c r="B836" t="s">
        <v>29</v>
      </c>
      <c r="C836">
        <v>1012924802</v>
      </c>
      <c r="D836" t="s">
        <v>167</v>
      </c>
      <c r="E836" t="s">
        <v>31</v>
      </c>
      <c r="F836" s="1">
        <v>0.67291666666666672</v>
      </c>
      <c r="G836" t="s">
        <v>32</v>
      </c>
      <c r="H836" t="s">
        <v>33</v>
      </c>
      <c r="I836" t="s">
        <v>34</v>
      </c>
      <c r="J836" t="s">
        <v>84</v>
      </c>
      <c r="K836">
        <v>36</v>
      </c>
      <c r="L836">
        <v>0</v>
      </c>
      <c r="M836" t="s">
        <v>36</v>
      </c>
      <c r="N836" t="s">
        <v>37</v>
      </c>
      <c r="O836">
        <v>656</v>
      </c>
      <c r="P836">
        <v>34</v>
      </c>
      <c r="Q836">
        <v>5.1829299999999998</v>
      </c>
      <c r="R836">
        <v>0</v>
      </c>
      <c r="S836">
        <v>1.79</v>
      </c>
      <c r="T836">
        <v>2.7330000000000001</v>
      </c>
      <c r="U836">
        <v>5.2999999999999999E-2</v>
      </c>
      <c r="V836">
        <v>0</v>
      </c>
      <c r="W836">
        <v>1</v>
      </c>
      <c r="X836">
        <v>0</v>
      </c>
      <c r="Y836" t="s">
        <v>36</v>
      </c>
      <c r="Z836">
        <v>656</v>
      </c>
      <c r="AA836">
        <v>488</v>
      </c>
      <c r="AB836">
        <v>81</v>
      </c>
      <c r="AC836" t="s">
        <v>158</v>
      </c>
      <c r="AD836" t="str">
        <f t="shared" si="26"/>
        <v>CP</v>
      </c>
      <c r="AE836" t="str">
        <f>_xlfn.XLOOKUP(D836,Mapping!A:A,Mapping!D:D,0,0)</f>
        <v>Keyword - Preroll</v>
      </c>
      <c r="AF836" t="str">
        <f t="shared" si="27"/>
        <v>OLD</v>
      </c>
    </row>
    <row r="837" spans="1:32" x14ac:dyDescent="0.2">
      <c r="A837" t="s">
        <v>1118</v>
      </c>
      <c r="B837" t="s">
        <v>29</v>
      </c>
      <c r="C837">
        <v>1012924812</v>
      </c>
      <c r="D837" t="s">
        <v>852</v>
      </c>
      <c r="E837" t="s">
        <v>31</v>
      </c>
      <c r="F837" s="1">
        <v>0.67291666666666672</v>
      </c>
      <c r="G837" t="s">
        <v>32</v>
      </c>
      <c r="H837" t="s">
        <v>33</v>
      </c>
      <c r="I837" t="s">
        <v>34</v>
      </c>
      <c r="J837" t="s">
        <v>84</v>
      </c>
      <c r="K837">
        <v>36</v>
      </c>
      <c r="L837">
        <v>0</v>
      </c>
      <c r="M837" t="s">
        <v>36</v>
      </c>
      <c r="N837" t="s">
        <v>37</v>
      </c>
      <c r="O837">
        <v>43</v>
      </c>
      <c r="P837">
        <v>1</v>
      </c>
      <c r="Q837">
        <v>2.32558</v>
      </c>
      <c r="R837">
        <v>0</v>
      </c>
      <c r="S837">
        <v>0.02</v>
      </c>
      <c r="T837">
        <v>0.57899999999999996</v>
      </c>
      <c r="U837">
        <v>2.5000000000000001E-2</v>
      </c>
      <c r="V837">
        <v>0</v>
      </c>
      <c r="W837">
        <v>1</v>
      </c>
      <c r="X837">
        <v>0</v>
      </c>
      <c r="Y837" t="s">
        <v>36</v>
      </c>
      <c r="Z837">
        <v>43</v>
      </c>
      <c r="AA837">
        <v>31</v>
      </c>
      <c r="AB837">
        <v>6</v>
      </c>
      <c r="AC837" t="s">
        <v>158</v>
      </c>
      <c r="AD837" t="str">
        <f t="shared" si="26"/>
        <v>CP</v>
      </c>
      <c r="AE837" t="str">
        <f>_xlfn.XLOOKUP(D837,Mapping!A:A,Mapping!D:D,0,0)</f>
        <v>Keyword - Preroll</v>
      </c>
      <c r="AF837" t="str">
        <f t="shared" si="27"/>
        <v>OLD</v>
      </c>
    </row>
    <row r="838" spans="1:32" x14ac:dyDescent="0.2">
      <c r="A838" t="s">
        <v>1118</v>
      </c>
      <c r="B838" t="s">
        <v>39</v>
      </c>
      <c r="C838">
        <v>1012924822</v>
      </c>
      <c r="D838" t="s">
        <v>853</v>
      </c>
      <c r="E838" t="s">
        <v>31</v>
      </c>
      <c r="F838" s="1">
        <v>0.67291666666666672</v>
      </c>
      <c r="G838" t="s">
        <v>32</v>
      </c>
      <c r="H838" t="s">
        <v>33</v>
      </c>
      <c r="I838" t="s">
        <v>41</v>
      </c>
      <c r="J838" t="s">
        <v>62</v>
      </c>
      <c r="K838">
        <v>90</v>
      </c>
      <c r="L838">
        <v>0</v>
      </c>
      <c r="M838" t="s">
        <v>36</v>
      </c>
      <c r="N838" t="s">
        <v>37</v>
      </c>
      <c r="O838">
        <v>0</v>
      </c>
      <c r="P838">
        <v>0</v>
      </c>
      <c r="Q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 t="s">
        <v>36</v>
      </c>
      <c r="AC838" t="s">
        <v>158</v>
      </c>
      <c r="AD838" t="str">
        <f t="shared" si="26"/>
        <v>CP</v>
      </c>
      <c r="AE838" t="str">
        <f>_xlfn.XLOOKUP(D838,Mapping!A:A,Mapping!D:D,0,0)</f>
        <v>FinDom</v>
      </c>
      <c r="AF838" t="str">
        <f t="shared" si="27"/>
        <v>OLD</v>
      </c>
    </row>
    <row r="839" spans="1:32" x14ac:dyDescent="0.2">
      <c r="A839" t="s">
        <v>1118</v>
      </c>
      <c r="B839" t="s">
        <v>39</v>
      </c>
      <c r="C839">
        <v>1012924832</v>
      </c>
      <c r="D839" t="s">
        <v>854</v>
      </c>
      <c r="E839" t="s">
        <v>31</v>
      </c>
      <c r="F839" s="1">
        <v>0.67291666666666672</v>
      </c>
      <c r="G839" t="s">
        <v>32</v>
      </c>
      <c r="H839" t="s">
        <v>33</v>
      </c>
      <c r="I839" t="s">
        <v>41</v>
      </c>
      <c r="J839" t="s">
        <v>62</v>
      </c>
      <c r="K839">
        <v>90</v>
      </c>
      <c r="L839">
        <v>0</v>
      </c>
      <c r="M839" t="s">
        <v>36</v>
      </c>
      <c r="N839" t="s">
        <v>37</v>
      </c>
      <c r="O839">
        <v>0</v>
      </c>
      <c r="P839">
        <v>0</v>
      </c>
      <c r="Q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 t="s">
        <v>36</v>
      </c>
      <c r="AC839" t="s">
        <v>158</v>
      </c>
      <c r="AD839" t="str">
        <f t="shared" si="26"/>
        <v>CP</v>
      </c>
      <c r="AE839" t="str">
        <f>_xlfn.XLOOKUP(D839,Mapping!A:A,Mapping!D:D,0,0)</f>
        <v>FinDom</v>
      </c>
      <c r="AF839" t="str">
        <f t="shared" si="27"/>
        <v>OLD</v>
      </c>
    </row>
    <row r="840" spans="1:32" x14ac:dyDescent="0.2">
      <c r="A840" t="s">
        <v>1118</v>
      </c>
      <c r="B840" t="s">
        <v>29</v>
      </c>
      <c r="C840">
        <v>1012924842</v>
      </c>
      <c r="D840" t="s">
        <v>855</v>
      </c>
      <c r="E840" t="s">
        <v>31</v>
      </c>
      <c r="F840" s="1">
        <v>0.67291666666666672</v>
      </c>
      <c r="G840" t="s">
        <v>32</v>
      </c>
      <c r="H840" t="s">
        <v>33</v>
      </c>
      <c r="I840" t="s">
        <v>41</v>
      </c>
      <c r="J840" t="s">
        <v>62</v>
      </c>
      <c r="K840">
        <v>90</v>
      </c>
      <c r="L840">
        <v>0</v>
      </c>
      <c r="M840" t="s">
        <v>36</v>
      </c>
      <c r="N840" t="s">
        <v>37</v>
      </c>
      <c r="O840">
        <v>23</v>
      </c>
      <c r="P840">
        <v>2</v>
      </c>
      <c r="Q840">
        <v>8.6956500000000005</v>
      </c>
      <c r="R840">
        <v>0</v>
      </c>
      <c r="S840">
        <v>0.02</v>
      </c>
      <c r="T840">
        <v>0.65500000000000003</v>
      </c>
      <c r="U840">
        <v>8.0000000000000002E-3</v>
      </c>
      <c r="V840">
        <v>0</v>
      </c>
      <c r="W840">
        <v>1</v>
      </c>
      <c r="X840">
        <v>0</v>
      </c>
      <c r="Y840" t="s">
        <v>36</v>
      </c>
      <c r="Z840">
        <v>23</v>
      </c>
      <c r="AA840">
        <v>23</v>
      </c>
      <c r="AB840">
        <v>0</v>
      </c>
      <c r="AC840" t="s">
        <v>158</v>
      </c>
      <c r="AD840" t="str">
        <f t="shared" si="26"/>
        <v>CP</v>
      </c>
      <c r="AE840" t="str">
        <f>_xlfn.XLOOKUP(D840,Mapping!A:A,Mapping!D:D,0,0)</f>
        <v>Keyword - Preroll</v>
      </c>
      <c r="AF840" t="str">
        <f t="shared" si="27"/>
        <v>OLD</v>
      </c>
    </row>
    <row r="841" spans="1:32" x14ac:dyDescent="0.2">
      <c r="A841" t="s">
        <v>1118</v>
      </c>
      <c r="B841" t="s">
        <v>690</v>
      </c>
      <c r="C841">
        <v>1012924852</v>
      </c>
      <c r="D841" t="s">
        <v>856</v>
      </c>
      <c r="E841" t="s">
        <v>31</v>
      </c>
      <c r="F841" s="1">
        <v>0.67291666666666672</v>
      </c>
      <c r="G841" t="s">
        <v>32</v>
      </c>
      <c r="H841" t="s">
        <v>33</v>
      </c>
      <c r="I841" t="s">
        <v>41</v>
      </c>
      <c r="J841" t="s">
        <v>62</v>
      </c>
      <c r="K841">
        <v>90</v>
      </c>
      <c r="L841">
        <v>0</v>
      </c>
      <c r="M841" t="s">
        <v>36</v>
      </c>
      <c r="N841" t="s">
        <v>37</v>
      </c>
      <c r="O841">
        <v>6</v>
      </c>
      <c r="P841">
        <v>0</v>
      </c>
      <c r="Q841">
        <v>0</v>
      </c>
      <c r="R841">
        <v>0</v>
      </c>
      <c r="S841">
        <v>0</v>
      </c>
      <c r="T841">
        <v>0.32800000000000001</v>
      </c>
      <c r="U841">
        <v>0</v>
      </c>
      <c r="V841">
        <v>0</v>
      </c>
      <c r="W841">
        <v>1</v>
      </c>
      <c r="X841">
        <v>0</v>
      </c>
      <c r="Y841" t="s">
        <v>36</v>
      </c>
      <c r="Z841">
        <v>6</v>
      </c>
      <c r="AA841">
        <v>5</v>
      </c>
      <c r="AB841">
        <v>1</v>
      </c>
      <c r="AC841" t="s">
        <v>158</v>
      </c>
      <c r="AD841" t="str">
        <f t="shared" si="26"/>
        <v>CP</v>
      </c>
      <c r="AE841" t="str">
        <f>_xlfn.XLOOKUP(D841,Mapping!A:A,Mapping!D:D,0,0)</f>
        <v>Keyword - Preroll</v>
      </c>
      <c r="AF841" t="str">
        <f t="shared" si="27"/>
        <v>OLD</v>
      </c>
    </row>
    <row r="842" spans="1:32" x14ac:dyDescent="0.2">
      <c r="A842" t="s">
        <v>1118</v>
      </c>
      <c r="B842" t="s">
        <v>39</v>
      </c>
      <c r="C842">
        <v>1012924862</v>
      </c>
      <c r="D842" t="s">
        <v>118</v>
      </c>
      <c r="E842" t="s">
        <v>31</v>
      </c>
      <c r="F842" s="1">
        <v>0.67291666666666672</v>
      </c>
      <c r="G842" t="s">
        <v>32</v>
      </c>
      <c r="H842" t="s">
        <v>33</v>
      </c>
      <c r="I842" t="s">
        <v>41</v>
      </c>
      <c r="J842" t="s">
        <v>62</v>
      </c>
      <c r="K842">
        <v>90</v>
      </c>
      <c r="L842">
        <v>0</v>
      </c>
      <c r="M842" t="s">
        <v>36</v>
      </c>
      <c r="N842" t="s">
        <v>37</v>
      </c>
      <c r="O842">
        <v>0</v>
      </c>
      <c r="P842">
        <v>0</v>
      </c>
      <c r="Q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 t="s">
        <v>36</v>
      </c>
      <c r="AC842" t="s">
        <v>158</v>
      </c>
      <c r="AD842" t="str">
        <f t="shared" si="26"/>
        <v>CP</v>
      </c>
      <c r="AE842" t="str">
        <f>_xlfn.XLOOKUP(D842,Mapping!A:A,Mapping!D:D,0,0)</f>
        <v>Archive</v>
      </c>
      <c r="AF842" t="str">
        <f t="shared" si="27"/>
        <v>OLD</v>
      </c>
    </row>
    <row r="843" spans="1:32" x14ac:dyDescent="0.2">
      <c r="A843" t="s">
        <v>1118</v>
      </c>
      <c r="B843" t="s">
        <v>29</v>
      </c>
      <c r="C843">
        <v>1012924872</v>
      </c>
      <c r="D843" t="s">
        <v>159</v>
      </c>
      <c r="E843" t="s">
        <v>31</v>
      </c>
      <c r="F843" s="1">
        <v>0.67291666666666672</v>
      </c>
      <c r="G843" t="s">
        <v>32</v>
      </c>
      <c r="H843" t="s">
        <v>33</v>
      </c>
      <c r="I843" t="s">
        <v>41</v>
      </c>
      <c r="J843" t="s">
        <v>62</v>
      </c>
      <c r="K843">
        <v>90</v>
      </c>
      <c r="L843">
        <v>0</v>
      </c>
      <c r="M843" t="s">
        <v>36</v>
      </c>
      <c r="N843" t="s">
        <v>37</v>
      </c>
      <c r="O843">
        <v>26</v>
      </c>
      <c r="P843">
        <v>6</v>
      </c>
      <c r="Q843">
        <v>23.076920000000001</v>
      </c>
      <c r="R843">
        <v>0</v>
      </c>
      <c r="S843">
        <v>0.02</v>
      </c>
      <c r="T843">
        <v>0.61399999999999999</v>
      </c>
      <c r="U843">
        <v>3.0000000000000001E-3</v>
      </c>
      <c r="V843">
        <v>0</v>
      </c>
      <c r="W843">
        <v>1</v>
      </c>
      <c r="X843">
        <v>0</v>
      </c>
      <c r="Y843" t="s">
        <v>36</v>
      </c>
      <c r="Z843">
        <v>26</v>
      </c>
      <c r="AA843">
        <v>24</v>
      </c>
      <c r="AB843">
        <v>1</v>
      </c>
      <c r="AC843" t="s">
        <v>158</v>
      </c>
      <c r="AD843" t="str">
        <f t="shared" si="26"/>
        <v>CP</v>
      </c>
      <c r="AE843" t="str">
        <f>_xlfn.XLOOKUP(D843,Mapping!A:A,Mapping!D:D,0,0)</f>
        <v>Keyword - Preroll</v>
      </c>
      <c r="AF843" t="str">
        <f t="shared" si="27"/>
        <v>OLD</v>
      </c>
    </row>
    <row r="844" spans="1:32" x14ac:dyDescent="0.2">
      <c r="A844" t="s">
        <v>1118</v>
      </c>
      <c r="B844" t="s">
        <v>39</v>
      </c>
      <c r="C844">
        <v>1012924882</v>
      </c>
      <c r="D844" t="s">
        <v>164</v>
      </c>
      <c r="E844" t="s">
        <v>31</v>
      </c>
      <c r="F844" s="1">
        <v>0.67291666666666672</v>
      </c>
      <c r="G844" t="s">
        <v>32</v>
      </c>
      <c r="H844" t="s">
        <v>33</v>
      </c>
      <c r="I844" t="s">
        <v>41</v>
      </c>
      <c r="J844" t="s">
        <v>62</v>
      </c>
      <c r="K844">
        <v>90</v>
      </c>
      <c r="L844">
        <v>0</v>
      </c>
      <c r="M844" t="s">
        <v>36</v>
      </c>
      <c r="N844" t="s">
        <v>37</v>
      </c>
      <c r="O844">
        <v>0</v>
      </c>
      <c r="P844">
        <v>0</v>
      </c>
      <c r="Q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 t="s">
        <v>36</v>
      </c>
      <c r="AC844" t="s">
        <v>158</v>
      </c>
      <c r="AD844" t="str">
        <f t="shared" si="26"/>
        <v>CP</v>
      </c>
      <c r="AE844" t="str">
        <f>_xlfn.XLOOKUP(D844,Mapping!A:A,Mapping!D:D,0,0)</f>
        <v>Bin</v>
      </c>
      <c r="AF844" t="str">
        <f t="shared" si="27"/>
        <v>OLD</v>
      </c>
    </row>
    <row r="845" spans="1:32" x14ac:dyDescent="0.2">
      <c r="A845" t="s">
        <v>1118</v>
      </c>
      <c r="B845" t="s">
        <v>690</v>
      </c>
      <c r="C845">
        <v>1012924892</v>
      </c>
      <c r="D845" t="s">
        <v>857</v>
      </c>
      <c r="E845" t="s">
        <v>31</v>
      </c>
      <c r="F845" s="1">
        <v>0.67291666666666672</v>
      </c>
      <c r="G845" t="s">
        <v>32</v>
      </c>
      <c r="H845" t="s">
        <v>33</v>
      </c>
      <c r="I845" t="s">
        <v>41</v>
      </c>
      <c r="J845" t="s">
        <v>62</v>
      </c>
      <c r="K845">
        <v>90</v>
      </c>
      <c r="L845">
        <v>0</v>
      </c>
      <c r="M845" t="s">
        <v>36</v>
      </c>
      <c r="N845" t="s">
        <v>37</v>
      </c>
      <c r="O845">
        <v>2</v>
      </c>
      <c r="P845">
        <v>0</v>
      </c>
      <c r="Q845">
        <v>0</v>
      </c>
      <c r="R845">
        <v>0</v>
      </c>
      <c r="S845">
        <v>0</v>
      </c>
      <c r="T845">
        <v>0.40600000000000003</v>
      </c>
      <c r="U845">
        <v>0</v>
      </c>
      <c r="V845">
        <v>0</v>
      </c>
      <c r="W845">
        <v>1</v>
      </c>
      <c r="X845">
        <v>0</v>
      </c>
      <c r="Y845" t="s">
        <v>36</v>
      </c>
      <c r="Z845">
        <v>2</v>
      </c>
      <c r="AA845">
        <v>2</v>
      </c>
      <c r="AB845">
        <v>0</v>
      </c>
      <c r="AC845" t="s">
        <v>158</v>
      </c>
      <c r="AD845" t="str">
        <f t="shared" si="26"/>
        <v>CP</v>
      </c>
      <c r="AE845" t="str">
        <f>_xlfn.XLOOKUP(D845,Mapping!A:A,Mapping!D:D,0,0)</f>
        <v>Keyword - Preroll</v>
      </c>
      <c r="AF845" t="str">
        <f t="shared" si="27"/>
        <v>OLD</v>
      </c>
    </row>
    <row r="846" spans="1:32" x14ac:dyDescent="0.2">
      <c r="A846" t="s">
        <v>1118</v>
      </c>
      <c r="B846" t="s">
        <v>690</v>
      </c>
      <c r="C846">
        <v>1012924902</v>
      </c>
      <c r="D846" t="s">
        <v>858</v>
      </c>
      <c r="E846" t="s">
        <v>31</v>
      </c>
      <c r="F846" s="1">
        <v>0.67291666666666672</v>
      </c>
      <c r="G846" t="s">
        <v>32</v>
      </c>
      <c r="H846" t="s">
        <v>33</v>
      </c>
      <c r="I846" t="s">
        <v>41</v>
      </c>
      <c r="J846" t="s">
        <v>62</v>
      </c>
      <c r="K846">
        <v>90</v>
      </c>
      <c r="L846">
        <v>0</v>
      </c>
      <c r="M846" t="s">
        <v>36</v>
      </c>
      <c r="N846" t="s">
        <v>37</v>
      </c>
      <c r="O846">
        <v>0</v>
      </c>
      <c r="P846">
        <v>0</v>
      </c>
      <c r="Q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 t="s">
        <v>36</v>
      </c>
      <c r="AC846" t="s">
        <v>158</v>
      </c>
      <c r="AD846" t="str">
        <f t="shared" si="26"/>
        <v>CP</v>
      </c>
      <c r="AE846" t="str">
        <f>_xlfn.XLOOKUP(D846,Mapping!A:A,Mapping!D:D,0,0)</f>
        <v>FinDom</v>
      </c>
      <c r="AF846" t="str">
        <f t="shared" si="27"/>
        <v>OLD</v>
      </c>
    </row>
    <row r="847" spans="1:32" x14ac:dyDescent="0.2">
      <c r="A847" t="s">
        <v>1118</v>
      </c>
      <c r="B847" t="s">
        <v>29</v>
      </c>
      <c r="C847">
        <v>1012924912</v>
      </c>
      <c r="D847" t="s">
        <v>397</v>
      </c>
      <c r="E847" t="s">
        <v>31</v>
      </c>
      <c r="F847" s="1">
        <v>0.67291666666666672</v>
      </c>
      <c r="G847" t="s">
        <v>32</v>
      </c>
      <c r="H847" t="s">
        <v>33</v>
      </c>
      <c r="I847" t="s">
        <v>34</v>
      </c>
      <c r="J847" t="s">
        <v>84</v>
      </c>
      <c r="K847">
        <v>100</v>
      </c>
      <c r="L847">
        <v>0</v>
      </c>
      <c r="M847" t="s">
        <v>36</v>
      </c>
      <c r="N847" t="s">
        <v>37</v>
      </c>
      <c r="O847">
        <v>6698</v>
      </c>
      <c r="P847">
        <v>232</v>
      </c>
      <c r="Q847">
        <v>3.4637199999999999</v>
      </c>
      <c r="R847">
        <v>0</v>
      </c>
      <c r="S847">
        <v>19.170000000000002</v>
      </c>
      <c r="T847">
        <v>2.8620000000000001</v>
      </c>
      <c r="U847">
        <v>8.3000000000000004E-2</v>
      </c>
      <c r="V847">
        <v>0</v>
      </c>
      <c r="W847">
        <v>1</v>
      </c>
      <c r="X847">
        <v>0</v>
      </c>
      <c r="Y847" t="s">
        <v>36</v>
      </c>
      <c r="Z847">
        <v>6703</v>
      </c>
      <c r="AA847">
        <v>5385</v>
      </c>
      <c r="AB847">
        <v>684</v>
      </c>
      <c r="AC847" t="s">
        <v>401</v>
      </c>
      <c r="AD847" t="str">
        <f t="shared" si="26"/>
        <v>CP</v>
      </c>
      <c r="AE847" t="str">
        <f>_xlfn.XLOOKUP(D847,Mapping!A:A,Mapping!D:D,0,0)</f>
        <v>Keyword - Preroll</v>
      </c>
      <c r="AF847" t="str">
        <f t="shared" si="27"/>
        <v>OLD</v>
      </c>
    </row>
    <row r="848" spans="1:32" x14ac:dyDescent="0.2">
      <c r="A848" t="s">
        <v>1118</v>
      </c>
      <c r="B848" t="s">
        <v>29</v>
      </c>
      <c r="C848">
        <v>1012924922</v>
      </c>
      <c r="D848" t="s">
        <v>407</v>
      </c>
      <c r="E848" t="s">
        <v>31</v>
      </c>
      <c r="F848" s="1">
        <v>0.67291666666666672</v>
      </c>
      <c r="G848" t="s">
        <v>32</v>
      </c>
      <c r="H848" t="s">
        <v>33</v>
      </c>
      <c r="I848" t="s">
        <v>34</v>
      </c>
      <c r="J848" t="s">
        <v>84</v>
      </c>
      <c r="K848">
        <v>100</v>
      </c>
      <c r="L848">
        <v>0</v>
      </c>
      <c r="M848" t="s">
        <v>36</v>
      </c>
      <c r="N848" t="s">
        <v>37</v>
      </c>
      <c r="O848">
        <v>15083</v>
      </c>
      <c r="P848">
        <v>565</v>
      </c>
      <c r="Q848">
        <v>3.74594</v>
      </c>
      <c r="R848">
        <v>0</v>
      </c>
      <c r="S848">
        <v>22.02</v>
      </c>
      <c r="T848">
        <v>1.46</v>
      </c>
      <c r="U848">
        <v>3.9E-2</v>
      </c>
      <c r="V848">
        <v>0</v>
      </c>
      <c r="W848">
        <v>1</v>
      </c>
      <c r="X848">
        <v>0</v>
      </c>
      <c r="Y848" t="s">
        <v>36</v>
      </c>
      <c r="Z848">
        <v>15078</v>
      </c>
      <c r="AA848">
        <v>11920</v>
      </c>
      <c r="AB848">
        <v>1670</v>
      </c>
      <c r="AC848" t="s">
        <v>401</v>
      </c>
      <c r="AD848" t="str">
        <f t="shared" si="26"/>
        <v>CP</v>
      </c>
      <c r="AE848" t="str">
        <f>_xlfn.XLOOKUP(D848,Mapping!A:A,Mapping!D:D,0,0)</f>
        <v>Keyword - Preroll</v>
      </c>
      <c r="AF848" t="str">
        <f t="shared" si="27"/>
        <v>OLD</v>
      </c>
    </row>
    <row r="849" spans="1:32" x14ac:dyDescent="0.2">
      <c r="A849" t="s">
        <v>1118</v>
      </c>
      <c r="B849" t="s">
        <v>29</v>
      </c>
      <c r="C849">
        <v>1012924932</v>
      </c>
      <c r="D849" t="s">
        <v>859</v>
      </c>
      <c r="E849" t="s">
        <v>31</v>
      </c>
      <c r="F849" s="1">
        <v>0.67291666666666672</v>
      </c>
      <c r="G849" t="s">
        <v>32</v>
      </c>
      <c r="H849" t="s">
        <v>33</v>
      </c>
      <c r="I849" t="s">
        <v>34</v>
      </c>
      <c r="J849" t="s">
        <v>84</v>
      </c>
      <c r="K849">
        <v>100</v>
      </c>
      <c r="L849">
        <v>0</v>
      </c>
      <c r="M849" t="s">
        <v>36</v>
      </c>
      <c r="N849" t="s">
        <v>37</v>
      </c>
      <c r="O849">
        <v>339</v>
      </c>
      <c r="P849">
        <v>17</v>
      </c>
      <c r="Q849">
        <v>5.0147500000000003</v>
      </c>
      <c r="R849">
        <v>0</v>
      </c>
      <c r="S849">
        <v>0.35</v>
      </c>
      <c r="T849">
        <v>1.024</v>
      </c>
      <c r="U849">
        <v>0.02</v>
      </c>
      <c r="V849">
        <v>0</v>
      </c>
      <c r="W849">
        <v>1</v>
      </c>
      <c r="X849">
        <v>0</v>
      </c>
      <c r="Y849" t="s">
        <v>36</v>
      </c>
      <c r="Z849">
        <v>339</v>
      </c>
      <c r="AA849">
        <v>254</v>
      </c>
      <c r="AB849">
        <v>48</v>
      </c>
      <c r="AC849" t="s">
        <v>401</v>
      </c>
      <c r="AD849" t="str">
        <f t="shared" si="26"/>
        <v>CP</v>
      </c>
      <c r="AE849" t="str">
        <f>_xlfn.XLOOKUP(D849,Mapping!A:A,Mapping!D:D,0,0)</f>
        <v>Keyword - Preroll</v>
      </c>
      <c r="AF849" t="str">
        <f t="shared" si="27"/>
        <v>OLD</v>
      </c>
    </row>
    <row r="850" spans="1:32" x14ac:dyDescent="0.2">
      <c r="A850" t="s">
        <v>1118</v>
      </c>
      <c r="B850" t="s">
        <v>29</v>
      </c>
      <c r="C850">
        <v>1012924942</v>
      </c>
      <c r="D850" t="s">
        <v>404</v>
      </c>
      <c r="E850" t="s">
        <v>31</v>
      </c>
      <c r="F850" s="1">
        <v>0.67291666666666672</v>
      </c>
      <c r="G850" t="s">
        <v>32</v>
      </c>
      <c r="H850" t="s">
        <v>33</v>
      </c>
      <c r="I850" t="s">
        <v>34</v>
      </c>
      <c r="J850" t="s">
        <v>84</v>
      </c>
      <c r="K850">
        <v>100</v>
      </c>
      <c r="L850">
        <v>0</v>
      </c>
      <c r="M850" t="s">
        <v>36</v>
      </c>
      <c r="N850" t="s">
        <v>37</v>
      </c>
      <c r="O850">
        <v>10292</v>
      </c>
      <c r="P850">
        <v>471</v>
      </c>
      <c r="Q850">
        <v>4.5763699999999998</v>
      </c>
      <c r="R850">
        <v>0</v>
      </c>
      <c r="S850">
        <v>15.33</v>
      </c>
      <c r="T850">
        <v>1.4890000000000001</v>
      </c>
      <c r="U850">
        <v>3.3000000000000002E-2</v>
      </c>
      <c r="V850">
        <v>0</v>
      </c>
      <c r="W850">
        <v>1</v>
      </c>
      <c r="X850">
        <v>0</v>
      </c>
      <c r="Y850" t="s">
        <v>36</v>
      </c>
      <c r="Z850">
        <v>10292</v>
      </c>
      <c r="AA850">
        <v>7975</v>
      </c>
      <c r="AB850">
        <v>1333</v>
      </c>
      <c r="AC850" t="s">
        <v>401</v>
      </c>
      <c r="AD850" t="str">
        <f t="shared" si="26"/>
        <v>CP</v>
      </c>
      <c r="AE850" t="str">
        <f>_xlfn.XLOOKUP(D850,Mapping!A:A,Mapping!D:D,0,0)</f>
        <v>Keyword - Preroll</v>
      </c>
      <c r="AF850" t="str">
        <f t="shared" si="27"/>
        <v>OLD</v>
      </c>
    </row>
    <row r="851" spans="1:32" x14ac:dyDescent="0.2">
      <c r="A851" t="s">
        <v>1118</v>
      </c>
      <c r="B851" t="s">
        <v>39</v>
      </c>
      <c r="C851">
        <v>1012924952</v>
      </c>
      <c r="D851" t="s">
        <v>630</v>
      </c>
      <c r="E851" t="s">
        <v>31</v>
      </c>
      <c r="F851" s="1">
        <v>0.67291666666666672</v>
      </c>
      <c r="G851" t="s">
        <v>32</v>
      </c>
      <c r="H851" t="s">
        <v>33</v>
      </c>
      <c r="I851" t="s">
        <v>41</v>
      </c>
      <c r="J851" t="s">
        <v>62</v>
      </c>
      <c r="K851">
        <v>90</v>
      </c>
      <c r="L851">
        <v>0</v>
      </c>
      <c r="M851" t="s">
        <v>36</v>
      </c>
      <c r="N851" t="s">
        <v>37</v>
      </c>
      <c r="O851">
        <v>0</v>
      </c>
      <c r="P851">
        <v>0</v>
      </c>
      <c r="Q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 t="s">
        <v>36</v>
      </c>
      <c r="AC851" t="s">
        <v>401</v>
      </c>
      <c r="AD851" t="str">
        <f t="shared" si="26"/>
        <v>CP</v>
      </c>
      <c r="AE851" t="str">
        <f>_xlfn.XLOOKUP(D851,Mapping!A:A,Mapping!D:D,0,0)</f>
        <v>Bin</v>
      </c>
      <c r="AF851" t="str">
        <f t="shared" si="27"/>
        <v>OLD</v>
      </c>
    </row>
    <row r="852" spans="1:32" x14ac:dyDescent="0.2">
      <c r="A852" t="s">
        <v>1118</v>
      </c>
      <c r="B852" t="s">
        <v>29</v>
      </c>
      <c r="C852">
        <v>1012924962</v>
      </c>
      <c r="D852" t="s">
        <v>860</v>
      </c>
      <c r="E852" t="s">
        <v>31</v>
      </c>
      <c r="F852" s="1">
        <v>0.67291666666666672</v>
      </c>
      <c r="G852" t="s">
        <v>32</v>
      </c>
      <c r="H852" t="s">
        <v>33</v>
      </c>
      <c r="I852" t="s">
        <v>41</v>
      </c>
      <c r="J852" t="s">
        <v>62</v>
      </c>
      <c r="K852">
        <v>90</v>
      </c>
      <c r="L852">
        <v>0</v>
      </c>
      <c r="M852" t="s">
        <v>36</v>
      </c>
      <c r="N852" t="s">
        <v>37</v>
      </c>
      <c r="O852">
        <v>449</v>
      </c>
      <c r="P852">
        <v>16</v>
      </c>
      <c r="Q852">
        <v>3.5634700000000001</v>
      </c>
      <c r="R852">
        <v>0</v>
      </c>
      <c r="S852">
        <v>0.27</v>
      </c>
      <c r="T852">
        <v>0.60799999999999998</v>
      </c>
      <c r="U852">
        <v>1.7000000000000001E-2</v>
      </c>
      <c r="V852">
        <v>0</v>
      </c>
      <c r="W852">
        <v>1</v>
      </c>
      <c r="X852">
        <v>0</v>
      </c>
      <c r="Y852" t="s">
        <v>36</v>
      </c>
      <c r="Z852">
        <v>449</v>
      </c>
      <c r="AA852">
        <v>416</v>
      </c>
      <c r="AB852">
        <v>23</v>
      </c>
      <c r="AC852" t="s">
        <v>401</v>
      </c>
      <c r="AD852" t="str">
        <f t="shared" si="26"/>
        <v>CP</v>
      </c>
      <c r="AE852" t="str">
        <f>_xlfn.XLOOKUP(D852,Mapping!A:A,Mapping!D:D,0,0)</f>
        <v>Keyword - Preroll</v>
      </c>
      <c r="AF852" t="str">
        <f t="shared" si="27"/>
        <v>OLD</v>
      </c>
    </row>
    <row r="853" spans="1:32" x14ac:dyDescent="0.2">
      <c r="A853" t="s">
        <v>1118</v>
      </c>
      <c r="B853" t="s">
        <v>39</v>
      </c>
      <c r="C853">
        <v>1012924972</v>
      </c>
      <c r="D853" t="s">
        <v>861</v>
      </c>
      <c r="E853" t="s">
        <v>31</v>
      </c>
      <c r="F853" s="1">
        <v>0.67291666666666672</v>
      </c>
      <c r="G853" t="s">
        <v>32</v>
      </c>
      <c r="H853" t="s">
        <v>33</v>
      </c>
      <c r="I853" t="s">
        <v>41</v>
      </c>
      <c r="J853" t="s">
        <v>62</v>
      </c>
      <c r="K853">
        <v>90</v>
      </c>
      <c r="L853">
        <v>0</v>
      </c>
      <c r="M853" t="s">
        <v>36</v>
      </c>
      <c r="N853" t="s">
        <v>37</v>
      </c>
      <c r="O853">
        <v>0</v>
      </c>
      <c r="P853">
        <v>0</v>
      </c>
      <c r="Q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 t="s">
        <v>36</v>
      </c>
      <c r="AC853" t="s">
        <v>401</v>
      </c>
      <c r="AD853" t="str">
        <f t="shared" si="26"/>
        <v>CP</v>
      </c>
      <c r="AE853" t="str">
        <f>_xlfn.XLOOKUP(D853,Mapping!A:A,Mapping!D:D,0,0)</f>
        <v>Threesome</v>
      </c>
      <c r="AF853" t="str">
        <f t="shared" si="27"/>
        <v>OLD</v>
      </c>
    </row>
    <row r="854" spans="1:32" x14ac:dyDescent="0.2">
      <c r="A854" t="s">
        <v>1118</v>
      </c>
      <c r="B854" t="s">
        <v>29</v>
      </c>
      <c r="C854">
        <v>1012924982</v>
      </c>
      <c r="D854" t="s">
        <v>862</v>
      </c>
      <c r="E854" t="s">
        <v>31</v>
      </c>
      <c r="F854" s="1">
        <v>0.67291666666666672</v>
      </c>
      <c r="G854" t="s">
        <v>32</v>
      </c>
      <c r="H854" t="s">
        <v>33</v>
      </c>
      <c r="I854" t="s">
        <v>41</v>
      </c>
      <c r="J854" t="s">
        <v>62</v>
      </c>
      <c r="K854">
        <v>90</v>
      </c>
      <c r="L854">
        <v>0</v>
      </c>
      <c r="M854" t="s">
        <v>36</v>
      </c>
      <c r="N854" t="s">
        <v>37</v>
      </c>
      <c r="O854">
        <v>155</v>
      </c>
      <c r="P854">
        <v>14</v>
      </c>
      <c r="Q854">
        <v>9.0322600000000008</v>
      </c>
      <c r="R854">
        <v>0</v>
      </c>
      <c r="S854">
        <v>0.06</v>
      </c>
      <c r="T854">
        <v>0.40200000000000002</v>
      </c>
      <c r="U854">
        <v>4.0000000000000001E-3</v>
      </c>
      <c r="V854">
        <v>0</v>
      </c>
      <c r="W854">
        <v>1</v>
      </c>
      <c r="X854">
        <v>0</v>
      </c>
      <c r="Y854" t="s">
        <v>36</v>
      </c>
      <c r="Z854">
        <v>155</v>
      </c>
      <c r="AA854">
        <v>144</v>
      </c>
      <c r="AB854">
        <v>6</v>
      </c>
      <c r="AC854" t="s">
        <v>401</v>
      </c>
      <c r="AD854" t="str">
        <f t="shared" si="26"/>
        <v>CP</v>
      </c>
      <c r="AE854" t="str">
        <f>_xlfn.XLOOKUP(D854,Mapping!A:A,Mapping!D:D,0,0)</f>
        <v>Keyword - Preroll</v>
      </c>
      <c r="AF854" t="str">
        <f t="shared" si="27"/>
        <v>OLD</v>
      </c>
    </row>
    <row r="855" spans="1:32" x14ac:dyDescent="0.2">
      <c r="A855" t="s">
        <v>1118</v>
      </c>
      <c r="B855" t="s">
        <v>39</v>
      </c>
      <c r="C855">
        <v>1012924992</v>
      </c>
      <c r="D855" t="s">
        <v>863</v>
      </c>
      <c r="E855" t="s">
        <v>31</v>
      </c>
      <c r="F855" s="1">
        <v>0.67291666666666672</v>
      </c>
      <c r="G855" t="s">
        <v>32</v>
      </c>
      <c r="H855" t="s">
        <v>33</v>
      </c>
      <c r="I855" t="s">
        <v>41</v>
      </c>
      <c r="J855" t="s">
        <v>62</v>
      </c>
      <c r="K855">
        <v>90</v>
      </c>
      <c r="L855">
        <v>0</v>
      </c>
      <c r="M855" t="s">
        <v>36</v>
      </c>
      <c r="N855" t="s">
        <v>37</v>
      </c>
      <c r="O855">
        <v>0</v>
      </c>
      <c r="P855">
        <v>0</v>
      </c>
      <c r="Q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 t="s">
        <v>36</v>
      </c>
      <c r="AC855" t="s">
        <v>401</v>
      </c>
      <c r="AD855" t="str">
        <f t="shared" si="26"/>
        <v>CP</v>
      </c>
      <c r="AE855" t="str">
        <f>_xlfn.XLOOKUP(D855,Mapping!A:A,Mapping!D:D,0,0)</f>
        <v>Threesome</v>
      </c>
      <c r="AF855" t="str">
        <f t="shared" si="27"/>
        <v>OLD</v>
      </c>
    </row>
    <row r="856" spans="1:32" x14ac:dyDescent="0.2">
      <c r="A856" t="s">
        <v>1118</v>
      </c>
      <c r="B856" t="s">
        <v>39</v>
      </c>
      <c r="C856">
        <v>1012925002</v>
      </c>
      <c r="D856" t="s">
        <v>402</v>
      </c>
      <c r="E856" t="s">
        <v>31</v>
      </c>
      <c r="F856" s="1">
        <v>0.67291666666666672</v>
      </c>
      <c r="G856" t="s">
        <v>32</v>
      </c>
      <c r="H856" t="s">
        <v>33</v>
      </c>
      <c r="I856" t="s">
        <v>41</v>
      </c>
      <c r="J856" t="s">
        <v>62</v>
      </c>
      <c r="K856">
        <v>90</v>
      </c>
      <c r="L856">
        <v>0</v>
      </c>
      <c r="M856" t="s">
        <v>36</v>
      </c>
      <c r="N856" t="s">
        <v>37</v>
      </c>
      <c r="O856">
        <v>0</v>
      </c>
      <c r="P856">
        <v>0</v>
      </c>
      <c r="Q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 t="s">
        <v>36</v>
      </c>
      <c r="AC856" t="s">
        <v>401</v>
      </c>
      <c r="AD856" t="str">
        <f t="shared" si="26"/>
        <v>CP</v>
      </c>
      <c r="AE856" t="str">
        <f>_xlfn.XLOOKUP(D856,Mapping!A:A,Mapping!D:D,0,0)</f>
        <v>Bin</v>
      </c>
      <c r="AF856" t="str">
        <f t="shared" si="27"/>
        <v>OLD</v>
      </c>
    </row>
    <row r="857" spans="1:32" x14ac:dyDescent="0.2">
      <c r="A857" t="s">
        <v>1118</v>
      </c>
      <c r="B857" t="s">
        <v>690</v>
      </c>
      <c r="C857">
        <v>1012925022</v>
      </c>
      <c r="D857" t="s">
        <v>396</v>
      </c>
      <c r="E857" t="s">
        <v>31</v>
      </c>
      <c r="F857" s="1">
        <v>0.67291666666666672</v>
      </c>
      <c r="G857" t="s">
        <v>32</v>
      </c>
      <c r="H857" t="s">
        <v>33</v>
      </c>
      <c r="I857" t="s">
        <v>41</v>
      </c>
      <c r="J857" t="s">
        <v>62</v>
      </c>
      <c r="K857">
        <v>90</v>
      </c>
      <c r="L857">
        <v>0</v>
      </c>
      <c r="M857" t="s">
        <v>36</v>
      </c>
      <c r="N857" t="s">
        <v>37</v>
      </c>
      <c r="O857">
        <v>0</v>
      </c>
      <c r="P857">
        <v>0</v>
      </c>
      <c r="Q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 t="s">
        <v>36</v>
      </c>
      <c r="AC857" t="s">
        <v>401</v>
      </c>
      <c r="AD857" t="str">
        <f t="shared" si="26"/>
        <v>CP</v>
      </c>
      <c r="AE857" t="str">
        <f>_xlfn.XLOOKUP(D857,Mapping!A:A,Mapping!D:D,0,0)</f>
        <v>Bin</v>
      </c>
      <c r="AF857" t="str">
        <f t="shared" si="27"/>
        <v>OLD</v>
      </c>
    </row>
    <row r="858" spans="1:32" x14ac:dyDescent="0.2">
      <c r="A858" t="s">
        <v>1118</v>
      </c>
      <c r="B858" t="s">
        <v>39</v>
      </c>
      <c r="C858">
        <v>1012925032</v>
      </c>
      <c r="D858" t="s">
        <v>406</v>
      </c>
      <c r="E858" t="s">
        <v>31</v>
      </c>
      <c r="F858" s="1">
        <v>0.67291666666666672</v>
      </c>
      <c r="G858" t="s">
        <v>32</v>
      </c>
      <c r="H858" t="s">
        <v>33</v>
      </c>
      <c r="I858" t="s">
        <v>41</v>
      </c>
      <c r="J858" t="s">
        <v>62</v>
      </c>
      <c r="K858">
        <v>90</v>
      </c>
      <c r="L858">
        <v>0</v>
      </c>
      <c r="M858" t="s">
        <v>36</v>
      </c>
      <c r="N858" t="s">
        <v>37</v>
      </c>
      <c r="O858">
        <v>0</v>
      </c>
      <c r="P858">
        <v>0</v>
      </c>
      <c r="Q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 t="s">
        <v>36</v>
      </c>
      <c r="AC858" t="s">
        <v>401</v>
      </c>
      <c r="AD858" t="str">
        <f t="shared" si="26"/>
        <v>CP</v>
      </c>
      <c r="AE858" t="str">
        <f>_xlfn.XLOOKUP(D858,Mapping!A:A,Mapping!D:D,0,0)</f>
        <v>Bin</v>
      </c>
      <c r="AF858" t="str">
        <f t="shared" si="27"/>
        <v>OLD</v>
      </c>
    </row>
    <row r="859" spans="1:32" x14ac:dyDescent="0.2">
      <c r="A859" t="s">
        <v>1118</v>
      </c>
      <c r="B859" t="s">
        <v>29</v>
      </c>
      <c r="C859">
        <v>1012925042</v>
      </c>
      <c r="D859" t="s">
        <v>864</v>
      </c>
      <c r="E859" t="s">
        <v>31</v>
      </c>
      <c r="F859" s="1">
        <v>0.67291666666666672</v>
      </c>
      <c r="G859" t="s">
        <v>32</v>
      </c>
      <c r="H859" t="s">
        <v>33</v>
      </c>
      <c r="I859" t="s">
        <v>41</v>
      </c>
      <c r="J859" t="s">
        <v>62</v>
      </c>
      <c r="K859">
        <v>90</v>
      </c>
      <c r="L859">
        <v>0</v>
      </c>
      <c r="M859" t="s">
        <v>36</v>
      </c>
      <c r="N859" t="s">
        <v>37</v>
      </c>
      <c r="O859">
        <v>64</v>
      </c>
      <c r="P859">
        <v>3</v>
      </c>
      <c r="Q859">
        <v>4.6875</v>
      </c>
      <c r="R859">
        <v>0</v>
      </c>
      <c r="S859">
        <v>0.03</v>
      </c>
      <c r="T859">
        <v>0.435</v>
      </c>
      <c r="U859">
        <v>8.9999999999999993E-3</v>
      </c>
      <c r="V859">
        <v>0</v>
      </c>
      <c r="W859">
        <v>1</v>
      </c>
      <c r="X859">
        <v>0</v>
      </c>
      <c r="Y859" t="s">
        <v>36</v>
      </c>
      <c r="Z859">
        <v>64</v>
      </c>
      <c r="AA859">
        <v>60</v>
      </c>
      <c r="AB859">
        <v>1</v>
      </c>
      <c r="AC859" t="s">
        <v>401</v>
      </c>
      <c r="AD859" t="str">
        <f t="shared" si="26"/>
        <v>CP</v>
      </c>
      <c r="AE859" t="str">
        <f>_xlfn.XLOOKUP(D859,Mapping!A:A,Mapping!D:D,0,0)</f>
        <v>Keyword - Preroll</v>
      </c>
      <c r="AF859" t="str">
        <f t="shared" si="27"/>
        <v>OLD</v>
      </c>
    </row>
    <row r="860" spans="1:32" x14ac:dyDescent="0.2">
      <c r="A860" t="s">
        <v>1118</v>
      </c>
      <c r="B860" t="s">
        <v>39</v>
      </c>
      <c r="C860">
        <v>1012925052</v>
      </c>
      <c r="D860" t="s">
        <v>405</v>
      </c>
      <c r="E860" t="s">
        <v>31</v>
      </c>
      <c r="F860" s="1">
        <v>0.67291666666666672</v>
      </c>
      <c r="G860" t="s">
        <v>32</v>
      </c>
      <c r="H860" t="s">
        <v>33</v>
      </c>
      <c r="I860" t="s">
        <v>41</v>
      </c>
      <c r="J860" t="s">
        <v>62</v>
      </c>
      <c r="K860">
        <v>90</v>
      </c>
      <c r="L860">
        <v>0</v>
      </c>
      <c r="M860" t="s">
        <v>36</v>
      </c>
      <c r="N860" t="s">
        <v>37</v>
      </c>
      <c r="O860">
        <v>0</v>
      </c>
      <c r="P860">
        <v>0</v>
      </c>
      <c r="Q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 t="s">
        <v>36</v>
      </c>
      <c r="AC860" t="s">
        <v>401</v>
      </c>
      <c r="AD860" t="str">
        <f t="shared" si="26"/>
        <v>CP</v>
      </c>
      <c r="AE860" t="str">
        <f>_xlfn.XLOOKUP(D860,Mapping!A:A,Mapping!D:D,0,0)</f>
        <v>Bin</v>
      </c>
      <c r="AF860" t="str">
        <f t="shared" si="27"/>
        <v>OLD</v>
      </c>
    </row>
    <row r="861" spans="1:32" x14ac:dyDescent="0.2">
      <c r="A861" t="s">
        <v>1118</v>
      </c>
      <c r="B861" t="s">
        <v>39</v>
      </c>
      <c r="C861">
        <v>1012927522</v>
      </c>
      <c r="D861" t="s">
        <v>865</v>
      </c>
      <c r="E861" t="s">
        <v>31</v>
      </c>
      <c r="F861" s="1">
        <v>0.67291666666666672</v>
      </c>
      <c r="G861" t="s">
        <v>32</v>
      </c>
      <c r="H861" t="s">
        <v>33</v>
      </c>
      <c r="I861" t="s">
        <v>41</v>
      </c>
      <c r="J861" t="s">
        <v>62</v>
      </c>
      <c r="K861">
        <v>490</v>
      </c>
      <c r="L861">
        <v>0</v>
      </c>
      <c r="M861" t="s">
        <v>63</v>
      </c>
      <c r="N861">
        <v>250</v>
      </c>
      <c r="O861">
        <v>0</v>
      </c>
      <c r="P861">
        <v>0</v>
      </c>
      <c r="Q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 t="s">
        <v>36</v>
      </c>
      <c r="AC861" t="s">
        <v>849</v>
      </c>
      <c r="AD861" t="str">
        <f t="shared" si="26"/>
        <v>CP</v>
      </c>
      <c r="AE861" t="str">
        <f>_xlfn.XLOOKUP(D861,Mapping!A:A,Mapping!D:D,0,0)</f>
        <v>Global</v>
      </c>
      <c r="AF861" t="str">
        <f t="shared" si="27"/>
        <v>OLD</v>
      </c>
    </row>
    <row r="862" spans="1:32" x14ac:dyDescent="0.2">
      <c r="A862" t="s">
        <v>1118</v>
      </c>
      <c r="B862" t="s">
        <v>29</v>
      </c>
      <c r="C862">
        <v>1012927532</v>
      </c>
      <c r="D862" t="s">
        <v>866</v>
      </c>
      <c r="E862" t="s">
        <v>31</v>
      </c>
      <c r="F862" s="1">
        <v>0.67291666666666672</v>
      </c>
      <c r="G862" t="s">
        <v>32</v>
      </c>
      <c r="H862" t="s">
        <v>33</v>
      </c>
      <c r="I862" t="s">
        <v>41</v>
      </c>
      <c r="J862" t="s">
        <v>867</v>
      </c>
      <c r="K862">
        <v>539</v>
      </c>
      <c r="L862">
        <v>0</v>
      </c>
      <c r="M862" t="s">
        <v>63</v>
      </c>
      <c r="N862">
        <v>250</v>
      </c>
      <c r="O862">
        <v>838645</v>
      </c>
      <c r="P862">
        <v>55714</v>
      </c>
      <c r="Q862">
        <v>6.6433400000000002</v>
      </c>
      <c r="R862">
        <v>1</v>
      </c>
      <c r="S862">
        <v>333.62</v>
      </c>
      <c r="T862">
        <v>0.39800000000000002</v>
      </c>
      <c r="U862">
        <v>6.0000000000000001E-3</v>
      </c>
      <c r="V862">
        <v>333.61500000000001</v>
      </c>
      <c r="W862">
        <v>1</v>
      </c>
      <c r="X862">
        <v>0</v>
      </c>
      <c r="Y862" t="s">
        <v>63</v>
      </c>
      <c r="Z862">
        <v>838394</v>
      </c>
      <c r="AA862">
        <v>723340</v>
      </c>
      <c r="AB862">
        <v>76249</v>
      </c>
      <c r="AC862" t="s">
        <v>849</v>
      </c>
      <c r="AD862" t="str">
        <f t="shared" si="26"/>
        <v>CP</v>
      </c>
      <c r="AE862" t="str">
        <f>_xlfn.XLOOKUP(D862,Mapping!A:A,Mapping!D:D,0,0)</f>
        <v>Global</v>
      </c>
      <c r="AF862" t="str">
        <f t="shared" si="27"/>
        <v>OLD</v>
      </c>
    </row>
    <row r="863" spans="1:32" x14ac:dyDescent="0.2">
      <c r="A863" t="s">
        <v>1118</v>
      </c>
      <c r="B863" t="s">
        <v>29</v>
      </c>
      <c r="C863">
        <v>1012927542</v>
      </c>
      <c r="D863" t="s">
        <v>868</v>
      </c>
      <c r="E863" t="s">
        <v>31</v>
      </c>
      <c r="F863" s="1">
        <v>0.67291666666666672</v>
      </c>
      <c r="G863" t="s">
        <v>32</v>
      </c>
      <c r="H863" t="s">
        <v>33</v>
      </c>
      <c r="I863" t="s">
        <v>34</v>
      </c>
      <c r="J863" t="s">
        <v>84</v>
      </c>
      <c r="K863">
        <v>252</v>
      </c>
      <c r="L863">
        <v>0</v>
      </c>
      <c r="M863" t="s">
        <v>36</v>
      </c>
      <c r="N863" t="s">
        <v>37</v>
      </c>
      <c r="O863">
        <v>42157</v>
      </c>
      <c r="P863">
        <v>2558</v>
      </c>
      <c r="Q863">
        <v>6.0677899999999996</v>
      </c>
      <c r="R863">
        <v>0</v>
      </c>
      <c r="S863">
        <v>31.13</v>
      </c>
      <c r="T863">
        <v>0.73899999999999999</v>
      </c>
      <c r="U863">
        <v>1.2E-2</v>
      </c>
      <c r="V863">
        <v>0</v>
      </c>
      <c r="W863">
        <v>1</v>
      </c>
      <c r="X863">
        <v>0</v>
      </c>
      <c r="Y863" t="s">
        <v>36</v>
      </c>
      <c r="Z863">
        <v>42152</v>
      </c>
      <c r="AA863">
        <v>31980</v>
      </c>
      <c r="AB863">
        <v>5821</v>
      </c>
      <c r="AC863" t="s">
        <v>849</v>
      </c>
      <c r="AD863" t="str">
        <f t="shared" si="26"/>
        <v>CP</v>
      </c>
      <c r="AE863" t="str">
        <f>_xlfn.XLOOKUP(D863,Mapping!A:A,Mapping!D:D,0,0)</f>
        <v>Global</v>
      </c>
      <c r="AF863" t="str">
        <f t="shared" si="27"/>
        <v>OLD</v>
      </c>
    </row>
    <row r="864" spans="1:32" x14ac:dyDescent="0.2">
      <c r="A864" t="s">
        <v>1118</v>
      </c>
      <c r="B864" t="s">
        <v>29</v>
      </c>
      <c r="C864">
        <v>1012927552</v>
      </c>
      <c r="D864" t="s">
        <v>869</v>
      </c>
      <c r="E864" t="s">
        <v>31</v>
      </c>
      <c r="F864" s="1">
        <v>0.67291666666666672</v>
      </c>
      <c r="G864" t="s">
        <v>32</v>
      </c>
      <c r="H864" t="s">
        <v>33</v>
      </c>
      <c r="I864" t="s">
        <v>34</v>
      </c>
      <c r="J864" t="s">
        <v>716</v>
      </c>
      <c r="K864">
        <v>360</v>
      </c>
      <c r="L864">
        <v>0</v>
      </c>
      <c r="M864" t="s">
        <v>36</v>
      </c>
      <c r="N864" t="s">
        <v>37</v>
      </c>
      <c r="O864">
        <v>152292</v>
      </c>
      <c r="P864">
        <v>7876</v>
      </c>
      <c r="Q864">
        <v>5.17164</v>
      </c>
      <c r="R864">
        <v>4</v>
      </c>
      <c r="S864">
        <v>169.03</v>
      </c>
      <c r="T864">
        <v>1.1100000000000001</v>
      </c>
      <c r="U864">
        <v>2.1000000000000001E-2</v>
      </c>
      <c r="V864">
        <v>42.258000000000003</v>
      </c>
      <c r="W864">
        <v>1</v>
      </c>
      <c r="X864">
        <v>0</v>
      </c>
      <c r="Y864" t="s">
        <v>36</v>
      </c>
      <c r="Z864">
        <v>152305</v>
      </c>
      <c r="AA864">
        <v>117184</v>
      </c>
      <c r="AB864">
        <v>19740</v>
      </c>
      <c r="AC864" t="s">
        <v>849</v>
      </c>
      <c r="AD864" t="str">
        <f t="shared" si="26"/>
        <v>CP</v>
      </c>
      <c r="AE864" t="str">
        <f>_xlfn.XLOOKUP(D864,Mapping!A:A,Mapping!D:D,0,0)</f>
        <v>Global</v>
      </c>
      <c r="AF864" t="str">
        <f t="shared" si="27"/>
        <v>OLD</v>
      </c>
    </row>
    <row r="865" spans="1:32" x14ac:dyDescent="0.2">
      <c r="A865" t="s">
        <v>1118</v>
      </c>
      <c r="B865" t="s">
        <v>39</v>
      </c>
      <c r="C865">
        <v>1012927562</v>
      </c>
      <c r="D865" t="s">
        <v>870</v>
      </c>
      <c r="E865" t="s">
        <v>31</v>
      </c>
      <c r="F865" s="1">
        <v>0.67291666666666672</v>
      </c>
      <c r="G865" t="s">
        <v>32</v>
      </c>
      <c r="H865" t="s">
        <v>33</v>
      </c>
      <c r="I865" t="s">
        <v>41</v>
      </c>
      <c r="J865" t="s">
        <v>62</v>
      </c>
      <c r="K865">
        <v>700</v>
      </c>
      <c r="L865">
        <v>0</v>
      </c>
      <c r="M865" t="s">
        <v>63</v>
      </c>
      <c r="N865">
        <v>250</v>
      </c>
      <c r="O865">
        <v>0</v>
      </c>
      <c r="P865">
        <v>0</v>
      </c>
      <c r="Q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 t="s">
        <v>36</v>
      </c>
      <c r="AC865" t="s">
        <v>849</v>
      </c>
      <c r="AD865" t="str">
        <f t="shared" si="26"/>
        <v>CP</v>
      </c>
      <c r="AE865" t="str">
        <f>_xlfn.XLOOKUP(D865,Mapping!A:A,Mapping!D:D,0,0)</f>
        <v>Global</v>
      </c>
      <c r="AF865" t="str">
        <f t="shared" si="27"/>
        <v>OLD</v>
      </c>
    </row>
    <row r="866" spans="1:32" x14ac:dyDescent="0.2">
      <c r="A866" t="s">
        <v>1118</v>
      </c>
      <c r="B866" t="s">
        <v>39</v>
      </c>
      <c r="C866">
        <v>1012927582</v>
      </c>
      <c r="D866" t="s">
        <v>871</v>
      </c>
      <c r="E866" t="s">
        <v>31</v>
      </c>
      <c r="F866" s="1">
        <v>0.67291666666666672</v>
      </c>
      <c r="G866" t="s">
        <v>32</v>
      </c>
      <c r="H866" t="s">
        <v>33</v>
      </c>
      <c r="I866" t="s">
        <v>41</v>
      </c>
      <c r="J866" t="s">
        <v>62</v>
      </c>
      <c r="K866">
        <v>700</v>
      </c>
      <c r="L866">
        <v>0</v>
      </c>
      <c r="M866" t="s">
        <v>63</v>
      </c>
      <c r="N866">
        <v>250</v>
      </c>
      <c r="O866">
        <v>0</v>
      </c>
      <c r="P866">
        <v>0</v>
      </c>
      <c r="Q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 t="s">
        <v>36</v>
      </c>
      <c r="AC866" t="s">
        <v>849</v>
      </c>
      <c r="AD866" t="str">
        <f t="shared" si="26"/>
        <v>CP</v>
      </c>
      <c r="AE866" t="str">
        <f>_xlfn.XLOOKUP(D866,Mapping!A:A,Mapping!D:D,0,0)</f>
        <v>Global</v>
      </c>
      <c r="AF866" t="str">
        <f t="shared" si="27"/>
        <v>OLD</v>
      </c>
    </row>
    <row r="867" spans="1:32" x14ac:dyDescent="0.2">
      <c r="A867" t="s">
        <v>1118</v>
      </c>
      <c r="B867" t="s">
        <v>39</v>
      </c>
      <c r="C867">
        <v>1012927592</v>
      </c>
      <c r="D867" t="s">
        <v>872</v>
      </c>
      <c r="E867" t="s">
        <v>31</v>
      </c>
      <c r="F867" s="1">
        <v>0.67291666666666672</v>
      </c>
      <c r="G867" t="s">
        <v>32</v>
      </c>
      <c r="H867" t="s">
        <v>33</v>
      </c>
      <c r="I867" t="s">
        <v>41</v>
      </c>
      <c r="J867" t="s">
        <v>62</v>
      </c>
      <c r="K867">
        <v>700</v>
      </c>
      <c r="L867">
        <v>0</v>
      </c>
      <c r="M867" t="s">
        <v>63</v>
      </c>
      <c r="N867">
        <v>250</v>
      </c>
      <c r="O867">
        <v>0</v>
      </c>
      <c r="P867">
        <v>0</v>
      </c>
      <c r="Q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 t="s">
        <v>36</v>
      </c>
      <c r="AC867" t="s">
        <v>849</v>
      </c>
      <c r="AD867" t="str">
        <f t="shared" si="26"/>
        <v>CP</v>
      </c>
      <c r="AE867" t="str">
        <f>_xlfn.XLOOKUP(D867,Mapping!A:A,Mapping!D:D,0,0)</f>
        <v>Global</v>
      </c>
      <c r="AF867" t="str">
        <f t="shared" si="27"/>
        <v>OLD</v>
      </c>
    </row>
    <row r="868" spans="1:32" x14ac:dyDescent="0.2">
      <c r="A868" t="s">
        <v>1118</v>
      </c>
      <c r="B868" t="s">
        <v>29</v>
      </c>
      <c r="C868">
        <v>1012927602</v>
      </c>
      <c r="D868" t="s">
        <v>873</v>
      </c>
      <c r="E868" t="s">
        <v>31</v>
      </c>
      <c r="F868" s="1">
        <v>0.67291666666666672</v>
      </c>
      <c r="G868" t="s">
        <v>32</v>
      </c>
      <c r="H868" t="s">
        <v>33</v>
      </c>
      <c r="I868" t="s">
        <v>34</v>
      </c>
      <c r="J868" t="s">
        <v>84</v>
      </c>
      <c r="K868">
        <v>360</v>
      </c>
      <c r="L868">
        <v>0</v>
      </c>
      <c r="M868" t="s">
        <v>36</v>
      </c>
      <c r="N868" t="s">
        <v>37</v>
      </c>
      <c r="O868">
        <v>50553</v>
      </c>
      <c r="P868">
        <v>2736</v>
      </c>
      <c r="Q868">
        <v>5.41214</v>
      </c>
      <c r="R868">
        <v>1</v>
      </c>
      <c r="S868">
        <v>57.76</v>
      </c>
      <c r="T868">
        <v>1.143</v>
      </c>
      <c r="U868">
        <v>2.1000000000000001E-2</v>
      </c>
      <c r="V868">
        <v>57.762999999999998</v>
      </c>
      <c r="W868">
        <v>1</v>
      </c>
      <c r="X868">
        <v>0</v>
      </c>
      <c r="Y868" t="s">
        <v>36</v>
      </c>
      <c r="Z868">
        <v>50556</v>
      </c>
      <c r="AA868">
        <v>39033</v>
      </c>
      <c r="AB868">
        <v>6579</v>
      </c>
      <c r="AC868" t="s">
        <v>849</v>
      </c>
      <c r="AD868" t="str">
        <f t="shared" si="26"/>
        <v>CP</v>
      </c>
      <c r="AE868" t="str">
        <f>_xlfn.XLOOKUP(D868,Mapping!A:A,Mapping!D:D,0,0)</f>
        <v>Global</v>
      </c>
      <c r="AF868" t="str">
        <f t="shared" si="27"/>
        <v>OLD</v>
      </c>
    </row>
    <row r="869" spans="1:32" x14ac:dyDescent="0.2">
      <c r="A869" t="s">
        <v>1118</v>
      </c>
      <c r="B869" t="s">
        <v>39</v>
      </c>
      <c r="C869">
        <v>1012927612</v>
      </c>
      <c r="D869" t="s">
        <v>874</v>
      </c>
      <c r="E869" t="s">
        <v>31</v>
      </c>
      <c r="F869" s="1">
        <v>0.67291666666666672</v>
      </c>
      <c r="G869" t="s">
        <v>32</v>
      </c>
      <c r="H869" t="s">
        <v>33</v>
      </c>
      <c r="I869" t="s">
        <v>41</v>
      </c>
      <c r="J869" t="s">
        <v>62</v>
      </c>
      <c r="K869">
        <v>700</v>
      </c>
      <c r="L869">
        <v>0</v>
      </c>
      <c r="M869" t="s">
        <v>63</v>
      </c>
      <c r="N869">
        <v>250</v>
      </c>
      <c r="O869">
        <v>0</v>
      </c>
      <c r="P869">
        <v>0</v>
      </c>
      <c r="Q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 t="s">
        <v>36</v>
      </c>
      <c r="AC869" t="s">
        <v>849</v>
      </c>
      <c r="AD869" t="str">
        <f t="shared" si="26"/>
        <v>CP</v>
      </c>
      <c r="AE869" t="str">
        <f>_xlfn.XLOOKUP(D869,Mapping!A:A,Mapping!D:D,0,0)</f>
        <v>Global</v>
      </c>
      <c r="AF869" t="str">
        <f t="shared" si="27"/>
        <v>OLD</v>
      </c>
    </row>
    <row r="870" spans="1:32" x14ac:dyDescent="0.2">
      <c r="A870" t="s">
        <v>1118</v>
      </c>
      <c r="B870" t="s">
        <v>39</v>
      </c>
      <c r="C870">
        <v>1012927622</v>
      </c>
      <c r="D870" t="s">
        <v>875</v>
      </c>
      <c r="E870" t="s">
        <v>31</v>
      </c>
      <c r="F870" s="1">
        <v>0.67291666666666672</v>
      </c>
      <c r="G870" t="s">
        <v>32</v>
      </c>
      <c r="H870" t="s">
        <v>33</v>
      </c>
      <c r="I870" t="s">
        <v>41</v>
      </c>
      <c r="J870" t="s">
        <v>62</v>
      </c>
      <c r="K870">
        <v>700</v>
      </c>
      <c r="L870">
        <v>0</v>
      </c>
      <c r="M870" t="s">
        <v>63</v>
      </c>
      <c r="N870">
        <v>250</v>
      </c>
      <c r="O870">
        <v>0</v>
      </c>
      <c r="P870">
        <v>0</v>
      </c>
      <c r="Q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 t="s">
        <v>36</v>
      </c>
      <c r="AC870" t="s">
        <v>849</v>
      </c>
      <c r="AD870" t="str">
        <f t="shared" si="26"/>
        <v>CP</v>
      </c>
      <c r="AE870" t="str">
        <f>_xlfn.XLOOKUP(D870,Mapping!A:A,Mapping!D:D,0,0)</f>
        <v>Global</v>
      </c>
      <c r="AF870" t="str">
        <f t="shared" si="27"/>
        <v>OLD</v>
      </c>
    </row>
    <row r="871" spans="1:32" x14ac:dyDescent="0.2">
      <c r="A871" t="s">
        <v>1118</v>
      </c>
      <c r="B871" t="s">
        <v>29</v>
      </c>
      <c r="C871">
        <v>1012927642</v>
      </c>
      <c r="D871" t="s">
        <v>876</v>
      </c>
      <c r="E871" t="s">
        <v>31</v>
      </c>
      <c r="F871" s="1">
        <v>0.67291666666666672</v>
      </c>
      <c r="G871" t="s">
        <v>32</v>
      </c>
      <c r="H871" t="s">
        <v>33</v>
      </c>
      <c r="I871" t="s">
        <v>34</v>
      </c>
      <c r="J871" t="s">
        <v>84</v>
      </c>
      <c r="K871">
        <v>360</v>
      </c>
      <c r="L871">
        <v>0</v>
      </c>
      <c r="M871" t="s">
        <v>63</v>
      </c>
      <c r="N871">
        <v>250</v>
      </c>
      <c r="O871">
        <v>51347</v>
      </c>
      <c r="P871">
        <v>2743</v>
      </c>
      <c r="Q871">
        <v>5.3420800000000002</v>
      </c>
      <c r="R871">
        <v>0</v>
      </c>
      <c r="S871">
        <v>69.23</v>
      </c>
      <c r="T871">
        <v>1.3480000000000001</v>
      </c>
      <c r="U871">
        <v>2.5000000000000001E-2</v>
      </c>
      <c r="V871">
        <v>0</v>
      </c>
      <c r="W871">
        <v>1</v>
      </c>
      <c r="X871">
        <v>0</v>
      </c>
      <c r="Y871" t="s">
        <v>36</v>
      </c>
      <c r="Z871">
        <v>51341</v>
      </c>
      <c r="AA871">
        <v>38987</v>
      </c>
      <c r="AB871">
        <v>7392</v>
      </c>
      <c r="AC871" t="s">
        <v>849</v>
      </c>
      <c r="AD871" t="str">
        <f t="shared" si="26"/>
        <v>CP</v>
      </c>
      <c r="AE871" t="str">
        <f>_xlfn.XLOOKUP(D871,Mapping!A:A,Mapping!D:D,0,0)</f>
        <v>Global</v>
      </c>
      <c r="AF871" t="str">
        <f t="shared" si="27"/>
        <v>OLD</v>
      </c>
    </row>
    <row r="872" spans="1:32" x14ac:dyDescent="0.2">
      <c r="A872" t="s">
        <v>1118</v>
      </c>
      <c r="B872" t="s">
        <v>29</v>
      </c>
      <c r="C872">
        <v>1012927662</v>
      </c>
      <c r="D872" t="s">
        <v>877</v>
      </c>
      <c r="E872" t="s">
        <v>31</v>
      </c>
      <c r="F872" s="1">
        <v>0.67291666666666672</v>
      </c>
      <c r="G872" t="s">
        <v>32</v>
      </c>
      <c r="H872" t="s">
        <v>33</v>
      </c>
      <c r="I872" t="s">
        <v>41</v>
      </c>
      <c r="J872" t="s">
        <v>867</v>
      </c>
      <c r="K872">
        <v>700</v>
      </c>
      <c r="L872">
        <v>0</v>
      </c>
      <c r="M872" t="s">
        <v>63</v>
      </c>
      <c r="N872">
        <v>250</v>
      </c>
      <c r="O872">
        <v>1854597</v>
      </c>
      <c r="P872">
        <v>132701</v>
      </c>
      <c r="Q872">
        <v>7.1552499999999997</v>
      </c>
      <c r="R872">
        <v>2</v>
      </c>
      <c r="S872">
        <v>387.15</v>
      </c>
      <c r="T872">
        <v>0.20899999999999999</v>
      </c>
      <c r="U872">
        <v>3.0000000000000001E-3</v>
      </c>
      <c r="V872">
        <v>193.57599999999999</v>
      </c>
      <c r="W872">
        <v>2</v>
      </c>
      <c r="X872">
        <v>0</v>
      </c>
      <c r="Y872" t="s">
        <v>63</v>
      </c>
      <c r="Z872">
        <v>1854427</v>
      </c>
      <c r="AA872">
        <v>1589569</v>
      </c>
      <c r="AB872">
        <v>191388</v>
      </c>
      <c r="AC872" t="s">
        <v>849</v>
      </c>
      <c r="AD872" t="str">
        <f t="shared" si="26"/>
        <v>CP</v>
      </c>
      <c r="AE872" t="str">
        <f>_xlfn.XLOOKUP(D872,Mapping!A:A,Mapping!D:D,0,0)</f>
        <v>Global</v>
      </c>
      <c r="AF872" t="str">
        <f t="shared" si="27"/>
        <v>OLD</v>
      </c>
    </row>
    <row r="873" spans="1:32" x14ac:dyDescent="0.2">
      <c r="A873" t="s">
        <v>1118</v>
      </c>
      <c r="B873" t="s">
        <v>29</v>
      </c>
      <c r="C873">
        <v>1012927672</v>
      </c>
      <c r="D873" t="s">
        <v>878</v>
      </c>
      <c r="E873" t="s">
        <v>31</v>
      </c>
      <c r="F873" s="1">
        <v>0.67291666666666672</v>
      </c>
      <c r="G873" t="s">
        <v>32</v>
      </c>
      <c r="H873" t="s">
        <v>33</v>
      </c>
      <c r="I873" t="s">
        <v>34</v>
      </c>
      <c r="J873" t="s">
        <v>84</v>
      </c>
      <c r="K873">
        <v>360</v>
      </c>
      <c r="L873">
        <v>0</v>
      </c>
      <c r="M873" t="s">
        <v>63</v>
      </c>
      <c r="N873">
        <v>250</v>
      </c>
      <c r="O873">
        <v>24183</v>
      </c>
      <c r="P873">
        <v>1315</v>
      </c>
      <c r="Q873">
        <v>5.4377000000000004</v>
      </c>
      <c r="R873">
        <v>0</v>
      </c>
      <c r="S873">
        <v>23.75</v>
      </c>
      <c r="T873">
        <v>0.98199999999999998</v>
      </c>
      <c r="U873">
        <v>1.7999999999999999E-2</v>
      </c>
      <c r="V873">
        <v>0</v>
      </c>
      <c r="W873">
        <v>1</v>
      </c>
      <c r="X873">
        <v>0</v>
      </c>
      <c r="Y873" t="s">
        <v>36</v>
      </c>
      <c r="Z873">
        <v>24180</v>
      </c>
      <c r="AA873">
        <v>18682</v>
      </c>
      <c r="AB873">
        <v>3260</v>
      </c>
      <c r="AC873" t="s">
        <v>849</v>
      </c>
      <c r="AD873" t="str">
        <f t="shared" si="26"/>
        <v>CP</v>
      </c>
      <c r="AE873" t="str">
        <f>_xlfn.XLOOKUP(D873,Mapping!A:A,Mapping!D:D,0,0)</f>
        <v>Global</v>
      </c>
      <c r="AF873" t="str">
        <f t="shared" si="27"/>
        <v>OLD</v>
      </c>
    </row>
    <row r="874" spans="1:32" x14ac:dyDescent="0.2">
      <c r="A874" t="s">
        <v>1118</v>
      </c>
      <c r="B874" t="s">
        <v>39</v>
      </c>
      <c r="C874">
        <v>1012927682</v>
      </c>
      <c r="D874" t="s">
        <v>879</v>
      </c>
      <c r="E874" t="s">
        <v>31</v>
      </c>
      <c r="F874" s="1">
        <v>0.67291666666666672</v>
      </c>
      <c r="G874" t="s">
        <v>32</v>
      </c>
      <c r="H874" t="s">
        <v>33</v>
      </c>
      <c r="I874" t="s">
        <v>41</v>
      </c>
      <c r="J874" t="s">
        <v>62</v>
      </c>
      <c r="K874">
        <v>700</v>
      </c>
      <c r="L874">
        <v>0</v>
      </c>
      <c r="M874" t="s">
        <v>63</v>
      </c>
      <c r="N874">
        <v>250</v>
      </c>
      <c r="O874">
        <v>0</v>
      </c>
      <c r="P874">
        <v>0</v>
      </c>
      <c r="Q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 t="s">
        <v>36</v>
      </c>
      <c r="AC874" t="s">
        <v>849</v>
      </c>
      <c r="AD874" t="str">
        <f t="shared" si="26"/>
        <v>CP</v>
      </c>
      <c r="AE874" t="str">
        <f>_xlfn.XLOOKUP(D874,Mapping!A:A,Mapping!D:D,0,0)</f>
        <v>Global</v>
      </c>
      <c r="AF874" t="str">
        <f t="shared" si="27"/>
        <v>OLD</v>
      </c>
    </row>
    <row r="875" spans="1:32" x14ac:dyDescent="0.2">
      <c r="A875" t="s">
        <v>1118</v>
      </c>
      <c r="B875" t="s">
        <v>29</v>
      </c>
      <c r="C875">
        <v>1012927692</v>
      </c>
      <c r="D875" t="s">
        <v>880</v>
      </c>
      <c r="E875" t="s">
        <v>31</v>
      </c>
      <c r="F875" s="1">
        <v>0.67291666666666672</v>
      </c>
      <c r="G875" t="s">
        <v>32</v>
      </c>
      <c r="H875" t="s">
        <v>33</v>
      </c>
      <c r="I875" t="s">
        <v>41</v>
      </c>
      <c r="J875" t="s">
        <v>62</v>
      </c>
      <c r="K875">
        <v>700</v>
      </c>
      <c r="L875">
        <v>0</v>
      </c>
      <c r="M875" t="s">
        <v>63</v>
      </c>
      <c r="N875">
        <v>250</v>
      </c>
      <c r="O875">
        <v>36729</v>
      </c>
      <c r="P875">
        <v>2717</v>
      </c>
      <c r="Q875">
        <v>7.3974200000000003</v>
      </c>
      <c r="R875">
        <v>1</v>
      </c>
      <c r="S875">
        <v>23.19</v>
      </c>
      <c r="T875">
        <v>0.63200000000000001</v>
      </c>
      <c r="U875">
        <v>8.9999999999999993E-3</v>
      </c>
      <c r="V875">
        <v>23.193999999999999</v>
      </c>
      <c r="W875">
        <v>1</v>
      </c>
      <c r="X875">
        <v>0</v>
      </c>
      <c r="Y875" t="s">
        <v>36</v>
      </c>
      <c r="Z875">
        <v>36728</v>
      </c>
      <c r="AA875">
        <v>31775</v>
      </c>
      <c r="AB875">
        <v>2961</v>
      </c>
      <c r="AC875" t="s">
        <v>849</v>
      </c>
      <c r="AD875" t="str">
        <f t="shared" si="26"/>
        <v>CP</v>
      </c>
      <c r="AE875" t="str">
        <f>_xlfn.XLOOKUP(D875,Mapping!A:A,Mapping!D:D,0,0)</f>
        <v>Global</v>
      </c>
      <c r="AF875" t="str">
        <f t="shared" si="27"/>
        <v>OLD</v>
      </c>
    </row>
    <row r="876" spans="1:32" x14ac:dyDescent="0.2">
      <c r="A876" t="s">
        <v>1118</v>
      </c>
      <c r="B876" t="s">
        <v>29</v>
      </c>
      <c r="C876">
        <v>1012929922</v>
      </c>
      <c r="D876" t="s">
        <v>881</v>
      </c>
      <c r="E876" t="s">
        <v>31</v>
      </c>
      <c r="F876" t="s">
        <v>246</v>
      </c>
      <c r="G876" t="s">
        <v>247</v>
      </c>
      <c r="H876" t="s">
        <v>33</v>
      </c>
      <c r="I876" t="s">
        <v>41</v>
      </c>
      <c r="J876" t="s">
        <v>58</v>
      </c>
      <c r="K876">
        <v>37</v>
      </c>
      <c r="L876">
        <v>0</v>
      </c>
      <c r="M876" t="s">
        <v>36</v>
      </c>
      <c r="N876" t="s">
        <v>37</v>
      </c>
      <c r="O876">
        <v>162905</v>
      </c>
      <c r="P876">
        <v>400</v>
      </c>
      <c r="Q876">
        <v>0.24554000000000001</v>
      </c>
      <c r="R876">
        <v>0</v>
      </c>
      <c r="S876">
        <v>51.8</v>
      </c>
      <c r="T876">
        <v>0.318</v>
      </c>
      <c r="U876">
        <v>0.13</v>
      </c>
      <c r="V876">
        <v>0</v>
      </c>
      <c r="W876">
        <v>2</v>
      </c>
      <c r="X876">
        <v>0</v>
      </c>
      <c r="Y876" t="s">
        <v>36</v>
      </c>
      <c r="Z876">
        <v>0</v>
      </c>
      <c r="AA876">
        <v>0</v>
      </c>
      <c r="AB876">
        <v>0</v>
      </c>
      <c r="AC876" t="s">
        <v>687</v>
      </c>
      <c r="AD876" t="str">
        <f t="shared" si="26"/>
        <v>OL</v>
      </c>
      <c r="AE876" t="str">
        <f>_xlfn.XLOOKUP(D876,Mapping!A:A,Mapping!D:D,0,0)</f>
        <v>Native - Homepage</v>
      </c>
      <c r="AF876" t="str">
        <f t="shared" si="27"/>
        <v>OLD</v>
      </c>
    </row>
    <row r="877" spans="1:32" x14ac:dyDescent="0.2">
      <c r="A877" t="s">
        <v>1118</v>
      </c>
      <c r="B877" t="s">
        <v>29</v>
      </c>
      <c r="C877">
        <v>1012929942</v>
      </c>
      <c r="D877" t="s">
        <v>882</v>
      </c>
      <c r="E877" t="s">
        <v>31</v>
      </c>
      <c r="F877" t="s">
        <v>246</v>
      </c>
      <c r="G877" t="s">
        <v>247</v>
      </c>
      <c r="H877" t="s">
        <v>33</v>
      </c>
      <c r="I877" t="s">
        <v>41</v>
      </c>
      <c r="J877" t="s">
        <v>124</v>
      </c>
      <c r="K877">
        <v>37</v>
      </c>
      <c r="L877">
        <v>0</v>
      </c>
      <c r="M877" t="s">
        <v>63</v>
      </c>
      <c r="N877">
        <v>2000</v>
      </c>
      <c r="O877">
        <v>519074</v>
      </c>
      <c r="P877">
        <v>884</v>
      </c>
      <c r="Q877">
        <v>0.17030000000000001</v>
      </c>
      <c r="R877">
        <v>2</v>
      </c>
      <c r="S877">
        <v>105.89</v>
      </c>
      <c r="T877">
        <v>0.20399999999999999</v>
      </c>
      <c r="U877">
        <v>0.12</v>
      </c>
      <c r="V877">
        <v>52.945999999999998</v>
      </c>
      <c r="W877">
        <v>2</v>
      </c>
      <c r="X877">
        <v>0</v>
      </c>
      <c r="Y877" t="s">
        <v>36</v>
      </c>
      <c r="Z877">
        <v>0</v>
      </c>
      <c r="AA877">
        <v>0</v>
      </c>
      <c r="AB877">
        <v>0</v>
      </c>
      <c r="AC877" t="s">
        <v>687</v>
      </c>
      <c r="AD877" t="str">
        <f t="shared" si="26"/>
        <v>OL</v>
      </c>
      <c r="AE877" t="str">
        <f>_xlfn.XLOOKUP(D877,Mapping!A:A,Mapping!D:D,0,0)</f>
        <v>Native - Homepage</v>
      </c>
      <c r="AF877" t="str">
        <f t="shared" si="27"/>
        <v>OLD</v>
      </c>
    </row>
    <row r="878" spans="1:32" x14ac:dyDescent="0.2">
      <c r="A878" t="s">
        <v>1118</v>
      </c>
      <c r="B878" t="s">
        <v>29</v>
      </c>
      <c r="C878">
        <v>1012946891</v>
      </c>
      <c r="D878" t="s">
        <v>883</v>
      </c>
      <c r="E878" t="s">
        <v>31</v>
      </c>
      <c r="F878" t="s">
        <v>246</v>
      </c>
      <c r="G878" t="s">
        <v>247</v>
      </c>
      <c r="H878" t="s">
        <v>33</v>
      </c>
      <c r="I878" t="s">
        <v>34</v>
      </c>
      <c r="J878" t="s">
        <v>84</v>
      </c>
      <c r="K878">
        <v>264</v>
      </c>
      <c r="L878">
        <v>0</v>
      </c>
      <c r="M878" t="s">
        <v>36</v>
      </c>
      <c r="N878" t="s">
        <v>37</v>
      </c>
      <c r="O878">
        <v>77914</v>
      </c>
      <c r="P878">
        <v>144</v>
      </c>
      <c r="Q878">
        <v>0.18482000000000001</v>
      </c>
      <c r="R878">
        <v>0</v>
      </c>
      <c r="S878">
        <v>6.9</v>
      </c>
      <c r="T878">
        <v>8.8999999999999996E-2</v>
      </c>
      <c r="U878">
        <v>4.8000000000000001E-2</v>
      </c>
      <c r="V878">
        <v>0</v>
      </c>
      <c r="W878">
        <v>2</v>
      </c>
      <c r="X878">
        <v>0</v>
      </c>
      <c r="Y878" t="s">
        <v>36</v>
      </c>
      <c r="Z878">
        <v>0</v>
      </c>
      <c r="AA878">
        <v>0</v>
      </c>
      <c r="AB878">
        <v>0</v>
      </c>
      <c r="AC878" t="s">
        <v>884</v>
      </c>
      <c r="AD878" t="str">
        <f t="shared" si="26"/>
        <v>OL</v>
      </c>
      <c r="AE878" t="str">
        <f>_xlfn.XLOOKUP(D878,Mapping!A:A,Mapping!D:D,0,0)</f>
        <v>Indian</v>
      </c>
      <c r="AF878" t="str">
        <f t="shared" si="27"/>
        <v>OLD</v>
      </c>
    </row>
    <row r="879" spans="1:32" x14ac:dyDescent="0.2">
      <c r="A879" t="s">
        <v>1118</v>
      </c>
      <c r="B879" t="s">
        <v>39</v>
      </c>
      <c r="C879">
        <v>1012946931</v>
      </c>
      <c r="D879" t="s">
        <v>885</v>
      </c>
      <c r="E879" t="s">
        <v>31</v>
      </c>
      <c r="F879" t="s">
        <v>246</v>
      </c>
      <c r="G879" t="s">
        <v>247</v>
      </c>
      <c r="H879" t="s">
        <v>33</v>
      </c>
      <c r="I879" t="s">
        <v>41</v>
      </c>
      <c r="J879" t="s">
        <v>62</v>
      </c>
      <c r="K879">
        <v>286</v>
      </c>
      <c r="L879">
        <v>0</v>
      </c>
      <c r="M879" t="s">
        <v>63</v>
      </c>
      <c r="N879">
        <v>250</v>
      </c>
      <c r="O879">
        <v>0</v>
      </c>
      <c r="P879">
        <v>0</v>
      </c>
      <c r="Q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 t="s">
        <v>36</v>
      </c>
      <c r="AC879" t="s">
        <v>884</v>
      </c>
      <c r="AD879" t="str">
        <f t="shared" si="26"/>
        <v>CP</v>
      </c>
      <c r="AE879" t="str">
        <f>_xlfn.XLOOKUP(D879,Mapping!A:A,Mapping!D:D,0,0)</f>
        <v>Indian</v>
      </c>
      <c r="AF879" t="str">
        <f t="shared" si="27"/>
        <v>OLD</v>
      </c>
    </row>
    <row r="880" spans="1:32" x14ac:dyDescent="0.2">
      <c r="A880" t="s">
        <v>1118</v>
      </c>
      <c r="B880" t="s">
        <v>39</v>
      </c>
      <c r="C880">
        <v>1012946971</v>
      </c>
      <c r="D880" t="s">
        <v>886</v>
      </c>
      <c r="E880" t="s">
        <v>31</v>
      </c>
      <c r="F880" t="s">
        <v>246</v>
      </c>
      <c r="G880" t="s">
        <v>247</v>
      </c>
      <c r="H880" t="s">
        <v>33</v>
      </c>
      <c r="I880" t="s">
        <v>41</v>
      </c>
      <c r="J880" t="s">
        <v>62</v>
      </c>
      <c r="K880">
        <v>286</v>
      </c>
      <c r="L880">
        <v>0</v>
      </c>
      <c r="M880" t="s">
        <v>63</v>
      </c>
      <c r="N880">
        <v>250</v>
      </c>
      <c r="O880">
        <v>0</v>
      </c>
      <c r="P880">
        <v>0</v>
      </c>
      <c r="Q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 t="s">
        <v>36</v>
      </c>
      <c r="AC880" t="s">
        <v>884</v>
      </c>
      <c r="AD880" t="str">
        <f t="shared" si="26"/>
        <v>CP</v>
      </c>
      <c r="AE880" t="str">
        <f>_xlfn.XLOOKUP(D880,Mapping!A:A,Mapping!D:D,0,0)</f>
        <v>Indian</v>
      </c>
      <c r="AF880" t="str">
        <f t="shared" si="27"/>
        <v>OLD</v>
      </c>
    </row>
    <row r="881" spans="1:32" x14ac:dyDescent="0.2">
      <c r="A881" t="s">
        <v>1118</v>
      </c>
      <c r="B881" t="s">
        <v>29</v>
      </c>
      <c r="C881">
        <v>1012947151</v>
      </c>
      <c r="D881" t="s">
        <v>887</v>
      </c>
      <c r="E881" t="s">
        <v>31</v>
      </c>
      <c r="F881" t="s">
        <v>246</v>
      </c>
      <c r="G881" t="s">
        <v>247</v>
      </c>
      <c r="H881" t="s">
        <v>33</v>
      </c>
      <c r="I881" t="s">
        <v>34</v>
      </c>
      <c r="J881" t="s">
        <v>84</v>
      </c>
      <c r="K881">
        <v>144</v>
      </c>
      <c r="L881">
        <v>0</v>
      </c>
      <c r="M881" t="s">
        <v>36</v>
      </c>
      <c r="N881" t="s">
        <v>37</v>
      </c>
      <c r="O881">
        <v>265498</v>
      </c>
      <c r="P881">
        <v>293</v>
      </c>
      <c r="Q881">
        <v>0.11036</v>
      </c>
      <c r="R881">
        <v>0</v>
      </c>
      <c r="S881">
        <v>23.92</v>
      </c>
      <c r="T881">
        <v>0.09</v>
      </c>
      <c r="U881">
        <v>8.2000000000000003E-2</v>
      </c>
      <c r="V881">
        <v>0</v>
      </c>
      <c r="W881">
        <v>2</v>
      </c>
      <c r="X881">
        <v>0</v>
      </c>
      <c r="Y881" t="s">
        <v>36</v>
      </c>
      <c r="Z881">
        <v>0</v>
      </c>
      <c r="AA881">
        <v>0</v>
      </c>
      <c r="AB881">
        <v>0</v>
      </c>
      <c r="AC881" t="s">
        <v>888</v>
      </c>
      <c r="AD881" t="str">
        <f t="shared" si="26"/>
        <v>CP</v>
      </c>
      <c r="AE881" t="str">
        <f>_xlfn.XLOOKUP(D881,Mapping!A:A,Mapping!D:D,0,0)</f>
        <v>Keyword - Preroll</v>
      </c>
      <c r="AF881" t="str">
        <f t="shared" si="27"/>
        <v>OLD</v>
      </c>
    </row>
    <row r="882" spans="1:32" x14ac:dyDescent="0.2">
      <c r="A882" t="s">
        <v>1118</v>
      </c>
      <c r="B882" t="s">
        <v>29</v>
      </c>
      <c r="C882">
        <v>1012947181</v>
      </c>
      <c r="D882" t="s">
        <v>889</v>
      </c>
      <c r="E882" t="s">
        <v>31</v>
      </c>
      <c r="F882" t="s">
        <v>246</v>
      </c>
      <c r="G882" t="s">
        <v>247</v>
      </c>
      <c r="H882" t="s">
        <v>33</v>
      </c>
      <c r="I882" t="s">
        <v>41</v>
      </c>
      <c r="J882" t="s">
        <v>62</v>
      </c>
      <c r="K882">
        <v>156</v>
      </c>
      <c r="L882">
        <v>0</v>
      </c>
      <c r="M882" t="s">
        <v>36</v>
      </c>
      <c r="N882" t="s">
        <v>37</v>
      </c>
      <c r="O882">
        <v>439613</v>
      </c>
      <c r="P882">
        <v>1169</v>
      </c>
      <c r="Q882">
        <v>0.26591999999999999</v>
      </c>
      <c r="R882">
        <v>0</v>
      </c>
      <c r="S882">
        <v>45.63</v>
      </c>
      <c r="T882">
        <v>0.104</v>
      </c>
      <c r="U882">
        <v>3.9E-2</v>
      </c>
      <c r="V882">
        <v>0</v>
      </c>
      <c r="W882">
        <v>2</v>
      </c>
      <c r="X882">
        <v>0</v>
      </c>
      <c r="Y882" t="s">
        <v>36</v>
      </c>
      <c r="Z882">
        <v>0</v>
      </c>
      <c r="AA882">
        <v>0</v>
      </c>
      <c r="AB882">
        <v>0</v>
      </c>
      <c r="AC882" t="s">
        <v>888</v>
      </c>
      <c r="AD882" t="str">
        <f t="shared" si="26"/>
        <v>CP</v>
      </c>
      <c r="AE882" t="str">
        <f>_xlfn.XLOOKUP(D882,Mapping!A:A,Mapping!D:D,0,0)</f>
        <v>Keyword - Preroll</v>
      </c>
      <c r="AF882" t="str">
        <f t="shared" si="27"/>
        <v>OLD</v>
      </c>
    </row>
    <row r="883" spans="1:32" x14ac:dyDescent="0.2">
      <c r="A883" t="s">
        <v>1118</v>
      </c>
      <c r="B883" t="s">
        <v>39</v>
      </c>
      <c r="C883">
        <v>1012947191</v>
      </c>
      <c r="D883" t="s">
        <v>890</v>
      </c>
      <c r="E883" t="s">
        <v>31</v>
      </c>
      <c r="F883" t="s">
        <v>246</v>
      </c>
      <c r="G883" t="s">
        <v>247</v>
      </c>
      <c r="H883" t="s">
        <v>33</v>
      </c>
      <c r="I883" t="s">
        <v>41</v>
      </c>
      <c r="J883" t="s">
        <v>62</v>
      </c>
      <c r="K883">
        <v>156</v>
      </c>
      <c r="L883">
        <v>0</v>
      </c>
      <c r="M883" t="s">
        <v>63</v>
      </c>
      <c r="N883">
        <v>250</v>
      </c>
      <c r="O883">
        <v>0</v>
      </c>
      <c r="P883">
        <v>0</v>
      </c>
      <c r="Q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 t="s">
        <v>36</v>
      </c>
      <c r="AC883" t="s">
        <v>888</v>
      </c>
      <c r="AD883" t="str">
        <f t="shared" si="26"/>
        <v>CP</v>
      </c>
      <c r="AE883" t="str">
        <f>_xlfn.XLOOKUP(D883,Mapping!A:A,Mapping!D:D,0,0)</f>
        <v>Big Tits</v>
      </c>
      <c r="AF883" t="str">
        <f t="shared" si="27"/>
        <v>OLD</v>
      </c>
    </row>
    <row r="884" spans="1:32" x14ac:dyDescent="0.2">
      <c r="A884" t="s">
        <v>1118</v>
      </c>
      <c r="B884" t="s">
        <v>39</v>
      </c>
      <c r="C884">
        <v>1012950521</v>
      </c>
      <c r="D884" t="s">
        <v>891</v>
      </c>
      <c r="E884" t="s">
        <v>31</v>
      </c>
      <c r="F884" t="s">
        <v>892</v>
      </c>
      <c r="G884" t="s">
        <v>247</v>
      </c>
      <c r="H884" t="s">
        <v>33</v>
      </c>
      <c r="I884" t="s">
        <v>41</v>
      </c>
      <c r="J884" t="s">
        <v>124</v>
      </c>
      <c r="K884">
        <v>8</v>
      </c>
      <c r="L884">
        <v>0</v>
      </c>
      <c r="M884" t="s">
        <v>63</v>
      </c>
      <c r="N884">
        <v>250</v>
      </c>
      <c r="O884">
        <v>0</v>
      </c>
      <c r="P884">
        <v>0</v>
      </c>
      <c r="Q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 t="s">
        <v>36</v>
      </c>
      <c r="AC884" t="s">
        <v>687</v>
      </c>
      <c r="AD884" t="str">
        <f t="shared" si="26"/>
        <v>CP</v>
      </c>
      <c r="AE884" t="str">
        <f>_xlfn.XLOOKUP(D884,Mapping!A:A,Mapping!D:D,0,0)</f>
        <v>General</v>
      </c>
      <c r="AF884" t="str">
        <f t="shared" si="27"/>
        <v>OLD</v>
      </c>
    </row>
    <row r="885" spans="1:32" x14ac:dyDescent="0.2">
      <c r="A885" t="s">
        <v>1118</v>
      </c>
      <c r="B885" t="s">
        <v>29</v>
      </c>
      <c r="C885">
        <v>1012999511</v>
      </c>
      <c r="D885" t="s">
        <v>893</v>
      </c>
      <c r="E885" t="s">
        <v>31</v>
      </c>
      <c r="F885" t="s">
        <v>246</v>
      </c>
      <c r="G885" t="s">
        <v>247</v>
      </c>
      <c r="H885" t="s">
        <v>33</v>
      </c>
      <c r="I885" t="s">
        <v>34</v>
      </c>
      <c r="J885" t="s">
        <v>84</v>
      </c>
      <c r="K885">
        <v>264</v>
      </c>
      <c r="L885">
        <v>0</v>
      </c>
      <c r="M885" t="s">
        <v>36</v>
      </c>
      <c r="N885" t="s">
        <v>37</v>
      </c>
      <c r="O885">
        <v>77511</v>
      </c>
      <c r="P885">
        <v>202</v>
      </c>
      <c r="Q885">
        <v>0.26061000000000001</v>
      </c>
      <c r="R885">
        <v>0</v>
      </c>
      <c r="S885">
        <v>6.87</v>
      </c>
      <c r="T885">
        <v>8.8999999999999996E-2</v>
      </c>
      <c r="U885">
        <v>3.4000000000000002E-2</v>
      </c>
      <c r="V885">
        <v>0</v>
      </c>
      <c r="W885">
        <v>2</v>
      </c>
      <c r="X885">
        <v>0</v>
      </c>
      <c r="Y885" t="s">
        <v>36</v>
      </c>
      <c r="Z885">
        <v>0</v>
      </c>
      <c r="AA885">
        <v>0</v>
      </c>
      <c r="AB885">
        <v>0</v>
      </c>
      <c r="AC885" t="s">
        <v>884</v>
      </c>
      <c r="AD885" t="str">
        <f t="shared" si="26"/>
        <v>CP</v>
      </c>
      <c r="AE885" t="str">
        <f>_xlfn.XLOOKUP(D885,Mapping!A:A,Mapping!D:D,0,0)</f>
        <v>Indian</v>
      </c>
      <c r="AF885" t="str">
        <f t="shared" si="27"/>
        <v>OLD</v>
      </c>
    </row>
    <row r="886" spans="1:32" x14ac:dyDescent="0.2">
      <c r="A886" t="s">
        <v>1118</v>
      </c>
      <c r="B886" t="s">
        <v>39</v>
      </c>
      <c r="C886">
        <v>1013003481</v>
      </c>
      <c r="D886" t="s">
        <v>894</v>
      </c>
      <c r="E886" t="s">
        <v>31</v>
      </c>
      <c r="F886" s="1">
        <v>0.38611111111111113</v>
      </c>
      <c r="G886" t="s">
        <v>32</v>
      </c>
      <c r="H886" t="s">
        <v>33</v>
      </c>
      <c r="I886" t="s">
        <v>41</v>
      </c>
      <c r="J886" t="s">
        <v>759</v>
      </c>
      <c r="K886">
        <v>5</v>
      </c>
      <c r="L886">
        <v>0</v>
      </c>
      <c r="M886" t="s">
        <v>63</v>
      </c>
      <c r="N886">
        <v>500</v>
      </c>
      <c r="O886">
        <v>0</v>
      </c>
      <c r="P886">
        <v>0</v>
      </c>
      <c r="Q886">
        <v>0</v>
      </c>
      <c r="S886">
        <v>0</v>
      </c>
      <c r="T886">
        <v>0</v>
      </c>
      <c r="U886">
        <v>0</v>
      </c>
      <c r="V886">
        <v>0</v>
      </c>
      <c r="W886">
        <v>2</v>
      </c>
      <c r="X886">
        <v>0</v>
      </c>
      <c r="Y886" t="s">
        <v>36</v>
      </c>
      <c r="AC886" t="s">
        <v>60</v>
      </c>
      <c r="AD886" t="str">
        <f t="shared" si="26"/>
        <v>CP</v>
      </c>
      <c r="AE886" t="str">
        <f>_xlfn.XLOOKUP(D886,Mapping!A:A,Mapping!D:D,0,0)</f>
        <v>Shorties</v>
      </c>
      <c r="AF886" t="str">
        <f t="shared" si="27"/>
        <v>OLD</v>
      </c>
    </row>
    <row r="887" spans="1:32" x14ac:dyDescent="0.2">
      <c r="A887" t="s">
        <v>1118</v>
      </c>
      <c r="B887" t="s">
        <v>29</v>
      </c>
      <c r="C887">
        <v>1013012751</v>
      </c>
      <c r="D887" t="s">
        <v>895</v>
      </c>
      <c r="E887" t="s">
        <v>31</v>
      </c>
      <c r="F887" t="s">
        <v>246</v>
      </c>
      <c r="G887" t="s">
        <v>247</v>
      </c>
      <c r="H887" t="s">
        <v>33</v>
      </c>
      <c r="I887" t="s">
        <v>41</v>
      </c>
      <c r="J887" t="s">
        <v>691</v>
      </c>
      <c r="K887">
        <v>57</v>
      </c>
      <c r="L887">
        <v>0</v>
      </c>
      <c r="M887" t="s">
        <v>36</v>
      </c>
      <c r="N887" t="s">
        <v>37</v>
      </c>
      <c r="O887">
        <v>629945</v>
      </c>
      <c r="P887">
        <v>1316</v>
      </c>
      <c r="Q887">
        <v>0.20891000000000001</v>
      </c>
      <c r="R887">
        <v>0</v>
      </c>
      <c r="S887">
        <v>139.44</v>
      </c>
      <c r="T887">
        <v>0.221</v>
      </c>
      <c r="U887">
        <v>0.106</v>
      </c>
      <c r="V887">
        <v>0</v>
      </c>
      <c r="W887">
        <v>2</v>
      </c>
      <c r="X887">
        <v>0</v>
      </c>
      <c r="Y887" t="s">
        <v>63</v>
      </c>
      <c r="Z887">
        <v>0</v>
      </c>
      <c r="AA887">
        <v>0</v>
      </c>
      <c r="AB887">
        <v>0</v>
      </c>
      <c r="AC887" t="s">
        <v>618</v>
      </c>
      <c r="AD887" t="str">
        <f t="shared" si="26"/>
        <v>US</v>
      </c>
      <c r="AE887" t="str">
        <f>_xlfn.XLOOKUP(D887,Mapping!A:A,Mapping!D:D,0,0)</f>
        <v>Hentai</v>
      </c>
      <c r="AF887" t="str">
        <f t="shared" si="27"/>
        <v>TJ</v>
      </c>
    </row>
    <row r="888" spans="1:32" x14ac:dyDescent="0.2">
      <c r="A888" t="s">
        <v>1118</v>
      </c>
      <c r="B888" t="s">
        <v>29</v>
      </c>
      <c r="C888">
        <v>1013012981</v>
      </c>
      <c r="D888" t="s">
        <v>896</v>
      </c>
      <c r="E888" t="s">
        <v>31</v>
      </c>
      <c r="F888" t="s">
        <v>246</v>
      </c>
      <c r="G888" t="s">
        <v>247</v>
      </c>
      <c r="H888" t="s">
        <v>33</v>
      </c>
      <c r="I888" t="s">
        <v>41</v>
      </c>
      <c r="J888" t="s">
        <v>58</v>
      </c>
      <c r="K888">
        <v>1</v>
      </c>
      <c r="L888">
        <v>17</v>
      </c>
      <c r="M888" t="s">
        <v>36</v>
      </c>
      <c r="N888" t="s">
        <v>37</v>
      </c>
      <c r="O888">
        <v>387205</v>
      </c>
      <c r="P888">
        <v>344</v>
      </c>
      <c r="Q888">
        <v>8.8840000000000002E-2</v>
      </c>
      <c r="R888">
        <v>0</v>
      </c>
      <c r="S888">
        <v>125.07</v>
      </c>
      <c r="T888">
        <v>0.32300000000000001</v>
      </c>
      <c r="U888">
        <v>0.36399999999999999</v>
      </c>
      <c r="V888">
        <v>0</v>
      </c>
      <c r="W888">
        <v>2</v>
      </c>
      <c r="X888">
        <v>0</v>
      </c>
      <c r="Y888" t="s">
        <v>36</v>
      </c>
      <c r="Z888">
        <v>0</v>
      </c>
      <c r="AA888">
        <v>0</v>
      </c>
      <c r="AB888">
        <v>0</v>
      </c>
      <c r="AC888" t="s">
        <v>687</v>
      </c>
      <c r="AD888" t="str">
        <f t="shared" si="26"/>
        <v>US</v>
      </c>
      <c r="AE888" t="str">
        <f>_xlfn.XLOOKUP(D888,Mapping!A:A,Mapping!D:D,0,0)</f>
        <v>Native - Homepage</v>
      </c>
      <c r="AF888" t="str">
        <f t="shared" si="27"/>
        <v>TJ</v>
      </c>
    </row>
    <row r="889" spans="1:32" x14ac:dyDescent="0.2">
      <c r="A889" t="s">
        <v>1118</v>
      </c>
      <c r="B889" t="s">
        <v>29</v>
      </c>
      <c r="C889">
        <v>1013012991</v>
      </c>
      <c r="D889" t="s">
        <v>897</v>
      </c>
      <c r="E889" t="s">
        <v>31</v>
      </c>
      <c r="F889" t="s">
        <v>246</v>
      </c>
      <c r="G889" t="s">
        <v>247</v>
      </c>
      <c r="H889" t="s">
        <v>33</v>
      </c>
      <c r="I889" t="s">
        <v>41</v>
      </c>
      <c r="J889" t="s">
        <v>58</v>
      </c>
      <c r="K889">
        <v>18</v>
      </c>
      <c r="L889">
        <v>0</v>
      </c>
      <c r="M889" t="s">
        <v>36</v>
      </c>
      <c r="N889" t="s">
        <v>37</v>
      </c>
      <c r="O889">
        <v>662002</v>
      </c>
      <c r="P889">
        <v>742</v>
      </c>
      <c r="Q889">
        <v>0.11208</v>
      </c>
      <c r="R889">
        <v>1</v>
      </c>
      <c r="S889">
        <v>158.22</v>
      </c>
      <c r="T889">
        <v>0.23899999999999999</v>
      </c>
      <c r="U889">
        <v>0.21299999999999999</v>
      </c>
      <c r="V889">
        <v>158.21799999999999</v>
      </c>
      <c r="W889">
        <v>2</v>
      </c>
      <c r="X889">
        <v>0</v>
      </c>
      <c r="Y889" t="s">
        <v>63</v>
      </c>
      <c r="Z889">
        <v>0</v>
      </c>
      <c r="AA889">
        <v>0</v>
      </c>
      <c r="AB889">
        <v>0</v>
      </c>
      <c r="AC889" t="s">
        <v>687</v>
      </c>
      <c r="AD889" t="str">
        <f t="shared" si="26"/>
        <v>CA</v>
      </c>
      <c r="AE889" t="str">
        <f>_xlfn.XLOOKUP(D889,Mapping!A:A,Mapping!D:D,0,0)</f>
        <v>Native - Homepage</v>
      </c>
      <c r="AF889" t="str">
        <f t="shared" si="27"/>
        <v>TJ</v>
      </c>
    </row>
    <row r="890" spans="1:32" x14ac:dyDescent="0.2">
      <c r="A890" t="s">
        <v>1118</v>
      </c>
      <c r="B890" t="s">
        <v>29</v>
      </c>
      <c r="C890">
        <v>1013013261</v>
      </c>
      <c r="D890" t="s">
        <v>898</v>
      </c>
      <c r="E890" t="s">
        <v>31</v>
      </c>
      <c r="F890" s="1">
        <v>0.67291666666666672</v>
      </c>
      <c r="G890" t="s">
        <v>32</v>
      </c>
      <c r="H890" t="s">
        <v>33</v>
      </c>
      <c r="I890" t="s">
        <v>41</v>
      </c>
      <c r="J890" t="s">
        <v>62</v>
      </c>
      <c r="K890">
        <v>30</v>
      </c>
      <c r="L890">
        <v>50</v>
      </c>
      <c r="M890" t="s">
        <v>63</v>
      </c>
      <c r="N890">
        <v>250</v>
      </c>
      <c r="O890">
        <v>30211</v>
      </c>
      <c r="P890">
        <v>1909</v>
      </c>
      <c r="Q890">
        <v>6.3188899999999997</v>
      </c>
      <c r="R890">
        <v>0</v>
      </c>
      <c r="S890">
        <v>63.16</v>
      </c>
      <c r="T890">
        <v>2.0910000000000002</v>
      </c>
      <c r="U890">
        <v>3.3000000000000002E-2</v>
      </c>
      <c r="V890">
        <v>0</v>
      </c>
      <c r="W890">
        <v>2</v>
      </c>
      <c r="X890">
        <v>0</v>
      </c>
      <c r="Y890" t="s">
        <v>36</v>
      </c>
      <c r="Z890">
        <v>30205</v>
      </c>
      <c r="AA890">
        <v>26714</v>
      </c>
      <c r="AB890">
        <v>2267</v>
      </c>
      <c r="AC890" t="s">
        <v>884</v>
      </c>
      <c r="AD890" t="str">
        <f t="shared" si="26"/>
        <v>US</v>
      </c>
      <c r="AE890" t="str">
        <f>_xlfn.XLOOKUP(D890,Mapping!A:A,Mapping!D:D,0,0)</f>
        <v>Keyword - Preroll</v>
      </c>
      <c r="AF890" t="str">
        <f t="shared" si="27"/>
        <v>JB</v>
      </c>
    </row>
    <row r="891" spans="1:32" x14ac:dyDescent="0.2">
      <c r="A891" t="s">
        <v>1118</v>
      </c>
      <c r="B891" t="s">
        <v>29</v>
      </c>
      <c r="C891">
        <v>1013013541</v>
      </c>
      <c r="D891" t="s">
        <v>899</v>
      </c>
      <c r="E891" t="s">
        <v>31</v>
      </c>
      <c r="F891" s="1">
        <v>0.67291666666666672</v>
      </c>
      <c r="G891" t="s">
        <v>32</v>
      </c>
      <c r="H891" t="s">
        <v>33</v>
      </c>
      <c r="I891" t="s">
        <v>41</v>
      </c>
      <c r="J891" t="s">
        <v>62</v>
      </c>
      <c r="K891">
        <v>133</v>
      </c>
      <c r="L891">
        <v>0</v>
      </c>
      <c r="M891" t="s">
        <v>63</v>
      </c>
      <c r="N891">
        <v>250</v>
      </c>
      <c r="O891">
        <v>73011</v>
      </c>
      <c r="P891">
        <v>5377</v>
      </c>
      <c r="Q891">
        <v>7.3646399999999996</v>
      </c>
      <c r="R891">
        <v>0</v>
      </c>
      <c r="S891">
        <v>141</v>
      </c>
      <c r="T891">
        <v>1.931</v>
      </c>
      <c r="U891">
        <v>2.5999999999999999E-2</v>
      </c>
      <c r="V891">
        <v>0</v>
      </c>
      <c r="W891">
        <v>2</v>
      </c>
      <c r="X891">
        <v>0</v>
      </c>
      <c r="Y891" t="s">
        <v>36</v>
      </c>
      <c r="Z891">
        <v>72998</v>
      </c>
      <c r="AA891">
        <v>64911</v>
      </c>
      <c r="AB891">
        <v>5160</v>
      </c>
      <c r="AC891" t="s">
        <v>900</v>
      </c>
      <c r="AD891" t="str">
        <f t="shared" si="26"/>
        <v>US</v>
      </c>
      <c r="AE891" t="str">
        <f>_xlfn.XLOOKUP(D891,Mapping!A:A,Mapping!D:D,0,0)</f>
        <v>Keyword - Preroll</v>
      </c>
      <c r="AF891" t="str">
        <f t="shared" si="27"/>
        <v>JB</v>
      </c>
    </row>
    <row r="892" spans="1:32" x14ac:dyDescent="0.2">
      <c r="A892" t="s">
        <v>1118</v>
      </c>
      <c r="B892" t="s">
        <v>29</v>
      </c>
      <c r="C892">
        <v>1013013551</v>
      </c>
      <c r="D892" t="s">
        <v>901</v>
      </c>
      <c r="E892" t="s">
        <v>31</v>
      </c>
      <c r="F892" s="1">
        <v>0.67291666666666672</v>
      </c>
      <c r="G892" t="s">
        <v>32</v>
      </c>
      <c r="H892" t="s">
        <v>33</v>
      </c>
      <c r="I892" t="s">
        <v>41</v>
      </c>
      <c r="J892" t="s">
        <v>62</v>
      </c>
      <c r="K892">
        <v>133</v>
      </c>
      <c r="L892">
        <v>0</v>
      </c>
      <c r="M892" t="s">
        <v>63</v>
      </c>
      <c r="N892">
        <v>250</v>
      </c>
      <c r="O892">
        <v>48439</v>
      </c>
      <c r="P892">
        <v>2570</v>
      </c>
      <c r="Q892">
        <v>5.3056400000000004</v>
      </c>
      <c r="R892">
        <v>1</v>
      </c>
      <c r="S892">
        <v>91.59</v>
      </c>
      <c r="T892">
        <v>1.891</v>
      </c>
      <c r="U892">
        <v>3.5999999999999997E-2</v>
      </c>
      <c r="V892">
        <v>91.590999999999994</v>
      </c>
      <c r="W892">
        <v>2</v>
      </c>
      <c r="X892">
        <v>0</v>
      </c>
      <c r="Y892" t="s">
        <v>36</v>
      </c>
      <c r="Z892">
        <v>48432</v>
      </c>
      <c r="AA892">
        <v>44550</v>
      </c>
      <c r="AB892">
        <v>2324</v>
      </c>
      <c r="AC892" t="s">
        <v>900</v>
      </c>
      <c r="AD892" t="str">
        <f t="shared" si="26"/>
        <v>US</v>
      </c>
      <c r="AE892" t="str">
        <f>_xlfn.XLOOKUP(D892,Mapping!A:A,Mapping!D:D,0,0)</f>
        <v>Keyword - Preroll</v>
      </c>
      <c r="AF892" t="str">
        <f t="shared" si="27"/>
        <v>JB</v>
      </c>
    </row>
    <row r="893" spans="1:32" x14ac:dyDescent="0.2">
      <c r="A893" t="s">
        <v>1118</v>
      </c>
      <c r="B893" t="s">
        <v>29</v>
      </c>
      <c r="C893">
        <v>1013013561</v>
      </c>
      <c r="D893" t="s">
        <v>902</v>
      </c>
      <c r="E893" t="s">
        <v>31</v>
      </c>
      <c r="F893" s="1">
        <v>0.67291666666666672</v>
      </c>
      <c r="G893" t="s">
        <v>32</v>
      </c>
      <c r="H893" t="s">
        <v>33</v>
      </c>
      <c r="I893" t="s">
        <v>34</v>
      </c>
      <c r="J893" t="s">
        <v>84</v>
      </c>
      <c r="K893">
        <v>56</v>
      </c>
      <c r="L893">
        <v>0</v>
      </c>
      <c r="M893" t="s">
        <v>63</v>
      </c>
      <c r="N893">
        <v>500</v>
      </c>
      <c r="O893">
        <v>21056</v>
      </c>
      <c r="P893">
        <v>820</v>
      </c>
      <c r="Q893">
        <v>3.89438</v>
      </c>
      <c r="R893">
        <v>0</v>
      </c>
      <c r="S893">
        <v>37.72</v>
      </c>
      <c r="T893">
        <v>1.7909999999999999</v>
      </c>
      <c r="U893">
        <v>4.5999999999999999E-2</v>
      </c>
      <c r="V893">
        <v>0</v>
      </c>
      <c r="W893">
        <v>2</v>
      </c>
      <c r="X893">
        <v>0</v>
      </c>
      <c r="Y893" t="s">
        <v>36</v>
      </c>
      <c r="Z893">
        <v>21056</v>
      </c>
      <c r="AA893">
        <v>15787</v>
      </c>
      <c r="AB893">
        <v>2518</v>
      </c>
      <c r="AC893" t="s">
        <v>900</v>
      </c>
      <c r="AD893" t="str">
        <f t="shared" si="26"/>
        <v>US</v>
      </c>
      <c r="AE893" t="str">
        <f>_xlfn.XLOOKUP(D893,Mapping!A:A,Mapping!D:D,0,0)</f>
        <v>Keyword - Preroll</v>
      </c>
      <c r="AF893" t="str">
        <f t="shared" si="27"/>
        <v>JB</v>
      </c>
    </row>
    <row r="894" spans="1:32" x14ac:dyDescent="0.2">
      <c r="A894" t="s">
        <v>1118</v>
      </c>
      <c r="B894" t="s">
        <v>29</v>
      </c>
      <c r="C894">
        <v>1013013571</v>
      </c>
      <c r="D894" t="s">
        <v>903</v>
      </c>
      <c r="E894" t="s">
        <v>31</v>
      </c>
      <c r="F894" s="1">
        <v>0.67291666666666672</v>
      </c>
      <c r="G894" t="s">
        <v>32</v>
      </c>
      <c r="H894" t="s">
        <v>33</v>
      </c>
      <c r="I894" t="s">
        <v>41</v>
      </c>
      <c r="J894" t="s">
        <v>62</v>
      </c>
      <c r="K894">
        <v>183</v>
      </c>
      <c r="L894">
        <v>0</v>
      </c>
      <c r="M894" t="s">
        <v>63</v>
      </c>
      <c r="N894">
        <v>250</v>
      </c>
      <c r="O894">
        <v>32692</v>
      </c>
      <c r="P894">
        <v>1881</v>
      </c>
      <c r="Q894">
        <v>5.7537000000000003</v>
      </c>
      <c r="R894">
        <v>0</v>
      </c>
      <c r="S894">
        <v>65.53</v>
      </c>
      <c r="T894">
        <v>2.004</v>
      </c>
      <c r="U894">
        <v>3.5000000000000003E-2</v>
      </c>
      <c r="V894">
        <v>0</v>
      </c>
      <c r="W894">
        <v>2</v>
      </c>
      <c r="X894">
        <v>0</v>
      </c>
      <c r="Y894" t="s">
        <v>36</v>
      </c>
      <c r="Z894">
        <v>32677</v>
      </c>
      <c r="AA894">
        <v>29163</v>
      </c>
      <c r="AB894">
        <v>2310</v>
      </c>
      <c r="AC894" t="s">
        <v>618</v>
      </c>
      <c r="AD894" t="str">
        <f t="shared" si="26"/>
        <v>CA</v>
      </c>
      <c r="AE894" t="str">
        <f>_xlfn.XLOOKUP(D894,Mapping!A:A,Mapping!D:D,0,0)</f>
        <v>Hentai</v>
      </c>
      <c r="AF894" t="str">
        <f t="shared" si="27"/>
        <v>JB</v>
      </c>
    </row>
    <row r="895" spans="1:32" x14ac:dyDescent="0.2">
      <c r="A895" t="s">
        <v>1118</v>
      </c>
      <c r="B895" t="s">
        <v>29</v>
      </c>
      <c r="C895">
        <v>1013013591</v>
      </c>
      <c r="D895" t="s">
        <v>904</v>
      </c>
      <c r="E895" t="s">
        <v>31</v>
      </c>
      <c r="F895" s="1">
        <v>0.67291666666666672</v>
      </c>
      <c r="G895" t="s">
        <v>32</v>
      </c>
      <c r="H895" t="s">
        <v>33</v>
      </c>
      <c r="I895" t="s">
        <v>41</v>
      </c>
      <c r="J895" t="s">
        <v>62</v>
      </c>
      <c r="K895">
        <v>173</v>
      </c>
      <c r="L895">
        <v>0</v>
      </c>
      <c r="M895" t="s">
        <v>63</v>
      </c>
      <c r="N895">
        <v>250</v>
      </c>
      <c r="O895">
        <v>51208</v>
      </c>
      <c r="P895">
        <v>2523</v>
      </c>
      <c r="Q895">
        <v>4.9269600000000002</v>
      </c>
      <c r="R895">
        <v>0</v>
      </c>
      <c r="S895">
        <v>96.12</v>
      </c>
      <c r="T895">
        <v>1.877</v>
      </c>
      <c r="U895">
        <v>3.7999999999999999E-2</v>
      </c>
      <c r="V895">
        <v>0</v>
      </c>
      <c r="W895">
        <v>2</v>
      </c>
      <c r="X895">
        <v>0</v>
      </c>
      <c r="Y895" t="s">
        <v>36</v>
      </c>
      <c r="Z895">
        <v>51185</v>
      </c>
      <c r="AA895">
        <v>46243</v>
      </c>
      <c r="AB895">
        <v>3215</v>
      </c>
      <c r="AC895" t="s">
        <v>618</v>
      </c>
      <c r="AD895" t="str">
        <f t="shared" si="26"/>
        <v>CA</v>
      </c>
      <c r="AE895" t="str">
        <f>_xlfn.XLOOKUP(D895,Mapping!A:A,Mapping!D:D,0,0)</f>
        <v>Hentai</v>
      </c>
      <c r="AF895" t="str">
        <f t="shared" si="27"/>
        <v>JB</v>
      </c>
    </row>
    <row r="896" spans="1:32" x14ac:dyDescent="0.2">
      <c r="A896" t="s">
        <v>1118</v>
      </c>
      <c r="B896" t="s">
        <v>29</v>
      </c>
      <c r="C896">
        <v>1013013601</v>
      </c>
      <c r="D896" t="s">
        <v>905</v>
      </c>
      <c r="E896" t="s">
        <v>31</v>
      </c>
      <c r="F896" s="1">
        <v>0.67291666666666672</v>
      </c>
      <c r="G896" t="s">
        <v>32</v>
      </c>
      <c r="H896" t="s">
        <v>33</v>
      </c>
      <c r="I896" t="s">
        <v>34</v>
      </c>
      <c r="J896" t="s">
        <v>84</v>
      </c>
      <c r="K896">
        <v>68</v>
      </c>
      <c r="L896">
        <v>0</v>
      </c>
      <c r="M896" t="s">
        <v>63</v>
      </c>
      <c r="N896">
        <v>250</v>
      </c>
      <c r="O896">
        <v>4805</v>
      </c>
      <c r="P896">
        <v>241</v>
      </c>
      <c r="Q896">
        <v>5.0156000000000001</v>
      </c>
      <c r="R896">
        <v>0</v>
      </c>
      <c r="S896">
        <v>12.37</v>
      </c>
      <c r="T896">
        <v>2.573</v>
      </c>
      <c r="U896">
        <v>5.0999999999999997E-2</v>
      </c>
      <c r="V896">
        <v>0</v>
      </c>
      <c r="W896">
        <v>2</v>
      </c>
      <c r="X896">
        <v>0</v>
      </c>
      <c r="Y896" t="s">
        <v>36</v>
      </c>
      <c r="Z896">
        <v>4802</v>
      </c>
      <c r="AA896">
        <v>3659</v>
      </c>
      <c r="AB896">
        <v>410</v>
      </c>
      <c r="AC896" t="s">
        <v>618</v>
      </c>
      <c r="AD896" t="str">
        <f t="shared" si="26"/>
        <v>CA</v>
      </c>
      <c r="AE896" t="str">
        <f>_xlfn.XLOOKUP(D896,Mapping!A:A,Mapping!D:D,0,0)</f>
        <v>Hentai</v>
      </c>
      <c r="AF896" t="str">
        <f t="shared" si="27"/>
        <v>JB</v>
      </c>
    </row>
    <row r="897" spans="1:32" x14ac:dyDescent="0.2">
      <c r="A897" t="s">
        <v>1118</v>
      </c>
      <c r="B897" t="s">
        <v>29</v>
      </c>
      <c r="C897">
        <v>1013013621</v>
      </c>
      <c r="D897" t="s">
        <v>906</v>
      </c>
      <c r="E897" t="s">
        <v>31</v>
      </c>
      <c r="F897" s="1">
        <v>0.67291666666666672</v>
      </c>
      <c r="G897" t="s">
        <v>32</v>
      </c>
      <c r="H897" t="s">
        <v>33</v>
      </c>
      <c r="I897" t="s">
        <v>41</v>
      </c>
      <c r="J897" t="s">
        <v>62</v>
      </c>
      <c r="K897">
        <v>173</v>
      </c>
      <c r="L897">
        <v>0</v>
      </c>
      <c r="M897" t="s">
        <v>63</v>
      </c>
      <c r="N897">
        <v>250</v>
      </c>
      <c r="O897">
        <v>32683</v>
      </c>
      <c r="P897">
        <v>2581</v>
      </c>
      <c r="Q897">
        <v>7.8970700000000003</v>
      </c>
      <c r="R897">
        <v>1</v>
      </c>
      <c r="S897">
        <v>66.12</v>
      </c>
      <c r="T897">
        <v>2.0230000000000001</v>
      </c>
      <c r="U897">
        <v>2.5999999999999999E-2</v>
      </c>
      <c r="V897">
        <v>66.123000000000005</v>
      </c>
      <c r="W897">
        <v>2</v>
      </c>
      <c r="X897">
        <v>0</v>
      </c>
      <c r="Y897" t="s">
        <v>36</v>
      </c>
      <c r="Z897">
        <v>32662</v>
      </c>
      <c r="AA897">
        <v>29235</v>
      </c>
      <c r="AB897">
        <v>2241</v>
      </c>
      <c r="AC897" t="s">
        <v>618</v>
      </c>
      <c r="AD897" t="str">
        <f t="shared" si="26"/>
        <v>US</v>
      </c>
      <c r="AE897" t="str">
        <f>_xlfn.XLOOKUP(D897,Mapping!A:A,Mapping!D:D,0,0)</f>
        <v>Hentai</v>
      </c>
      <c r="AF897" t="str">
        <f t="shared" si="27"/>
        <v>JB</v>
      </c>
    </row>
    <row r="898" spans="1:32" x14ac:dyDescent="0.2">
      <c r="A898" t="s">
        <v>1118</v>
      </c>
      <c r="B898" t="s">
        <v>29</v>
      </c>
      <c r="C898">
        <v>1013013631</v>
      </c>
      <c r="D898" t="s">
        <v>907</v>
      </c>
      <c r="E898" t="s">
        <v>31</v>
      </c>
      <c r="F898" s="1">
        <v>0.67291666666666672</v>
      </c>
      <c r="G898" t="s">
        <v>32</v>
      </c>
      <c r="H898" t="s">
        <v>33</v>
      </c>
      <c r="I898" t="s">
        <v>41</v>
      </c>
      <c r="J898" t="s">
        <v>62</v>
      </c>
      <c r="K898">
        <v>173</v>
      </c>
      <c r="L898">
        <v>0</v>
      </c>
      <c r="M898" t="s">
        <v>63</v>
      </c>
      <c r="N898">
        <v>250</v>
      </c>
      <c r="O898">
        <v>58563</v>
      </c>
      <c r="P898">
        <v>2931</v>
      </c>
      <c r="Q898">
        <v>5.0048700000000004</v>
      </c>
      <c r="R898">
        <v>1</v>
      </c>
      <c r="S898">
        <v>131.66999999999999</v>
      </c>
      <c r="T898">
        <v>2.2480000000000002</v>
      </c>
      <c r="U898">
        <v>4.4999999999999998E-2</v>
      </c>
      <c r="V898">
        <v>131.67099999999999</v>
      </c>
      <c r="W898">
        <v>2</v>
      </c>
      <c r="X898">
        <v>0</v>
      </c>
      <c r="Y898" t="s">
        <v>36</v>
      </c>
      <c r="Z898">
        <v>58546</v>
      </c>
      <c r="AA898">
        <v>52548</v>
      </c>
      <c r="AB898">
        <v>3825</v>
      </c>
      <c r="AC898" t="s">
        <v>618</v>
      </c>
      <c r="AD898" t="str">
        <f t="shared" si="26"/>
        <v>US</v>
      </c>
      <c r="AE898" t="str">
        <f>_xlfn.XLOOKUP(D898,Mapping!A:A,Mapping!D:D,0,0)</f>
        <v>Hentai</v>
      </c>
      <c r="AF898" t="str">
        <f t="shared" si="27"/>
        <v>JB</v>
      </c>
    </row>
    <row r="899" spans="1:32" x14ac:dyDescent="0.2">
      <c r="A899" t="s">
        <v>1118</v>
      </c>
      <c r="B899" t="s">
        <v>29</v>
      </c>
      <c r="C899">
        <v>1013013641</v>
      </c>
      <c r="D899" t="s">
        <v>908</v>
      </c>
      <c r="E899" t="s">
        <v>31</v>
      </c>
      <c r="F899" s="1">
        <v>0.67291666666666672</v>
      </c>
      <c r="G899" t="s">
        <v>32</v>
      </c>
      <c r="H899" t="s">
        <v>33</v>
      </c>
      <c r="I899" t="s">
        <v>34</v>
      </c>
      <c r="J899" t="s">
        <v>84</v>
      </c>
      <c r="K899">
        <v>52</v>
      </c>
      <c r="L899">
        <v>0</v>
      </c>
      <c r="M899" t="s">
        <v>36</v>
      </c>
      <c r="N899" t="s">
        <v>37</v>
      </c>
      <c r="O899">
        <v>1282</v>
      </c>
      <c r="P899">
        <v>62</v>
      </c>
      <c r="Q899">
        <v>4.8361900000000002</v>
      </c>
      <c r="R899">
        <v>0</v>
      </c>
      <c r="S899">
        <v>3.89</v>
      </c>
      <c r="T899">
        <v>3.036</v>
      </c>
      <c r="U899">
        <v>6.3E-2</v>
      </c>
      <c r="V899">
        <v>0</v>
      </c>
      <c r="W899">
        <v>2</v>
      </c>
      <c r="X899">
        <v>0</v>
      </c>
      <c r="Y899" t="s">
        <v>36</v>
      </c>
      <c r="Z899">
        <v>1281</v>
      </c>
      <c r="AA899">
        <v>954</v>
      </c>
      <c r="AB899">
        <v>146</v>
      </c>
      <c r="AC899" t="s">
        <v>618</v>
      </c>
      <c r="AD899" t="str">
        <f t="shared" ref="AD899:AD962" si="28">LEFT(D899,2)</f>
        <v>US</v>
      </c>
      <c r="AE899" t="str">
        <f>_xlfn.XLOOKUP(D899,Mapping!A:A,Mapping!D:D,0,0)</f>
        <v>Hentai</v>
      </c>
      <c r="AF899" t="str">
        <f t="shared" ref="AF899:AF962" si="29">IFERROR(IF(SEARCH("_TJ",D899)&gt;0,"TJ",NA()),IFERROR(IF(SEARCH("_JB",D899)&gt;0,"JB",NA()),"OLD"))</f>
        <v>JB</v>
      </c>
    </row>
    <row r="900" spans="1:32" x14ac:dyDescent="0.2">
      <c r="A900" t="s">
        <v>1118</v>
      </c>
      <c r="B900" t="s">
        <v>29</v>
      </c>
      <c r="C900">
        <v>1013013651</v>
      </c>
      <c r="D900" t="s">
        <v>909</v>
      </c>
      <c r="E900" t="s">
        <v>31</v>
      </c>
      <c r="F900" s="1">
        <v>0.67291666666666672</v>
      </c>
      <c r="G900" t="s">
        <v>32</v>
      </c>
      <c r="H900" t="s">
        <v>33</v>
      </c>
      <c r="I900" t="s">
        <v>41</v>
      </c>
      <c r="J900" t="s">
        <v>62</v>
      </c>
      <c r="K900">
        <v>173</v>
      </c>
      <c r="L900">
        <v>0</v>
      </c>
      <c r="M900" t="s">
        <v>63</v>
      </c>
      <c r="N900">
        <v>250</v>
      </c>
      <c r="O900">
        <v>151</v>
      </c>
      <c r="P900">
        <v>6</v>
      </c>
      <c r="Q900">
        <v>3.9735100000000001</v>
      </c>
      <c r="R900">
        <v>0</v>
      </c>
      <c r="S900">
        <v>0.26</v>
      </c>
      <c r="T900">
        <v>1.7010000000000001</v>
      </c>
      <c r="U900">
        <v>4.2999999999999997E-2</v>
      </c>
      <c r="V900">
        <v>0</v>
      </c>
      <c r="W900">
        <v>2</v>
      </c>
      <c r="X900">
        <v>0</v>
      </c>
      <c r="Y900" t="s">
        <v>36</v>
      </c>
      <c r="Z900">
        <v>151</v>
      </c>
      <c r="AA900">
        <v>136</v>
      </c>
      <c r="AB900">
        <v>8</v>
      </c>
      <c r="AC900" t="s">
        <v>618</v>
      </c>
      <c r="AD900" t="str">
        <f t="shared" si="28"/>
        <v>AU</v>
      </c>
      <c r="AE900" t="str">
        <f>_xlfn.XLOOKUP(D900,Mapping!A:A,Mapping!D:D,0,0)</f>
        <v>Hentai</v>
      </c>
      <c r="AF900" t="str">
        <f t="shared" si="29"/>
        <v>JB</v>
      </c>
    </row>
    <row r="901" spans="1:32" x14ac:dyDescent="0.2">
      <c r="A901" t="s">
        <v>1118</v>
      </c>
      <c r="B901" t="s">
        <v>29</v>
      </c>
      <c r="C901">
        <v>1013013701</v>
      </c>
      <c r="D901" t="s">
        <v>910</v>
      </c>
      <c r="E901" t="s">
        <v>31</v>
      </c>
      <c r="F901" s="1">
        <v>0.67291666666666672</v>
      </c>
      <c r="G901" t="s">
        <v>32</v>
      </c>
      <c r="H901" t="s">
        <v>33</v>
      </c>
      <c r="I901" t="s">
        <v>41</v>
      </c>
      <c r="J901" t="s">
        <v>62</v>
      </c>
      <c r="K901">
        <v>173</v>
      </c>
      <c r="L901">
        <v>0</v>
      </c>
      <c r="M901" t="s">
        <v>63</v>
      </c>
      <c r="N901">
        <v>250</v>
      </c>
      <c r="O901">
        <v>143</v>
      </c>
      <c r="P901">
        <v>6</v>
      </c>
      <c r="Q901">
        <v>4.1958000000000002</v>
      </c>
      <c r="R901">
        <v>0</v>
      </c>
      <c r="S901">
        <v>0.17</v>
      </c>
      <c r="T901">
        <v>1.1719999999999999</v>
      </c>
      <c r="U901">
        <v>2.8000000000000001E-2</v>
      </c>
      <c r="V901">
        <v>0</v>
      </c>
      <c r="W901">
        <v>2</v>
      </c>
      <c r="X901">
        <v>0</v>
      </c>
      <c r="Y901" t="s">
        <v>36</v>
      </c>
      <c r="Z901">
        <v>143</v>
      </c>
      <c r="AA901">
        <v>130</v>
      </c>
      <c r="AB901">
        <v>7</v>
      </c>
      <c r="AC901" t="s">
        <v>618</v>
      </c>
      <c r="AD901" t="str">
        <f t="shared" si="28"/>
        <v>AU</v>
      </c>
      <c r="AE901" t="str">
        <f>_xlfn.XLOOKUP(D901,Mapping!A:A,Mapping!D:D,0,0)</f>
        <v>Hentai</v>
      </c>
      <c r="AF901" t="str">
        <f t="shared" si="29"/>
        <v>JB</v>
      </c>
    </row>
    <row r="902" spans="1:32" x14ac:dyDescent="0.2">
      <c r="A902" t="s">
        <v>1118</v>
      </c>
      <c r="B902" t="s">
        <v>29</v>
      </c>
      <c r="C902">
        <v>1013013731</v>
      </c>
      <c r="D902" t="s">
        <v>911</v>
      </c>
      <c r="E902" t="s">
        <v>31</v>
      </c>
      <c r="F902" s="1">
        <v>0.67291666666666672</v>
      </c>
      <c r="G902" t="s">
        <v>32</v>
      </c>
      <c r="H902" t="s">
        <v>33</v>
      </c>
      <c r="I902" t="s">
        <v>34</v>
      </c>
      <c r="J902" t="s">
        <v>84</v>
      </c>
      <c r="K902">
        <v>64</v>
      </c>
      <c r="L902">
        <v>0</v>
      </c>
      <c r="M902" t="s">
        <v>63</v>
      </c>
      <c r="N902">
        <v>250</v>
      </c>
      <c r="O902">
        <v>8820</v>
      </c>
      <c r="P902">
        <v>862</v>
      </c>
      <c r="Q902">
        <v>9.7732399999999995</v>
      </c>
      <c r="R902">
        <v>0</v>
      </c>
      <c r="S902">
        <v>21.93</v>
      </c>
      <c r="T902">
        <v>2.4860000000000002</v>
      </c>
      <c r="U902">
        <v>2.5000000000000001E-2</v>
      </c>
      <c r="V902">
        <v>0</v>
      </c>
      <c r="W902">
        <v>2</v>
      </c>
      <c r="X902">
        <v>0</v>
      </c>
      <c r="Y902" t="s">
        <v>36</v>
      </c>
      <c r="Z902">
        <v>8823</v>
      </c>
      <c r="AA902">
        <v>6871</v>
      </c>
      <c r="AB902">
        <v>967</v>
      </c>
      <c r="AC902" t="s">
        <v>618</v>
      </c>
      <c r="AD902" t="str">
        <f t="shared" si="28"/>
        <v>AU</v>
      </c>
      <c r="AE902" t="str">
        <f>_xlfn.XLOOKUP(D902,Mapping!A:A,Mapping!D:D,0,0)</f>
        <v>Keyword - Preroll</v>
      </c>
      <c r="AF902" t="str">
        <f t="shared" si="29"/>
        <v>JB</v>
      </c>
    </row>
    <row r="903" spans="1:32" x14ac:dyDescent="0.2">
      <c r="A903" t="s">
        <v>1118</v>
      </c>
      <c r="B903" t="s">
        <v>690</v>
      </c>
      <c r="C903">
        <v>1013013741</v>
      </c>
      <c r="D903" t="s">
        <v>912</v>
      </c>
      <c r="E903" t="s">
        <v>31</v>
      </c>
      <c r="F903" s="1">
        <v>0.67291666666666672</v>
      </c>
      <c r="G903" t="s">
        <v>32</v>
      </c>
      <c r="H903" t="s">
        <v>33</v>
      </c>
      <c r="I903" t="s">
        <v>41</v>
      </c>
      <c r="J903" t="s">
        <v>62</v>
      </c>
      <c r="K903">
        <v>140</v>
      </c>
      <c r="L903">
        <v>0</v>
      </c>
      <c r="M903" t="s">
        <v>63</v>
      </c>
      <c r="N903">
        <v>250</v>
      </c>
      <c r="O903">
        <v>10</v>
      </c>
      <c r="P903">
        <v>0</v>
      </c>
      <c r="Q903">
        <v>0</v>
      </c>
      <c r="R903">
        <v>0</v>
      </c>
      <c r="S903">
        <v>0</v>
      </c>
      <c r="T903">
        <v>0.44400000000000001</v>
      </c>
      <c r="U903">
        <v>0</v>
      </c>
      <c r="V903">
        <v>0</v>
      </c>
      <c r="W903">
        <v>2</v>
      </c>
      <c r="X903">
        <v>0</v>
      </c>
      <c r="Y903" t="s">
        <v>36</v>
      </c>
      <c r="Z903">
        <v>10</v>
      </c>
      <c r="AA903">
        <v>10</v>
      </c>
      <c r="AB903">
        <v>0</v>
      </c>
      <c r="AC903" t="s">
        <v>618</v>
      </c>
      <c r="AD903" t="str">
        <f t="shared" si="28"/>
        <v>UK</v>
      </c>
      <c r="AE903" t="str">
        <f>_xlfn.XLOOKUP(D903,Mapping!A:A,Mapping!D:D,0,0)</f>
        <v>Hentai</v>
      </c>
      <c r="AF903" t="str">
        <f t="shared" si="29"/>
        <v>JB</v>
      </c>
    </row>
    <row r="904" spans="1:32" x14ac:dyDescent="0.2">
      <c r="A904" t="s">
        <v>1118</v>
      </c>
      <c r="B904" t="s">
        <v>690</v>
      </c>
      <c r="C904">
        <v>1013013761</v>
      </c>
      <c r="D904" t="s">
        <v>913</v>
      </c>
      <c r="E904" t="s">
        <v>31</v>
      </c>
      <c r="F904" s="1">
        <v>0.67291666666666672</v>
      </c>
      <c r="G904" t="s">
        <v>32</v>
      </c>
      <c r="H904" t="s">
        <v>33</v>
      </c>
      <c r="I904" t="s">
        <v>41</v>
      </c>
      <c r="J904" t="s">
        <v>62</v>
      </c>
      <c r="K904">
        <v>130</v>
      </c>
      <c r="L904">
        <v>0</v>
      </c>
      <c r="M904" t="s">
        <v>63</v>
      </c>
      <c r="N904">
        <v>250</v>
      </c>
      <c r="O904">
        <v>0</v>
      </c>
      <c r="P904">
        <v>0</v>
      </c>
      <c r="Q904">
        <v>0</v>
      </c>
      <c r="S904">
        <v>0</v>
      </c>
      <c r="T904">
        <v>0</v>
      </c>
      <c r="U904">
        <v>0</v>
      </c>
      <c r="V904">
        <v>0</v>
      </c>
      <c r="W904">
        <v>2</v>
      </c>
      <c r="X904">
        <v>0</v>
      </c>
      <c r="Y904" t="s">
        <v>36</v>
      </c>
      <c r="AC904" t="s">
        <v>618</v>
      </c>
      <c r="AD904" t="str">
        <f t="shared" si="28"/>
        <v>UK</v>
      </c>
      <c r="AE904" t="str">
        <f>_xlfn.XLOOKUP(D904,Mapping!A:A,Mapping!D:D,0,0)</f>
        <v>Hentai</v>
      </c>
      <c r="AF904" t="str">
        <f t="shared" si="29"/>
        <v>JB</v>
      </c>
    </row>
    <row r="905" spans="1:32" x14ac:dyDescent="0.2">
      <c r="A905" t="s">
        <v>1118</v>
      </c>
      <c r="B905" t="s">
        <v>29</v>
      </c>
      <c r="C905">
        <v>1013013771</v>
      </c>
      <c r="D905" t="s">
        <v>914</v>
      </c>
      <c r="E905" t="s">
        <v>31</v>
      </c>
      <c r="F905" s="1">
        <v>0.67291666666666672</v>
      </c>
      <c r="G905" t="s">
        <v>32</v>
      </c>
      <c r="H905" t="s">
        <v>33</v>
      </c>
      <c r="I905" t="s">
        <v>34</v>
      </c>
      <c r="J905" t="s">
        <v>84</v>
      </c>
      <c r="K905">
        <v>68</v>
      </c>
      <c r="L905">
        <v>0</v>
      </c>
      <c r="M905" t="s">
        <v>63</v>
      </c>
      <c r="N905">
        <v>250</v>
      </c>
      <c r="O905">
        <v>429</v>
      </c>
      <c r="P905">
        <v>13</v>
      </c>
      <c r="Q905">
        <v>3.0303</v>
      </c>
      <c r="R905">
        <v>0</v>
      </c>
      <c r="S905">
        <v>1.19</v>
      </c>
      <c r="T905">
        <v>2.782</v>
      </c>
      <c r="U905">
        <v>9.1999999999999998E-2</v>
      </c>
      <c r="V905">
        <v>0</v>
      </c>
      <c r="W905">
        <v>2</v>
      </c>
      <c r="X905">
        <v>0</v>
      </c>
      <c r="Y905" t="s">
        <v>36</v>
      </c>
      <c r="Z905">
        <v>429</v>
      </c>
      <c r="AA905">
        <v>309</v>
      </c>
      <c r="AB905">
        <v>52</v>
      </c>
      <c r="AC905" t="s">
        <v>618</v>
      </c>
      <c r="AD905" t="str">
        <f t="shared" si="28"/>
        <v>UK</v>
      </c>
      <c r="AE905" t="str">
        <f>_xlfn.XLOOKUP(D905,Mapping!A:A,Mapping!D:D,0,0)</f>
        <v>Hentai</v>
      </c>
      <c r="AF905" t="str">
        <f t="shared" si="29"/>
        <v>JB</v>
      </c>
    </row>
    <row r="906" spans="1:32" x14ac:dyDescent="0.2">
      <c r="A906" t="s">
        <v>1118</v>
      </c>
      <c r="B906" t="s">
        <v>29</v>
      </c>
      <c r="C906">
        <v>1013013791</v>
      </c>
      <c r="D906" t="s">
        <v>915</v>
      </c>
      <c r="E906" t="s">
        <v>31</v>
      </c>
      <c r="F906" s="1">
        <v>0.67291666666666672</v>
      </c>
      <c r="G906" t="s">
        <v>32</v>
      </c>
      <c r="H906" t="s">
        <v>33</v>
      </c>
      <c r="I906" t="s">
        <v>41</v>
      </c>
      <c r="J906" t="s">
        <v>62</v>
      </c>
      <c r="K906">
        <v>1730</v>
      </c>
      <c r="L906">
        <v>0</v>
      </c>
      <c r="M906" t="s">
        <v>36</v>
      </c>
      <c r="N906" t="s">
        <v>37</v>
      </c>
      <c r="O906">
        <v>7351</v>
      </c>
      <c r="P906">
        <v>541</v>
      </c>
      <c r="Q906">
        <v>7.35954</v>
      </c>
      <c r="R906">
        <v>0</v>
      </c>
      <c r="S906">
        <v>8.9</v>
      </c>
      <c r="T906">
        <v>1.2110000000000001</v>
      </c>
      <c r="U906">
        <v>1.6E-2</v>
      </c>
      <c r="V906">
        <v>0</v>
      </c>
      <c r="W906">
        <v>2</v>
      </c>
      <c r="X906">
        <v>0</v>
      </c>
      <c r="Y906" t="s">
        <v>36</v>
      </c>
      <c r="Z906">
        <v>7354</v>
      </c>
      <c r="AA906">
        <v>6516</v>
      </c>
      <c r="AB906">
        <v>499</v>
      </c>
      <c r="AC906" t="s">
        <v>618</v>
      </c>
      <c r="AD906" t="str">
        <f t="shared" si="28"/>
        <v>T2</v>
      </c>
      <c r="AE906" t="str">
        <f>_xlfn.XLOOKUP(D906,Mapping!A:A,Mapping!D:D,0,0)</f>
        <v>Hentai</v>
      </c>
      <c r="AF906" t="str">
        <f t="shared" si="29"/>
        <v>JB</v>
      </c>
    </row>
    <row r="907" spans="1:32" x14ac:dyDescent="0.2">
      <c r="A907" t="s">
        <v>1118</v>
      </c>
      <c r="B907" t="s">
        <v>29</v>
      </c>
      <c r="C907">
        <v>1013013811</v>
      </c>
      <c r="D907" t="s">
        <v>916</v>
      </c>
      <c r="E907" t="s">
        <v>31</v>
      </c>
      <c r="F907" s="1">
        <v>0.67291666666666672</v>
      </c>
      <c r="G907" t="s">
        <v>32</v>
      </c>
      <c r="H907" t="s">
        <v>33</v>
      </c>
      <c r="I907" t="s">
        <v>41</v>
      </c>
      <c r="J907" t="s">
        <v>62</v>
      </c>
      <c r="K907">
        <v>1730</v>
      </c>
      <c r="L907">
        <v>0</v>
      </c>
      <c r="M907" t="s">
        <v>63</v>
      </c>
      <c r="N907">
        <v>250</v>
      </c>
      <c r="O907">
        <v>5026</v>
      </c>
      <c r="P907">
        <v>312</v>
      </c>
      <c r="Q907">
        <v>6.2077200000000001</v>
      </c>
      <c r="R907">
        <v>1</v>
      </c>
      <c r="S907">
        <v>8</v>
      </c>
      <c r="T907">
        <v>1.591</v>
      </c>
      <c r="U907">
        <v>2.5999999999999999E-2</v>
      </c>
      <c r="V907">
        <v>7.9950000000000001</v>
      </c>
      <c r="W907">
        <v>2</v>
      </c>
      <c r="X907">
        <v>0</v>
      </c>
      <c r="Y907" t="s">
        <v>36</v>
      </c>
      <c r="Z907">
        <v>5026</v>
      </c>
      <c r="AA907">
        <v>4428</v>
      </c>
      <c r="AB907">
        <v>352</v>
      </c>
      <c r="AC907" t="s">
        <v>618</v>
      </c>
      <c r="AD907" t="str">
        <f t="shared" si="28"/>
        <v>T2</v>
      </c>
      <c r="AE907" t="str">
        <f>_xlfn.XLOOKUP(D907,Mapping!A:A,Mapping!D:D,0,0)</f>
        <v>Hentai</v>
      </c>
      <c r="AF907" t="str">
        <f t="shared" si="29"/>
        <v>JB</v>
      </c>
    </row>
    <row r="908" spans="1:32" x14ac:dyDescent="0.2">
      <c r="A908" t="s">
        <v>1118</v>
      </c>
      <c r="B908" t="s">
        <v>29</v>
      </c>
      <c r="C908">
        <v>1013013831</v>
      </c>
      <c r="D908" t="s">
        <v>917</v>
      </c>
      <c r="E908" t="s">
        <v>31</v>
      </c>
      <c r="F908" s="1">
        <v>0.67291666666666672</v>
      </c>
      <c r="G908" t="s">
        <v>32</v>
      </c>
      <c r="H908" t="s">
        <v>33</v>
      </c>
      <c r="I908" t="s">
        <v>34</v>
      </c>
      <c r="J908" t="s">
        <v>84</v>
      </c>
      <c r="K908">
        <v>680</v>
      </c>
      <c r="L908">
        <v>0</v>
      </c>
      <c r="M908" t="s">
        <v>36</v>
      </c>
      <c r="N908" t="s">
        <v>37</v>
      </c>
      <c r="O908">
        <v>3778</v>
      </c>
      <c r="P908">
        <v>248</v>
      </c>
      <c r="Q908">
        <v>6.5643200000000004</v>
      </c>
      <c r="R908">
        <v>0</v>
      </c>
      <c r="S908">
        <v>6.88</v>
      </c>
      <c r="T908">
        <v>1.8220000000000001</v>
      </c>
      <c r="U908">
        <v>2.8000000000000001E-2</v>
      </c>
      <c r="V908">
        <v>0</v>
      </c>
      <c r="W908">
        <v>2</v>
      </c>
      <c r="X908">
        <v>0</v>
      </c>
      <c r="Y908" t="s">
        <v>36</v>
      </c>
      <c r="Z908">
        <v>3779</v>
      </c>
      <c r="AA908">
        <v>2940</v>
      </c>
      <c r="AB908">
        <v>381</v>
      </c>
      <c r="AC908" t="s">
        <v>618</v>
      </c>
      <c r="AD908" t="str">
        <f t="shared" si="28"/>
        <v>T2</v>
      </c>
      <c r="AE908" t="str">
        <f>_xlfn.XLOOKUP(D908,Mapping!A:A,Mapping!D:D,0,0)</f>
        <v>Hentai</v>
      </c>
      <c r="AF908" t="str">
        <f t="shared" si="29"/>
        <v>JB</v>
      </c>
    </row>
    <row r="909" spans="1:32" x14ac:dyDescent="0.2">
      <c r="A909" t="s">
        <v>1118</v>
      </c>
      <c r="B909" t="s">
        <v>39</v>
      </c>
      <c r="C909">
        <v>1013013851</v>
      </c>
      <c r="D909" t="s">
        <v>918</v>
      </c>
      <c r="E909" t="s">
        <v>31</v>
      </c>
      <c r="F909" s="1">
        <v>0.67291666666666672</v>
      </c>
      <c r="G909" t="s">
        <v>32</v>
      </c>
      <c r="H909" t="s">
        <v>33</v>
      </c>
      <c r="I909" t="s">
        <v>41</v>
      </c>
      <c r="J909" t="s">
        <v>58</v>
      </c>
      <c r="K909">
        <v>200</v>
      </c>
      <c r="L909">
        <v>0</v>
      </c>
      <c r="M909" t="s">
        <v>63</v>
      </c>
      <c r="N909">
        <v>250</v>
      </c>
      <c r="O909">
        <v>0</v>
      </c>
      <c r="P909">
        <v>0</v>
      </c>
      <c r="Q909">
        <v>0</v>
      </c>
      <c r="S909">
        <v>0</v>
      </c>
      <c r="T909">
        <v>0</v>
      </c>
      <c r="U909">
        <v>0</v>
      </c>
      <c r="V909">
        <v>0</v>
      </c>
      <c r="W909">
        <v>2</v>
      </c>
      <c r="X909">
        <v>0</v>
      </c>
      <c r="Y909" t="s">
        <v>36</v>
      </c>
      <c r="AC909" t="s">
        <v>919</v>
      </c>
      <c r="AD909" t="str">
        <f t="shared" si="28"/>
        <v>US</v>
      </c>
      <c r="AE909" t="str">
        <f>_xlfn.XLOOKUP(D909,Mapping!A:A,Mapping!D:D,0,0)</f>
        <v>General - Pre-roll</v>
      </c>
      <c r="AF909" t="str">
        <f t="shared" si="29"/>
        <v>JB</v>
      </c>
    </row>
    <row r="910" spans="1:32" x14ac:dyDescent="0.2">
      <c r="A910" t="s">
        <v>1118</v>
      </c>
      <c r="B910" t="s">
        <v>29</v>
      </c>
      <c r="C910">
        <v>1013013861</v>
      </c>
      <c r="D910" t="s">
        <v>920</v>
      </c>
      <c r="E910" t="s">
        <v>31</v>
      </c>
      <c r="F910" s="1">
        <v>0.67291666666666672</v>
      </c>
      <c r="G910" t="s">
        <v>32</v>
      </c>
      <c r="H910" t="s">
        <v>33</v>
      </c>
      <c r="I910" t="s">
        <v>41</v>
      </c>
      <c r="J910" t="s">
        <v>58</v>
      </c>
      <c r="K910">
        <v>243</v>
      </c>
      <c r="L910">
        <v>0</v>
      </c>
      <c r="M910" t="s">
        <v>63</v>
      </c>
      <c r="N910">
        <v>250</v>
      </c>
      <c r="O910">
        <v>87055</v>
      </c>
      <c r="P910">
        <v>3892</v>
      </c>
      <c r="Q910">
        <v>4.4707400000000002</v>
      </c>
      <c r="R910">
        <v>0</v>
      </c>
      <c r="S910">
        <v>162.68</v>
      </c>
      <c r="T910">
        <v>1.869</v>
      </c>
      <c r="U910">
        <v>4.2000000000000003E-2</v>
      </c>
      <c r="V910">
        <v>0</v>
      </c>
      <c r="W910">
        <v>2</v>
      </c>
      <c r="X910">
        <v>0</v>
      </c>
      <c r="Y910" t="s">
        <v>63</v>
      </c>
      <c r="Z910">
        <v>87053</v>
      </c>
      <c r="AA910">
        <v>79316</v>
      </c>
      <c r="AB910">
        <v>5026</v>
      </c>
      <c r="AC910" t="s">
        <v>919</v>
      </c>
      <c r="AD910" t="str">
        <f t="shared" si="28"/>
        <v>US</v>
      </c>
      <c r="AE910" t="str">
        <f>_xlfn.XLOOKUP(D910,Mapping!A:A,Mapping!D:D,0,0)</f>
        <v>General - Pre-roll - T3</v>
      </c>
      <c r="AF910" t="str">
        <f t="shared" si="29"/>
        <v>JB</v>
      </c>
    </row>
    <row r="911" spans="1:32" x14ac:dyDescent="0.2">
      <c r="A911" t="s">
        <v>1118</v>
      </c>
      <c r="B911" t="s">
        <v>29</v>
      </c>
      <c r="C911">
        <v>1013013881</v>
      </c>
      <c r="D911" t="s">
        <v>921</v>
      </c>
      <c r="E911" t="s">
        <v>31</v>
      </c>
      <c r="F911" s="1">
        <v>0.67291666666666672</v>
      </c>
      <c r="G911" t="s">
        <v>32</v>
      </c>
      <c r="H911" t="s">
        <v>33</v>
      </c>
      <c r="I911" t="s">
        <v>34</v>
      </c>
      <c r="J911" t="s">
        <v>124</v>
      </c>
      <c r="K911">
        <v>100</v>
      </c>
      <c r="L911">
        <v>0</v>
      </c>
      <c r="M911" t="s">
        <v>63</v>
      </c>
      <c r="N911">
        <v>250</v>
      </c>
      <c r="O911">
        <v>68466</v>
      </c>
      <c r="P911">
        <v>3496</v>
      </c>
      <c r="Q911">
        <v>5.1061800000000002</v>
      </c>
      <c r="R911">
        <v>1</v>
      </c>
      <c r="S911">
        <v>221.39</v>
      </c>
      <c r="T911">
        <v>3.234</v>
      </c>
      <c r="U911">
        <v>6.3E-2</v>
      </c>
      <c r="V911">
        <v>221.392</v>
      </c>
      <c r="W911">
        <v>2</v>
      </c>
      <c r="X911">
        <v>0</v>
      </c>
      <c r="Y911" t="s">
        <v>36</v>
      </c>
      <c r="Z911">
        <v>68387</v>
      </c>
      <c r="AA911">
        <v>55590</v>
      </c>
      <c r="AB911">
        <v>7012</v>
      </c>
      <c r="AC911" t="s">
        <v>919</v>
      </c>
      <c r="AD911" t="str">
        <f t="shared" si="28"/>
        <v>US</v>
      </c>
      <c r="AE911" t="str">
        <f>_xlfn.XLOOKUP(D911,Mapping!A:A,Mapping!D:D,0,0)</f>
        <v>General - Pre-roll</v>
      </c>
      <c r="AF911" t="str">
        <f t="shared" si="29"/>
        <v>JB</v>
      </c>
    </row>
    <row r="912" spans="1:32" x14ac:dyDescent="0.2">
      <c r="A912" t="s">
        <v>1118</v>
      </c>
      <c r="B912" t="s">
        <v>29</v>
      </c>
      <c r="C912">
        <v>1013013911</v>
      </c>
      <c r="D912" t="s">
        <v>922</v>
      </c>
      <c r="E912" t="s">
        <v>31</v>
      </c>
      <c r="F912" s="1">
        <v>0.67291666666666672</v>
      </c>
      <c r="G912" t="s">
        <v>32</v>
      </c>
      <c r="H912" t="s">
        <v>33</v>
      </c>
      <c r="I912" t="s">
        <v>41</v>
      </c>
      <c r="J912" t="s">
        <v>62</v>
      </c>
      <c r="K912">
        <v>32</v>
      </c>
      <c r="L912">
        <v>0</v>
      </c>
      <c r="M912" t="s">
        <v>63</v>
      </c>
      <c r="N912">
        <v>250</v>
      </c>
      <c r="O912">
        <v>409</v>
      </c>
      <c r="P912">
        <v>11</v>
      </c>
      <c r="Q912">
        <v>2.6894900000000002</v>
      </c>
      <c r="R912">
        <v>0</v>
      </c>
      <c r="S912">
        <v>0.47</v>
      </c>
      <c r="T912">
        <v>1.1479999999999999</v>
      </c>
      <c r="U912">
        <v>4.2999999999999997E-2</v>
      </c>
      <c r="V912">
        <v>0</v>
      </c>
      <c r="W912">
        <v>2</v>
      </c>
      <c r="X912">
        <v>0</v>
      </c>
      <c r="Y912" t="s">
        <v>36</v>
      </c>
      <c r="Z912">
        <v>409</v>
      </c>
      <c r="AA912">
        <v>362</v>
      </c>
      <c r="AB912">
        <v>24</v>
      </c>
      <c r="AC912" t="s">
        <v>606</v>
      </c>
      <c r="AD912" t="str">
        <f t="shared" si="28"/>
        <v>US</v>
      </c>
      <c r="AE912" t="str">
        <f>_xlfn.XLOOKUP(D912,Mapping!A:A,Mapping!D:D,0,0)</f>
        <v>Keyword - Preroll</v>
      </c>
      <c r="AF912" t="str">
        <f t="shared" si="29"/>
        <v>JB</v>
      </c>
    </row>
    <row r="913" spans="1:32" x14ac:dyDescent="0.2">
      <c r="A913" t="s">
        <v>1118</v>
      </c>
      <c r="B913" t="s">
        <v>29</v>
      </c>
      <c r="C913">
        <v>1013013931</v>
      </c>
      <c r="D913" t="s">
        <v>923</v>
      </c>
      <c r="E913" t="s">
        <v>31</v>
      </c>
      <c r="F913" s="1">
        <v>0.67291666666666672</v>
      </c>
      <c r="G913" t="s">
        <v>32</v>
      </c>
      <c r="H913" t="s">
        <v>33</v>
      </c>
      <c r="I913" t="s">
        <v>41</v>
      </c>
      <c r="J913" t="s">
        <v>62</v>
      </c>
      <c r="K913">
        <v>32</v>
      </c>
      <c r="L913">
        <v>0</v>
      </c>
      <c r="M913" t="s">
        <v>63</v>
      </c>
      <c r="N913">
        <v>250</v>
      </c>
      <c r="O913">
        <v>1130</v>
      </c>
      <c r="P913">
        <v>46</v>
      </c>
      <c r="Q913">
        <v>4.0708000000000002</v>
      </c>
      <c r="R913">
        <v>0</v>
      </c>
      <c r="S913">
        <v>1.3</v>
      </c>
      <c r="T913">
        <v>1.1459999999999999</v>
      </c>
      <c r="U913">
        <v>2.8000000000000001E-2</v>
      </c>
      <c r="V913">
        <v>0</v>
      </c>
      <c r="W913">
        <v>2</v>
      </c>
      <c r="X913">
        <v>0</v>
      </c>
      <c r="Y913" t="s">
        <v>36</v>
      </c>
      <c r="Z913">
        <v>1130</v>
      </c>
      <c r="AA913">
        <v>1020</v>
      </c>
      <c r="AB913">
        <v>54</v>
      </c>
      <c r="AC913" t="s">
        <v>606</v>
      </c>
      <c r="AD913" t="str">
        <f t="shared" si="28"/>
        <v>US</v>
      </c>
      <c r="AE913" t="str">
        <f>_xlfn.XLOOKUP(D913,Mapping!A:A,Mapping!D:D,0,0)</f>
        <v>Keyword - Preroll</v>
      </c>
      <c r="AF913" t="str">
        <f t="shared" si="29"/>
        <v>JB</v>
      </c>
    </row>
    <row r="914" spans="1:32" x14ac:dyDescent="0.2">
      <c r="A914" t="s">
        <v>1118</v>
      </c>
      <c r="B914" t="s">
        <v>29</v>
      </c>
      <c r="C914">
        <v>1013013941</v>
      </c>
      <c r="D914" t="s">
        <v>924</v>
      </c>
      <c r="E914" t="s">
        <v>31</v>
      </c>
      <c r="F914" s="1">
        <v>0.67291666666666672</v>
      </c>
      <c r="G914" t="s">
        <v>32</v>
      </c>
      <c r="H914" t="s">
        <v>33</v>
      </c>
      <c r="I914" t="s">
        <v>34</v>
      </c>
      <c r="J914" t="s">
        <v>84</v>
      </c>
      <c r="K914">
        <v>64</v>
      </c>
      <c r="L914">
        <v>0</v>
      </c>
      <c r="M914" t="s">
        <v>63</v>
      </c>
      <c r="N914">
        <v>250</v>
      </c>
      <c r="O914">
        <v>760</v>
      </c>
      <c r="P914">
        <v>40</v>
      </c>
      <c r="Q914">
        <v>5.2631600000000001</v>
      </c>
      <c r="R914">
        <v>0</v>
      </c>
      <c r="S914">
        <v>0.68</v>
      </c>
      <c r="T914">
        <v>0.89300000000000002</v>
      </c>
      <c r="U914">
        <v>1.7000000000000001E-2</v>
      </c>
      <c r="V914">
        <v>0</v>
      </c>
      <c r="W914">
        <v>2</v>
      </c>
      <c r="X914">
        <v>0</v>
      </c>
      <c r="Y914" t="s">
        <v>36</v>
      </c>
      <c r="Z914">
        <v>760</v>
      </c>
      <c r="AA914">
        <v>525</v>
      </c>
      <c r="AB914">
        <v>125</v>
      </c>
      <c r="AC914" t="s">
        <v>606</v>
      </c>
      <c r="AD914" t="str">
        <f t="shared" si="28"/>
        <v>US</v>
      </c>
      <c r="AE914" t="str">
        <f>_xlfn.XLOOKUP(D914,Mapping!A:A,Mapping!D:D,0,0)</f>
        <v>Keyword - Preroll</v>
      </c>
      <c r="AF914" t="str">
        <f t="shared" si="29"/>
        <v>JB</v>
      </c>
    </row>
    <row r="915" spans="1:32" x14ac:dyDescent="0.2">
      <c r="A915" t="s">
        <v>1118</v>
      </c>
      <c r="B915" t="s">
        <v>39</v>
      </c>
      <c r="C915">
        <v>1013013951</v>
      </c>
      <c r="D915" t="s">
        <v>925</v>
      </c>
      <c r="E915" t="s">
        <v>31</v>
      </c>
      <c r="F915" s="1">
        <v>0.67291666666666672</v>
      </c>
      <c r="G915" t="s">
        <v>32</v>
      </c>
      <c r="H915" t="s">
        <v>33</v>
      </c>
      <c r="I915" t="s">
        <v>41</v>
      </c>
      <c r="J915" t="s">
        <v>62</v>
      </c>
      <c r="K915">
        <v>100</v>
      </c>
      <c r="L915">
        <v>0</v>
      </c>
      <c r="M915" t="s">
        <v>63</v>
      </c>
      <c r="N915">
        <v>250</v>
      </c>
      <c r="O915">
        <v>0</v>
      </c>
      <c r="P915">
        <v>0</v>
      </c>
      <c r="Q915">
        <v>0</v>
      </c>
      <c r="S915">
        <v>0</v>
      </c>
      <c r="T915">
        <v>0</v>
      </c>
      <c r="U915">
        <v>0</v>
      </c>
      <c r="V915">
        <v>0</v>
      </c>
      <c r="W915">
        <v>2</v>
      </c>
      <c r="X915">
        <v>0</v>
      </c>
      <c r="Y915" t="s">
        <v>36</v>
      </c>
      <c r="AC915" t="s">
        <v>783</v>
      </c>
      <c r="AD915" t="str">
        <f t="shared" si="28"/>
        <v>US</v>
      </c>
      <c r="AE915" t="str">
        <f>_xlfn.XLOOKUP(D915,Mapping!A:A,Mapping!D:D,0,0)</f>
        <v>Keyword - Preroll</v>
      </c>
      <c r="AF915" t="str">
        <f t="shared" si="29"/>
        <v>JB</v>
      </c>
    </row>
    <row r="916" spans="1:32" x14ac:dyDescent="0.2">
      <c r="A916" t="s">
        <v>1118</v>
      </c>
      <c r="B916" t="s">
        <v>29</v>
      </c>
      <c r="C916">
        <v>1013013961</v>
      </c>
      <c r="D916" t="s">
        <v>926</v>
      </c>
      <c r="E916" t="s">
        <v>31</v>
      </c>
      <c r="F916" s="1">
        <v>0.67291666666666672</v>
      </c>
      <c r="G916" t="s">
        <v>32</v>
      </c>
      <c r="H916" t="s">
        <v>33</v>
      </c>
      <c r="I916" t="s">
        <v>41</v>
      </c>
      <c r="J916" t="s">
        <v>62</v>
      </c>
      <c r="K916">
        <v>140</v>
      </c>
      <c r="L916">
        <v>0</v>
      </c>
      <c r="M916" t="s">
        <v>63</v>
      </c>
      <c r="N916">
        <v>250</v>
      </c>
      <c r="O916">
        <v>39073</v>
      </c>
      <c r="P916">
        <v>1946</v>
      </c>
      <c r="Q916">
        <v>4.98041</v>
      </c>
      <c r="R916">
        <v>0</v>
      </c>
      <c r="S916">
        <v>65.430000000000007</v>
      </c>
      <c r="T916">
        <v>1.675</v>
      </c>
      <c r="U916">
        <v>3.4000000000000002E-2</v>
      </c>
      <c r="V916">
        <v>0</v>
      </c>
      <c r="W916">
        <v>2</v>
      </c>
      <c r="X916">
        <v>0</v>
      </c>
      <c r="Y916" t="s">
        <v>36</v>
      </c>
      <c r="Z916">
        <v>39073</v>
      </c>
      <c r="AA916">
        <v>35799</v>
      </c>
      <c r="AB916">
        <v>2011</v>
      </c>
      <c r="AC916" t="s">
        <v>783</v>
      </c>
      <c r="AD916" t="str">
        <f t="shared" si="28"/>
        <v>US</v>
      </c>
      <c r="AE916" t="str">
        <f>_xlfn.XLOOKUP(D916,Mapping!A:A,Mapping!D:D,0,0)</f>
        <v>Keyword - Preroll</v>
      </c>
      <c r="AF916" t="str">
        <f t="shared" si="29"/>
        <v>JB</v>
      </c>
    </row>
    <row r="917" spans="1:32" x14ac:dyDescent="0.2">
      <c r="A917" t="s">
        <v>1118</v>
      </c>
      <c r="B917" t="s">
        <v>29</v>
      </c>
      <c r="C917">
        <v>1013013971</v>
      </c>
      <c r="D917" t="s">
        <v>927</v>
      </c>
      <c r="E917" t="s">
        <v>31</v>
      </c>
      <c r="F917" s="1">
        <v>0.67291666666666672</v>
      </c>
      <c r="G917" t="s">
        <v>32</v>
      </c>
      <c r="H917" t="s">
        <v>33</v>
      </c>
      <c r="I917" t="s">
        <v>34</v>
      </c>
      <c r="J917" t="s">
        <v>723</v>
      </c>
      <c r="K917">
        <v>52</v>
      </c>
      <c r="L917">
        <v>0</v>
      </c>
      <c r="M917" t="s">
        <v>63</v>
      </c>
      <c r="N917">
        <v>250</v>
      </c>
      <c r="O917">
        <v>30477</v>
      </c>
      <c r="P917">
        <v>1084</v>
      </c>
      <c r="Q917">
        <v>3.5567799999999998</v>
      </c>
      <c r="R917">
        <v>1</v>
      </c>
      <c r="S917">
        <v>52.43</v>
      </c>
      <c r="T917">
        <v>1.72</v>
      </c>
      <c r="U917">
        <v>4.8000000000000001E-2</v>
      </c>
      <c r="V917">
        <v>52.426000000000002</v>
      </c>
      <c r="W917">
        <v>2</v>
      </c>
      <c r="X917">
        <v>0</v>
      </c>
      <c r="Y917" t="s">
        <v>36</v>
      </c>
      <c r="Z917">
        <v>30477</v>
      </c>
      <c r="AA917">
        <v>22859</v>
      </c>
      <c r="AB917">
        <v>3757</v>
      </c>
      <c r="AC917" t="s">
        <v>783</v>
      </c>
      <c r="AD917" t="str">
        <f t="shared" si="28"/>
        <v>US</v>
      </c>
      <c r="AE917" t="str">
        <f>_xlfn.XLOOKUP(D917,Mapping!A:A,Mapping!D:D,0,0)</f>
        <v>Keyword - Preroll</v>
      </c>
      <c r="AF917" t="str">
        <f t="shared" si="29"/>
        <v>JB</v>
      </c>
    </row>
    <row r="918" spans="1:32" x14ac:dyDescent="0.2">
      <c r="A918" t="s">
        <v>1118</v>
      </c>
      <c r="B918" t="s">
        <v>29</v>
      </c>
      <c r="C918">
        <v>1013013981</v>
      </c>
      <c r="D918" t="s">
        <v>928</v>
      </c>
      <c r="E918" t="s">
        <v>31</v>
      </c>
      <c r="F918" s="1">
        <v>0.67291666666666672</v>
      </c>
      <c r="G918" t="s">
        <v>32</v>
      </c>
      <c r="H918" t="s">
        <v>33</v>
      </c>
      <c r="I918" t="s">
        <v>34</v>
      </c>
      <c r="J918" t="s">
        <v>84</v>
      </c>
      <c r="K918">
        <v>60</v>
      </c>
      <c r="L918">
        <v>0</v>
      </c>
      <c r="M918" t="s">
        <v>63</v>
      </c>
      <c r="N918">
        <v>250</v>
      </c>
      <c r="O918">
        <v>16256</v>
      </c>
      <c r="P918">
        <v>542</v>
      </c>
      <c r="Q918">
        <v>3.3341500000000002</v>
      </c>
      <c r="R918">
        <v>0</v>
      </c>
      <c r="S918">
        <v>20.34</v>
      </c>
      <c r="T918">
        <v>1.2509999999999999</v>
      </c>
      <c r="U918">
        <v>3.7999999999999999E-2</v>
      </c>
      <c r="V918">
        <v>0</v>
      </c>
      <c r="W918">
        <v>2</v>
      </c>
      <c r="X918">
        <v>0</v>
      </c>
      <c r="Y918" t="s">
        <v>36</v>
      </c>
      <c r="Z918">
        <v>16255</v>
      </c>
      <c r="AA918">
        <v>11934</v>
      </c>
      <c r="AB918">
        <v>1740</v>
      </c>
      <c r="AC918" t="s">
        <v>348</v>
      </c>
      <c r="AD918" t="str">
        <f t="shared" si="28"/>
        <v>US</v>
      </c>
      <c r="AE918" t="str">
        <f>_xlfn.XLOOKUP(D918,Mapping!A:A,Mapping!D:D,0,0)</f>
        <v>Keyword - Preroll</v>
      </c>
      <c r="AF918" t="str">
        <f t="shared" si="29"/>
        <v>JB</v>
      </c>
    </row>
    <row r="919" spans="1:32" x14ac:dyDescent="0.2">
      <c r="A919" t="s">
        <v>1118</v>
      </c>
      <c r="B919" t="s">
        <v>29</v>
      </c>
      <c r="C919">
        <v>1013014001</v>
      </c>
      <c r="D919" t="s">
        <v>929</v>
      </c>
      <c r="E919" t="s">
        <v>31</v>
      </c>
      <c r="F919" s="1">
        <v>0.67291666666666672</v>
      </c>
      <c r="G919" t="s">
        <v>32</v>
      </c>
      <c r="H919" t="s">
        <v>33</v>
      </c>
      <c r="I919" t="s">
        <v>41</v>
      </c>
      <c r="J919" t="s">
        <v>62</v>
      </c>
      <c r="K919">
        <v>65</v>
      </c>
      <c r="L919">
        <v>0</v>
      </c>
      <c r="M919" t="s">
        <v>63</v>
      </c>
      <c r="N919">
        <v>250</v>
      </c>
      <c r="O919">
        <v>24712</v>
      </c>
      <c r="P919">
        <v>1232</v>
      </c>
      <c r="Q919">
        <v>4.98543</v>
      </c>
      <c r="R919">
        <v>0</v>
      </c>
      <c r="S919">
        <v>46.48</v>
      </c>
      <c r="T919">
        <v>1.881</v>
      </c>
      <c r="U919">
        <v>3.7999999999999999E-2</v>
      </c>
      <c r="V919">
        <v>0</v>
      </c>
      <c r="W919">
        <v>2</v>
      </c>
      <c r="X919">
        <v>0</v>
      </c>
      <c r="Y919" t="s">
        <v>36</v>
      </c>
      <c r="Z919">
        <v>24706</v>
      </c>
      <c r="AA919">
        <v>22622</v>
      </c>
      <c r="AB919">
        <v>1181</v>
      </c>
      <c r="AC919" t="s">
        <v>348</v>
      </c>
      <c r="AD919" t="str">
        <f t="shared" si="28"/>
        <v>US</v>
      </c>
      <c r="AE919" t="str">
        <f>_xlfn.XLOOKUP(D919,Mapping!A:A,Mapping!D:D,0,0)</f>
        <v>Keyword - Preroll</v>
      </c>
      <c r="AF919" t="str">
        <f t="shared" si="29"/>
        <v>JB</v>
      </c>
    </row>
    <row r="920" spans="1:32" x14ac:dyDescent="0.2">
      <c r="A920" t="s">
        <v>1118</v>
      </c>
      <c r="B920" t="s">
        <v>39</v>
      </c>
      <c r="C920">
        <v>1013014101</v>
      </c>
      <c r="D920" t="s">
        <v>930</v>
      </c>
      <c r="E920" t="s">
        <v>31</v>
      </c>
      <c r="F920" s="1">
        <v>0.67291666666666672</v>
      </c>
      <c r="G920" t="s">
        <v>32</v>
      </c>
      <c r="H920" t="s">
        <v>33</v>
      </c>
      <c r="I920" t="s">
        <v>34</v>
      </c>
      <c r="J920" t="s">
        <v>84</v>
      </c>
      <c r="K920">
        <v>44</v>
      </c>
      <c r="L920">
        <v>0</v>
      </c>
      <c r="M920" t="s">
        <v>63</v>
      </c>
      <c r="N920">
        <v>250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</v>
      </c>
      <c r="X920">
        <v>0</v>
      </c>
      <c r="Y920" t="s">
        <v>36</v>
      </c>
      <c r="Z920">
        <v>0</v>
      </c>
      <c r="AA920">
        <v>0</v>
      </c>
      <c r="AB920">
        <v>0</v>
      </c>
      <c r="AC920" t="s">
        <v>348</v>
      </c>
      <c r="AD920" t="str">
        <f t="shared" si="28"/>
        <v>UK</v>
      </c>
      <c r="AE920" t="str">
        <f>_xlfn.XLOOKUP(D920,Mapping!A:A,Mapping!D:D,0,0)</f>
        <v>Keyword - Preroll</v>
      </c>
      <c r="AF920" t="str">
        <f t="shared" si="29"/>
        <v>JB</v>
      </c>
    </row>
    <row r="921" spans="1:32" x14ac:dyDescent="0.2">
      <c r="A921" t="s">
        <v>1118</v>
      </c>
      <c r="B921" t="s">
        <v>29</v>
      </c>
      <c r="C921">
        <v>1013014111</v>
      </c>
      <c r="D921" t="s">
        <v>931</v>
      </c>
      <c r="E921" t="s">
        <v>31</v>
      </c>
      <c r="F921" s="1">
        <v>0.67291666666666672</v>
      </c>
      <c r="G921" t="s">
        <v>32</v>
      </c>
      <c r="H921" t="s">
        <v>33</v>
      </c>
      <c r="I921" t="s">
        <v>41</v>
      </c>
      <c r="J921" t="s">
        <v>62</v>
      </c>
      <c r="K921">
        <v>65</v>
      </c>
      <c r="L921">
        <v>0</v>
      </c>
      <c r="M921" t="s">
        <v>63</v>
      </c>
      <c r="N921">
        <v>250</v>
      </c>
      <c r="O921">
        <v>1024110</v>
      </c>
      <c r="P921">
        <v>55044</v>
      </c>
      <c r="Q921">
        <v>5.3748100000000001</v>
      </c>
      <c r="R921">
        <v>5</v>
      </c>
      <c r="S921">
        <v>2129.4699999999998</v>
      </c>
      <c r="T921">
        <v>2.0790000000000002</v>
      </c>
      <c r="U921">
        <v>3.9E-2</v>
      </c>
      <c r="V921">
        <v>425.89499999999998</v>
      </c>
      <c r="W921">
        <v>2</v>
      </c>
      <c r="X921">
        <v>0</v>
      </c>
      <c r="Y921" t="s">
        <v>36</v>
      </c>
      <c r="Z921">
        <v>1023463</v>
      </c>
      <c r="AA921">
        <v>906528</v>
      </c>
      <c r="AB921">
        <v>86068</v>
      </c>
      <c r="AC921" t="s">
        <v>348</v>
      </c>
      <c r="AD921" t="str">
        <f t="shared" si="28"/>
        <v>US</v>
      </c>
      <c r="AE921" t="str">
        <f>_xlfn.XLOOKUP(D921,Mapping!A:A,Mapping!D:D,0,0)</f>
        <v>Keyword - Preroll</v>
      </c>
      <c r="AF921" t="str">
        <f t="shared" si="29"/>
        <v>JB</v>
      </c>
    </row>
    <row r="922" spans="1:32" x14ac:dyDescent="0.2">
      <c r="A922" t="s">
        <v>1118</v>
      </c>
      <c r="B922" t="s">
        <v>29</v>
      </c>
      <c r="C922">
        <v>1013014221</v>
      </c>
      <c r="D922" t="s">
        <v>932</v>
      </c>
      <c r="E922" t="s">
        <v>31</v>
      </c>
      <c r="F922" s="1">
        <v>0.67291666666666672</v>
      </c>
      <c r="G922" t="s">
        <v>32</v>
      </c>
      <c r="H922" t="s">
        <v>33</v>
      </c>
      <c r="I922" t="s">
        <v>41</v>
      </c>
      <c r="J922" t="s">
        <v>62</v>
      </c>
      <c r="K922">
        <v>153</v>
      </c>
      <c r="L922">
        <v>0</v>
      </c>
      <c r="M922" t="s">
        <v>63</v>
      </c>
      <c r="N922">
        <v>250</v>
      </c>
      <c r="O922">
        <v>70798</v>
      </c>
      <c r="P922">
        <v>4821</v>
      </c>
      <c r="Q922">
        <v>6.8095100000000004</v>
      </c>
      <c r="R922">
        <v>0</v>
      </c>
      <c r="S922">
        <v>140.69</v>
      </c>
      <c r="T922">
        <v>1.9870000000000001</v>
      </c>
      <c r="U922">
        <v>2.9000000000000001E-2</v>
      </c>
      <c r="V922">
        <v>0</v>
      </c>
      <c r="W922">
        <v>2</v>
      </c>
      <c r="X922">
        <v>0</v>
      </c>
      <c r="Y922" t="s">
        <v>36</v>
      </c>
      <c r="Z922">
        <v>70776</v>
      </c>
      <c r="AA922">
        <v>62855</v>
      </c>
      <c r="AB922">
        <v>5052</v>
      </c>
      <c r="AC922" t="s">
        <v>933</v>
      </c>
      <c r="AD922" t="str">
        <f t="shared" si="28"/>
        <v>US</v>
      </c>
      <c r="AE922" t="str">
        <f>_xlfn.XLOOKUP(D922,Mapping!A:A,Mapping!D:D,0,0)</f>
        <v>Keyword - Preroll</v>
      </c>
      <c r="AF922" t="str">
        <f t="shared" si="29"/>
        <v>JB</v>
      </c>
    </row>
    <row r="923" spans="1:32" x14ac:dyDescent="0.2">
      <c r="A923" t="s">
        <v>1118</v>
      </c>
      <c r="B923" t="s">
        <v>29</v>
      </c>
      <c r="C923">
        <v>1013014271</v>
      </c>
      <c r="D923" t="s">
        <v>934</v>
      </c>
      <c r="E923" t="s">
        <v>31</v>
      </c>
      <c r="F923" s="1">
        <v>0.67291666666666672</v>
      </c>
      <c r="G923" t="s">
        <v>32</v>
      </c>
      <c r="H923" t="s">
        <v>33</v>
      </c>
      <c r="I923" t="s">
        <v>41</v>
      </c>
      <c r="J923" t="s">
        <v>62</v>
      </c>
      <c r="K923">
        <v>163</v>
      </c>
      <c r="L923">
        <v>0</v>
      </c>
      <c r="M923" t="s">
        <v>63</v>
      </c>
      <c r="N923">
        <v>250</v>
      </c>
      <c r="O923">
        <v>49506</v>
      </c>
      <c r="P923">
        <v>2473</v>
      </c>
      <c r="Q923">
        <v>4.9953500000000002</v>
      </c>
      <c r="R923">
        <v>0</v>
      </c>
      <c r="S923">
        <v>99.49</v>
      </c>
      <c r="T923">
        <v>2.0099999999999998</v>
      </c>
      <c r="U923">
        <v>0.04</v>
      </c>
      <c r="V923">
        <v>0</v>
      </c>
      <c r="W923">
        <v>2</v>
      </c>
      <c r="X923">
        <v>0</v>
      </c>
      <c r="Y923" t="s">
        <v>36</v>
      </c>
      <c r="Z923">
        <v>49494</v>
      </c>
      <c r="AA923">
        <v>45800</v>
      </c>
      <c r="AB923">
        <v>2166</v>
      </c>
      <c r="AC923" t="s">
        <v>933</v>
      </c>
      <c r="AD923" t="str">
        <f t="shared" si="28"/>
        <v>US</v>
      </c>
      <c r="AE923" t="str">
        <f>_xlfn.XLOOKUP(D923,Mapping!A:A,Mapping!D:D,0,0)</f>
        <v>Keyword - Preroll</v>
      </c>
      <c r="AF923" t="str">
        <f t="shared" si="29"/>
        <v>JB</v>
      </c>
    </row>
    <row r="924" spans="1:32" x14ac:dyDescent="0.2">
      <c r="A924" t="s">
        <v>1118</v>
      </c>
      <c r="B924" t="s">
        <v>29</v>
      </c>
      <c r="C924">
        <v>1013014281</v>
      </c>
      <c r="D924" t="s">
        <v>935</v>
      </c>
      <c r="E924" t="s">
        <v>31</v>
      </c>
      <c r="F924" s="1">
        <v>0.67291666666666672</v>
      </c>
      <c r="G924" t="s">
        <v>32</v>
      </c>
      <c r="H924" t="s">
        <v>33</v>
      </c>
      <c r="I924" t="s">
        <v>34</v>
      </c>
      <c r="J924" t="s">
        <v>84</v>
      </c>
      <c r="K924">
        <v>68</v>
      </c>
      <c r="L924">
        <v>0</v>
      </c>
      <c r="M924" t="s">
        <v>36</v>
      </c>
      <c r="N924" t="s">
        <v>37</v>
      </c>
      <c r="O924">
        <v>21991</v>
      </c>
      <c r="P924">
        <v>755</v>
      </c>
      <c r="Q924">
        <v>3.4332199999999999</v>
      </c>
      <c r="R924">
        <v>0</v>
      </c>
      <c r="S924">
        <v>27.83</v>
      </c>
      <c r="T924">
        <v>1.266</v>
      </c>
      <c r="U924">
        <v>3.6999999999999998E-2</v>
      </c>
      <c r="V924">
        <v>0</v>
      </c>
      <c r="W924">
        <v>2</v>
      </c>
      <c r="X924">
        <v>0</v>
      </c>
      <c r="Y924" t="s">
        <v>36</v>
      </c>
      <c r="Z924">
        <v>21989</v>
      </c>
      <c r="AA924">
        <v>15929</v>
      </c>
      <c r="AB924">
        <v>2857</v>
      </c>
      <c r="AC924" t="s">
        <v>933</v>
      </c>
      <c r="AD924" t="str">
        <f t="shared" si="28"/>
        <v>US</v>
      </c>
      <c r="AE924" t="str">
        <f>_xlfn.XLOOKUP(D924,Mapping!A:A,Mapping!D:D,0,0)</f>
        <v>Keyword - Preroll</v>
      </c>
      <c r="AF924" t="str">
        <f t="shared" si="29"/>
        <v>JB</v>
      </c>
    </row>
    <row r="925" spans="1:32" x14ac:dyDescent="0.2">
      <c r="A925" t="s">
        <v>1118</v>
      </c>
      <c r="B925" t="s">
        <v>29</v>
      </c>
      <c r="C925">
        <v>1013014311</v>
      </c>
      <c r="D925" t="s">
        <v>936</v>
      </c>
      <c r="E925" t="s">
        <v>31</v>
      </c>
      <c r="F925" s="1">
        <v>0.67291666666666672</v>
      </c>
      <c r="G925" t="s">
        <v>32</v>
      </c>
      <c r="H925" t="s">
        <v>33</v>
      </c>
      <c r="I925" t="s">
        <v>34</v>
      </c>
      <c r="J925" t="s">
        <v>84</v>
      </c>
      <c r="K925">
        <v>96</v>
      </c>
      <c r="L925">
        <v>0</v>
      </c>
      <c r="M925" t="s">
        <v>63</v>
      </c>
      <c r="N925">
        <v>250</v>
      </c>
      <c r="O925">
        <v>3555</v>
      </c>
      <c r="P925">
        <v>162</v>
      </c>
      <c r="Q925">
        <v>4.5569600000000001</v>
      </c>
      <c r="R925">
        <v>0</v>
      </c>
      <c r="S925">
        <v>9.11</v>
      </c>
      <c r="T925">
        <v>2.5619999999999998</v>
      </c>
      <c r="U925">
        <v>5.6000000000000001E-2</v>
      </c>
      <c r="V925">
        <v>0</v>
      </c>
      <c r="W925">
        <v>1</v>
      </c>
      <c r="X925">
        <v>0</v>
      </c>
      <c r="Y925" t="s">
        <v>36</v>
      </c>
      <c r="Z925">
        <v>3555</v>
      </c>
      <c r="AA925">
        <v>2753</v>
      </c>
      <c r="AB925">
        <v>396</v>
      </c>
      <c r="AC925" t="s">
        <v>937</v>
      </c>
      <c r="AD925" t="str">
        <f t="shared" si="28"/>
        <v>US</v>
      </c>
      <c r="AE925" t="str">
        <f>_xlfn.XLOOKUP(D925,Mapping!A:A,Mapping!D:D,0,0)</f>
        <v>Keyword - Preroll</v>
      </c>
      <c r="AF925" t="str">
        <f t="shared" si="29"/>
        <v>JB</v>
      </c>
    </row>
    <row r="926" spans="1:32" x14ac:dyDescent="0.2">
      <c r="A926" t="s">
        <v>1118</v>
      </c>
      <c r="B926" t="s">
        <v>39</v>
      </c>
      <c r="C926">
        <v>1013014461</v>
      </c>
      <c r="D926" t="s">
        <v>938</v>
      </c>
      <c r="E926" t="s">
        <v>31</v>
      </c>
      <c r="F926" s="1">
        <v>0.67291666666666672</v>
      </c>
      <c r="G926" t="s">
        <v>32</v>
      </c>
      <c r="H926" t="s">
        <v>33</v>
      </c>
      <c r="I926" t="s">
        <v>41</v>
      </c>
      <c r="J926" t="s">
        <v>62</v>
      </c>
      <c r="K926">
        <v>90</v>
      </c>
      <c r="L926">
        <v>0</v>
      </c>
      <c r="M926" t="s">
        <v>63</v>
      </c>
      <c r="N926">
        <v>250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1.35</v>
      </c>
      <c r="U926">
        <v>0</v>
      </c>
      <c r="V926">
        <v>0</v>
      </c>
      <c r="W926">
        <v>2</v>
      </c>
      <c r="X926">
        <v>0</v>
      </c>
      <c r="Y926" t="s">
        <v>36</v>
      </c>
      <c r="Z926">
        <v>1</v>
      </c>
      <c r="AA926">
        <v>1</v>
      </c>
      <c r="AB926">
        <v>0</v>
      </c>
      <c r="AC926" t="s">
        <v>937</v>
      </c>
      <c r="AD926" t="str">
        <f t="shared" si="28"/>
        <v>US</v>
      </c>
      <c r="AE926" t="str">
        <f>_xlfn.XLOOKUP(D926,Mapping!A:A,Mapping!D:D,0,0)</f>
        <v>Keyword - Preroll</v>
      </c>
      <c r="AF926" t="str">
        <f t="shared" si="29"/>
        <v>JB</v>
      </c>
    </row>
    <row r="927" spans="1:32" x14ac:dyDescent="0.2">
      <c r="A927" t="s">
        <v>1118</v>
      </c>
      <c r="B927" t="s">
        <v>29</v>
      </c>
      <c r="C927">
        <v>1013014511</v>
      </c>
      <c r="D927" t="s">
        <v>939</v>
      </c>
      <c r="E927" t="s">
        <v>31</v>
      </c>
      <c r="F927" s="1">
        <v>0.67291666666666672</v>
      </c>
      <c r="G927" t="s">
        <v>32</v>
      </c>
      <c r="H927" t="s">
        <v>33</v>
      </c>
      <c r="I927" t="s">
        <v>41</v>
      </c>
      <c r="J927" t="s">
        <v>62</v>
      </c>
      <c r="K927">
        <v>114</v>
      </c>
      <c r="L927">
        <v>0</v>
      </c>
      <c r="M927" t="s">
        <v>63</v>
      </c>
      <c r="N927">
        <v>250</v>
      </c>
      <c r="O927">
        <v>9575</v>
      </c>
      <c r="P927">
        <v>438</v>
      </c>
      <c r="Q927">
        <v>4.5744100000000003</v>
      </c>
      <c r="R927">
        <v>0</v>
      </c>
      <c r="S927">
        <v>17.100000000000001</v>
      </c>
      <c r="T927">
        <v>1.786</v>
      </c>
      <c r="U927">
        <v>3.9E-2</v>
      </c>
      <c r="V927">
        <v>0</v>
      </c>
      <c r="W927">
        <v>2</v>
      </c>
      <c r="X927">
        <v>0</v>
      </c>
      <c r="Y927" t="s">
        <v>36</v>
      </c>
      <c r="Z927">
        <v>9572</v>
      </c>
      <c r="AA927">
        <v>8504</v>
      </c>
      <c r="AB927">
        <v>601</v>
      </c>
      <c r="AC927" t="s">
        <v>937</v>
      </c>
      <c r="AD927" t="str">
        <f t="shared" si="28"/>
        <v>US</v>
      </c>
      <c r="AE927" t="str">
        <f>_xlfn.XLOOKUP(D927,Mapping!A:A,Mapping!D:D,0,0)</f>
        <v>Keyword - Preroll</v>
      </c>
      <c r="AF927" t="str">
        <f t="shared" si="29"/>
        <v>JB</v>
      </c>
    </row>
    <row r="928" spans="1:32" x14ac:dyDescent="0.2">
      <c r="A928" t="s">
        <v>1118</v>
      </c>
      <c r="B928" t="s">
        <v>29</v>
      </c>
      <c r="C928">
        <v>1013016311</v>
      </c>
      <c r="D928" t="s">
        <v>940</v>
      </c>
      <c r="E928" t="s">
        <v>31</v>
      </c>
      <c r="F928" s="1">
        <v>0.67291666666666672</v>
      </c>
      <c r="G928" t="s">
        <v>32</v>
      </c>
      <c r="H928" t="s">
        <v>33</v>
      </c>
      <c r="I928" t="s">
        <v>34</v>
      </c>
      <c r="J928" t="s">
        <v>84</v>
      </c>
      <c r="K928">
        <v>80</v>
      </c>
      <c r="L928">
        <v>0</v>
      </c>
      <c r="M928" t="s">
        <v>63</v>
      </c>
      <c r="N928">
        <v>250</v>
      </c>
      <c r="O928">
        <v>4383</v>
      </c>
      <c r="P928">
        <v>197</v>
      </c>
      <c r="Q928">
        <v>4.4946400000000004</v>
      </c>
      <c r="R928">
        <v>0</v>
      </c>
      <c r="S928">
        <v>6.69</v>
      </c>
      <c r="T928">
        <v>1.526</v>
      </c>
      <c r="U928">
        <v>3.4000000000000002E-2</v>
      </c>
      <c r="V928">
        <v>0</v>
      </c>
      <c r="W928">
        <v>2</v>
      </c>
      <c r="X928">
        <v>0</v>
      </c>
      <c r="Y928" t="s">
        <v>36</v>
      </c>
      <c r="Z928">
        <v>4382</v>
      </c>
      <c r="AA928">
        <v>3275</v>
      </c>
      <c r="AB928">
        <v>581</v>
      </c>
      <c r="AC928" t="s">
        <v>937</v>
      </c>
      <c r="AD928" t="str">
        <f t="shared" si="28"/>
        <v>NZ</v>
      </c>
      <c r="AE928" t="str">
        <f>_xlfn.XLOOKUP(D928,Mapping!A:A,Mapping!D:D,0,0)</f>
        <v>Keyword - Preroll</v>
      </c>
      <c r="AF928" t="str">
        <f t="shared" si="29"/>
        <v>JB</v>
      </c>
    </row>
    <row r="929" spans="1:32" x14ac:dyDescent="0.2">
      <c r="A929" t="s">
        <v>1118</v>
      </c>
      <c r="B929" t="s">
        <v>29</v>
      </c>
      <c r="C929">
        <v>1013017191</v>
      </c>
      <c r="D929" t="s">
        <v>941</v>
      </c>
      <c r="E929" t="s">
        <v>31</v>
      </c>
      <c r="F929" s="1">
        <v>0.38611111111111113</v>
      </c>
      <c r="G929" t="s">
        <v>32</v>
      </c>
      <c r="H929" t="s">
        <v>33</v>
      </c>
      <c r="I929" t="s">
        <v>41</v>
      </c>
      <c r="J929" t="s">
        <v>942</v>
      </c>
      <c r="K929">
        <v>3</v>
      </c>
      <c r="L929">
        <v>2</v>
      </c>
      <c r="M929" t="s">
        <v>36</v>
      </c>
      <c r="N929" t="s">
        <v>37</v>
      </c>
      <c r="O929">
        <v>80333</v>
      </c>
      <c r="P929">
        <v>378</v>
      </c>
      <c r="Q929">
        <v>0.47054000000000001</v>
      </c>
      <c r="R929">
        <v>0</v>
      </c>
      <c r="S929">
        <v>61.05</v>
      </c>
      <c r="T929">
        <v>0.76</v>
      </c>
      <c r="U929">
        <v>0.16200000000000001</v>
      </c>
      <c r="V929">
        <v>0</v>
      </c>
      <c r="W929">
        <v>2</v>
      </c>
      <c r="X929">
        <v>0</v>
      </c>
      <c r="Y929" t="s">
        <v>63</v>
      </c>
      <c r="Z929">
        <v>80314</v>
      </c>
      <c r="AA929">
        <v>0</v>
      </c>
      <c r="AB929">
        <v>217</v>
      </c>
      <c r="AC929" t="s">
        <v>60</v>
      </c>
      <c r="AD929" t="str">
        <f t="shared" si="28"/>
        <v>US</v>
      </c>
      <c r="AE929" t="str">
        <f>_xlfn.XLOOKUP(D929,Mapping!A:A,Mapping!D:D,0,0)</f>
        <v>Shorties</v>
      </c>
      <c r="AF929" t="str">
        <f t="shared" si="29"/>
        <v>TJ</v>
      </c>
    </row>
    <row r="930" spans="1:32" x14ac:dyDescent="0.2">
      <c r="A930" t="s">
        <v>1118</v>
      </c>
      <c r="B930" t="s">
        <v>29</v>
      </c>
      <c r="C930">
        <v>1013017281</v>
      </c>
      <c r="D930" t="s">
        <v>943</v>
      </c>
      <c r="E930" t="s">
        <v>31</v>
      </c>
      <c r="F930" s="1">
        <v>0.67291666666666672</v>
      </c>
      <c r="G930" t="s">
        <v>32</v>
      </c>
      <c r="H930" t="s">
        <v>33</v>
      </c>
      <c r="I930" t="s">
        <v>34</v>
      </c>
      <c r="J930" t="s">
        <v>723</v>
      </c>
      <c r="K930">
        <v>7</v>
      </c>
      <c r="L930">
        <v>0</v>
      </c>
      <c r="M930" t="s">
        <v>36</v>
      </c>
      <c r="N930" t="s">
        <v>37</v>
      </c>
      <c r="O930">
        <v>13288</v>
      </c>
      <c r="P930">
        <v>565</v>
      </c>
      <c r="Q930">
        <v>4.2519600000000004</v>
      </c>
      <c r="R930">
        <v>0</v>
      </c>
      <c r="S930">
        <v>40.130000000000003</v>
      </c>
      <c r="T930">
        <v>3.02</v>
      </c>
      <c r="U930">
        <v>7.0999999999999994E-2</v>
      </c>
      <c r="V930">
        <v>0</v>
      </c>
      <c r="W930">
        <v>2</v>
      </c>
      <c r="X930">
        <v>0</v>
      </c>
      <c r="Y930" t="s">
        <v>63</v>
      </c>
      <c r="Z930">
        <v>13286</v>
      </c>
      <c r="AA930">
        <v>10180</v>
      </c>
      <c r="AB930">
        <v>1400</v>
      </c>
      <c r="AC930" t="s">
        <v>38</v>
      </c>
      <c r="AD930" t="str">
        <f t="shared" si="28"/>
        <v>US</v>
      </c>
      <c r="AE930" t="str">
        <f>_xlfn.XLOOKUP(D930,Mapping!A:A,Mapping!D:D,0,0)</f>
        <v>AI</v>
      </c>
      <c r="AF930" t="str">
        <f t="shared" si="29"/>
        <v>TJ</v>
      </c>
    </row>
    <row r="931" spans="1:32" x14ac:dyDescent="0.2">
      <c r="A931" t="s">
        <v>1118</v>
      </c>
      <c r="B931" t="s">
        <v>29</v>
      </c>
      <c r="C931">
        <v>1013017291</v>
      </c>
      <c r="D931" t="s">
        <v>944</v>
      </c>
      <c r="E931" t="s">
        <v>31</v>
      </c>
      <c r="F931" s="1">
        <v>0.67291666666666672</v>
      </c>
      <c r="G931" t="s">
        <v>32</v>
      </c>
      <c r="H931" t="s">
        <v>33</v>
      </c>
      <c r="I931" t="s">
        <v>34</v>
      </c>
      <c r="J931" t="s">
        <v>723</v>
      </c>
      <c r="K931">
        <v>7</v>
      </c>
      <c r="L931">
        <v>0</v>
      </c>
      <c r="M931" t="s">
        <v>63</v>
      </c>
      <c r="N931">
        <v>500</v>
      </c>
      <c r="O931">
        <v>293</v>
      </c>
      <c r="P931">
        <v>7</v>
      </c>
      <c r="Q931">
        <v>2.3890799999999999</v>
      </c>
      <c r="R931">
        <v>0</v>
      </c>
      <c r="S931">
        <v>0.74</v>
      </c>
      <c r="T931">
        <v>2.512</v>
      </c>
      <c r="U931">
        <v>0.105</v>
      </c>
      <c r="V931">
        <v>0</v>
      </c>
      <c r="W931">
        <v>2</v>
      </c>
      <c r="X931">
        <v>0</v>
      </c>
      <c r="Y931" t="s">
        <v>63</v>
      </c>
      <c r="Z931">
        <v>293</v>
      </c>
      <c r="AA931">
        <v>203</v>
      </c>
      <c r="AB931">
        <v>41</v>
      </c>
      <c r="AC931" t="s">
        <v>38</v>
      </c>
      <c r="AD931" t="str">
        <f t="shared" si="28"/>
        <v>UK</v>
      </c>
      <c r="AE931" t="str">
        <f>_xlfn.XLOOKUP(D931,Mapping!A:A,Mapping!D:D,0,0)</f>
        <v>AI</v>
      </c>
      <c r="AF931" t="str">
        <f t="shared" si="29"/>
        <v>TJ</v>
      </c>
    </row>
    <row r="932" spans="1:32" x14ac:dyDescent="0.2">
      <c r="A932" t="s">
        <v>1118</v>
      </c>
      <c r="B932" t="s">
        <v>29</v>
      </c>
      <c r="C932">
        <v>1013017301</v>
      </c>
      <c r="D932" t="s">
        <v>945</v>
      </c>
      <c r="E932" t="s">
        <v>31</v>
      </c>
      <c r="F932" s="1">
        <v>0.67291666666666672</v>
      </c>
      <c r="G932" t="s">
        <v>32</v>
      </c>
      <c r="H932" t="s">
        <v>33</v>
      </c>
      <c r="I932" t="s">
        <v>41</v>
      </c>
      <c r="J932" t="s">
        <v>58</v>
      </c>
      <c r="K932">
        <v>50</v>
      </c>
      <c r="L932">
        <v>0</v>
      </c>
      <c r="M932" t="s">
        <v>63</v>
      </c>
      <c r="N932">
        <v>250</v>
      </c>
      <c r="O932">
        <v>39390</v>
      </c>
      <c r="P932">
        <v>2266</v>
      </c>
      <c r="Q932">
        <v>5.7527299999999997</v>
      </c>
      <c r="R932">
        <v>0</v>
      </c>
      <c r="S932">
        <v>87.2</v>
      </c>
      <c r="T932">
        <v>2.214</v>
      </c>
      <c r="U932">
        <v>3.7999999999999999E-2</v>
      </c>
      <c r="V932">
        <v>0</v>
      </c>
      <c r="W932">
        <v>2</v>
      </c>
      <c r="X932">
        <v>0</v>
      </c>
      <c r="Y932" t="s">
        <v>36</v>
      </c>
      <c r="Z932">
        <v>39385</v>
      </c>
      <c r="AA932">
        <v>35481</v>
      </c>
      <c r="AB932">
        <v>2562</v>
      </c>
      <c r="AC932" t="s">
        <v>946</v>
      </c>
      <c r="AD932" t="str">
        <f t="shared" si="28"/>
        <v>US</v>
      </c>
      <c r="AE932" t="str">
        <f>_xlfn.XLOOKUP(D932,Mapping!A:A,Mapping!D:D,0,0)</f>
        <v>Gay</v>
      </c>
      <c r="AF932" t="str">
        <f t="shared" si="29"/>
        <v>JB</v>
      </c>
    </row>
    <row r="933" spans="1:32" x14ac:dyDescent="0.2">
      <c r="A933" t="s">
        <v>1118</v>
      </c>
      <c r="B933" t="s">
        <v>29</v>
      </c>
      <c r="C933">
        <v>1013017321</v>
      </c>
      <c r="D933" t="s">
        <v>947</v>
      </c>
      <c r="E933" t="s">
        <v>31</v>
      </c>
      <c r="F933" s="1">
        <v>0.67291666666666672</v>
      </c>
      <c r="G933" t="s">
        <v>32</v>
      </c>
      <c r="H933" t="s">
        <v>33</v>
      </c>
      <c r="I933" t="s">
        <v>41</v>
      </c>
      <c r="J933" t="s">
        <v>867</v>
      </c>
      <c r="K933">
        <v>2</v>
      </c>
      <c r="L933">
        <v>2</v>
      </c>
      <c r="M933" t="s">
        <v>63</v>
      </c>
      <c r="N933">
        <v>500</v>
      </c>
      <c r="O933">
        <v>53353</v>
      </c>
      <c r="P933">
        <v>2373</v>
      </c>
      <c r="Q933">
        <v>4.44773</v>
      </c>
      <c r="R933">
        <v>1</v>
      </c>
      <c r="S933">
        <v>116.42</v>
      </c>
      <c r="T933">
        <v>2.1819999999999999</v>
      </c>
      <c r="U933">
        <v>4.9000000000000002E-2</v>
      </c>
      <c r="V933">
        <v>116.416</v>
      </c>
      <c r="W933">
        <v>2</v>
      </c>
      <c r="X933">
        <v>0</v>
      </c>
      <c r="Y933" t="s">
        <v>36</v>
      </c>
      <c r="Z933">
        <v>53351</v>
      </c>
      <c r="AA933">
        <v>47428</v>
      </c>
      <c r="AB933">
        <v>4310</v>
      </c>
      <c r="AC933" t="s">
        <v>789</v>
      </c>
      <c r="AD933" t="str">
        <f t="shared" si="28"/>
        <v>US</v>
      </c>
      <c r="AE933" t="str">
        <f>_xlfn.XLOOKUP(D933,Mapping!A:A,Mapping!D:D,0,0)</f>
        <v>Trans</v>
      </c>
      <c r="AF933" t="str">
        <f t="shared" si="29"/>
        <v>TJ</v>
      </c>
    </row>
    <row r="934" spans="1:32" x14ac:dyDescent="0.2">
      <c r="A934" t="s">
        <v>1118</v>
      </c>
      <c r="B934" t="s">
        <v>29</v>
      </c>
      <c r="C934">
        <v>1013017331</v>
      </c>
      <c r="D934" t="s">
        <v>948</v>
      </c>
      <c r="E934" t="s">
        <v>31</v>
      </c>
      <c r="F934" s="1">
        <v>0.67291666666666672</v>
      </c>
      <c r="G934" t="s">
        <v>32</v>
      </c>
      <c r="H934" t="s">
        <v>33</v>
      </c>
      <c r="I934" t="s">
        <v>41</v>
      </c>
      <c r="J934" t="s">
        <v>867</v>
      </c>
      <c r="K934">
        <v>2</v>
      </c>
      <c r="L934">
        <v>0</v>
      </c>
      <c r="M934" t="s">
        <v>63</v>
      </c>
      <c r="N934">
        <v>500</v>
      </c>
      <c r="O934">
        <v>10774</v>
      </c>
      <c r="P934">
        <v>703</v>
      </c>
      <c r="Q934">
        <v>6.5249699999999997</v>
      </c>
      <c r="R934">
        <v>0</v>
      </c>
      <c r="S934">
        <v>23.4</v>
      </c>
      <c r="T934">
        <v>2.1720000000000002</v>
      </c>
      <c r="U934">
        <v>3.3000000000000002E-2</v>
      </c>
      <c r="V934">
        <v>0</v>
      </c>
      <c r="W934">
        <v>2</v>
      </c>
      <c r="X934">
        <v>0</v>
      </c>
      <c r="Y934" t="s">
        <v>63</v>
      </c>
      <c r="Z934">
        <v>10774</v>
      </c>
      <c r="AA934">
        <v>9352</v>
      </c>
      <c r="AB934">
        <v>997</v>
      </c>
      <c r="AC934" t="s">
        <v>789</v>
      </c>
      <c r="AD934" t="str">
        <f t="shared" si="28"/>
        <v>US</v>
      </c>
      <c r="AE934" t="str">
        <f>_xlfn.XLOOKUP(D934,Mapping!A:A,Mapping!D:D,0,0)</f>
        <v>Trans</v>
      </c>
      <c r="AF934" t="str">
        <f t="shared" si="29"/>
        <v>TJ</v>
      </c>
    </row>
    <row r="935" spans="1:32" x14ac:dyDescent="0.2">
      <c r="A935" t="s">
        <v>1118</v>
      </c>
      <c r="B935" t="s">
        <v>39</v>
      </c>
      <c r="C935">
        <v>1013017351</v>
      </c>
      <c r="D935" t="s">
        <v>949</v>
      </c>
      <c r="E935" t="s">
        <v>31</v>
      </c>
      <c r="F935" s="1">
        <v>0.67291666666666672</v>
      </c>
      <c r="G935" t="s">
        <v>32</v>
      </c>
      <c r="H935" t="s">
        <v>33</v>
      </c>
      <c r="I935" t="s">
        <v>41</v>
      </c>
      <c r="J935" t="s">
        <v>58</v>
      </c>
      <c r="K935">
        <v>50</v>
      </c>
      <c r="L935">
        <v>0</v>
      </c>
      <c r="M935" t="s">
        <v>63</v>
      </c>
      <c r="N935">
        <v>250</v>
      </c>
      <c r="O935">
        <v>0</v>
      </c>
      <c r="P935">
        <v>0</v>
      </c>
      <c r="Q935">
        <v>0</v>
      </c>
      <c r="S935">
        <v>0</v>
      </c>
      <c r="T935">
        <v>0</v>
      </c>
      <c r="U935">
        <v>0</v>
      </c>
      <c r="V935">
        <v>0</v>
      </c>
      <c r="W935">
        <v>2</v>
      </c>
      <c r="X935">
        <v>0</v>
      </c>
      <c r="Y935" t="s">
        <v>36</v>
      </c>
      <c r="AC935" t="s">
        <v>946</v>
      </c>
      <c r="AD935" t="str">
        <f t="shared" si="28"/>
        <v>US</v>
      </c>
      <c r="AE935" t="str">
        <f>_xlfn.XLOOKUP(D935,Mapping!A:A,Mapping!D:D,0,0)</f>
        <v>Gay</v>
      </c>
      <c r="AF935" t="str">
        <f t="shared" si="29"/>
        <v>JB</v>
      </c>
    </row>
    <row r="936" spans="1:32" x14ac:dyDescent="0.2">
      <c r="A936" t="s">
        <v>1118</v>
      </c>
      <c r="B936" t="s">
        <v>29</v>
      </c>
      <c r="C936">
        <v>1013017371</v>
      </c>
      <c r="D936" t="s">
        <v>950</v>
      </c>
      <c r="E936" t="s">
        <v>31</v>
      </c>
      <c r="F936" s="1">
        <v>0.67291666666666672</v>
      </c>
      <c r="G936" t="s">
        <v>32</v>
      </c>
      <c r="H936" t="s">
        <v>33</v>
      </c>
      <c r="I936" t="s">
        <v>34</v>
      </c>
      <c r="J936" t="s">
        <v>124</v>
      </c>
      <c r="K936">
        <v>20</v>
      </c>
      <c r="L936">
        <v>0</v>
      </c>
      <c r="M936" t="s">
        <v>36</v>
      </c>
      <c r="N936" t="s">
        <v>37</v>
      </c>
      <c r="O936">
        <v>50944</v>
      </c>
      <c r="P936">
        <v>2730</v>
      </c>
      <c r="Q936">
        <v>5.3588300000000002</v>
      </c>
      <c r="R936">
        <v>3</v>
      </c>
      <c r="S936">
        <v>249.85</v>
      </c>
      <c r="T936">
        <v>4.9039999999999999</v>
      </c>
      <c r="U936">
        <v>9.1999999999999998E-2</v>
      </c>
      <c r="V936">
        <v>83.284000000000006</v>
      </c>
      <c r="W936">
        <v>2</v>
      </c>
      <c r="X936">
        <v>0</v>
      </c>
      <c r="Y936" t="s">
        <v>36</v>
      </c>
      <c r="Z936">
        <v>50929</v>
      </c>
      <c r="AA936">
        <v>41557</v>
      </c>
      <c r="AB936">
        <v>4827</v>
      </c>
      <c r="AC936" t="s">
        <v>946</v>
      </c>
      <c r="AD936" t="str">
        <f t="shared" si="28"/>
        <v>US</v>
      </c>
      <c r="AE936" t="str">
        <f>_xlfn.XLOOKUP(D936,Mapping!A:A,Mapping!D:D,0,0)</f>
        <v>Gay</v>
      </c>
      <c r="AF936" t="str">
        <f t="shared" si="29"/>
        <v>JB</v>
      </c>
    </row>
    <row r="937" spans="1:32" x14ac:dyDescent="0.2">
      <c r="A937" t="s">
        <v>1118</v>
      </c>
      <c r="B937" t="s">
        <v>29</v>
      </c>
      <c r="C937">
        <v>1013017401</v>
      </c>
      <c r="D937" t="s">
        <v>951</v>
      </c>
      <c r="E937" t="s">
        <v>31</v>
      </c>
      <c r="F937" s="1">
        <v>0.67291666666666672</v>
      </c>
      <c r="G937" t="s">
        <v>32</v>
      </c>
      <c r="H937" t="s">
        <v>33</v>
      </c>
      <c r="I937" t="s">
        <v>34</v>
      </c>
      <c r="J937" t="s">
        <v>124</v>
      </c>
      <c r="K937">
        <v>20</v>
      </c>
      <c r="L937">
        <v>0</v>
      </c>
      <c r="M937" t="s">
        <v>36</v>
      </c>
      <c r="N937" t="s">
        <v>37</v>
      </c>
      <c r="O937">
        <v>723</v>
      </c>
      <c r="P937">
        <v>33</v>
      </c>
      <c r="Q937">
        <v>4.5643200000000004</v>
      </c>
      <c r="R937">
        <v>0</v>
      </c>
      <c r="S937">
        <v>1.91</v>
      </c>
      <c r="T937">
        <v>2.6389999999999998</v>
      </c>
      <c r="U937">
        <v>5.8000000000000003E-2</v>
      </c>
      <c r="V937">
        <v>0</v>
      </c>
      <c r="W937">
        <v>2</v>
      </c>
      <c r="X937">
        <v>0</v>
      </c>
      <c r="Y937" t="s">
        <v>36</v>
      </c>
      <c r="Z937">
        <v>723</v>
      </c>
      <c r="AA937">
        <v>559</v>
      </c>
      <c r="AB937">
        <v>93</v>
      </c>
      <c r="AC937" t="s">
        <v>946</v>
      </c>
      <c r="AD937" t="str">
        <f t="shared" si="28"/>
        <v>AU</v>
      </c>
      <c r="AE937" t="str">
        <f>_xlfn.XLOOKUP(D937,Mapping!A:A,Mapping!D:D,0,0)</f>
        <v>Gay</v>
      </c>
      <c r="AF937" t="str">
        <f t="shared" si="29"/>
        <v>JB</v>
      </c>
    </row>
    <row r="938" spans="1:32" x14ac:dyDescent="0.2">
      <c r="A938" t="s">
        <v>1118</v>
      </c>
      <c r="B938" t="s">
        <v>29</v>
      </c>
      <c r="C938">
        <v>1013017411</v>
      </c>
      <c r="D938" t="s">
        <v>952</v>
      </c>
      <c r="E938" t="s">
        <v>31</v>
      </c>
      <c r="F938" s="1">
        <v>0.67291666666666672</v>
      </c>
      <c r="G938" t="s">
        <v>32</v>
      </c>
      <c r="H938" t="s">
        <v>33</v>
      </c>
      <c r="I938" t="s">
        <v>34</v>
      </c>
      <c r="J938" t="s">
        <v>124</v>
      </c>
      <c r="K938">
        <v>20</v>
      </c>
      <c r="L938">
        <v>0</v>
      </c>
      <c r="M938" t="s">
        <v>36</v>
      </c>
      <c r="N938" t="s">
        <v>37</v>
      </c>
      <c r="O938">
        <v>8161</v>
      </c>
      <c r="P938">
        <v>381</v>
      </c>
      <c r="Q938">
        <v>4.6685499999999998</v>
      </c>
      <c r="R938">
        <v>0</v>
      </c>
      <c r="S938">
        <v>13.29</v>
      </c>
      <c r="T938">
        <v>1.629</v>
      </c>
      <c r="U938">
        <v>3.5000000000000003E-2</v>
      </c>
      <c r="V938">
        <v>0</v>
      </c>
      <c r="W938">
        <v>2</v>
      </c>
      <c r="X938">
        <v>0</v>
      </c>
      <c r="Y938" t="s">
        <v>36</v>
      </c>
      <c r="Z938">
        <v>8159</v>
      </c>
      <c r="AA938">
        <v>6545</v>
      </c>
      <c r="AB938">
        <v>762</v>
      </c>
      <c r="AC938" t="s">
        <v>946</v>
      </c>
      <c r="AD938" t="str">
        <f t="shared" si="28"/>
        <v>CA</v>
      </c>
      <c r="AE938" t="str">
        <f>_xlfn.XLOOKUP(D938,Mapping!A:A,Mapping!D:D,0,0)</f>
        <v>Gay</v>
      </c>
      <c r="AF938" t="str">
        <f t="shared" si="29"/>
        <v>JB</v>
      </c>
    </row>
    <row r="939" spans="1:32" x14ac:dyDescent="0.2">
      <c r="A939" t="s">
        <v>1118</v>
      </c>
      <c r="B939" t="s">
        <v>39</v>
      </c>
      <c r="C939">
        <v>1013022481</v>
      </c>
      <c r="D939" t="s">
        <v>953</v>
      </c>
      <c r="E939" t="s">
        <v>31</v>
      </c>
      <c r="F939" s="1">
        <v>0.67291666666666672</v>
      </c>
      <c r="G939" t="s">
        <v>32</v>
      </c>
      <c r="H939" t="s">
        <v>33</v>
      </c>
      <c r="I939" t="s">
        <v>34</v>
      </c>
      <c r="J939" t="s">
        <v>84</v>
      </c>
      <c r="K939">
        <v>2</v>
      </c>
      <c r="L939">
        <v>0</v>
      </c>
      <c r="M939" t="s">
        <v>63</v>
      </c>
      <c r="N939">
        <v>25</v>
      </c>
      <c r="O939">
        <v>0</v>
      </c>
      <c r="P939">
        <v>0</v>
      </c>
      <c r="Q939">
        <v>0</v>
      </c>
      <c r="S939">
        <v>0</v>
      </c>
      <c r="T939">
        <v>0</v>
      </c>
      <c r="U939">
        <v>0</v>
      </c>
      <c r="V939">
        <v>0</v>
      </c>
      <c r="W939">
        <v>2</v>
      </c>
      <c r="X939">
        <v>0</v>
      </c>
      <c r="Y939" t="s">
        <v>36</v>
      </c>
      <c r="AC939" t="s">
        <v>954</v>
      </c>
      <c r="AD939" t="str">
        <f t="shared" si="28"/>
        <v>TE</v>
      </c>
      <c r="AE939" t="str">
        <f>_xlfn.XLOOKUP(D939,Mapping!A:A,Mapping!D:D,0,0)</f>
        <v>JB-Testing</v>
      </c>
      <c r="AF939" t="str">
        <f t="shared" si="29"/>
        <v>JB</v>
      </c>
    </row>
    <row r="940" spans="1:32" x14ac:dyDescent="0.2">
      <c r="A940" t="s">
        <v>1118</v>
      </c>
      <c r="B940" t="s">
        <v>39</v>
      </c>
      <c r="C940">
        <v>1013022491</v>
      </c>
      <c r="D940" t="s">
        <v>955</v>
      </c>
      <c r="E940" t="s">
        <v>31</v>
      </c>
      <c r="F940" s="1">
        <v>0.67291666666666672</v>
      </c>
      <c r="G940" t="s">
        <v>32</v>
      </c>
      <c r="H940" t="s">
        <v>33</v>
      </c>
      <c r="I940" t="s">
        <v>34</v>
      </c>
      <c r="J940" t="s">
        <v>84</v>
      </c>
      <c r="K940">
        <v>11</v>
      </c>
      <c r="L940">
        <v>0</v>
      </c>
      <c r="M940" t="s">
        <v>63</v>
      </c>
      <c r="N940">
        <v>25</v>
      </c>
      <c r="O940">
        <v>0</v>
      </c>
      <c r="P940">
        <v>0</v>
      </c>
      <c r="Q940">
        <v>0</v>
      </c>
      <c r="S940">
        <v>0</v>
      </c>
      <c r="T940">
        <v>0</v>
      </c>
      <c r="U940">
        <v>0</v>
      </c>
      <c r="V940">
        <v>0</v>
      </c>
      <c r="W940">
        <v>2</v>
      </c>
      <c r="X940">
        <v>0</v>
      </c>
      <c r="Y940" t="s">
        <v>36</v>
      </c>
      <c r="AC940" t="s">
        <v>954</v>
      </c>
      <c r="AD940" t="str">
        <f t="shared" si="28"/>
        <v>TE</v>
      </c>
      <c r="AE940" t="str">
        <f>_xlfn.XLOOKUP(D940,Mapping!A:A,Mapping!D:D,0,0)</f>
        <v>JB-Testing</v>
      </c>
      <c r="AF940" t="str">
        <f t="shared" si="29"/>
        <v>JB</v>
      </c>
    </row>
    <row r="941" spans="1:32" x14ac:dyDescent="0.2">
      <c r="A941" t="s">
        <v>1118</v>
      </c>
      <c r="B941" t="s">
        <v>39</v>
      </c>
      <c r="C941">
        <v>1013022501</v>
      </c>
      <c r="D941" t="s">
        <v>956</v>
      </c>
      <c r="E941" t="s">
        <v>31</v>
      </c>
      <c r="F941" s="1">
        <v>0.67291666666666672</v>
      </c>
      <c r="G941" t="s">
        <v>32</v>
      </c>
      <c r="H941" t="s">
        <v>33</v>
      </c>
      <c r="I941" t="s">
        <v>34</v>
      </c>
      <c r="J941" t="s">
        <v>957</v>
      </c>
      <c r="K941">
        <v>24</v>
      </c>
      <c r="L941">
        <v>0</v>
      </c>
      <c r="M941" t="s">
        <v>63</v>
      </c>
      <c r="N941">
        <v>25</v>
      </c>
      <c r="O941">
        <v>0</v>
      </c>
      <c r="P941">
        <v>0</v>
      </c>
      <c r="Q941">
        <v>0</v>
      </c>
      <c r="S941">
        <v>0</v>
      </c>
      <c r="T941">
        <v>0</v>
      </c>
      <c r="U941">
        <v>0</v>
      </c>
      <c r="V941">
        <v>0</v>
      </c>
      <c r="W941">
        <v>2</v>
      </c>
      <c r="X941">
        <v>0</v>
      </c>
      <c r="Y941" t="s">
        <v>36</v>
      </c>
      <c r="AC941" t="s">
        <v>760</v>
      </c>
      <c r="AD941" t="str">
        <f t="shared" si="28"/>
        <v>TE</v>
      </c>
      <c r="AE941" t="str">
        <f>_xlfn.XLOOKUP(D941,Mapping!A:A,Mapping!D:D,0,0)</f>
        <v>Remarketing</v>
      </c>
      <c r="AF941" t="str">
        <f t="shared" si="29"/>
        <v>JB</v>
      </c>
    </row>
    <row r="942" spans="1:32" x14ac:dyDescent="0.2">
      <c r="A942" t="s">
        <v>1118</v>
      </c>
      <c r="B942" t="s">
        <v>29</v>
      </c>
      <c r="C942">
        <v>1013024831</v>
      </c>
      <c r="D942" t="s">
        <v>958</v>
      </c>
      <c r="E942" t="s">
        <v>31</v>
      </c>
      <c r="F942" s="1">
        <v>0.67291666666666672</v>
      </c>
      <c r="G942" t="s">
        <v>32</v>
      </c>
      <c r="H942" t="s">
        <v>33</v>
      </c>
      <c r="I942" t="s">
        <v>34</v>
      </c>
      <c r="J942" t="s">
        <v>723</v>
      </c>
      <c r="K942">
        <v>7</v>
      </c>
      <c r="L942">
        <v>0</v>
      </c>
      <c r="M942" t="s">
        <v>63</v>
      </c>
      <c r="N942">
        <v>500</v>
      </c>
      <c r="O942">
        <v>1436</v>
      </c>
      <c r="P942">
        <v>39</v>
      </c>
      <c r="Q942">
        <v>2.7158799999999998</v>
      </c>
      <c r="R942">
        <v>0</v>
      </c>
      <c r="S942">
        <v>1.51</v>
      </c>
      <c r="T942">
        <v>1.05</v>
      </c>
      <c r="U942">
        <v>3.9E-2</v>
      </c>
      <c r="V942">
        <v>0</v>
      </c>
      <c r="W942">
        <v>2</v>
      </c>
      <c r="X942">
        <v>0</v>
      </c>
      <c r="Y942" t="s">
        <v>63</v>
      </c>
      <c r="Z942">
        <v>1436</v>
      </c>
      <c r="AA942">
        <v>1050</v>
      </c>
      <c r="AB942">
        <v>173</v>
      </c>
      <c r="AC942" t="s">
        <v>38</v>
      </c>
      <c r="AD942" t="str">
        <f t="shared" si="28"/>
        <v>CA</v>
      </c>
      <c r="AE942" t="str">
        <f>_xlfn.XLOOKUP(D942,Mapping!A:A,Mapping!D:D,0,0)</f>
        <v>AI</v>
      </c>
      <c r="AF942" t="str">
        <f t="shared" si="29"/>
        <v>TJ</v>
      </c>
    </row>
    <row r="943" spans="1:32" x14ac:dyDescent="0.2">
      <c r="A943" t="s">
        <v>1118</v>
      </c>
      <c r="B943" t="s">
        <v>29</v>
      </c>
      <c r="C943">
        <v>1013024841</v>
      </c>
      <c r="D943" t="s">
        <v>959</v>
      </c>
      <c r="E943" t="s">
        <v>31</v>
      </c>
      <c r="F943" s="1">
        <v>0.67291666666666672</v>
      </c>
      <c r="G943" t="s">
        <v>32</v>
      </c>
      <c r="H943" t="s">
        <v>33</v>
      </c>
      <c r="I943" t="s">
        <v>34</v>
      </c>
      <c r="J943" t="s">
        <v>723</v>
      </c>
      <c r="K943">
        <v>7</v>
      </c>
      <c r="L943">
        <v>0</v>
      </c>
      <c r="M943" t="s">
        <v>63</v>
      </c>
      <c r="N943">
        <v>500</v>
      </c>
      <c r="O943">
        <v>928</v>
      </c>
      <c r="P943">
        <v>39</v>
      </c>
      <c r="Q943">
        <v>4.2025899999999998</v>
      </c>
      <c r="R943">
        <v>0</v>
      </c>
      <c r="S943">
        <v>1.34</v>
      </c>
      <c r="T943">
        <v>1.4430000000000001</v>
      </c>
      <c r="U943">
        <v>3.4000000000000002E-2</v>
      </c>
      <c r="V943">
        <v>0</v>
      </c>
      <c r="W943">
        <v>2</v>
      </c>
      <c r="X943">
        <v>0</v>
      </c>
      <c r="Y943" t="s">
        <v>63</v>
      </c>
      <c r="Z943">
        <v>928</v>
      </c>
      <c r="AA943">
        <v>672</v>
      </c>
      <c r="AB943">
        <v>138</v>
      </c>
      <c r="AC943" t="s">
        <v>38</v>
      </c>
      <c r="AD943" t="str">
        <f t="shared" si="28"/>
        <v>AU</v>
      </c>
      <c r="AE943" t="str">
        <f>_xlfn.XLOOKUP(D943,Mapping!A:A,Mapping!D:D,0,0)</f>
        <v>AI</v>
      </c>
      <c r="AF943" t="str">
        <f t="shared" si="29"/>
        <v>TJ</v>
      </c>
    </row>
    <row r="944" spans="1:32" x14ac:dyDescent="0.2">
      <c r="A944" t="s">
        <v>1118</v>
      </c>
      <c r="B944" t="s">
        <v>29</v>
      </c>
      <c r="C944">
        <v>1013024861</v>
      </c>
      <c r="D944" t="s">
        <v>944</v>
      </c>
      <c r="E944" t="s">
        <v>31</v>
      </c>
      <c r="F944" s="1">
        <v>0.67291666666666672</v>
      </c>
      <c r="G944" t="s">
        <v>32</v>
      </c>
      <c r="H944" t="s">
        <v>33</v>
      </c>
      <c r="I944" t="s">
        <v>34</v>
      </c>
      <c r="J944" t="s">
        <v>723</v>
      </c>
      <c r="K944">
        <v>7</v>
      </c>
      <c r="L944">
        <v>0</v>
      </c>
      <c r="M944" t="s">
        <v>63</v>
      </c>
      <c r="N944">
        <v>500</v>
      </c>
      <c r="O944">
        <v>136</v>
      </c>
      <c r="P944">
        <v>3</v>
      </c>
      <c r="Q944">
        <v>2.2058800000000001</v>
      </c>
      <c r="R944">
        <v>0</v>
      </c>
      <c r="S944">
        <v>0.34</v>
      </c>
      <c r="T944">
        <v>2.472</v>
      </c>
      <c r="U944">
        <v>0.112</v>
      </c>
      <c r="V944">
        <v>0</v>
      </c>
      <c r="W944">
        <v>2</v>
      </c>
      <c r="X944">
        <v>0</v>
      </c>
      <c r="Y944" t="s">
        <v>63</v>
      </c>
      <c r="Z944">
        <v>136</v>
      </c>
      <c r="AA944">
        <v>84</v>
      </c>
      <c r="AB944">
        <v>24</v>
      </c>
      <c r="AC944" t="s">
        <v>38</v>
      </c>
      <c r="AD944" t="str">
        <f t="shared" si="28"/>
        <v>UK</v>
      </c>
      <c r="AE944" t="str">
        <f>_xlfn.XLOOKUP(D944,Mapping!A:A,Mapping!D:D,0,0)</f>
        <v>AI</v>
      </c>
      <c r="AF944" t="str">
        <f t="shared" si="29"/>
        <v>TJ</v>
      </c>
    </row>
    <row r="945" spans="1:32" x14ac:dyDescent="0.2">
      <c r="A945" t="s">
        <v>1118</v>
      </c>
      <c r="B945" t="s">
        <v>29</v>
      </c>
      <c r="C945">
        <v>1013024881</v>
      </c>
      <c r="D945" t="s">
        <v>960</v>
      </c>
      <c r="E945" t="s">
        <v>31</v>
      </c>
      <c r="F945" s="1">
        <v>0.67291666666666672</v>
      </c>
      <c r="G945" t="s">
        <v>32</v>
      </c>
      <c r="H945" t="s">
        <v>33</v>
      </c>
      <c r="I945" t="s">
        <v>34</v>
      </c>
      <c r="J945" t="s">
        <v>723</v>
      </c>
      <c r="K945">
        <v>7</v>
      </c>
      <c r="L945">
        <v>0</v>
      </c>
      <c r="M945" t="s">
        <v>63</v>
      </c>
      <c r="N945">
        <v>500</v>
      </c>
      <c r="O945">
        <v>46</v>
      </c>
      <c r="P945">
        <v>0</v>
      </c>
      <c r="Q945">
        <v>0</v>
      </c>
      <c r="R945">
        <v>0</v>
      </c>
      <c r="S945">
        <v>0.04</v>
      </c>
      <c r="T945">
        <v>0.91500000000000004</v>
      </c>
      <c r="U945">
        <v>0</v>
      </c>
      <c r="V945">
        <v>0</v>
      </c>
      <c r="W945">
        <v>2</v>
      </c>
      <c r="X945">
        <v>0</v>
      </c>
      <c r="Y945" t="s">
        <v>63</v>
      </c>
      <c r="Z945">
        <v>46</v>
      </c>
      <c r="AA945">
        <v>34</v>
      </c>
      <c r="AB945">
        <v>4</v>
      </c>
      <c r="AC945" t="s">
        <v>38</v>
      </c>
      <c r="AD945" t="str">
        <f t="shared" si="28"/>
        <v>NZ</v>
      </c>
      <c r="AE945" t="str">
        <f>_xlfn.XLOOKUP(D945,Mapping!A:A,Mapping!D:D,0,0)</f>
        <v>AI</v>
      </c>
      <c r="AF945" t="str">
        <f t="shared" si="29"/>
        <v>TJ</v>
      </c>
    </row>
    <row r="946" spans="1:32" x14ac:dyDescent="0.2">
      <c r="A946" t="s">
        <v>1118</v>
      </c>
      <c r="B946" t="s">
        <v>29</v>
      </c>
      <c r="C946">
        <v>1013024901</v>
      </c>
      <c r="D946" t="s">
        <v>961</v>
      </c>
      <c r="E946" t="s">
        <v>31</v>
      </c>
      <c r="F946" t="s">
        <v>246</v>
      </c>
      <c r="G946" t="s">
        <v>247</v>
      </c>
      <c r="H946" t="s">
        <v>33</v>
      </c>
      <c r="I946" t="s">
        <v>41</v>
      </c>
      <c r="J946" t="s">
        <v>58</v>
      </c>
      <c r="K946">
        <v>15</v>
      </c>
      <c r="L946">
        <v>3</v>
      </c>
      <c r="M946" t="s">
        <v>36</v>
      </c>
      <c r="N946" t="s">
        <v>37</v>
      </c>
      <c r="O946">
        <v>2343430</v>
      </c>
      <c r="P946">
        <v>3088</v>
      </c>
      <c r="Q946">
        <v>0.13177</v>
      </c>
      <c r="R946">
        <v>3</v>
      </c>
      <c r="S946">
        <v>822.54</v>
      </c>
      <c r="T946">
        <v>0.35099999999999998</v>
      </c>
      <c r="U946">
        <v>0.26600000000000001</v>
      </c>
      <c r="V946">
        <v>274.18099999999998</v>
      </c>
      <c r="W946">
        <v>2</v>
      </c>
      <c r="X946">
        <v>0</v>
      </c>
      <c r="Y946" t="s">
        <v>63</v>
      </c>
      <c r="Z946">
        <v>0</v>
      </c>
      <c r="AA946">
        <v>0</v>
      </c>
      <c r="AB946">
        <v>0</v>
      </c>
      <c r="AC946" t="s">
        <v>687</v>
      </c>
      <c r="AD946" t="str">
        <f t="shared" si="28"/>
        <v>US</v>
      </c>
      <c r="AE946" t="str">
        <f>_xlfn.XLOOKUP(D946,Mapping!A:A,Mapping!D:D,0,0)</f>
        <v>Native - Homepage</v>
      </c>
      <c r="AF946" t="str">
        <f t="shared" si="29"/>
        <v>TJ</v>
      </c>
    </row>
    <row r="947" spans="1:32" x14ac:dyDescent="0.2">
      <c r="A947" t="s">
        <v>1118</v>
      </c>
      <c r="B947" t="s">
        <v>29</v>
      </c>
      <c r="C947">
        <v>1013025091</v>
      </c>
      <c r="D947" t="s">
        <v>962</v>
      </c>
      <c r="E947" t="s">
        <v>31</v>
      </c>
      <c r="F947" t="s">
        <v>246</v>
      </c>
      <c r="G947" t="s">
        <v>247</v>
      </c>
      <c r="H947" t="s">
        <v>33</v>
      </c>
      <c r="I947" t="s">
        <v>41</v>
      </c>
      <c r="J947" t="s">
        <v>58</v>
      </c>
      <c r="K947">
        <v>18</v>
      </c>
      <c r="L947">
        <v>0</v>
      </c>
      <c r="M947" t="s">
        <v>36</v>
      </c>
      <c r="N947" t="s">
        <v>37</v>
      </c>
      <c r="O947">
        <v>440510</v>
      </c>
      <c r="P947">
        <v>421</v>
      </c>
      <c r="Q947">
        <v>9.5570000000000002E-2</v>
      </c>
      <c r="R947">
        <v>2</v>
      </c>
      <c r="S947">
        <v>141.84</v>
      </c>
      <c r="T947">
        <v>0.32200000000000001</v>
      </c>
      <c r="U947">
        <v>0.33700000000000002</v>
      </c>
      <c r="V947">
        <v>70.921999999999997</v>
      </c>
      <c r="W947">
        <v>2</v>
      </c>
      <c r="X947">
        <v>0</v>
      </c>
      <c r="Y947" t="s">
        <v>63</v>
      </c>
      <c r="Z947">
        <v>0</v>
      </c>
      <c r="AA947">
        <v>0</v>
      </c>
      <c r="AB947">
        <v>0</v>
      </c>
      <c r="AC947" t="s">
        <v>687</v>
      </c>
      <c r="AD947" t="str">
        <f t="shared" si="28"/>
        <v>AU</v>
      </c>
      <c r="AE947" t="str">
        <f>_xlfn.XLOOKUP(D947,Mapping!A:A,Mapping!D:D,0,0)</f>
        <v>Native - Homepage</v>
      </c>
      <c r="AF947" t="str">
        <f t="shared" si="29"/>
        <v>TJ</v>
      </c>
    </row>
    <row r="948" spans="1:32" x14ac:dyDescent="0.2">
      <c r="A948" t="s">
        <v>1118</v>
      </c>
      <c r="B948" t="s">
        <v>29</v>
      </c>
      <c r="C948">
        <v>1013025101</v>
      </c>
      <c r="D948" t="s">
        <v>963</v>
      </c>
      <c r="E948" t="s">
        <v>31</v>
      </c>
      <c r="F948" t="s">
        <v>246</v>
      </c>
      <c r="G948" t="s">
        <v>247</v>
      </c>
      <c r="H948" t="s">
        <v>33</v>
      </c>
      <c r="I948" t="s">
        <v>41</v>
      </c>
      <c r="J948" t="s">
        <v>58</v>
      </c>
      <c r="K948">
        <v>18</v>
      </c>
      <c r="L948">
        <v>0</v>
      </c>
      <c r="M948" t="s">
        <v>63</v>
      </c>
      <c r="N948">
        <v>500</v>
      </c>
      <c r="O948">
        <v>309167</v>
      </c>
      <c r="P948">
        <v>377</v>
      </c>
      <c r="Q948">
        <v>0.12194000000000001</v>
      </c>
      <c r="R948">
        <v>0</v>
      </c>
      <c r="S948">
        <v>131.71</v>
      </c>
      <c r="T948">
        <v>0.42599999999999999</v>
      </c>
      <c r="U948">
        <v>0.34899999999999998</v>
      </c>
      <c r="V948">
        <v>0</v>
      </c>
      <c r="W948">
        <v>2</v>
      </c>
      <c r="X948">
        <v>0</v>
      </c>
      <c r="Y948" t="s">
        <v>63</v>
      </c>
      <c r="Z948">
        <v>0</v>
      </c>
      <c r="AA948">
        <v>0</v>
      </c>
      <c r="AB948">
        <v>0</v>
      </c>
      <c r="AC948" t="s">
        <v>687</v>
      </c>
      <c r="AD948" t="str">
        <f t="shared" si="28"/>
        <v>UK</v>
      </c>
      <c r="AE948" t="str">
        <f>_xlfn.XLOOKUP(D948,Mapping!A:A,Mapping!D:D,0,0)</f>
        <v>Native - Homepage</v>
      </c>
      <c r="AF948" t="str">
        <f t="shared" si="29"/>
        <v>TJ</v>
      </c>
    </row>
    <row r="949" spans="1:32" x14ac:dyDescent="0.2">
      <c r="A949" t="s">
        <v>1118</v>
      </c>
      <c r="B949" t="s">
        <v>29</v>
      </c>
      <c r="C949">
        <v>1013025111</v>
      </c>
      <c r="D949" t="s">
        <v>964</v>
      </c>
      <c r="E949" t="s">
        <v>31</v>
      </c>
      <c r="F949" t="s">
        <v>246</v>
      </c>
      <c r="G949" t="s">
        <v>247</v>
      </c>
      <c r="H949" t="s">
        <v>33</v>
      </c>
      <c r="I949" t="s">
        <v>41</v>
      </c>
      <c r="J949" t="s">
        <v>58</v>
      </c>
      <c r="K949">
        <v>4</v>
      </c>
      <c r="L949">
        <v>0</v>
      </c>
      <c r="M949" t="s">
        <v>36</v>
      </c>
      <c r="N949" t="s">
        <v>37</v>
      </c>
      <c r="O949">
        <v>79001</v>
      </c>
      <c r="P949">
        <v>104</v>
      </c>
      <c r="Q949">
        <v>0.13164000000000001</v>
      </c>
      <c r="R949">
        <v>0</v>
      </c>
      <c r="S949">
        <v>15.25</v>
      </c>
      <c r="T949">
        <v>0.193</v>
      </c>
      <c r="U949">
        <v>0.14699999999999999</v>
      </c>
      <c r="V949">
        <v>0</v>
      </c>
      <c r="W949">
        <v>2</v>
      </c>
      <c r="X949">
        <v>0</v>
      </c>
      <c r="Y949" t="s">
        <v>63</v>
      </c>
      <c r="Z949">
        <v>0</v>
      </c>
      <c r="AA949">
        <v>0</v>
      </c>
      <c r="AB949">
        <v>0</v>
      </c>
      <c r="AC949" t="s">
        <v>687</v>
      </c>
      <c r="AD949" t="str">
        <f t="shared" si="28"/>
        <v>NZ</v>
      </c>
      <c r="AE949" t="str">
        <f>_xlfn.XLOOKUP(D949,Mapping!A:A,Mapping!D:D,0,0)</f>
        <v>Native - Homepage</v>
      </c>
      <c r="AF949" t="str">
        <f t="shared" si="29"/>
        <v>TJ</v>
      </c>
    </row>
    <row r="950" spans="1:32" x14ac:dyDescent="0.2">
      <c r="A950" t="s">
        <v>1118</v>
      </c>
      <c r="B950" t="s">
        <v>29</v>
      </c>
      <c r="C950">
        <v>1013025121</v>
      </c>
      <c r="D950" t="s">
        <v>908</v>
      </c>
      <c r="E950" t="s">
        <v>31</v>
      </c>
      <c r="F950" s="1">
        <v>0.67291666666666672</v>
      </c>
      <c r="G950" t="s">
        <v>32</v>
      </c>
      <c r="H950" t="s">
        <v>33</v>
      </c>
      <c r="I950" t="s">
        <v>34</v>
      </c>
      <c r="J950" t="s">
        <v>84</v>
      </c>
      <c r="K950">
        <v>68</v>
      </c>
      <c r="L950">
        <v>0</v>
      </c>
      <c r="M950" t="s">
        <v>63</v>
      </c>
      <c r="N950">
        <v>250</v>
      </c>
      <c r="O950">
        <v>33253</v>
      </c>
      <c r="P950">
        <v>1943</v>
      </c>
      <c r="Q950">
        <v>5.8430799999999996</v>
      </c>
      <c r="R950">
        <v>1</v>
      </c>
      <c r="S950">
        <v>126.43</v>
      </c>
      <c r="T950">
        <v>3.802</v>
      </c>
      <c r="U950">
        <v>6.5000000000000002E-2</v>
      </c>
      <c r="V950">
        <v>126.429</v>
      </c>
      <c r="W950">
        <v>2</v>
      </c>
      <c r="X950">
        <v>0</v>
      </c>
      <c r="Y950" t="s">
        <v>36</v>
      </c>
      <c r="Z950">
        <v>33237</v>
      </c>
      <c r="AA950">
        <v>26072</v>
      </c>
      <c r="AB950">
        <v>3530</v>
      </c>
      <c r="AC950" t="s">
        <v>618</v>
      </c>
      <c r="AD950" t="str">
        <f t="shared" si="28"/>
        <v>US</v>
      </c>
      <c r="AE950" t="str">
        <f>_xlfn.XLOOKUP(D950,Mapping!A:A,Mapping!D:D,0,0)</f>
        <v>Hentai</v>
      </c>
      <c r="AF950" t="str">
        <f t="shared" si="29"/>
        <v>JB</v>
      </c>
    </row>
    <row r="951" spans="1:32" x14ac:dyDescent="0.2">
      <c r="A951" t="s">
        <v>1118</v>
      </c>
      <c r="B951" t="s">
        <v>29</v>
      </c>
      <c r="C951">
        <v>1013025171</v>
      </c>
      <c r="D951" t="s">
        <v>905</v>
      </c>
      <c r="E951" t="s">
        <v>31</v>
      </c>
      <c r="F951" s="1">
        <v>0.67291666666666672</v>
      </c>
      <c r="G951" t="s">
        <v>32</v>
      </c>
      <c r="H951" t="s">
        <v>33</v>
      </c>
      <c r="I951" t="s">
        <v>34</v>
      </c>
      <c r="J951" t="s">
        <v>84</v>
      </c>
      <c r="K951">
        <v>68</v>
      </c>
      <c r="L951">
        <v>0</v>
      </c>
      <c r="M951" t="s">
        <v>36</v>
      </c>
      <c r="N951" t="s">
        <v>37</v>
      </c>
      <c r="O951">
        <v>33494</v>
      </c>
      <c r="P951">
        <v>1940</v>
      </c>
      <c r="Q951">
        <v>5.7920800000000003</v>
      </c>
      <c r="R951">
        <v>1</v>
      </c>
      <c r="S951">
        <v>127.37</v>
      </c>
      <c r="T951">
        <v>3.8029999999999999</v>
      </c>
      <c r="U951">
        <v>6.6000000000000003E-2</v>
      </c>
      <c r="V951">
        <v>127.36799999999999</v>
      </c>
      <c r="W951">
        <v>2</v>
      </c>
      <c r="X951">
        <v>0</v>
      </c>
      <c r="Y951" t="s">
        <v>36</v>
      </c>
      <c r="Z951">
        <v>33472</v>
      </c>
      <c r="AA951">
        <v>26420</v>
      </c>
      <c r="AB951">
        <v>3517</v>
      </c>
      <c r="AC951" t="s">
        <v>618</v>
      </c>
      <c r="AD951" t="str">
        <f t="shared" si="28"/>
        <v>CA</v>
      </c>
      <c r="AE951" t="str">
        <f>_xlfn.XLOOKUP(D951,Mapping!A:A,Mapping!D:D,0,0)</f>
        <v>Hentai</v>
      </c>
      <c r="AF951" t="str">
        <f t="shared" si="29"/>
        <v>JB</v>
      </c>
    </row>
    <row r="952" spans="1:32" x14ac:dyDescent="0.2">
      <c r="A952" t="s">
        <v>1118</v>
      </c>
      <c r="B952" t="s">
        <v>29</v>
      </c>
      <c r="C952">
        <v>1013025221</v>
      </c>
      <c r="D952" t="s">
        <v>906</v>
      </c>
      <c r="E952" t="s">
        <v>31</v>
      </c>
      <c r="F952" s="1">
        <v>0.67291666666666672</v>
      </c>
      <c r="G952" t="s">
        <v>32</v>
      </c>
      <c r="H952" t="s">
        <v>33</v>
      </c>
      <c r="I952" t="s">
        <v>41</v>
      </c>
      <c r="J952" t="s">
        <v>62</v>
      </c>
      <c r="K952">
        <v>173</v>
      </c>
      <c r="L952">
        <v>0</v>
      </c>
      <c r="M952" t="s">
        <v>63</v>
      </c>
      <c r="N952">
        <v>250</v>
      </c>
      <c r="O952">
        <v>23462</v>
      </c>
      <c r="P952">
        <v>1909</v>
      </c>
      <c r="Q952">
        <v>8.1365499999999997</v>
      </c>
      <c r="R952">
        <v>0</v>
      </c>
      <c r="S952">
        <v>47.57</v>
      </c>
      <c r="T952">
        <v>2.028</v>
      </c>
      <c r="U952">
        <v>2.5000000000000001E-2</v>
      </c>
      <c r="V952">
        <v>0</v>
      </c>
      <c r="W952">
        <v>2</v>
      </c>
      <c r="X952">
        <v>0</v>
      </c>
      <c r="Y952" t="s">
        <v>36</v>
      </c>
      <c r="Z952">
        <v>23448</v>
      </c>
      <c r="AA952">
        <v>20936</v>
      </c>
      <c r="AB952">
        <v>1693</v>
      </c>
      <c r="AC952" t="s">
        <v>618</v>
      </c>
      <c r="AD952" t="str">
        <f t="shared" si="28"/>
        <v>US</v>
      </c>
      <c r="AE952" t="str">
        <f>_xlfn.XLOOKUP(D952,Mapping!A:A,Mapping!D:D,0,0)</f>
        <v>Hentai</v>
      </c>
      <c r="AF952" t="str">
        <f t="shared" si="29"/>
        <v>JB</v>
      </c>
    </row>
    <row r="953" spans="1:32" x14ac:dyDescent="0.2">
      <c r="A953" t="s">
        <v>1118</v>
      </c>
      <c r="B953" t="s">
        <v>39</v>
      </c>
      <c r="C953">
        <v>1013025241</v>
      </c>
      <c r="D953" t="s">
        <v>903</v>
      </c>
      <c r="E953" t="s">
        <v>31</v>
      </c>
      <c r="F953" s="1">
        <v>0.67291666666666672</v>
      </c>
      <c r="G953" t="s">
        <v>32</v>
      </c>
      <c r="H953" t="s">
        <v>33</v>
      </c>
      <c r="I953" t="s">
        <v>41</v>
      </c>
      <c r="J953" t="s">
        <v>62</v>
      </c>
      <c r="K953">
        <v>140</v>
      </c>
      <c r="L953">
        <v>0</v>
      </c>
      <c r="M953" t="s">
        <v>63</v>
      </c>
      <c r="N953">
        <v>250</v>
      </c>
      <c r="O953">
        <v>0</v>
      </c>
      <c r="P953">
        <v>0</v>
      </c>
      <c r="Q953">
        <v>0</v>
      </c>
      <c r="S953">
        <v>0</v>
      </c>
      <c r="T953">
        <v>0</v>
      </c>
      <c r="U953">
        <v>0</v>
      </c>
      <c r="V953">
        <v>0</v>
      </c>
      <c r="W953">
        <v>2</v>
      </c>
      <c r="X953">
        <v>0</v>
      </c>
      <c r="Y953" t="s">
        <v>36</v>
      </c>
      <c r="AC953" t="s">
        <v>618</v>
      </c>
      <c r="AD953" t="str">
        <f t="shared" si="28"/>
        <v>CA</v>
      </c>
      <c r="AE953" t="str">
        <f>_xlfn.XLOOKUP(D953,Mapping!A:A,Mapping!D:D,0,0)</f>
        <v>Hentai</v>
      </c>
      <c r="AF953" t="str">
        <f t="shared" si="29"/>
        <v>JB</v>
      </c>
    </row>
    <row r="954" spans="1:32" x14ac:dyDescent="0.2">
      <c r="A954" t="s">
        <v>1118</v>
      </c>
      <c r="B954" t="s">
        <v>39</v>
      </c>
      <c r="C954">
        <v>1013025281</v>
      </c>
      <c r="D954" t="s">
        <v>965</v>
      </c>
      <c r="E954" t="s">
        <v>31</v>
      </c>
      <c r="F954" s="1">
        <v>0.67291666666666672</v>
      </c>
      <c r="G954" t="s">
        <v>32</v>
      </c>
      <c r="H954" t="s">
        <v>33</v>
      </c>
      <c r="I954" t="s">
        <v>41</v>
      </c>
      <c r="J954" t="s">
        <v>62</v>
      </c>
      <c r="K954">
        <v>26</v>
      </c>
      <c r="L954">
        <v>0</v>
      </c>
      <c r="M954" t="s">
        <v>63</v>
      </c>
      <c r="N954">
        <v>250</v>
      </c>
      <c r="O954">
        <v>0</v>
      </c>
      <c r="P954">
        <v>0</v>
      </c>
      <c r="Q954">
        <v>0</v>
      </c>
      <c r="S954">
        <v>0</v>
      </c>
      <c r="T954">
        <v>0</v>
      </c>
      <c r="U954">
        <v>0</v>
      </c>
      <c r="V954">
        <v>0</v>
      </c>
      <c r="W954">
        <v>2</v>
      </c>
      <c r="X954">
        <v>0</v>
      </c>
      <c r="Y954" t="s">
        <v>36</v>
      </c>
      <c r="AC954" t="s">
        <v>606</v>
      </c>
      <c r="AD954" t="str">
        <f t="shared" si="28"/>
        <v>CA</v>
      </c>
      <c r="AE954" t="str">
        <f>_xlfn.XLOOKUP(D954,Mapping!A:A,Mapping!D:D,0,0)</f>
        <v>Blowjob</v>
      </c>
      <c r="AF954" t="str">
        <f t="shared" si="29"/>
        <v>JB</v>
      </c>
    </row>
    <row r="955" spans="1:32" x14ac:dyDescent="0.2">
      <c r="A955" t="s">
        <v>1118</v>
      </c>
      <c r="B955" t="s">
        <v>29</v>
      </c>
      <c r="C955">
        <v>1013028391</v>
      </c>
      <c r="D955" t="s">
        <v>966</v>
      </c>
      <c r="E955" t="s">
        <v>31</v>
      </c>
      <c r="F955" s="1">
        <v>0.67291666666666672</v>
      </c>
      <c r="G955" t="s">
        <v>32</v>
      </c>
      <c r="H955" t="s">
        <v>33</v>
      </c>
      <c r="I955" t="s">
        <v>737</v>
      </c>
      <c r="J955" t="s">
        <v>759</v>
      </c>
      <c r="K955">
        <v>5</v>
      </c>
      <c r="L955">
        <v>0</v>
      </c>
      <c r="M955" t="s">
        <v>63</v>
      </c>
      <c r="N955">
        <v>250</v>
      </c>
      <c r="O955">
        <v>2906775</v>
      </c>
      <c r="P955">
        <v>162578</v>
      </c>
      <c r="Q955">
        <v>5.59307</v>
      </c>
      <c r="R955">
        <v>0</v>
      </c>
      <c r="S955">
        <v>216.13</v>
      </c>
      <c r="T955">
        <v>7.3999999999999996E-2</v>
      </c>
      <c r="U955">
        <v>1E-3</v>
      </c>
      <c r="V955">
        <v>0</v>
      </c>
      <c r="W955">
        <v>2</v>
      </c>
      <c r="X955">
        <v>0</v>
      </c>
      <c r="Y955" t="s">
        <v>63</v>
      </c>
      <c r="Z955">
        <v>2905716</v>
      </c>
      <c r="AA955">
        <v>2572125</v>
      </c>
      <c r="AB955">
        <v>182715</v>
      </c>
      <c r="AC955" t="s">
        <v>687</v>
      </c>
      <c r="AD955" t="str">
        <f t="shared" si="28"/>
        <v>PH</v>
      </c>
      <c r="AE955" t="str">
        <f>_xlfn.XLOOKUP(D955,Mapping!A:A,Mapping!D:D,0,0)</f>
        <v>General - Pre-roll</v>
      </c>
      <c r="AF955" t="str">
        <f t="shared" si="29"/>
        <v>TJ</v>
      </c>
    </row>
    <row r="956" spans="1:32" x14ac:dyDescent="0.2">
      <c r="A956" t="s">
        <v>1118</v>
      </c>
      <c r="B956" t="s">
        <v>29</v>
      </c>
      <c r="C956">
        <v>1013028421</v>
      </c>
      <c r="D956" t="s">
        <v>967</v>
      </c>
      <c r="E956" t="s">
        <v>31</v>
      </c>
      <c r="F956" s="1">
        <v>0.67291666666666672</v>
      </c>
      <c r="G956" t="s">
        <v>32</v>
      </c>
      <c r="H956" t="s">
        <v>33</v>
      </c>
      <c r="I956" t="s">
        <v>737</v>
      </c>
      <c r="J956" t="s">
        <v>942</v>
      </c>
      <c r="K956">
        <v>5</v>
      </c>
      <c r="L956">
        <v>0</v>
      </c>
      <c r="M956" t="s">
        <v>36</v>
      </c>
      <c r="N956" t="s">
        <v>37</v>
      </c>
      <c r="O956">
        <v>443104</v>
      </c>
      <c r="P956">
        <v>30504</v>
      </c>
      <c r="Q956">
        <v>6.8841599999999996</v>
      </c>
      <c r="R956">
        <v>0</v>
      </c>
      <c r="S956">
        <v>44.31</v>
      </c>
      <c r="T956">
        <v>0.1</v>
      </c>
      <c r="U956">
        <v>1E-3</v>
      </c>
      <c r="V956">
        <v>0</v>
      </c>
      <c r="W956">
        <v>2</v>
      </c>
      <c r="X956">
        <v>0</v>
      </c>
      <c r="Y956" t="s">
        <v>63</v>
      </c>
      <c r="Z956">
        <v>442891</v>
      </c>
      <c r="AA956">
        <v>383148</v>
      </c>
      <c r="AB956">
        <v>37630</v>
      </c>
      <c r="AC956" t="s">
        <v>687</v>
      </c>
      <c r="AD956" t="str">
        <f t="shared" si="28"/>
        <v>CO</v>
      </c>
      <c r="AE956" t="str">
        <f>_xlfn.XLOOKUP(D956,Mapping!A:A,Mapping!D:D,0,0)</f>
        <v>General - Pre-roll - T3</v>
      </c>
      <c r="AF956" t="str">
        <f t="shared" si="29"/>
        <v>TJ</v>
      </c>
    </row>
    <row r="957" spans="1:32" x14ac:dyDescent="0.2">
      <c r="A957" t="s">
        <v>1118</v>
      </c>
      <c r="B957" t="s">
        <v>29</v>
      </c>
      <c r="C957">
        <v>1013028441</v>
      </c>
      <c r="D957" t="s">
        <v>968</v>
      </c>
      <c r="E957" t="s">
        <v>31</v>
      </c>
      <c r="F957" t="s">
        <v>246</v>
      </c>
      <c r="G957" t="s">
        <v>247</v>
      </c>
      <c r="H957" t="s">
        <v>33</v>
      </c>
      <c r="I957" t="s">
        <v>41</v>
      </c>
      <c r="J957" t="s">
        <v>942</v>
      </c>
      <c r="K957">
        <v>18</v>
      </c>
      <c r="L957">
        <v>0</v>
      </c>
      <c r="M957" t="s">
        <v>36</v>
      </c>
      <c r="N957" t="s">
        <v>37</v>
      </c>
      <c r="O957">
        <v>15953388</v>
      </c>
      <c r="P957">
        <v>26841</v>
      </c>
      <c r="Q957">
        <v>0.16825000000000001</v>
      </c>
      <c r="R957">
        <v>0</v>
      </c>
      <c r="S957">
        <v>159.53</v>
      </c>
      <c r="T957">
        <v>0.01</v>
      </c>
      <c r="U957">
        <v>6.0000000000000001E-3</v>
      </c>
      <c r="V957">
        <v>0</v>
      </c>
      <c r="W957">
        <v>2</v>
      </c>
      <c r="X957">
        <v>0</v>
      </c>
      <c r="Y957" t="s">
        <v>63</v>
      </c>
      <c r="Z957">
        <v>0</v>
      </c>
      <c r="AA957">
        <v>0</v>
      </c>
      <c r="AB957">
        <v>0</v>
      </c>
      <c r="AC957" t="s">
        <v>687</v>
      </c>
      <c r="AD957" t="str">
        <f t="shared" si="28"/>
        <v>MX</v>
      </c>
      <c r="AE957" t="str">
        <f>_xlfn.XLOOKUP(D957,Mapping!A:A,Mapping!D:D,0,0)</f>
        <v>Native - Watch</v>
      </c>
      <c r="AF957" t="str">
        <f t="shared" si="29"/>
        <v>TJ</v>
      </c>
    </row>
    <row r="958" spans="1:32" x14ac:dyDescent="0.2">
      <c r="A958" t="s">
        <v>1118</v>
      </c>
      <c r="B958" t="s">
        <v>29</v>
      </c>
      <c r="C958">
        <v>1013028451</v>
      </c>
      <c r="D958" t="s">
        <v>969</v>
      </c>
      <c r="E958" t="s">
        <v>31</v>
      </c>
      <c r="F958" t="s">
        <v>246</v>
      </c>
      <c r="G958" t="s">
        <v>247</v>
      </c>
      <c r="H958" t="s">
        <v>33</v>
      </c>
      <c r="I958" t="s">
        <v>41</v>
      </c>
      <c r="J958" t="s">
        <v>942</v>
      </c>
      <c r="K958">
        <v>4</v>
      </c>
      <c r="L958">
        <v>0</v>
      </c>
      <c r="M958" t="s">
        <v>36</v>
      </c>
      <c r="N958" t="s">
        <v>37</v>
      </c>
      <c r="O958">
        <v>8653697</v>
      </c>
      <c r="P958">
        <v>14498</v>
      </c>
      <c r="Q958">
        <v>0.16753999999999999</v>
      </c>
      <c r="R958">
        <v>0</v>
      </c>
      <c r="S958">
        <v>86.54</v>
      </c>
      <c r="T958">
        <v>0.01</v>
      </c>
      <c r="U958">
        <v>6.0000000000000001E-3</v>
      </c>
      <c r="V958">
        <v>0</v>
      </c>
      <c r="W958">
        <v>2</v>
      </c>
      <c r="X958">
        <v>0</v>
      </c>
      <c r="Y958" t="s">
        <v>63</v>
      </c>
      <c r="Z958">
        <v>0</v>
      </c>
      <c r="AA958">
        <v>0</v>
      </c>
      <c r="AB958">
        <v>0</v>
      </c>
      <c r="AC958" t="s">
        <v>687</v>
      </c>
      <c r="AD958" t="str">
        <f t="shared" si="28"/>
        <v>PH</v>
      </c>
      <c r="AE958" t="str">
        <f>_xlfn.XLOOKUP(D958,Mapping!A:A,Mapping!D:D,0,0)</f>
        <v>Native - Watch</v>
      </c>
      <c r="AF958" t="str">
        <f t="shared" si="29"/>
        <v>TJ</v>
      </c>
    </row>
    <row r="959" spans="1:32" x14ac:dyDescent="0.2">
      <c r="A959" t="s">
        <v>1118</v>
      </c>
      <c r="B959" t="s">
        <v>29</v>
      </c>
      <c r="C959">
        <v>1013028461</v>
      </c>
      <c r="D959" t="s">
        <v>970</v>
      </c>
      <c r="E959" t="s">
        <v>31</v>
      </c>
      <c r="F959" s="1">
        <v>0.67291666666666672</v>
      </c>
      <c r="G959" t="s">
        <v>32</v>
      </c>
      <c r="H959" t="s">
        <v>33</v>
      </c>
      <c r="I959" t="s">
        <v>737</v>
      </c>
      <c r="J959" t="s">
        <v>942</v>
      </c>
      <c r="K959">
        <v>5</v>
      </c>
      <c r="L959">
        <v>0</v>
      </c>
      <c r="M959" t="s">
        <v>63</v>
      </c>
      <c r="N959">
        <v>250</v>
      </c>
      <c r="O959">
        <v>1320876</v>
      </c>
      <c r="P959">
        <v>98345</v>
      </c>
      <c r="Q959">
        <v>7.4454399999999996</v>
      </c>
      <c r="R959">
        <v>1</v>
      </c>
      <c r="S959">
        <v>132.09</v>
      </c>
      <c r="T959">
        <v>0.1</v>
      </c>
      <c r="U959">
        <v>1E-3</v>
      </c>
      <c r="V959">
        <v>132.08799999999999</v>
      </c>
      <c r="W959">
        <v>2</v>
      </c>
      <c r="X959">
        <v>0</v>
      </c>
      <c r="Y959" t="s">
        <v>63</v>
      </c>
      <c r="Z959">
        <v>1321378</v>
      </c>
      <c r="AA959">
        <v>1134349</v>
      </c>
      <c r="AB959">
        <v>111306</v>
      </c>
      <c r="AC959" t="s">
        <v>687</v>
      </c>
      <c r="AD959" t="str">
        <f t="shared" si="28"/>
        <v>MA</v>
      </c>
      <c r="AE959" t="str">
        <f>_xlfn.XLOOKUP(D959,Mapping!A:A,Mapping!D:D,0,0)</f>
        <v>General - Pre-roll - T3</v>
      </c>
      <c r="AF959" t="str">
        <f t="shared" si="29"/>
        <v>TJ</v>
      </c>
    </row>
    <row r="960" spans="1:32" x14ac:dyDescent="0.2">
      <c r="A960" t="s">
        <v>1118</v>
      </c>
      <c r="B960" t="s">
        <v>29</v>
      </c>
      <c r="C960">
        <v>1013028471</v>
      </c>
      <c r="D960" t="s">
        <v>971</v>
      </c>
      <c r="E960" t="s">
        <v>31</v>
      </c>
      <c r="F960" t="s">
        <v>246</v>
      </c>
      <c r="G960" t="s">
        <v>247</v>
      </c>
      <c r="H960" t="s">
        <v>33</v>
      </c>
      <c r="I960" t="s">
        <v>41</v>
      </c>
      <c r="J960" t="s">
        <v>942</v>
      </c>
      <c r="K960">
        <v>4</v>
      </c>
      <c r="L960">
        <v>0</v>
      </c>
      <c r="M960" t="s">
        <v>36</v>
      </c>
      <c r="N960" t="s">
        <v>37</v>
      </c>
      <c r="O960">
        <v>8650732</v>
      </c>
      <c r="P960">
        <v>14212</v>
      </c>
      <c r="Q960">
        <v>0.16428999999999999</v>
      </c>
      <c r="R960">
        <v>0</v>
      </c>
      <c r="S960">
        <v>86.51</v>
      </c>
      <c r="T960">
        <v>0.01</v>
      </c>
      <c r="U960">
        <v>6.0000000000000001E-3</v>
      </c>
      <c r="V960">
        <v>0</v>
      </c>
      <c r="W960">
        <v>2</v>
      </c>
      <c r="X960">
        <v>0</v>
      </c>
      <c r="Y960" t="s">
        <v>63</v>
      </c>
      <c r="Z960">
        <v>0</v>
      </c>
      <c r="AA960">
        <v>0</v>
      </c>
      <c r="AB960">
        <v>0</v>
      </c>
      <c r="AC960" t="s">
        <v>687</v>
      </c>
      <c r="AD960" t="str">
        <f t="shared" si="28"/>
        <v>BR</v>
      </c>
      <c r="AE960" t="str">
        <f>_xlfn.XLOOKUP(D960,Mapping!A:A,Mapping!D:D,0,0)</f>
        <v>Native - Watch</v>
      </c>
      <c r="AF960" t="str">
        <f t="shared" si="29"/>
        <v>TJ</v>
      </c>
    </row>
    <row r="961" spans="1:32" x14ac:dyDescent="0.2">
      <c r="A961" t="s">
        <v>1118</v>
      </c>
      <c r="B961" t="s">
        <v>29</v>
      </c>
      <c r="C961">
        <v>1013028481</v>
      </c>
      <c r="D961" t="s">
        <v>972</v>
      </c>
      <c r="E961" t="s">
        <v>31</v>
      </c>
      <c r="F961" s="1">
        <v>0.67291666666666672</v>
      </c>
      <c r="G961" t="s">
        <v>32</v>
      </c>
      <c r="H961" t="s">
        <v>33</v>
      </c>
      <c r="I961" t="s">
        <v>737</v>
      </c>
      <c r="J961" t="s">
        <v>942</v>
      </c>
      <c r="K961">
        <v>5</v>
      </c>
      <c r="L961">
        <v>0</v>
      </c>
      <c r="M961" t="s">
        <v>63</v>
      </c>
      <c r="N961">
        <v>250</v>
      </c>
      <c r="O961">
        <v>1466869</v>
      </c>
      <c r="P961">
        <v>120267</v>
      </c>
      <c r="Q961">
        <v>8.1988900000000005</v>
      </c>
      <c r="R961">
        <v>0</v>
      </c>
      <c r="S961">
        <v>146.69</v>
      </c>
      <c r="T961">
        <v>0.1</v>
      </c>
      <c r="U961">
        <v>1E-3</v>
      </c>
      <c r="V961">
        <v>0</v>
      </c>
      <c r="W961">
        <v>2</v>
      </c>
      <c r="X961">
        <v>0</v>
      </c>
      <c r="Y961" t="s">
        <v>63</v>
      </c>
      <c r="Z961">
        <v>1467544</v>
      </c>
      <c r="AA961">
        <v>1273917</v>
      </c>
      <c r="AB961">
        <v>116021</v>
      </c>
      <c r="AC961" t="s">
        <v>687</v>
      </c>
      <c r="AD961" t="str">
        <f t="shared" si="28"/>
        <v>EG</v>
      </c>
      <c r="AE961" t="str">
        <f>_xlfn.XLOOKUP(D961,Mapping!A:A,Mapping!D:D,0,0)</f>
        <v>General - Pre-roll - T3</v>
      </c>
      <c r="AF961" t="str">
        <f t="shared" si="29"/>
        <v>TJ</v>
      </c>
    </row>
    <row r="962" spans="1:32" x14ac:dyDescent="0.2">
      <c r="A962" t="s">
        <v>1118</v>
      </c>
      <c r="B962" t="s">
        <v>29</v>
      </c>
      <c r="C962">
        <v>1013028491</v>
      </c>
      <c r="D962" t="s">
        <v>973</v>
      </c>
      <c r="E962" t="s">
        <v>31</v>
      </c>
      <c r="F962" s="1">
        <v>0.67291666666666672</v>
      </c>
      <c r="G962" t="s">
        <v>32</v>
      </c>
      <c r="H962" t="s">
        <v>33</v>
      </c>
      <c r="I962" t="s">
        <v>737</v>
      </c>
      <c r="J962" t="s">
        <v>942</v>
      </c>
      <c r="K962">
        <v>5</v>
      </c>
      <c r="L962">
        <v>0</v>
      </c>
      <c r="M962" t="s">
        <v>63</v>
      </c>
      <c r="N962">
        <v>250</v>
      </c>
      <c r="O962">
        <v>1059596</v>
      </c>
      <c r="P962">
        <v>91281</v>
      </c>
      <c r="Q962">
        <v>8.6146899999999995</v>
      </c>
      <c r="R962">
        <v>0</v>
      </c>
      <c r="S962">
        <v>105.96</v>
      </c>
      <c r="T962">
        <v>0.1</v>
      </c>
      <c r="U962">
        <v>1E-3</v>
      </c>
      <c r="V962">
        <v>0</v>
      </c>
      <c r="W962">
        <v>2</v>
      </c>
      <c r="X962">
        <v>0</v>
      </c>
      <c r="Y962" t="s">
        <v>63</v>
      </c>
      <c r="Z962">
        <v>1058918</v>
      </c>
      <c r="AA962">
        <v>932699</v>
      </c>
      <c r="AB962">
        <v>78365</v>
      </c>
      <c r="AC962" t="s">
        <v>687</v>
      </c>
      <c r="AD962" t="str">
        <f t="shared" si="28"/>
        <v>PE</v>
      </c>
      <c r="AE962" t="str">
        <f>_xlfn.XLOOKUP(D962,Mapping!A:A,Mapping!D:D,0,0)</f>
        <v>General - Pre-roll - T3</v>
      </c>
      <c r="AF962" t="str">
        <f t="shared" si="29"/>
        <v>TJ</v>
      </c>
    </row>
    <row r="963" spans="1:32" x14ac:dyDescent="0.2">
      <c r="A963" t="s">
        <v>1118</v>
      </c>
      <c r="B963" t="s">
        <v>29</v>
      </c>
      <c r="C963">
        <v>1013028501</v>
      </c>
      <c r="D963" t="s">
        <v>974</v>
      </c>
      <c r="E963" t="s">
        <v>31</v>
      </c>
      <c r="F963" t="s">
        <v>246</v>
      </c>
      <c r="G963" t="s">
        <v>247</v>
      </c>
      <c r="H963" t="s">
        <v>33</v>
      </c>
      <c r="I963" t="s">
        <v>41</v>
      </c>
      <c r="J963" t="s">
        <v>942</v>
      </c>
      <c r="K963">
        <v>17</v>
      </c>
      <c r="L963">
        <v>1</v>
      </c>
      <c r="M963" t="s">
        <v>36</v>
      </c>
      <c r="N963" t="s">
        <v>37</v>
      </c>
      <c r="O963">
        <v>9795809</v>
      </c>
      <c r="P963">
        <v>13297</v>
      </c>
      <c r="Q963">
        <v>0.13574</v>
      </c>
      <c r="R963">
        <v>1</v>
      </c>
      <c r="S963">
        <v>293.87</v>
      </c>
      <c r="T963">
        <v>0.03</v>
      </c>
      <c r="U963">
        <v>2.1999999999999999E-2</v>
      </c>
      <c r="V963">
        <v>293.87400000000002</v>
      </c>
      <c r="W963">
        <v>2</v>
      </c>
      <c r="X963">
        <v>0</v>
      </c>
      <c r="Y963" t="s">
        <v>36</v>
      </c>
      <c r="Z963">
        <v>0</v>
      </c>
      <c r="AA963">
        <v>0</v>
      </c>
      <c r="AB963">
        <v>0</v>
      </c>
      <c r="AC963" t="s">
        <v>687</v>
      </c>
      <c r="AD963" t="str">
        <f t="shared" ref="AD963:AD1026" si="30">LEFT(D963,2)</f>
        <v>DE</v>
      </c>
      <c r="AE963" t="str">
        <f>_xlfn.XLOOKUP(D963,Mapping!A:A,Mapping!D:D,0,0)</f>
        <v>Native - Watch</v>
      </c>
      <c r="AF963" t="str">
        <f t="shared" ref="AF963:AF1026" si="31">IFERROR(IF(SEARCH("_TJ",D963)&gt;0,"TJ",NA()),IFERROR(IF(SEARCH("_JB",D963)&gt;0,"JB",NA()),"OLD"))</f>
        <v>TJ</v>
      </c>
    </row>
    <row r="964" spans="1:32" x14ac:dyDescent="0.2">
      <c r="A964" t="s">
        <v>1118</v>
      </c>
      <c r="B964" t="s">
        <v>29</v>
      </c>
      <c r="C964">
        <v>1013028511</v>
      </c>
      <c r="D964" t="s">
        <v>975</v>
      </c>
      <c r="E964" t="s">
        <v>31</v>
      </c>
      <c r="F964" s="1">
        <v>0.67291666666666672</v>
      </c>
      <c r="G964" t="s">
        <v>32</v>
      </c>
      <c r="H964" t="s">
        <v>33</v>
      </c>
      <c r="I964" t="s">
        <v>737</v>
      </c>
      <c r="J964" t="s">
        <v>942</v>
      </c>
      <c r="K964">
        <v>5</v>
      </c>
      <c r="L964">
        <v>0</v>
      </c>
      <c r="M964" t="s">
        <v>36</v>
      </c>
      <c r="N964" t="s">
        <v>37</v>
      </c>
      <c r="O964">
        <v>395358</v>
      </c>
      <c r="P964">
        <v>20025</v>
      </c>
      <c r="Q964">
        <v>5.0650300000000001</v>
      </c>
      <c r="R964">
        <v>1</v>
      </c>
      <c r="S964">
        <v>39.54</v>
      </c>
      <c r="T964">
        <v>0.1</v>
      </c>
      <c r="U964">
        <v>2E-3</v>
      </c>
      <c r="V964">
        <v>39.536000000000001</v>
      </c>
      <c r="W964">
        <v>2</v>
      </c>
      <c r="X964">
        <v>0</v>
      </c>
      <c r="Y964" t="s">
        <v>63</v>
      </c>
      <c r="Z964">
        <v>395462</v>
      </c>
      <c r="AA964">
        <v>338902</v>
      </c>
      <c r="AB964">
        <v>36460</v>
      </c>
      <c r="AC964" t="s">
        <v>687</v>
      </c>
      <c r="AD964" t="str">
        <f t="shared" si="30"/>
        <v>NL</v>
      </c>
      <c r="AE964" t="str">
        <f>_xlfn.XLOOKUP(D964,Mapping!A:A,Mapping!D:D,0,0)</f>
        <v>General - Pre-roll - T3</v>
      </c>
      <c r="AF964" t="str">
        <f t="shared" si="31"/>
        <v>TJ</v>
      </c>
    </row>
    <row r="965" spans="1:32" x14ac:dyDescent="0.2">
      <c r="A965" t="s">
        <v>1118</v>
      </c>
      <c r="B965" t="s">
        <v>29</v>
      </c>
      <c r="C965">
        <v>1013028521</v>
      </c>
      <c r="D965" t="s">
        <v>976</v>
      </c>
      <c r="E965" t="s">
        <v>31</v>
      </c>
      <c r="F965" t="s">
        <v>246</v>
      </c>
      <c r="G965" t="s">
        <v>247</v>
      </c>
      <c r="H965" t="s">
        <v>33</v>
      </c>
      <c r="I965" t="s">
        <v>41</v>
      </c>
      <c r="J965" t="s">
        <v>942</v>
      </c>
      <c r="K965">
        <v>18</v>
      </c>
      <c r="L965">
        <v>0</v>
      </c>
      <c r="M965" t="s">
        <v>36</v>
      </c>
      <c r="N965" t="s">
        <v>37</v>
      </c>
      <c r="O965">
        <v>11807497</v>
      </c>
      <c r="P965">
        <v>27845</v>
      </c>
      <c r="Q965">
        <v>0.23582</v>
      </c>
      <c r="R965">
        <v>1</v>
      </c>
      <c r="S965">
        <v>118.07</v>
      </c>
      <c r="T965">
        <v>0.01</v>
      </c>
      <c r="U965">
        <v>4.0000000000000001E-3</v>
      </c>
      <c r="V965">
        <v>118.075</v>
      </c>
      <c r="W965">
        <v>2</v>
      </c>
      <c r="X965">
        <v>0</v>
      </c>
      <c r="Y965" t="s">
        <v>63</v>
      </c>
      <c r="Z965">
        <v>0</v>
      </c>
      <c r="AA965">
        <v>0</v>
      </c>
      <c r="AB965">
        <v>0</v>
      </c>
      <c r="AC965" t="s">
        <v>687</v>
      </c>
      <c r="AD965" t="str">
        <f t="shared" si="30"/>
        <v>AR</v>
      </c>
      <c r="AE965" t="str">
        <f>_xlfn.XLOOKUP(D965,Mapping!A:A,Mapping!D:D,0,0)</f>
        <v>Native - Watch</v>
      </c>
      <c r="AF965" t="str">
        <f t="shared" si="31"/>
        <v>TJ</v>
      </c>
    </row>
    <row r="966" spans="1:32" x14ac:dyDescent="0.2">
      <c r="A966" t="s">
        <v>1118</v>
      </c>
      <c r="B966" t="s">
        <v>29</v>
      </c>
      <c r="C966">
        <v>1013028531</v>
      </c>
      <c r="D966" t="s">
        <v>977</v>
      </c>
      <c r="E966" t="s">
        <v>31</v>
      </c>
      <c r="F966" s="1">
        <v>0.67291666666666672</v>
      </c>
      <c r="G966" t="s">
        <v>32</v>
      </c>
      <c r="H966" t="s">
        <v>33</v>
      </c>
      <c r="I966" t="s">
        <v>737</v>
      </c>
      <c r="J966" t="s">
        <v>942</v>
      </c>
      <c r="K966">
        <v>5</v>
      </c>
      <c r="L966">
        <v>0</v>
      </c>
      <c r="M966" t="s">
        <v>36</v>
      </c>
      <c r="N966" t="s">
        <v>37</v>
      </c>
      <c r="O966">
        <v>666078</v>
      </c>
      <c r="P966">
        <v>52320</v>
      </c>
      <c r="Q966">
        <v>7.85494</v>
      </c>
      <c r="R966">
        <v>0</v>
      </c>
      <c r="S966">
        <v>66.61</v>
      </c>
      <c r="T966">
        <v>0.1</v>
      </c>
      <c r="U966">
        <v>1E-3</v>
      </c>
      <c r="V966">
        <v>0</v>
      </c>
      <c r="W966">
        <v>2</v>
      </c>
      <c r="X966">
        <v>0</v>
      </c>
      <c r="Y966" t="s">
        <v>63</v>
      </c>
      <c r="Z966">
        <v>665700</v>
      </c>
      <c r="AA966">
        <v>582747</v>
      </c>
      <c r="AB966">
        <v>52635</v>
      </c>
      <c r="AC966" t="s">
        <v>687</v>
      </c>
      <c r="AD966" t="str">
        <f t="shared" si="30"/>
        <v>EC</v>
      </c>
      <c r="AE966" t="str">
        <f>_xlfn.XLOOKUP(D966,Mapping!A:A,Mapping!D:D,0,0)</f>
        <v>General - Pre-roll - T3</v>
      </c>
      <c r="AF966" t="str">
        <f t="shared" si="31"/>
        <v>TJ</v>
      </c>
    </row>
    <row r="967" spans="1:32" x14ac:dyDescent="0.2">
      <c r="A967" t="s">
        <v>1118</v>
      </c>
      <c r="B967" t="s">
        <v>29</v>
      </c>
      <c r="C967">
        <v>1013028541</v>
      </c>
      <c r="D967" t="s">
        <v>978</v>
      </c>
      <c r="E967" t="s">
        <v>31</v>
      </c>
      <c r="F967" s="1">
        <v>0.67291666666666672</v>
      </c>
      <c r="G967" t="s">
        <v>32</v>
      </c>
      <c r="H967" t="s">
        <v>33</v>
      </c>
      <c r="I967" t="s">
        <v>737</v>
      </c>
      <c r="J967" t="s">
        <v>942</v>
      </c>
      <c r="K967">
        <v>5</v>
      </c>
      <c r="L967">
        <v>0</v>
      </c>
      <c r="M967" t="s">
        <v>36</v>
      </c>
      <c r="N967" t="s">
        <v>37</v>
      </c>
      <c r="O967">
        <v>42654</v>
      </c>
      <c r="P967">
        <v>2328</v>
      </c>
      <c r="Q967">
        <v>5.4578699999999998</v>
      </c>
      <c r="R967">
        <v>0</v>
      </c>
      <c r="S967">
        <v>4.2699999999999996</v>
      </c>
      <c r="T967">
        <v>0.1</v>
      </c>
      <c r="U967">
        <v>2E-3</v>
      </c>
      <c r="V967">
        <v>0</v>
      </c>
      <c r="W967">
        <v>2</v>
      </c>
      <c r="X967">
        <v>0</v>
      </c>
      <c r="Y967" t="s">
        <v>63</v>
      </c>
      <c r="Z967">
        <v>42666</v>
      </c>
      <c r="AA967">
        <v>37273</v>
      </c>
      <c r="AB967">
        <v>3623</v>
      </c>
      <c r="AC967" t="s">
        <v>687</v>
      </c>
      <c r="AD967" t="str">
        <f t="shared" si="30"/>
        <v>ES</v>
      </c>
      <c r="AE967" t="str">
        <f>_xlfn.XLOOKUP(D967,Mapping!A:A,Mapping!D:D,0,0)</f>
        <v>General</v>
      </c>
      <c r="AF967" t="str">
        <f t="shared" si="31"/>
        <v>TJ</v>
      </c>
    </row>
    <row r="968" spans="1:32" x14ac:dyDescent="0.2">
      <c r="A968" t="s">
        <v>1118</v>
      </c>
      <c r="B968" t="s">
        <v>29</v>
      </c>
      <c r="C968">
        <v>1013028551</v>
      </c>
      <c r="D968" t="s">
        <v>979</v>
      </c>
      <c r="E968" t="s">
        <v>31</v>
      </c>
      <c r="F968" t="s">
        <v>246</v>
      </c>
      <c r="G968" t="s">
        <v>247</v>
      </c>
      <c r="H968" t="s">
        <v>33</v>
      </c>
      <c r="I968" t="s">
        <v>41</v>
      </c>
      <c r="J968" t="s">
        <v>942</v>
      </c>
      <c r="K968">
        <v>18</v>
      </c>
      <c r="L968">
        <v>0</v>
      </c>
      <c r="M968" t="s">
        <v>36</v>
      </c>
      <c r="N968" t="s">
        <v>37</v>
      </c>
      <c r="O968">
        <v>9504315</v>
      </c>
      <c r="P968">
        <v>29153</v>
      </c>
      <c r="Q968">
        <v>0.30673</v>
      </c>
      <c r="R968">
        <v>0</v>
      </c>
      <c r="S968">
        <v>95.04</v>
      </c>
      <c r="T968">
        <v>0.01</v>
      </c>
      <c r="U968">
        <v>3.0000000000000001E-3</v>
      </c>
      <c r="V968">
        <v>0</v>
      </c>
      <c r="W968">
        <v>2</v>
      </c>
      <c r="X968">
        <v>0</v>
      </c>
      <c r="Y968" t="s">
        <v>63</v>
      </c>
      <c r="Z968">
        <v>0</v>
      </c>
      <c r="AA968">
        <v>0</v>
      </c>
      <c r="AB968">
        <v>0</v>
      </c>
      <c r="AC968" t="s">
        <v>687</v>
      </c>
      <c r="AD968" t="str">
        <f t="shared" si="30"/>
        <v>CO</v>
      </c>
      <c r="AE968" t="str">
        <f>_xlfn.XLOOKUP(D968,Mapping!A:A,Mapping!D:D,0,0)</f>
        <v>Native - Watch</v>
      </c>
      <c r="AF968" t="str">
        <f t="shared" si="31"/>
        <v>TJ</v>
      </c>
    </row>
    <row r="969" spans="1:32" x14ac:dyDescent="0.2">
      <c r="A969" t="s">
        <v>1118</v>
      </c>
      <c r="B969" t="s">
        <v>29</v>
      </c>
      <c r="C969">
        <v>1013028561</v>
      </c>
      <c r="D969" t="s">
        <v>980</v>
      </c>
      <c r="E969" t="s">
        <v>31</v>
      </c>
      <c r="F969" s="1">
        <v>0.67291666666666672</v>
      </c>
      <c r="G969" t="s">
        <v>32</v>
      </c>
      <c r="H969" t="s">
        <v>33</v>
      </c>
      <c r="I969" t="s">
        <v>737</v>
      </c>
      <c r="J969" t="s">
        <v>942</v>
      </c>
      <c r="K969">
        <v>5</v>
      </c>
      <c r="L969">
        <v>0</v>
      </c>
      <c r="M969" t="s">
        <v>36</v>
      </c>
      <c r="N969" t="s">
        <v>37</v>
      </c>
      <c r="O969">
        <v>530801</v>
      </c>
      <c r="P969">
        <v>39938</v>
      </c>
      <c r="Q969">
        <v>7.5240999999999998</v>
      </c>
      <c r="R969">
        <v>0</v>
      </c>
      <c r="S969">
        <v>53.08</v>
      </c>
      <c r="T969">
        <v>0.1</v>
      </c>
      <c r="U969">
        <v>1E-3</v>
      </c>
      <c r="V969">
        <v>0</v>
      </c>
      <c r="W969">
        <v>2</v>
      </c>
      <c r="X969">
        <v>0</v>
      </c>
      <c r="Y969" t="s">
        <v>63</v>
      </c>
      <c r="Z969">
        <v>530947</v>
      </c>
      <c r="AA969">
        <v>448235</v>
      </c>
      <c r="AB969">
        <v>51519</v>
      </c>
      <c r="AC969" t="s">
        <v>687</v>
      </c>
      <c r="AD969" t="str">
        <f t="shared" si="30"/>
        <v>LK</v>
      </c>
      <c r="AE969" t="str">
        <f>_xlfn.XLOOKUP(D969,Mapping!A:A,Mapping!D:D,0,0)</f>
        <v>General - Pre-roll - T3</v>
      </c>
      <c r="AF969" t="str">
        <f t="shared" si="31"/>
        <v>TJ</v>
      </c>
    </row>
    <row r="970" spans="1:32" x14ac:dyDescent="0.2">
      <c r="A970" t="s">
        <v>1118</v>
      </c>
      <c r="B970" t="s">
        <v>29</v>
      </c>
      <c r="C970">
        <v>1013028571</v>
      </c>
      <c r="D970" t="s">
        <v>981</v>
      </c>
      <c r="E970" t="s">
        <v>31</v>
      </c>
      <c r="F970" s="1">
        <v>0.67291666666666672</v>
      </c>
      <c r="G970" t="s">
        <v>32</v>
      </c>
      <c r="H970" t="s">
        <v>33</v>
      </c>
      <c r="I970" t="s">
        <v>737</v>
      </c>
      <c r="J970" t="s">
        <v>942</v>
      </c>
      <c r="K970">
        <v>5</v>
      </c>
      <c r="L970">
        <v>0</v>
      </c>
      <c r="M970" t="s">
        <v>36</v>
      </c>
      <c r="N970" t="s">
        <v>37</v>
      </c>
      <c r="O970">
        <v>269653</v>
      </c>
      <c r="P970">
        <v>21028</v>
      </c>
      <c r="Q970">
        <v>7.7981699999999998</v>
      </c>
      <c r="R970">
        <v>0</v>
      </c>
      <c r="S970">
        <v>26.97</v>
      </c>
      <c r="T970">
        <v>0.1</v>
      </c>
      <c r="U970">
        <v>1E-3</v>
      </c>
      <c r="V970">
        <v>0</v>
      </c>
      <c r="W970">
        <v>2</v>
      </c>
      <c r="X970">
        <v>0</v>
      </c>
      <c r="Y970" t="s">
        <v>63</v>
      </c>
      <c r="Z970">
        <v>269599</v>
      </c>
      <c r="AA970">
        <v>230876</v>
      </c>
      <c r="AB970">
        <v>25185</v>
      </c>
      <c r="AC970" t="s">
        <v>687</v>
      </c>
      <c r="AD970" t="str">
        <f t="shared" si="30"/>
        <v>BR</v>
      </c>
      <c r="AE970" t="str">
        <f>_xlfn.XLOOKUP(D970,Mapping!A:A,Mapping!D:D,0,0)</f>
        <v>General - Pre-roll - T3</v>
      </c>
      <c r="AF970" t="str">
        <f t="shared" si="31"/>
        <v>TJ</v>
      </c>
    </row>
    <row r="971" spans="1:32" x14ac:dyDescent="0.2">
      <c r="A971" t="s">
        <v>1118</v>
      </c>
      <c r="B971" t="s">
        <v>29</v>
      </c>
      <c r="C971">
        <v>1013028581</v>
      </c>
      <c r="D971" t="s">
        <v>982</v>
      </c>
      <c r="E971" t="s">
        <v>31</v>
      </c>
      <c r="F971" s="1">
        <v>0.67291666666666672</v>
      </c>
      <c r="G971" t="s">
        <v>32</v>
      </c>
      <c r="H971" t="s">
        <v>33</v>
      </c>
      <c r="I971" t="s">
        <v>737</v>
      </c>
      <c r="J971" t="s">
        <v>942</v>
      </c>
      <c r="K971">
        <v>5</v>
      </c>
      <c r="L971">
        <v>0</v>
      </c>
      <c r="M971" t="s">
        <v>36</v>
      </c>
      <c r="N971" t="s">
        <v>37</v>
      </c>
      <c r="O971">
        <v>390707</v>
      </c>
      <c r="P971">
        <v>31473</v>
      </c>
      <c r="Q971">
        <v>8.0554000000000006</v>
      </c>
      <c r="R971">
        <v>0</v>
      </c>
      <c r="S971">
        <v>39.07</v>
      </c>
      <c r="T971">
        <v>0.1</v>
      </c>
      <c r="U971">
        <v>1E-3</v>
      </c>
      <c r="V971">
        <v>0</v>
      </c>
      <c r="W971">
        <v>2</v>
      </c>
      <c r="X971">
        <v>0</v>
      </c>
      <c r="Y971" t="s">
        <v>63</v>
      </c>
      <c r="Z971">
        <v>390520</v>
      </c>
      <c r="AA971">
        <v>342056</v>
      </c>
      <c r="AB971">
        <v>29832</v>
      </c>
      <c r="AC971" t="s">
        <v>687</v>
      </c>
      <c r="AD971" t="str">
        <f t="shared" si="30"/>
        <v>BO</v>
      </c>
      <c r="AE971" t="str">
        <f>_xlfn.XLOOKUP(D971,Mapping!A:A,Mapping!D:D,0,0)</f>
        <v>General - Pre-roll - T3</v>
      </c>
      <c r="AF971" t="str">
        <f t="shared" si="31"/>
        <v>TJ</v>
      </c>
    </row>
    <row r="972" spans="1:32" x14ac:dyDescent="0.2">
      <c r="A972" t="s">
        <v>1118</v>
      </c>
      <c r="B972" t="s">
        <v>29</v>
      </c>
      <c r="C972">
        <v>1013028591</v>
      </c>
      <c r="D972" t="s">
        <v>983</v>
      </c>
      <c r="E972" t="s">
        <v>31</v>
      </c>
      <c r="F972" t="s">
        <v>246</v>
      </c>
      <c r="G972" t="s">
        <v>247</v>
      </c>
      <c r="H972" t="s">
        <v>33</v>
      </c>
      <c r="I972" t="s">
        <v>41</v>
      </c>
      <c r="J972" t="s">
        <v>942</v>
      </c>
      <c r="K972">
        <v>4</v>
      </c>
      <c r="L972">
        <v>0</v>
      </c>
      <c r="M972" t="s">
        <v>36</v>
      </c>
      <c r="N972" t="s">
        <v>37</v>
      </c>
      <c r="O972">
        <v>7320726</v>
      </c>
      <c r="P972">
        <v>6014</v>
      </c>
      <c r="Q972">
        <v>8.2150000000000001E-2</v>
      </c>
      <c r="R972">
        <v>0</v>
      </c>
      <c r="S972">
        <v>73.209999999999994</v>
      </c>
      <c r="T972">
        <v>0.01</v>
      </c>
      <c r="U972">
        <v>1.2E-2</v>
      </c>
      <c r="V972">
        <v>0</v>
      </c>
      <c r="W972">
        <v>2</v>
      </c>
      <c r="X972">
        <v>0</v>
      </c>
      <c r="Y972" t="s">
        <v>63</v>
      </c>
      <c r="Z972">
        <v>0</v>
      </c>
      <c r="AA972">
        <v>0</v>
      </c>
      <c r="AB972">
        <v>0</v>
      </c>
      <c r="AC972" t="s">
        <v>687</v>
      </c>
      <c r="AD972" t="str">
        <f t="shared" si="30"/>
        <v>NL</v>
      </c>
      <c r="AE972" t="str">
        <f>_xlfn.XLOOKUP(D972,Mapping!A:A,Mapping!D:D,0,0)</f>
        <v>Native - Watch</v>
      </c>
      <c r="AF972" t="str">
        <f t="shared" si="31"/>
        <v>TJ</v>
      </c>
    </row>
    <row r="973" spans="1:32" x14ac:dyDescent="0.2">
      <c r="A973" t="s">
        <v>1118</v>
      </c>
      <c r="B973" t="s">
        <v>29</v>
      </c>
      <c r="C973">
        <v>1013028601</v>
      </c>
      <c r="D973" t="s">
        <v>984</v>
      </c>
      <c r="E973" t="s">
        <v>31</v>
      </c>
      <c r="F973" s="1">
        <v>0.67291666666666672</v>
      </c>
      <c r="G973" t="s">
        <v>32</v>
      </c>
      <c r="H973" t="s">
        <v>33</v>
      </c>
      <c r="I973" t="s">
        <v>737</v>
      </c>
      <c r="J973" t="s">
        <v>942</v>
      </c>
      <c r="K973">
        <v>5</v>
      </c>
      <c r="L973">
        <v>0</v>
      </c>
      <c r="M973" t="s">
        <v>36</v>
      </c>
      <c r="N973" t="s">
        <v>37</v>
      </c>
      <c r="O973">
        <v>492722</v>
      </c>
      <c r="P973">
        <v>41158</v>
      </c>
      <c r="Q973">
        <v>8.3531899999999997</v>
      </c>
      <c r="R973">
        <v>0</v>
      </c>
      <c r="S973">
        <v>49.27</v>
      </c>
      <c r="T973">
        <v>0.1</v>
      </c>
      <c r="U973">
        <v>1E-3</v>
      </c>
      <c r="V973">
        <v>0</v>
      </c>
      <c r="W973">
        <v>2</v>
      </c>
      <c r="X973">
        <v>0</v>
      </c>
      <c r="Y973" t="s">
        <v>63</v>
      </c>
      <c r="Z973">
        <v>492710</v>
      </c>
      <c r="AA973">
        <v>403350</v>
      </c>
      <c r="AB973">
        <v>45341</v>
      </c>
      <c r="AC973" t="s">
        <v>687</v>
      </c>
      <c r="AD973" t="str">
        <f t="shared" si="30"/>
        <v>SG</v>
      </c>
      <c r="AE973" t="str">
        <f>_xlfn.XLOOKUP(D973,Mapping!A:A,Mapping!D:D,0,0)</f>
        <v>General - Pre-roll - T3</v>
      </c>
      <c r="AF973" t="str">
        <f t="shared" si="31"/>
        <v>TJ</v>
      </c>
    </row>
    <row r="974" spans="1:32" x14ac:dyDescent="0.2">
      <c r="A974" t="s">
        <v>1118</v>
      </c>
      <c r="B974" t="s">
        <v>29</v>
      </c>
      <c r="C974">
        <v>1013028611</v>
      </c>
      <c r="D974" t="s">
        <v>985</v>
      </c>
      <c r="E974" t="s">
        <v>31</v>
      </c>
      <c r="F974" s="1">
        <v>0.67291666666666672</v>
      </c>
      <c r="G974" t="s">
        <v>32</v>
      </c>
      <c r="H974" t="s">
        <v>33</v>
      </c>
      <c r="I974" t="s">
        <v>737</v>
      </c>
      <c r="J974" t="s">
        <v>942</v>
      </c>
      <c r="K974">
        <v>5</v>
      </c>
      <c r="L974">
        <v>0</v>
      </c>
      <c r="M974" t="s">
        <v>36</v>
      </c>
      <c r="N974" t="s">
        <v>37</v>
      </c>
      <c r="O974">
        <v>480407</v>
      </c>
      <c r="P974">
        <v>36014</v>
      </c>
      <c r="Q974">
        <v>7.4965599999999997</v>
      </c>
      <c r="R974">
        <v>0</v>
      </c>
      <c r="S974">
        <v>48.04</v>
      </c>
      <c r="T974">
        <v>0.1</v>
      </c>
      <c r="U974">
        <v>1E-3</v>
      </c>
      <c r="V974">
        <v>0</v>
      </c>
      <c r="W974">
        <v>2</v>
      </c>
      <c r="X974">
        <v>0</v>
      </c>
      <c r="Y974" t="s">
        <v>63</v>
      </c>
      <c r="Z974">
        <v>480499</v>
      </c>
      <c r="AA974">
        <v>416219</v>
      </c>
      <c r="AB974">
        <v>39286</v>
      </c>
      <c r="AC974" t="s">
        <v>687</v>
      </c>
      <c r="AD974" t="str">
        <f t="shared" si="30"/>
        <v>TN</v>
      </c>
      <c r="AE974" t="str">
        <f>_xlfn.XLOOKUP(D974,Mapping!A:A,Mapping!D:D,0,0)</f>
        <v>General - Pre-roll - T3</v>
      </c>
      <c r="AF974" t="str">
        <f t="shared" si="31"/>
        <v>TJ</v>
      </c>
    </row>
    <row r="975" spans="1:32" x14ac:dyDescent="0.2">
      <c r="A975" t="s">
        <v>1118</v>
      </c>
      <c r="B975" t="s">
        <v>29</v>
      </c>
      <c r="C975">
        <v>1013028621</v>
      </c>
      <c r="D975" t="s">
        <v>986</v>
      </c>
      <c r="E975" t="s">
        <v>31</v>
      </c>
      <c r="F975" s="1">
        <v>0.67291666666666672</v>
      </c>
      <c r="G975" t="s">
        <v>32</v>
      </c>
      <c r="H975" t="s">
        <v>33</v>
      </c>
      <c r="I975" t="s">
        <v>737</v>
      </c>
      <c r="J975" t="s">
        <v>942</v>
      </c>
      <c r="K975">
        <v>5</v>
      </c>
      <c r="L975">
        <v>0</v>
      </c>
      <c r="M975" t="s">
        <v>36</v>
      </c>
      <c r="N975" t="s">
        <v>37</v>
      </c>
      <c r="O975">
        <v>480602</v>
      </c>
      <c r="P975">
        <v>29784</v>
      </c>
      <c r="Q975">
        <v>6.1972300000000002</v>
      </c>
      <c r="R975">
        <v>1</v>
      </c>
      <c r="S975">
        <v>48.06</v>
      </c>
      <c r="T975">
        <v>0.1</v>
      </c>
      <c r="U975">
        <v>2E-3</v>
      </c>
      <c r="V975">
        <v>48.06</v>
      </c>
      <c r="W975">
        <v>2</v>
      </c>
      <c r="X975">
        <v>0</v>
      </c>
      <c r="Y975" t="s">
        <v>63</v>
      </c>
      <c r="Z975">
        <v>480644</v>
      </c>
      <c r="AA975">
        <v>419749</v>
      </c>
      <c r="AB975">
        <v>41121</v>
      </c>
      <c r="AC975" t="s">
        <v>687</v>
      </c>
      <c r="AD975" t="str">
        <f t="shared" si="30"/>
        <v>AZ</v>
      </c>
      <c r="AE975" t="str">
        <f>_xlfn.XLOOKUP(D975,Mapping!A:A,Mapping!D:D,0,0)</f>
        <v>General - Pre-roll - T3</v>
      </c>
      <c r="AF975" t="str">
        <f t="shared" si="31"/>
        <v>TJ</v>
      </c>
    </row>
    <row r="976" spans="1:32" x14ac:dyDescent="0.2">
      <c r="A976" t="s">
        <v>1118</v>
      </c>
      <c r="B976" t="s">
        <v>29</v>
      </c>
      <c r="C976">
        <v>1013028631</v>
      </c>
      <c r="D976" t="s">
        <v>987</v>
      </c>
      <c r="E976" t="s">
        <v>31</v>
      </c>
      <c r="F976" s="1">
        <v>0.67291666666666672</v>
      </c>
      <c r="G976" t="s">
        <v>32</v>
      </c>
      <c r="H976" t="s">
        <v>33</v>
      </c>
      <c r="I976" t="s">
        <v>737</v>
      </c>
      <c r="J976" t="s">
        <v>942</v>
      </c>
      <c r="K976">
        <v>5</v>
      </c>
      <c r="L976">
        <v>0</v>
      </c>
      <c r="M976" t="s">
        <v>36</v>
      </c>
      <c r="N976" t="s">
        <v>37</v>
      </c>
      <c r="O976">
        <v>265646</v>
      </c>
      <c r="P976">
        <v>21117</v>
      </c>
      <c r="Q976">
        <v>7.9493</v>
      </c>
      <c r="R976">
        <v>0</v>
      </c>
      <c r="S976">
        <v>26.56</v>
      </c>
      <c r="T976">
        <v>0.1</v>
      </c>
      <c r="U976">
        <v>1E-3</v>
      </c>
      <c r="V976">
        <v>0</v>
      </c>
      <c r="W976">
        <v>2</v>
      </c>
      <c r="X976">
        <v>0</v>
      </c>
      <c r="Y976" t="s">
        <v>63</v>
      </c>
      <c r="Z976">
        <v>265475</v>
      </c>
      <c r="AA976">
        <v>231930</v>
      </c>
      <c r="AB976">
        <v>20433</v>
      </c>
      <c r="AC976" t="s">
        <v>687</v>
      </c>
      <c r="AD976" t="str">
        <f t="shared" si="30"/>
        <v>HN</v>
      </c>
      <c r="AE976" t="str">
        <f>_xlfn.XLOOKUP(D976,Mapping!A:A,Mapping!D:D,0,0)</f>
        <v>General</v>
      </c>
      <c r="AF976" t="str">
        <f t="shared" si="31"/>
        <v>TJ</v>
      </c>
    </row>
    <row r="977" spans="1:32" x14ac:dyDescent="0.2">
      <c r="A977" t="s">
        <v>1118</v>
      </c>
      <c r="B977" t="s">
        <v>29</v>
      </c>
      <c r="C977">
        <v>1013028641</v>
      </c>
      <c r="D977" t="s">
        <v>988</v>
      </c>
      <c r="E977" t="s">
        <v>31</v>
      </c>
      <c r="F977" s="1">
        <v>0.67291666666666672</v>
      </c>
      <c r="G977" t="s">
        <v>32</v>
      </c>
      <c r="H977" t="s">
        <v>33</v>
      </c>
      <c r="I977" t="s">
        <v>737</v>
      </c>
      <c r="J977" t="s">
        <v>942</v>
      </c>
      <c r="K977">
        <v>5</v>
      </c>
      <c r="L977">
        <v>0</v>
      </c>
      <c r="M977" t="s">
        <v>36</v>
      </c>
      <c r="N977" t="s">
        <v>37</v>
      </c>
      <c r="O977">
        <v>108927</v>
      </c>
      <c r="P977">
        <v>7911</v>
      </c>
      <c r="Q977">
        <v>7.2626600000000003</v>
      </c>
      <c r="R977">
        <v>0</v>
      </c>
      <c r="S977">
        <v>10.89</v>
      </c>
      <c r="T977">
        <v>0.1</v>
      </c>
      <c r="U977">
        <v>1E-3</v>
      </c>
      <c r="V977">
        <v>0</v>
      </c>
      <c r="W977">
        <v>2</v>
      </c>
      <c r="X977">
        <v>0</v>
      </c>
      <c r="Y977" t="s">
        <v>63</v>
      </c>
      <c r="Z977">
        <v>108910</v>
      </c>
      <c r="AA977">
        <v>95455</v>
      </c>
      <c r="AB977">
        <v>8603</v>
      </c>
      <c r="AC977" t="s">
        <v>687</v>
      </c>
      <c r="AD977" t="str">
        <f t="shared" si="30"/>
        <v>PY</v>
      </c>
      <c r="AE977" t="str">
        <f>_xlfn.XLOOKUP(D977,Mapping!A:A,Mapping!D:D,0,0)</f>
        <v>General</v>
      </c>
      <c r="AF977" t="str">
        <f t="shared" si="31"/>
        <v>TJ</v>
      </c>
    </row>
    <row r="978" spans="1:32" x14ac:dyDescent="0.2">
      <c r="A978" t="s">
        <v>1118</v>
      </c>
      <c r="B978" t="s">
        <v>29</v>
      </c>
      <c r="C978">
        <v>1013028651</v>
      </c>
      <c r="D978" t="s">
        <v>989</v>
      </c>
      <c r="E978" t="s">
        <v>31</v>
      </c>
      <c r="F978" s="1">
        <v>0.67291666666666672</v>
      </c>
      <c r="G978" t="s">
        <v>32</v>
      </c>
      <c r="H978" t="s">
        <v>33</v>
      </c>
      <c r="I978" t="s">
        <v>737</v>
      </c>
      <c r="J978" t="s">
        <v>942</v>
      </c>
      <c r="K978">
        <v>5</v>
      </c>
      <c r="L978">
        <v>0</v>
      </c>
      <c r="M978" t="s">
        <v>36</v>
      </c>
      <c r="N978" t="s">
        <v>37</v>
      </c>
      <c r="O978">
        <v>258802</v>
      </c>
      <c r="P978">
        <v>19766</v>
      </c>
      <c r="Q978">
        <v>7.6375000000000002</v>
      </c>
      <c r="R978">
        <v>0</v>
      </c>
      <c r="S978">
        <v>25.88</v>
      </c>
      <c r="T978">
        <v>0.1</v>
      </c>
      <c r="U978">
        <v>1E-3</v>
      </c>
      <c r="V978">
        <v>0</v>
      </c>
      <c r="W978">
        <v>2</v>
      </c>
      <c r="X978">
        <v>0</v>
      </c>
      <c r="Y978" t="s">
        <v>63</v>
      </c>
      <c r="Z978">
        <v>258669</v>
      </c>
      <c r="AA978">
        <v>226404</v>
      </c>
      <c r="AB978">
        <v>20580</v>
      </c>
      <c r="AC978" t="s">
        <v>687</v>
      </c>
      <c r="AD978" t="str">
        <f t="shared" si="30"/>
        <v>SV</v>
      </c>
      <c r="AE978" t="str">
        <f>_xlfn.XLOOKUP(D978,Mapping!A:A,Mapping!D:D,0,0)</f>
        <v>General</v>
      </c>
      <c r="AF978" t="str">
        <f t="shared" si="31"/>
        <v>TJ</v>
      </c>
    </row>
    <row r="979" spans="1:32" x14ac:dyDescent="0.2">
      <c r="A979" t="s">
        <v>1118</v>
      </c>
      <c r="B979" t="s">
        <v>29</v>
      </c>
      <c r="C979">
        <v>1013028661</v>
      </c>
      <c r="D979" t="s">
        <v>990</v>
      </c>
      <c r="E979" t="s">
        <v>31</v>
      </c>
      <c r="F979" t="s">
        <v>246</v>
      </c>
      <c r="G979" t="s">
        <v>247</v>
      </c>
      <c r="H979" t="s">
        <v>33</v>
      </c>
      <c r="I979" t="s">
        <v>41</v>
      </c>
      <c r="J979" t="s">
        <v>942</v>
      </c>
      <c r="K979">
        <v>4</v>
      </c>
      <c r="L979">
        <v>0</v>
      </c>
      <c r="M979" t="s">
        <v>36</v>
      </c>
      <c r="N979" t="s">
        <v>37</v>
      </c>
      <c r="O979">
        <v>6701306</v>
      </c>
      <c r="P979">
        <v>13596</v>
      </c>
      <c r="Q979">
        <v>0.20288999999999999</v>
      </c>
      <c r="R979">
        <v>1</v>
      </c>
      <c r="S979">
        <v>67.010000000000005</v>
      </c>
      <c r="T979">
        <v>0.01</v>
      </c>
      <c r="U979">
        <v>5.0000000000000001E-3</v>
      </c>
      <c r="V979">
        <v>67.013000000000005</v>
      </c>
      <c r="W979">
        <v>2</v>
      </c>
      <c r="X979">
        <v>0</v>
      </c>
      <c r="Y979" t="s">
        <v>63</v>
      </c>
      <c r="Z979">
        <v>0</v>
      </c>
      <c r="AA979">
        <v>0</v>
      </c>
      <c r="AB979">
        <v>0</v>
      </c>
      <c r="AC979" t="s">
        <v>687</v>
      </c>
      <c r="AD979" t="str">
        <f t="shared" si="30"/>
        <v>UA</v>
      </c>
      <c r="AE979" t="str">
        <f>_xlfn.XLOOKUP(D979,Mapping!A:A,Mapping!D:D,0,0)</f>
        <v>Native - Watch</v>
      </c>
      <c r="AF979" t="str">
        <f t="shared" si="31"/>
        <v>TJ</v>
      </c>
    </row>
    <row r="980" spans="1:32" x14ac:dyDescent="0.2">
      <c r="A980" t="s">
        <v>1118</v>
      </c>
      <c r="B980" t="s">
        <v>29</v>
      </c>
      <c r="C980">
        <v>1013028681</v>
      </c>
      <c r="D980" t="s">
        <v>991</v>
      </c>
      <c r="E980" t="s">
        <v>31</v>
      </c>
      <c r="F980" t="s">
        <v>246</v>
      </c>
      <c r="G980" t="s">
        <v>247</v>
      </c>
      <c r="H980" t="s">
        <v>33</v>
      </c>
      <c r="I980" t="s">
        <v>41</v>
      </c>
      <c r="J980" t="s">
        <v>942</v>
      </c>
      <c r="K980">
        <v>4</v>
      </c>
      <c r="L980">
        <v>0</v>
      </c>
      <c r="M980" t="s">
        <v>36</v>
      </c>
      <c r="N980" t="s">
        <v>37</v>
      </c>
      <c r="O980">
        <v>3589332</v>
      </c>
      <c r="P980">
        <v>2566</v>
      </c>
      <c r="Q980">
        <v>7.1489999999999998E-2</v>
      </c>
      <c r="R980">
        <v>0</v>
      </c>
      <c r="S980">
        <v>35.89</v>
      </c>
      <c r="T980">
        <v>0.01</v>
      </c>
      <c r="U980">
        <v>1.4E-2</v>
      </c>
      <c r="V980">
        <v>0</v>
      </c>
      <c r="W980">
        <v>2</v>
      </c>
      <c r="X980">
        <v>0</v>
      </c>
      <c r="Y980" t="s">
        <v>63</v>
      </c>
      <c r="Z980">
        <v>0</v>
      </c>
      <c r="AA980">
        <v>0</v>
      </c>
      <c r="AB980">
        <v>0</v>
      </c>
      <c r="AC980" t="s">
        <v>687</v>
      </c>
      <c r="AD980" t="str">
        <f t="shared" si="30"/>
        <v>EG</v>
      </c>
      <c r="AE980" t="str">
        <f>_xlfn.XLOOKUP(D980,Mapping!A:A,Mapping!D:D,0,0)</f>
        <v>Native - Watch</v>
      </c>
      <c r="AF980" t="str">
        <f t="shared" si="31"/>
        <v>TJ</v>
      </c>
    </row>
    <row r="981" spans="1:32" x14ac:dyDescent="0.2">
      <c r="A981" t="s">
        <v>1118</v>
      </c>
      <c r="B981" t="s">
        <v>29</v>
      </c>
      <c r="C981">
        <v>1013028691</v>
      </c>
      <c r="D981" t="s">
        <v>992</v>
      </c>
      <c r="E981" t="s">
        <v>31</v>
      </c>
      <c r="F981" t="s">
        <v>246</v>
      </c>
      <c r="G981" t="s">
        <v>247</v>
      </c>
      <c r="H981" t="s">
        <v>33</v>
      </c>
      <c r="I981" t="s">
        <v>41</v>
      </c>
      <c r="J981" t="s">
        <v>942</v>
      </c>
      <c r="K981">
        <v>4</v>
      </c>
      <c r="L981">
        <v>0</v>
      </c>
      <c r="M981" t="s">
        <v>36</v>
      </c>
      <c r="N981" t="s">
        <v>37</v>
      </c>
      <c r="O981">
        <v>6414325</v>
      </c>
      <c r="P981">
        <v>7058</v>
      </c>
      <c r="Q981">
        <v>0.11003</v>
      </c>
      <c r="R981">
        <v>0</v>
      </c>
      <c r="S981">
        <v>64.14</v>
      </c>
      <c r="T981">
        <v>0.01</v>
      </c>
      <c r="U981">
        <v>8.9999999999999993E-3</v>
      </c>
      <c r="V981">
        <v>0</v>
      </c>
      <c r="W981">
        <v>2</v>
      </c>
      <c r="X981">
        <v>0</v>
      </c>
      <c r="Y981" t="s">
        <v>63</v>
      </c>
      <c r="Z981">
        <v>0</v>
      </c>
      <c r="AA981">
        <v>0</v>
      </c>
      <c r="AB981">
        <v>0</v>
      </c>
      <c r="AC981" t="s">
        <v>687</v>
      </c>
      <c r="AD981" t="str">
        <f t="shared" si="30"/>
        <v>MA</v>
      </c>
      <c r="AE981" t="str">
        <f>_xlfn.XLOOKUP(D981,Mapping!A:A,Mapping!D:D,0,0)</f>
        <v>Native - Watch</v>
      </c>
      <c r="AF981" t="str">
        <f t="shared" si="31"/>
        <v>TJ</v>
      </c>
    </row>
    <row r="982" spans="1:32" x14ac:dyDescent="0.2">
      <c r="A982" t="s">
        <v>1118</v>
      </c>
      <c r="B982" t="s">
        <v>29</v>
      </c>
      <c r="C982">
        <v>1013028701</v>
      </c>
      <c r="D982" t="s">
        <v>993</v>
      </c>
      <c r="E982" t="s">
        <v>31</v>
      </c>
      <c r="F982" t="s">
        <v>246</v>
      </c>
      <c r="G982" t="s">
        <v>247</v>
      </c>
      <c r="H982" t="s">
        <v>33</v>
      </c>
      <c r="I982" t="s">
        <v>41</v>
      </c>
      <c r="J982" t="s">
        <v>942</v>
      </c>
      <c r="K982">
        <v>4</v>
      </c>
      <c r="L982">
        <v>0</v>
      </c>
      <c r="M982" t="s">
        <v>36</v>
      </c>
      <c r="N982" t="s">
        <v>37</v>
      </c>
      <c r="O982">
        <v>4843314</v>
      </c>
      <c r="P982">
        <v>6809</v>
      </c>
      <c r="Q982">
        <v>0.14058999999999999</v>
      </c>
      <c r="R982">
        <v>0</v>
      </c>
      <c r="S982">
        <v>48.43</v>
      </c>
      <c r="T982">
        <v>0.01</v>
      </c>
      <c r="U982">
        <v>7.0000000000000001E-3</v>
      </c>
      <c r="V982">
        <v>0</v>
      </c>
      <c r="W982">
        <v>2</v>
      </c>
      <c r="X982">
        <v>0</v>
      </c>
      <c r="Y982" t="s">
        <v>63</v>
      </c>
      <c r="Z982">
        <v>0</v>
      </c>
      <c r="AA982">
        <v>0</v>
      </c>
      <c r="AB982">
        <v>0</v>
      </c>
      <c r="AC982" t="s">
        <v>687</v>
      </c>
      <c r="AD982" t="str">
        <f t="shared" si="30"/>
        <v>PE</v>
      </c>
      <c r="AE982" t="str">
        <f>_xlfn.XLOOKUP(D982,Mapping!A:A,Mapping!D:D,0,0)</f>
        <v>Native - Watch</v>
      </c>
      <c r="AF982" t="str">
        <f t="shared" si="31"/>
        <v>TJ</v>
      </c>
    </row>
    <row r="983" spans="1:32" x14ac:dyDescent="0.2">
      <c r="A983" t="s">
        <v>1118</v>
      </c>
      <c r="B983" t="s">
        <v>29</v>
      </c>
      <c r="C983">
        <v>1013028711</v>
      </c>
      <c r="D983" t="s">
        <v>994</v>
      </c>
      <c r="E983" t="s">
        <v>31</v>
      </c>
      <c r="F983" t="s">
        <v>246</v>
      </c>
      <c r="G983" t="s">
        <v>247</v>
      </c>
      <c r="H983" t="s">
        <v>33</v>
      </c>
      <c r="I983" t="s">
        <v>41</v>
      </c>
      <c r="J983" t="s">
        <v>942</v>
      </c>
      <c r="K983">
        <v>4</v>
      </c>
      <c r="L983">
        <v>0</v>
      </c>
      <c r="M983" t="s">
        <v>36</v>
      </c>
      <c r="N983" t="s">
        <v>37</v>
      </c>
      <c r="O983">
        <v>6089227</v>
      </c>
      <c r="P983">
        <v>7921</v>
      </c>
      <c r="Q983">
        <v>0.13008</v>
      </c>
      <c r="R983">
        <v>0</v>
      </c>
      <c r="S983">
        <v>60.89</v>
      </c>
      <c r="T983">
        <v>0.01</v>
      </c>
      <c r="U983">
        <v>8.0000000000000002E-3</v>
      </c>
      <c r="V983">
        <v>0</v>
      </c>
      <c r="W983">
        <v>2</v>
      </c>
      <c r="X983">
        <v>0</v>
      </c>
      <c r="Y983" t="s">
        <v>63</v>
      </c>
      <c r="Z983">
        <v>0</v>
      </c>
      <c r="AA983">
        <v>0</v>
      </c>
      <c r="AB983">
        <v>0</v>
      </c>
      <c r="AC983" t="s">
        <v>687</v>
      </c>
      <c r="AD983" t="str">
        <f t="shared" si="30"/>
        <v>PO</v>
      </c>
      <c r="AE983" t="str">
        <f>_xlfn.XLOOKUP(D983,Mapping!A:A,Mapping!D:D,0,0)</f>
        <v>Native - Watch</v>
      </c>
      <c r="AF983" t="str">
        <f t="shared" si="31"/>
        <v>TJ</v>
      </c>
    </row>
    <row r="984" spans="1:32" x14ac:dyDescent="0.2">
      <c r="A984" t="s">
        <v>1118</v>
      </c>
      <c r="B984" t="s">
        <v>29</v>
      </c>
      <c r="C984">
        <v>1013028731</v>
      </c>
      <c r="D984" t="s">
        <v>995</v>
      </c>
      <c r="E984" t="s">
        <v>31</v>
      </c>
      <c r="F984" t="s">
        <v>246</v>
      </c>
      <c r="G984" t="s">
        <v>247</v>
      </c>
      <c r="H984" t="s">
        <v>33</v>
      </c>
      <c r="I984" t="s">
        <v>41</v>
      </c>
      <c r="J984" t="s">
        <v>942</v>
      </c>
      <c r="K984">
        <v>4</v>
      </c>
      <c r="L984">
        <v>0</v>
      </c>
      <c r="M984" t="s">
        <v>36</v>
      </c>
      <c r="N984" t="s">
        <v>37</v>
      </c>
      <c r="O984">
        <v>2701423</v>
      </c>
      <c r="P984">
        <v>1878</v>
      </c>
      <c r="Q984">
        <v>6.9519999999999998E-2</v>
      </c>
      <c r="R984">
        <v>4</v>
      </c>
      <c r="S984">
        <v>54.03</v>
      </c>
      <c r="T984">
        <v>0.02</v>
      </c>
      <c r="U984">
        <v>2.9000000000000001E-2</v>
      </c>
      <c r="V984">
        <v>13.507</v>
      </c>
      <c r="W984">
        <v>2</v>
      </c>
      <c r="X984">
        <v>0</v>
      </c>
      <c r="Y984" t="s">
        <v>63</v>
      </c>
      <c r="Z984">
        <v>0</v>
      </c>
      <c r="AA984">
        <v>0</v>
      </c>
      <c r="AB984">
        <v>0</v>
      </c>
      <c r="AC984" t="s">
        <v>687</v>
      </c>
      <c r="AD984" t="str">
        <f t="shared" si="30"/>
        <v>AU</v>
      </c>
      <c r="AE984" t="str">
        <f>_xlfn.XLOOKUP(D984,Mapping!A:A,Mapping!D:D,0,0)</f>
        <v>Native - Watch</v>
      </c>
      <c r="AF984" t="str">
        <f t="shared" si="31"/>
        <v>TJ</v>
      </c>
    </row>
    <row r="985" spans="1:32" x14ac:dyDescent="0.2">
      <c r="A985" t="s">
        <v>1118</v>
      </c>
      <c r="B985" t="s">
        <v>29</v>
      </c>
      <c r="C985">
        <v>1013028741</v>
      </c>
      <c r="D985" t="s">
        <v>996</v>
      </c>
      <c r="E985" t="s">
        <v>31</v>
      </c>
      <c r="F985" t="s">
        <v>246</v>
      </c>
      <c r="G985" t="s">
        <v>247</v>
      </c>
      <c r="H985" t="s">
        <v>33</v>
      </c>
      <c r="I985" t="s">
        <v>41</v>
      </c>
      <c r="J985" t="s">
        <v>942</v>
      </c>
      <c r="K985">
        <v>4</v>
      </c>
      <c r="L985">
        <v>0</v>
      </c>
      <c r="M985" t="s">
        <v>36</v>
      </c>
      <c r="N985" t="s">
        <v>37</v>
      </c>
      <c r="O985">
        <v>7972957</v>
      </c>
      <c r="P985">
        <v>12820</v>
      </c>
      <c r="Q985">
        <v>0.16078000000000001</v>
      </c>
      <c r="R985">
        <v>1</v>
      </c>
      <c r="S985">
        <v>79.73</v>
      </c>
      <c r="T985">
        <v>0.01</v>
      </c>
      <c r="U985">
        <v>6.0000000000000001E-3</v>
      </c>
      <c r="V985">
        <v>79.73</v>
      </c>
      <c r="W985">
        <v>2</v>
      </c>
      <c r="X985">
        <v>0</v>
      </c>
      <c r="Y985" t="s">
        <v>63</v>
      </c>
      <c r="Z985">
        <v>0</v>
      </c>
      <c r="AA985">
        <v>0</v>
      </c>
      <c r="AB985">
        <v>0</v>
      </c>
      <c r="AC985" t="s">
        <v>687</v>
      </c>
      <c r="AD985" t="str">
        <f t="shared" si="30"/>
        <v>ES</v>
      </c>
      <c r="AE985" t="str">
        <f>_xlfn.XLOOKUP(D985,Mapping!A:A,Mapping!D:D,0,0)</f>
        <v>Native - Watch</v>
      </c>
      <c r="AF985" t="str">
        <f t="shared" si="31"/>
        <v>TJ</v>
      </c>
    </row>
    <row r="986" spans="1:32" x14ac:dyDescent="0.2">
      <c r="A986" t="s">
        <v>1118</v>
      </c>
      <c r="B986" t="s">
        <v>29</v>
      </c>
      <c r="C986">
        <v>1013028761</v>
      </c>
      <c r="D986" t="s">
        <v>997</v>
      </c>
      <c r="E986" t="s">
        <v>31</v>
      </c>
      <c r="F986" t="s">
        <v>246</v>
      </c>
      <c r="G986" t="s">
        <v>247</v>
      </c>
      <c r="H986" t="s">
        <v>33</v>
      </c>
      <c r="I986" t="s">
        <v>41</v>
      </c>
      <c r="J986" t="s">
        <v>942</v>
      </c>
      <c r="K986">
        <v>4</v>
      </c>
      <c r="L986">
        <v>0</v>
      </c>
      <c r="M986" t="s">
        <v>36</v>
      </c>
      <c r="N986" t="s">
        <v>37</v>
      </c>
      <c r="O986">
        <v>2597860</v>
      </c>
      <c r="P986">
        <v>5729</v>
      </c>
      <c r="Q986">
        <v>0.22053</v>
      </c>
      <c r="R986">
        <v>1</v>
      </c>
      <c r="S986">
        <v>25.98</v>
      </c>
      <c r="T986">
        <v>0.01</v>
      </c>
      <c r="U986">
        <v>5.0000000000000001E-3</v>
      </c>
      <c r="V986">
        <v>25.978999999999999</v>
      </c>
      <c r="W986">
        <v>2</v>
      </c>
      <c r="X986">
        <v>0</v>
      </c>
      <c r="Y986" t="s">
        <v>63</v>
      </c>
      <c r="Z986">
        <v>0</v>
      </c>
      <c r="AA986">
        <v>0</v>
      </c>
      <c r="AB986">
        <v>0</v>
      </c>
      <c r="AC986" t="s">
        <v>687</v>
      </c>
      <c r="AD986" t="str">
        <f t="shared" si="30"/>
        <v>ZA</v>
      </c>
      <c r="AE986" t="str">
        <f>_xlfn.XLOOKUP(D986,Mapping!A:A,Mapping!D:D,0,0)</f>
        <v>Native - Watch</v>
      </c>
      <c r="AF986" t="str">
        <f t="shared" si="31"/>
        <v>TJ</v>
      </c>
    </row>
    <row r="987" spans="1:32" x14ac:dyDescent="0.2">
      <c r="A987" t="s">
        <v>1118</v>
      </c>
      <c r="B987" t="s">
        <v>29</v>
      </c>
      <c r="C987">
        <v>1013028771</v>
      </c>
      <c r="D987" t="s">
        <v>998</v>
      </c>
      <c r="E987" t="s">
        <v>31</v>
      </c>
      <c r="F987" t="s">
        <v>246</v>
      </c>
      <c r="G987" t="s">
        <v>247</v>
      </c>
      <c r="H987" t="s">
        <v>33</v>
      </c>
      <c r="I987" t="s">
        <v>41</v>
      </c>
      <c r="J987" t="s">
        <v>942</v>
      </c>
      <c r="K987">
        <v>4</v>
      </c>
      <c r="L987">
        <v>0</v>
      </c>
      <c r="M987" t="s">
        <v>36</v>
      </c>
      <c r="N987" t="s">
        <v>37</v>
      </c>
      <c r="O987">
        <v>4530841</v>
      </c>
      <c r="P987">
        <v>3433</v>
      </c>
      <c r="Q987">
        <v>7.5770000000000004E-2</v>
      </c>
      <c r="R987">
        <v>0</v>
      </c>
      <c r="S987">
        <v>45.31</v>
      </c>
      <c r="T987">
        <v>0.01</v>
      </c>
      <c r="U987">
        <v>1.2999999999999999E-2</v>
      </c>
      <c r="V987">
        <v>0</v>
      </c>
      <c r="W987">
        <v>2</v>
      </c>
      <c r="X987">
        <v>0</v>
      </c>
      <c r="Y987" t="s">
        <v>63</v>
      </c>
      <c r="Z987">
        <v>0</v>
      </c>
      <c r="AA987">
        <v>0</v>
      </c>
      <c r="AB987">
        <v>0</v>
      </c>
      <c r="AC987" t="s">
        <v>687</v>
      </c>
      <c r="AD987" t="str">
        <f t="shared" si="30"/>
        <v>SG</v>
      </c>
      <c r="AE987" t="str">
        <f>_xlfn.XLOOKUP(D987,Mapping!A:A,Mapping!D:D,0,0)</f>
        <v>Native - Watch</v>
      </c>
      <c r="AF987" t="str">
        <f t="shared" si="31"/>
        <v>TJ</v>
      </c>
    </row>
    <row r="988" spans="1:32" x14ac:dyDescent="0.2">
      <c r="A988" t="s">
        <v>1118</v>
      </c>
      <c r="B988" t="s">
        <v>29</v>
      </c>
      <c r="C988">
        <v>1013028781</v>
      </c>
      <c r="D988" t="s">
        <v>999</v>
      </c>
      <c r="E988" t="s">
        <v>31</v>
      </c>
      <c r="F988" t="s">
        <v>246</v>
      </c>
      <c r="G988" t="s">
        <v>247</v>
      </c>
      <c r="H988" t="s">
        <v>33</v>
      </c>
      <c r="I988" t="s">
        <v>41</v>
      </c>
      <c r="J988" t="s">
        <v>942</v>
      </c>
      <c r="K988">
        <v>4</v>
      </c>
      <c r="L988">
        <v>0</v>
      </c>
      <c r="M988" t="s">
        <v>36</v>
      </c>
      <c r="N988" t="s">
        <v>37</v>
      </c>
      <c r="O988">
        <v>2929401</v>
      </c>
      <c r="P988">
        <v>3450</v>
      </c>
      <c r="Q988">
        <v>0.11777</v>
      </c>
      <c r="R988">
        <v>0</v>
      </c>
      <c r="S988">
        <v>29.29</v>
      </c>
      <c r="T988">
        <v>0.01</v>
      </c>
      <c r="U988">
        <v>8.0000000000000002E-3</v>
      </c>
      <c r="V988">
        <v>0</v>
      </c>
      <c r="W988">
        <v>2</v>
      </c>
      <c r="X988">
        <v>0</v>
      </c>
      <c r="Y988" t="s">
        <v>63</v>
      </c>
      <c r="Z988">
        <v>0</v>
      </c>
      <c r="AA988">
        <v>0</v>
      </c>
      <c r="AB988">
        <v>0</v>
      </c>
      <c r="AC988" t="s">
        <v>687</v>
      </c>
      <c r="AD988" t="str">
        <f t="shared" si="30"/>
        <v>EC</v>
      </c>
      <c r="AE988" t="str">
        <f>_xlfn.XLOOKUP(D988,Mapping!A:A,Mapping!D:D,0,0)</f>
        <v>Native - Watch</v>
      </c>
      <c r="AF988" t="str">
        <f t="shared" si="31"/>
        <v>TJ</v>
      </c>
    </row>
    <row r="989" spans="1:32" x14ac:dyDescent="0.2">
      <c r="A989" t="s">
        <v>1118</v>
      </c>
      <c r="B989" t="s">
        <v>29</v>
      </c>
      <c r="C989">
        <v>1013028791</v>
      </c>
      <c r="D989" t="s">
        <v>1000</v>
      </c>
      <c r="E989" t="s">
        <v>31</v>
      </c>
      <c r="F989" t="s">
        <v>246</v>
      </c>
      <c r="G989" t="s">
        <v>247</v>
      </c>
      <c r="H989" t="s">
        <v>33</v>
      </c>
      <c r="I989" t="s">
        <v>41</v>
      </c>
      <c r="J989" t="s">
        <v>942</v>
      </c>
      <c r="K989">
        <v>4</v>
      </c>
      <c r="L989">
        <v>0</v>
      </c>
      <c r="M989" t="s">
        <v>36</v>
      </c>
      <c r="N989" t="s">
        <v>37</v>
      </c>
      <c r="O989">
        <v>2927825</v>
      </c>
      <c r="P989">
        <v>4671</v>
      </c>
      <c r="Q989">
        <v>0.15953000000000001</v>
      </c>
      <c r="R989">
        <v>1</v>
      </c>
      <c r="S989">
        <v>29.28</v>
      </c>
      <c r="T989">
        <v>0.01</v>
      </c>
      <c r="U989">
        <v>6.0000000000000001E-3</v>
      </c>
      <c r="V989">
        <v>29.277999999999999</v>
      </c>
      <c r="W989">
        <v>2</v>
      </c>
      <c r="X989">
        <v>0</v>
      </c>
      <c r="Y989" t="s">
        <v>63</v>
      </c>
      <c r="Z989">
        <v>0</v>
      </c>
      <c r="AA989">
        <v>0</v>
      </c>
      <c r="AB989">
        <v>0</v>
      </c>
      <c r="AC989" t="s">
        <v>687</v>
      </c>
      <c r="AD989" t="str">
        <f t="shared" si="30"/>
        <v>JP</v>
      </c>
      <c r="AE989" t="str">
        <f>_xlfn.XLOOKUP(D989,Mapping!A:A,Mapping!D:D,0,0)</f>
        <v>Native - Watch</v>
      </c>
      <c r="AF989" t="str">
        <f t="shared" si="31"/>
        <v>TJ</v>
      </c>
    </row>
    <row r="990" spans="1:32" x14ac:dyDescent="0.2">
      <c r="A990" t="s">
        <v>1118</v>
      </c>
      <c r="B990" t="s">
        <v>29</v>
      </c>
      <c r="C990">
        <v>1013028801</v>
      </c>
      <c r="D990" t="s">
        <v>1001</v>
      </c>
      <c r="E990" t="s">
        <v>31</v>
      </c>
      <c r="F990" s="1">
        <v>0.67291666666666672</v>
      </c>
      <c r="G990" t="s">
        <v>32</v>
      </c>
      <c r="H990" t="s">
        <v>33</v>
      </c>
      <c r="I990" t="s">
        <v>737</v>
      </c>
      <c r="J990" t="s">
        <v>942</v>
      </c>
      <c r="K990">
        <v>8</v>
      </c>
      <c r="L990">
        <v>0</v>
      </c>
      <c r="M990" t="s">
        <v>36</v>
      </c>
      <c r="N990" t="s">
        <v>37</v>
      </c>
      <c r="O990">
        <v>55459</v>
      </c>
      <c r="P990">
        <v>1967</v>
      </c>
      <c r="Q990">
        <v>3.5467599999999999</v>
      </c>
      <c r="R990">
        <v>0</v>
      </c>
      <c r="S990">
        <v>5.55</v>
      </c>
      <c r="T990">
        <v>0.1</v>
      </c>
      <c r="U990">
        <v>3.0000000000000001E-3</v>
      </c>
      <c r="V990">
        <v>0</v>
      </c>
      <c r="W990">
        <v>2</v>
      </c>
      <c r="X990">
        <v>0</v>
      </c>
      <c r="Y990" t="s">
        <v>63</v>
      </c>
      <c r="Z990">
        <v>55483</v>
      </c>
      <c r="AA990">
        <v>40408</v>
      </c>
      <c r="AB990">
        <v>7285</v>
      </c>
      <c r="AC990" t="s">
        <v>687</v>
      </c>
      <c r="AD990" t="str">
        <f t="shared" si="30"/>
        <v>ES</v>
      </c>
      <c r="AE990" t="str">
        <f>_xlfn.XLOOKUP(D990,Mapping!A:A,Mapping!D:D,0,0)</f>
        <v>General</v>
      </c>
      <c r="AF990" t="str">
        <f t="shared" si="31"/>
        <v>TJ</v>
      </c>
    </row>
    <row r="991" spans="1:32" x14ac:dyDescent="0.2">
      <c r="A991" t="s">
        <v>1118</v>
      </c>
      <c r="B991" t="s">
        <v>29</v>
      </c>
      <c r="C991">
        <v>1013028811</v>
      </c>
      <c r="D991" t="s">
        <v>1002</v>
      </c>
      <c r="E991" t="s">
        <v>31</v>
      </c>
      <c r="F991" t="s">
        <v>246</v>
      </c>
      <c r="G991" t="s">
        <v>247</v>
      </c>
      <c r="H991" t="s">
        <v>33</v>
      </c>
      <c r="I991" t="s">
        <v>41</v>
      </c>
      <c r="J991" t="s">
        <v>942</v>
      </c>
      <c r="K991">
        <v>4</v>
      </c>
      <c r="L991">
        <v>0</v>
      </c>
      <c r="M991" t="s">
        <v>36</v>
      </c>
      <c r="N991" t="s">
        <v>37</v>
      </c>
      <c r="O991">
        <v>3570742</v>
      </c>
      <c r="P991">
        <v>6428</v>
      </c>
      <c r="Q991">
        <v>0.18002000000000001</v>
      </c>
      <c r="R991">
        <v>0</v>
      </c>
      <c r="S991">
        <v>35.71</v>
      </c>
      <c r="T991">
        <v>0.01</v>
      </c>
      <c r="U991">
        <v>6.0000000000000001E-3</v>
      </c>
      <c r="V991">
        <v>0</v>
      </c>
      <c r="W991">
        <v>2</v>
      </c>
      <c r="X991">
        <v>0</v>
      </c>
      <c r="Y991" t="s">
        <v>63</v>
      </c>
      <c r="Z991">
        <v>0</v>
      </c>
      <c r="AA991">
        <v>0</v>
      </c>
      <c r="AB991">
        <v>0</v>
      </c>
      <c r="AC991" t="s">
        <v>687</v>
      </c>
      <c r="AD991" t="str">
        <f t="shared" si="30"/>
        <v>LK</v>
      </c>
      <c r="AE991" t="str">
        <f>_xlfn.XLOOKUP(D991,Mapping!A:A,Mapping!D:D,0,0)</f>
        <v>Native - Watch</v>
      </c>
      <c r="AF991" t="str">
        <f t="shared" si="31"/>
        <v>TJ</v>
      </c>
    </row>
    <row r="992" spans="1:32" x14ac:dyDescent="0.2">
      <c r="A992" t="s">
        <v>1118</v>
      </c>
      <c r="B992" t="s">
        <v>29</v>
      </c>
      <c r="C992">
        <v>1013028831</v>
      </c>
      <c r="D992" t="s">
        <v>1003</v>
      </c>
      <c r="E992" t="s">
        <v>31</v>
      </c>
      <c r="F992" t="s">
        <v>246</v>
      </c>
      <c r="G992" t="s">
        <v>247</v>
      </c>
      <c r="H992" t="s">
        <v>33</v>
      </c>
      <c r="I992" t="s">
        <v>41</v>
      </c>
      <c r="J992" t="s">
        <v>942</v>
      </c>
      <c r="K992">
        <v>4</v>
      </c>
      <c r="L992">
        <v>0</v>
      </c>
      <c r="M992" t="s">
        <v>36</v>
      </c>
      <c r="N992" t="s">
        <v>37</v>
      </c>
      <c r="O992">
        <v>2566155</v>
      </c>
      <c r="P992">
        <v>3220</v>
      </c>
      <c r="Q992">
        <v>0.12548000000000001</v>
      </c>
      <c r="R992">
        <v>0</v>
      </c>
      <c r="S992">
        <v>25.66</v>
      </c>
      <c r="T992">
        <v>0.01</v>
      </c>
      <c r="U992">
        <v>8.0000000000000002E-3</v>
      </c>
      <c r="V992">
        <v>0</v>
      </c>
      <c r="W992">
        <v>2</v>
      </c>
      <c r="X992">
        <v>0</v>
      </c>
      <c r="Y992" t="s">
        <v>63</v>
      </c>
      <c r="Z992">
        <v>0</v>
      </c>
      <c r="AA992">
        <v>0</v>
      </c>
      <c r="AB992">
        <v>0</v>
      </c>
      <c r="AC992" t="s">
        <v>687</v>
      </c>
      <c r="AD992" t="str">
        <f t="shared" si="30"/>
        <v>GT</v>
      </c>
      <c r="AE992" t="str">
        <f>_xlfn.XLOOKUP(D992,Mapping!A:A,Mapping!D:D,0,0)</f>
        <v>Native - Watch</v>
      </c>
      <c r="AF992" t="str">
        <f t="shared" si="31"/>
        <v>TJ</v>
      </c>
    </row>
    <row r="993" spans="1:32" x14ac:dyDescent="0.2">
      <c r="A993" t="s">
        <v>1118</v>
      </c>
      <c r="B993" t="s">
        <v>29</v>
      </c>
      <c r="C993">
        <v>1013028841</v>
      </c>
      <c r="D993" t="s">
        <v>1004</v>
      </c>
      <c r="E993" t="s">
        <v>31</v>
      </c>
      <c r="F993" s="1">
        <v>0.67291666666666672</v>
      </c>
      <c r="G993" t="s">
        <v>32</v>
      </c>
      <c r="H993" t="s">
        <v>33</v>
      </c>
      <c r="I993" t="s">
        <v>737</v>
      </c>
      <c r="J993" t="s">
        <v>942</v>
      </c>
      <c r="K993">
        <v>5</v>
      </c>
      <c r="L993">
        <v>0</v>
      </c>
      <c r="M993" t="s">
        <v>36</v>
      </c>
      <c r="N993" t="s">
        <v>37</v>
      </c>
      <c r="O993">
        <v>48108</v>
      </c>
      <c r="P993">
        <v>2842</v>
      </c>
      <c r="Q993">
        <v>5.90754</v>
      </c>
      <c r="R993">
        <v>0</v>
      </c>
      <c r="S993">
        <v>4.8099999999999996</v>
      </c>
      <c r="T993">
        <v>0.1</v>
      </c>
      <c r="U993">
        <v>2E-3</v>
      </c>
      <c r="V993">
        <v>0</v>
      </c>
      <c r="W993">
        <v>2</v>
      </c>
      <c r="X993">
        <v>0</v>
      </c>
      <c r="Y993" t="s">
        <v>63</v>
      </c>
      <c r="Z993">
        <v>48123</v>
      </c>
      <c r="AA993">
        <v>36549</v>
      </c>
      <c r="AB993">
        <v>6446</v>
      </c>
      <c r="AC993" t="s">
        <v>687</v>
      </c>
      <c r="AD993" t="str">
        <f t="shared" si="30"/>
        <v>DE</v>
      </c>
      <c r="AE993" t="str">
        <f>_xlfn.XLOOKUP(D993,Mapping!A:A,Mapping!D:D,0,0)</f>
        <v>General</v>
      </c>
      <c r="AF993" t="str">
        <f t="shared" si="31"/>
        <v>TJ</v>
      </c>
    </row>
    <row r="994" spans="1:32" x14ac:dyDescent="0.2">
      <c r="A994" t="s">
        <v>1118</v>
      </c>
      <c r="B994" t="s">
        <v>29</v>
      </c>
      <c r="C994">
        <v>1013028851</v>
      </c>
      <c r="D994" t="s">
        <v>1005</v>
      </c>
      <c r="E994" t="s">
        <v>31</v>
      </c>
      <c r="F994" s="1">
        <v>0.67291666666666672</v>
      </c>
      <c r="G994" t="s">
        <v>32</v>
      </c>
      <c r="H994" t="s">
        <v>33</v>
      </c>
      <c r="I994" t="s">
        <v>737</v>
      </c>
      <c r="J994" t="s">
        <v>942</v>
      </c>
      <c r="K994">
        <v>5</v>
      </c>
      <c r="L994">
        <v>0</v>
      </c>
      <c r="M994" t="s">
        <v>36</v>
      </c>
      <c r="N994" t="s">
        <v>37</v>
      </c>
      <c r="O994">
        <v>150336</v>
      </c>
      <c r="P994">
        <v>4021</v>
      </c>
      <c r="Q994">
        <v>2.6746799999999999</v>
      </c>
      <c r="R994">
        <v>0</v>
      </c>
      <c r="S994">
        <v>15.03</v>
      </c>
      <c r="T994">
        <v>0.1</v>
      </c>
      <c r="U994">
        <v>4.0000000000000001E-3</v>
      </c>
      <c r="V994">
        <v>0</v>
      </c>
      <c r="W994">
        <v>2</v>
      </c>
      <c r="X994">
        <v>0</v>
      </c>
      <c r="Y994" t="s">
        <v>63</v>
      </c>
      <c r="Z994">
        <v>150269</v>
      </c>
      <c r="AA994">
        <v>67599</v>
      </c>
      <c r="AB994">
        <v>70114</v>
      </c>
      <c r="AC994" t="s">
        <v>687</v>
      </c>
      <c r="AD994" t="str">
        <f t="shared" si="30"/>
        <v>CO</v>
      </c>
      <c r="AE994" t="str">
        <f>_xlfn.XLOOKUP(D994,Mapping!A:A,Mapping!D:D,0,0)</f>
        <v>General</v>
      </c>
      <c r="AF994" t="str">
        <f t="shared" si="31"/>
        <v>TJ</v>
      </c>
    </row>
    <row r="995" spans="1:32" x14ac:dyDescent="0.2">
      <c r="A995" t="s">
        <v>1118</v>
      </c>
      <c r="B995" t="s">
        <v>29</v>
      </c>
      <c r="C995">
        <v>1013028861</v>
      </c>
      <c r="D995" t="s">
        <v>1006</v>
      </c>
      <c r="E995" t="s">
        <v>31</v>
      </c>
      <c r="F995" s="1">
        <v>0.67291666666666672</v>
      </c>
      <c r="G995" t="s">
        <v>32</v>
      </c>
      <c r="H995" t="s">
        <v>33</v>
      </c>
      <c r="I995" t="s">
        <v>737</v>
      </c>
      <c r="J995" t="s">
        <v>942</v>
      </c>
      <c r="K995">
        <v>5</v>
      </c>
      <c r="L995">
        <v>0</v>
      </c>
      <c r="M995" t="s">
        <v>36</v>
      </c>
      <c r="N995" t="s">
        <v>37</v>
      </c>
      <c r="O995">
        <v>108657</v>
      </c>
      <c r="P995">
        <v>4456</v>
      </c>
      <c r="Q995">
        <v>4.1009799999999998</v>
      </c>
      <c r="R995">
        <v>0</v>
      </c>
      <c r="S995">
        <v>10.87</v>
      </c>
      <c r="T995">
        <v>0.1</v>
      </c>
      <c r="U995">
        <v>2E-3</v>
      </c>
      <c r="V995">
        <v>0</v>
      </c>
      <c r="W995">
        <v>2</v>
      </c>
      <c r="X995">
        <v>0</v>
      </c>
      <c r="Y995" t="s">
        <v>63</v>
      </c>
      <c r="Z995">
        <v>108671</v>
      </c>
      <c r="AA995">
        <v>82645</v>
      </c>
      <c r="AB995">
        <v>11375</v>
      </c>
      <c r="AC995" t="s">
        <v>687</v>
      </c>
      <c r="AD995" t="str">
        <f t="shared" si="30"/>
        <v>IT</v>
      </c>
      <c r="AE995" t="str">
        <f>_xlfn.XLOOKUP(D995,Mapping!A:A,Mapping!D:D,0,0)</f>
        <v>General</v>
      </c>
      <c r="AF995" t="str">
        <f t="shared" si="31"/>
        <v>TJ</v>
      </c>
    </row>
    <row r="996" spans="1:32" x14ac:dyDescent="0.2">
      <c r="A996" t="s">
        <v>1118</v>
      </c>
      <c r="B996" t="s">
        <v>29</v>
      </c>
      <c r="C996">
        <v>1013028881</v>
      </c>
      <c r="D996" t="s">
        <v>1007</v>
      </c>
      <c r="E996" t="s">
        <v>31</v>
      </c>
      <c r="F996" t="s">
        <v>246</v>
      </c>
      <c r="G996" t="s">
        <v>247</v>
      </c>
      <c r="H996" t="s">
        <v>33</v>
      </c>
      <c r="I996" t="s">
        <v>41</v>
      </c>
      <c r="J996" t="s">
        <v>942</v>
      </c>
      <c r="K996">
        <v>4</v>
      </c>
      <c r="L996">
        <v>0</v>
      </c>
      <c r="M996" t="s">
        <v>36</v>
      </c>
      <c r="N996" t="s">
        <v>37</v>
      </c>
      <c r="O996">
        <v>8651299</v>
      </c>
      <c r="P996">
        <v>14227</v>
      </c>
      <c r="Q996">
        <v>0.16445000000000001</v>
      </c>
      <c r="R996">
        <v>0</v>
      </c>
      <c r="S996">
        <v>86.51</v>
      </c>
      <c r="T996">
        <v>0.01</v>
      </c>
      <c r="U996">
        <v>6.0000000000000001E-3</v>
      </c>
      <c r="V996">
        <v>0</v>
      </c>
      <c r="W996">
        <v>2</v>
      </c>
      <c r="X996">
        <v>0</v>
      </c>
      <c r="Y996" t="s">
        <v>63</v>
      </c>
      <c r="Z996">
        <v>0</v>
      </c>
      <c r="AA996">
        <v>0</v>
      </c>
      <c r="AB996">
        <v>0</v>
      </c>
      <c r="AC996" t="s">
        <v>687</v>
      </c>
      <c r="AD996" t="str">
        <f t="shared" si="30"/>
        <v>PH</v>
      </c>
      <c r="AE996" t="str">
        <f>_xlfn.XLOOKUP(D996,Mapping!A:A,Mapping!D:D,0,0)</f>
        <v>Native - Search</v>
      </c>
      <c r="AF996" t="str">
        <f t="shared" si="31"/>
        <v>TJ</v>
      </c>
    </row>
    <row r="997" spans="1:32" x14ac:dyDescent="0.2">
      <c r="A997" t="s">
        <v>1118</v>
      </c>
      <c r="B997" t="s">
        <v>29</v>
      </c>
      <c r="C997">
        <v>1013028891</v>
      </c>
      <c r="D997" t="s">
        <v>1008</v>
      </c>
      <c r="E997" t="s">
        <v>31</v>
      </c>
      <c r="F997" s="1">
        <v>0.67291666666666672</v>
      </c>
      <c r="G997" t="s">
        <v>32</v>
      </c>
      <c r="H997" t="s">
        <v>33</v>
      </c>
      <c r="I997" t="s">
        <v>737</v>
      </c>
      <c r="J997" t="s">
        <v>942</v>
      </c>
      <c r="K997">
        <v>10</v>
      </c>
      <c r="L997">
        <v>0</v>
      </c>
      <c r="M997" t="s">
        <v>36</v>
      </c>
      <c r="N997" t="s">
        <v>37</v>
      </c>
      <c r="O997">
        <v>417496</v>
      </c>
      <c r="P997">
        <v>29201</v>
      </c>
      <c r="Q997">
        <v>6.9943200000000001</v>
      </c>
      <c r="R997">
        <v>0</v>
      </c>
      <c r="S997">
        <v>41.75</v>
      </c>
      <c r="T997">
        <v>0.1</v>
      </c>
      <c r="U997">
        <v>1E-3</v>
      </c>
      <c r="V997">
        <v>0</v>
      </c>
      <c r="W997">
        <v>2</v>
      </c>
      <c r="X997">
        <v>0</v>
      </c>
      <c r="Y997" t="s">
        <v>63</v>
      </c>
      <c r="Z997">
        <v>417578</v>
      </c>
      <c r="AA997">
        <v>345789</v>
      </c>
      <c r="AB997">
        <v>29331</v>
      </c>
      <c r="AC997" t="s">
        <v>687</v>
      </c>
      <c r="AD997" t="str">
        <f t="shared" si="30"/>
        <v>IN</v>
      </c>
      <c r="AE997" t="str">
        <f>_xlfn.XLOOKUP(D997,Mapping!A:A,Mapping!D:D,0,0)</f>
        <v>General - Pre-roll - T3</v>
      </c>
      <c r="AF997" t="str">
        <f t="shared" si="31"/>
        <v>TJ</v>
      </c>
    </row>
    <row r="998" spans="1:32" x14ac:dyDescent="0.2">
      <c r="A998" t="s">
        <v>1118</v>
      </c>
      <c r="B998" t="s">
        <v>29</v>
      </c>
      <c r="C998">
        <v>1013028901</v>
      </c>
      <c r="D998" t="s">
        <v>1009</v>
      </c>
      <c r="E998" t="s">
        <v>31</v>
      </c>
      <c r="F998" t="s">
        <v>246</v>
      </c>
      <c r="G998" t="s">
        <v>247</v>
      </c>
      <c r="H998" t="s">
        <v>33</v>
      </c>
      <c r="I998" t="s">
        <v>41</v>
      </c>
      <c r="J998" t="s">
        <v>942</v>
      </c>
      <c r="K998">
        <v>18</v>
      </c>
      <c r="L998">
        <v>0</v>
      </c>
      <c r="M998" t="s">
        <v>36</v>
      </c>
      <c r="N998" t="s">
        <v>37</v>
      </c>
      <c r="O998">
        <v>15942602</v>
      </c>
      <c r="P998">
        <v>26933</v>
      </c>
      <c r="Q998">
        <v>0.16894000000000001</v>
      </c>
      <c r="R998">
        <v>1</v>
      </c>
      <c r="S998">
        <v>159.43</v>
      </c>
      <c r="T998">
        <v>0.01</v>
      </c>
      <c r="U998">
        <v>6.0000000000000001E-3</v>
      </c>
      <c r="V998">
        <v>159.42599999999999</v>
      </c>
      <c r="W998">
        <v>2</v>
      </c>
      <c r="X998">
        <v>0</v>
      </c>
      <c r="Y998" t="s">
        <v>63</v>
      </c>
      <c r="Z998">
        <v>0</v>
      </c>
      <c r="AA998">
        <v>0</v>
      </c>
      <c r="AB998">
        <v>0</v>
      </c>
      <c r="AC998" t="s">
        <v>687</v>
      </c>
      <c r="AD998" t="str">
        <f t="shared" si="30"/>
        <v>MX</v>
      </c>
      <c r="AE998" t="str">
        <f>_xlfn.XLOOKUP(D998,Mapping!A:A,Mapping!D:D,0,0)</f>
        <v>Native - Search</v>
      </c>
      <c r="AF998" t="str">
        <f t="shared" si="31"/>
        <v>TJ</v>
      </c>
    </row>
    <row r="999" spans="1:32" x14ac:dyDescent="0.2">
      <c r="A999" t="s">
        <v>1118</v>
      </c>
      <c r="B999" t="s">
        <v>29</v>
      </c>
      <c r="C999">
        <v>1013028921</v>
      </c>
      <c r="D999" t="s">
        <v>1010</v>
      </c>
      <c r="E999" t="s">
        <v>31</v>
      </c>
      <c r="F999" t="s">
        <v>246</v>
      </c>
      <c r="G999" t="s">
        <v>247</v>
      </c>
      <c r="H999" t="s">
        <v>33</v>
      </c>
      <c r="I999" t="s">
        <v>41</v>
      </c>
      <c r="J999" t="s">
        <v>942</v>
      </c>
      <c r="K999">
        <v>4</v>
      </c>
      <c r="L999">
        <v>0</v>
      </c>
      <c r="M999" t="s">
        <v>36</v>
      </c>
      <c r="N999" t="s">
        <v>37</v>
      </c>
      <c r="O999">
        <v>3588478</v>
      </c>
      <c r="P999">
        <v>2550</v>
      </c>
      <c r="Q999">
        <v>7.1059999999999998E-2</v>
      </c>
      <c r="R999">
        <v>0</v>
      </c>
      <c r="S999">
        <v>35.880000000000003</v>
      </c>
      <c r="T999">
        <v>0.01</v>
      </c>
      <c r="U999">
        <v>1.4E-2</v>
      </c>
      <c r="V999">
        <v>0</v>
      </c>
      <c r="W999">
        <v>2</v>
      </c>
      <c r="X999">
        <v>0</v>
      </c>
      <c r="Y999" t="s">
        <v>63</v>
      </c>
      <c r="Z999">
        <v>0</v>
      </c>
      <c r="AA999">
        <v>0</v>
      </c>
      <c r="AB999">
        <v>0</v>
      </c>
      <c r="AC999" t="s">
        <v>687</v>
      </c>
      <c r="AD999" t="str">
        <f t="shared" si="30"/>
        <v>EG</v>
      </c>
      <c r="AE999" t="str">
        <f>_xlfn.XLOOKUP(D999,Mapping!A:A,Mapping!D:D,0,0)</f>
        <v>Native - Search</v>
      </c>
      <c r="AF999" t="str">
        <f t="shared" si="31"/>
        <v>TJ</v>
      </c>
    </row>
    <row r="1000" spans="1:32" x14ac:dyDescent="0.2">
      <c r="A1000" t="s">
        <v>1118</v>
      </c>
      <c r="B1000" t="s">
        <v>29</v>
      </c>
      <c r="C1000">
        <v>1013028931</v>
      </c>
      <c r="D1000" t="s">
        <v>1011</v>
      </c>
      <c r="E1000" t="s">
        <v>31</v>
      </c>
      <c r="F1000" t="s">
        <v>246</v>
      </c>
      <c r="G1000" t="s">
        <v>247</v>
      </c>
      <c r="H1000" t="s">
        <v>33</v>
      </c>
      <c r="I1000" t="s">
        <v>41</v>
      </c>
      <c r="J1000" t="s">
        <v>942</v>
      </c>
      <c r="K1000">
        <v>15</v>
      </c>
      <c r="L1000">
        <v>3</v>
      </c>
      <c r="M1000" t="s">
        <v>36</v>
      </c>
      <c r="N1000" t="s">
        <v>37</v>
      </c>
      <c r="O1000">
        <v>9790327</v>
      </c>
      <c r="P1000">
        <v>13275</v>
      </c>
      <c r="Q1000">
        <v>0.13558000000000001</v>
      </c>
      <c r="R1000">
        <v>3</v>
      </c>
      <c r="S1000">
        <v>293.70999999999998</v>
      </c>
      <c r="T1000">
        <v>0.03</v>
      </c>
      <c r="U1000">
        <v>2.1999999999999999E-2</v>
      </c>
      <c r="V1000">
        <v>97.903000000000006</v>
      </c>
      <c r="W1000">
        <v>2</v>
      </c>
      <c r="X1000">
        <v>0</v>
      </c>
      <c r="Y1000" t="s">
        <v>63</v>
      </c>
      <c r="Z1000">
        <v>0</v>
      </c>
      <c r="AA1000">
        <v>0</v>
      </c>
      <c r="AB1000">
        <v>0</v>
      </c>
      <c r="AC1000" t="s">
        <v>687</v>
      </c>
      <c r="AD1000" t="str">
        <f t="shared" si="30"/>
        <v>DE</v>
      </c>
      <c r="AE1000" t="str">
        <f>_xlfn.XLOOKUP(D1000,Mapping!A:A,Mapping!D:D,0,0)</f>
        <v>Native - Search</v>
      </c>
      <c r="AF1000" t="str">
        <f t="shared" si="31"/>
        <v>TJ</v>
      </c>
    </row>
    <row r="1001" spans="1:32" x14ac:dyDescent="0.2">
      <c r="A1001" t="s">
        <v>1118</v>
      </c>
      <c r="B1001" t="s">
        <v>29</v>
      </c>
      <c r="C1001">
        <v>1013028951</v>
      </c>
      <c r="D1001" t="s">
        <v>1012</v>
      </c>
      <c r="E1001" t="s">
        <v>31</v>
      </c>
      <c r="F1001" s="1">
        <v>0.67291666666666672</v>
      </c>
      <c r="G1001" t="s">
        <v>32</v>
      </c>
      <c r="H1001" t="s">
        <v>33</v>
      </c>
      <c r="I1001" t="s">
        <v>737</v>
      </c>
      <c r="J1001" t="s">
        <v>942</v>
      </c>
      <c r="K1001">
        <v>10</v>
      </c>
      <c r="L1001">
        <v>0</v>
      </c>
      <c r="M1001" t="s">
        <v>36</v>
      </c>
      <c r="N1001" t="s">
        <v>37</v>
      </c>
      <c r="O1001">
        <v>119213</v>
      </c>
      <c r="P1001">
        <v>11720</v>
      </c>
      <c r="Q1001">
        <v>9.8311399999999995</v>
      </c>
      <c r="R1001">
        <v>0</v>
      </c>
      <c r="S1001">
        <v>11.92</v>
      </c>
      <c r="T1001">
        <v>0.1</v>
      </c>
      <c r="U1001">
        <v>1E-3</v>
      </c>
      <c r="V1001">
        <v>0</v>
      </c>
      <c r="W1001">
        <v>2</v>
      </c>
      <c r="X1001">
        <v>0</v>
      </c>
      <c r="Y1001" t="s">
        <v>63</v>
      </c>
      <c r="Z1001">
        <v>119219</v>
      </c>
      <c r="AA1001">
        <v>106269</v>
      </c>
      <c r="AB1001">
        <v>7235</v>
      </c>
      <c r="AC1001" t="s">
        <v>687</v>
      </c>
      <c r="AD1001" t="str">
        <f t="shared" si="30"/>
        <v>PH</v>
      </c>
      <c r="AE1001" t="str">
        <f>_xlfn.XLOOKUP(D1001,Mapping!A:A,Mapping!D:D,0,0)</f>
        <v>General</v>
      </c>
      <c r="AF1001" t="str">
        <f t="shared" si="31"/>
        <v>TJ</v>
      </c>
    </row>
    <row r="1002" spans="1:32" x14ac:dyDescent="0.2">
      <c r="A1002" t="s">
        <v>1118</v>
      </c>
      <c r="B1002" t="s">
        <v>29</v>
      </c>
      <c r="C1002">
        <v>1013028991</v>
      </c>
      <c r="D1002" t="s">
        <v>1013</v>
      </c>
      <c r="E1002" t="s">
        <v>31</v>
      </c>
      <c r="F1002" t="s">
        <v>246</v>
      </c>
      <c r="G1002" t="s">
        <v>247</v>
      </c>
      <c r="H1002" t="s">
        <v>33</v>
      </c>
      <c r="I1002" t="s">
        <v>41</v>
      </c>
      <c r="J1002" t="s">
        <v>942</v>
      </c>
      <c r="K1002">
        <v>4</v>
      </c>
      <c r="L1002">
        <v>0</v>
      </c>
      <c r="M1002" t="s">
        <v>36</v>
      </c>
      <c r="N1002" t="s">
        <v>37</v>
      </c>
      <c r="O1002">
        <v>8651934</v>
      </c>
      <c r="P1002">
        <v>14333</v>
      </c>
      <c r="Q1002">
        <v>0.16566</v>
      </c>
      <c r="R1002">
        <v>0</v>
      </c>
      <c r="S1002">
        <v>86.52</v>
      </c>
      <c r="T1002">
        <v>0.01</v>
      </c>
      <c r="U1002">
        <v>6.0000000000000001E-3</v>
      </c>
      <c r="V1002">
        <v>0</v>
      </c>
      <c r="W1002">
        <v>2</v>
      </c>
      <c r="X1002">
        <v>0</v>
      </c>
      <c r="Y1002" t="s">
        <v>63</v>
      </c>
      <c r="Z1002">
        <v>0</v>
      </c>
      <c r="AA1002">
        <v>0</v>
      </c>
      <c r="AB1002">
        <v>0</v>
      </c>
      <c r="AC1002" t="s">
        <v>687</v>
      </c>
      <c r="AD1002" t="str">
        <f t="shared" si="30"/>
        <v>PH</v>
      </c>
      <c r="AE1002" t="str">
        <f>_xlfn.XLOOKUP(D1002,Mapping!A:A,Mapping!D:D,0,0)</f>
        <v>Native - Homepage</v>
      </c>
      <c r="AF1002" t="str">
        <f t="shared" si="31"/>
        <v>TJ</v>
      </c>
    </row>
    <row r="1003" spans="1:32" x14ac:dyDescent="0.2">
      <c r="A1003" t="s">
        <v>1118</v>
      </c>
      <c r="B1003" t="s">
        <v>29</v>
      </c>
      <c r="C1003">
        <v>1013040421</v>
      </c>
      <c r="D1003" t="s">
        <v>1014</v>
      </c>
      <c r="E1003" t="s">
        <v>31</v>
      </c>
      <c r="F1003" s="1">
        <v>0.67291666666666672</v>
      </c>
      <c r="G1003" t="s">
        <v>32</v>
      </c>
      <c r="H1003" t="s">
        <v>33</v>
      </c>
      <c r="I1003" t="s">
        <v>34</v>
      </c>
      <c r="J1003" t="s">
        <v>1015</v>
      </c>
      <c r="K1003">
        <v>28</v>
      </c>
      <c r="L1003">
        <v>0</v>
      </c>
      <c r="M1003" t="s">
        <v>36</v>
      </c>
      <c r="N1003" t="s">
        <v>37</v>
      </c>
      <c r="O1003">
        <v>8667</v>
      </c>
      <c r="P1003">
        <v>531</v>
      </c>
      <c r="Q1003">
        <v>6.12669</v>
      </c>
      <c r="R1003">
        <v>0</v>
      </c>
      <c r="S1003">
        <v>21.16</v>
      </c>
      <c r="T1003">
        <v>2.4420000000000002</v>
      </c>
      <c r="U1003">
        <v>0.04</v>
      </c>
      <c r="V1003">
        <v>0</v>
      </c>
      <c r="W1003">
        <v>2</v>
      </c>
      <c r="X1003">
        <v>0</v>
      </c>
      <c r="Y1003" t="s">
        <v>63</v>
      </c>
      <c r="Z1003">
        <v>8666</v>
      </c>
      <c r="AA1003">
        <v>6795</v>
      </c>
      <c r="AB1003">
        <v>829</v>
      </c>
      <c r="AC1003" t="s">
        <v>760</v>
      </c>
      <c r="AD1003" t="str">
        <f t="shared" si="30"/>
        <v>US</v>
      </c>
      <c r="AE1003" t="str">
        <f>_xlfn.XLOOKUP(D1003,Mapping!A:A,Mapping!D:D,0,0)</f>
        <v>Remarketing</v>
      </c>
      <c r="AF1003" t="str">
        <f t="shared" si="31"/>
        <v>TJ</v>
      </c>
    </row>
    <row r="1004" spans="1:32" x14ac:dyDescent="0.2">
      <c r="A1004" t="s">
        <v>1118</v>
      </c>
      <c r="B1004" t="s">
        <v>29</v>
      </c>
      <c r="C1004">
        <v>1013040451</v>
      </c>
      <c r="D1004" t="s">
        <v>1016</v>
      </c>
      <c r="E1004" t="s">
        <v>31</v>
      </c>
      <c r="F1004" s="1">
        <v>0.67291666666666672</v>
      </c>
      <c r="G1004" t="s">
        <v>32</v>
      </c>
      <c r="H1004" t="s">
        <v>33</v>
      </c>
      <c r="I1004" t="s">
        <v>34</v>
      </c>
      <c r="J1004" t="s">
        <v>1015</v>
      </c>
      <c r="K1004">
        <v>28</v>
      </c>
      <c r="L1004">
        <v>0</v>
      </c>
      <c r="M1004" t="s">
        <v>36</v>
      </c>
      <c r="N1004" t="s">
        <v>37</v>
      </c>
      <c r="O1004">
        <v>600</v>
      </c>
      <c r="P1004">
        <v>60</v>
      </c>
      <c r="Q1004">
        <v>10</v>
      </c>
      <c r="R1004">
        <v>0</v>
      </c>
      <c r="S1004">
        <v>0.22</v>
      </c>
      <c r="T1004">
        <v>0.37</v>
      </c>
      <c r="U1004">
        <v>4.0000000000000001E-3</v>
      </c>
      <c r="V1004">
        <v>0</v>
      </c>
      <c r="W1004">
        <v>2</v>
      </c>
      <c r="X1004">
        <v>0</v>
      </c>
      <c r="Y1004" t="s">
        <v>63</v>
      </c>
      <c r="Z1004">
        <v>600</v>
      </c>
      <c r="AA1004">
        <v>439</v>
      </c>
      <c r="AB1004">
        <v>84</v>
      </c>
      <c r="AC1004" t="s">
        <v>760</v>
      </c>
      <c r="AD1004" t="str">
        <f t="shared" si="30"/>
        <v>MX</v>
      </c>
      <c r="AE1004" t="str">
        <f>_xlfn.XLOOKUP(D1004,Mapping!A:A,Mapping!D:D,0,0)</f>
        <v>Remarketing</v>
      </c>
      <c r="AF1004" t="str">
        <f t="shared" si="31"/>
        <v>TJ</v>
      </c>
    </row>
    <row r="1005" spans="1:32" x14ac:dyDescent="0.2">
      <c r="A1005" t="s">
        <v>1118</v>
      </c>
      <c r="B1005" t="s">
        <v>29</v>
      </c>
      <c r="C1005">
        <v>1013040531</v>
      </c>
      <c r="D1005" t="s">
        <v>1017</v>
      </c>
      <c r="E1005" t="s">
        <v>31</v>
      </c>
      <c r="F1005" s="1">
        <v>0.67291666666666672</v>
      </c>
      <c r="G1005" t="s">
        <v>32</v>
      </c>
      <c r="H1005" t="s">
        <v>33</v>
      </c>
      <c r="I1005" t="s">
        <v>34</v>
      </c>
      <c r="J1005" t="s">
        <v>1015</v>
      </c>
      <c r="K1005">
        <v>28</v>
      </c>
      <c r="L1005">
        <v>0</v>
      </c>
      <c r="M1005" t="s">
        <v>36</v>
      </c>
      <c r="N1005" t="s">
        <v>37</v>
      </c>
      <c r="O1005">
        <v>3033</v>
      </c>
      <c r="P1005">
        <v>193</v>
      </c>
      <c r="Q1005">
        <v>6.36334</v>
      </c>
      <c r="R1005">
        <v>0</v>
      </c>
      <c r="S1005">
        <v>3.19</v>
      </c>
      <c r="T1005">
        <v>1.0529999999999999</v>
      </c>
      <c r="U1005">
        <v>1.7000000000000001E-2</v>
      </c>
      <c r="V1005">
        <v>0</v>
      </c>
      <c r="W1005">
        <v>2</v>
      </c>
      <c r="X1005">
        <v>0</v>
      </c>
      <c r="Y1005" t="s">
        <v>63</v>
      </c>
      <c r="Z1005">
        <v>3033</v>
      </c>
      <c r="AA1005">
        <v>2427</v>
      </c>
      <c r="AB1005">
        <v>271</v>
      </c>
      <c r="AC1005" t="s">
        <v>760</v>
      </c>
      <c r="AD1005" t="str">
        <f t="shared" si="30"/>
        <v>CA</v>
      </c>
      <c r="AE1005" t="str">
        <f>_xlfn.XLOOKUP(D1005,Mapping!A:A,Mapping!D:D,0,0)</f>
        <v>Remarketing</v>
      </c>
      <c r="AF1005" t="str">
        <f t="shared" si="31"/>
        <v>TJ</v>
      </c>
    </row>
    <row r="1006" spans="1:32" x14ac:dyDescent="0.2">
      <c r="A1006" t="s">
        <v>1118</v>
      </c>
      <c r="B1006" t="s">
        <v>29</v>
      </c>
      <c r="C1006">
        <v>1013040561</v>
      </c>
      <c r="D1006" t="s">
        <v>1018</v>
      </c>
      <c r="E1006" t="s">
        <v>31</v>
      </c>
      <c r="F1006" s="1">
        <v>0.67291666666666672</v>
      </c>
      <c r="G1006" t="s">
        <v>32</v>
      </c>
      <c r="H1006" t="s">
        <v>33</v>
      </c>
      <c r="I1006" t="s">
        <v>34</v>
      </c>
      <c r="J1006" t="s">
        <v>1015</v>
      </c>
      <c r="K1006">
        <v>28</v>
      </c>
      <c r="L1006">
        <v>0</v>
      </c>
      <c r="M1006" t="s">
        <v>36</v>
      </c>
      <c r="N1006" t="s">
        <v>37</v>
      </c>
      <c r="O1006">
        <v>1255</v>
      </c>
      <c r="P1006">
        <v>86</v>
      </c>
      <c r="Q1006">
        <v>6.8525900000000002</v>
      </c>
      <c r="R1006">
        <v>0</v>
      </c>
      <c r="S1006">
        <v>1.58</v>
      </c>
      <c r="T1006">
        <v>1.2549999999999999</v>
      </c>
      <c r="U1006">
        <v>1.7999999999999999E-2</v>
      </c>
      <c r="V1006">
        <v>0</v>
      </c>
      <c r="W1006">
        <v>2</v>
      </c>
      <c r="X1006">
        <v>0</v>
      </c>
      <c r="Y1006" t="s">
        <v>63</v>
      </c>
      <c r="Z1006">
        <v>1255</v>
      </c>
      <c r="AA1006">
        <v>980</v>
      </c>
      <c r="AB1006">
        <v>138</v>
      </c>
      <c r="AC1006" t="s">
        <v>760</v>
      </c>
      <c r="AD1006" t="str">
        <f t="shared" si="30"/>
        <v>AU</v>
      </c>
      <c r="AE1006" t="str">
        <f>_xlfn.XLOOKUP(D1006,Mapping!A:A,Mapping!D:D,0,0)</f>
        <v>Remarketing</v>
      </c>
      <c r="AF1006" t="str">
        <f t="shared" si="31"/>
        <v>TJ</v>
      </c>
    </row>
    <row r="1007" spans="1:32" x14ac:dyDescent="0.2">
      <c r="A1007" t="s">
        <v>1118</v>
      </c>
      <c r="B1007" t="s">
        <v>29</v>
      </c>
      <c r="C1007">
        <v>1013040581</v>
      </c>
      <c r="D1007" t="s">
        <v>1019</v>
      </c>
      <c r="E1007" t="s">
        <v>31</v>
      </c>
      <c r="F1007" s="1">
        <v>0.67291666666666672</v>
      </c>
      <c r="G1007" t="s">
        <v>32</v>
      </c>
      <c r="H1007" t="s">
        <v>33</v>
      </c>
      <c r="I1007" t="s">
        <v>34</v>
      </c>
      <c r="J1007" t="s">
        <v>1015</v>
      </c>
      <c r="K1007">
        <v>28</v>
      </c>
      <c r="L1007">
        <v>0</v>
      </c>
      <c r="M1007" t="s">
        <v>36</v>
      </c>
      <c r="N1007" t="s">
        <v>37</v>
      </c>
      <c r="O1007">
        <v>814</v>
      </c>
      <c r="P1007">
        <v>50</v>
      </c>
      <c r="Q1007">
        <v>6.1425099999999997</v>
      </c>
      <c r="R1007">
        <v>0</v>
      </c>
      <c r="S1007">
        <v>2.06</v>
      </c>
      <c r="T1007">
        <v>2.5310000000000001</v>
      </c>
      <c r="U1007">
        <v>4.1000000000000002E-2</v>
      </c>
      <c r="V1007">
        <v>0</v>
      </c>
      <c r="W1007">
        <v>2</v>
      </c>
      <c r="X1007">
        <v>0</v>
      </c>
      <c r="Y1007" t="s">
        <v>63</v>
      </c>
      <c r="Z1007">
        <v>815</v>
      </c>
      <c r="AA1007">
        <v>644</v>
      </c>
      <c r="AB1007">
        <v>76</v>
      </c>
      <c r="AC1007" t="s">
        <v>760</v>
      </c>
      <c r="AD1007" t="str">
        <f t="shared" si="30"/>
        <v>UK</v>
      </c>
      <c r="AE1007" t="str">
        <f>_xlfn.XLOOKUP(D1007,Mapping!A:A,Mapping!D:D,0,0)</f>
        <v>Remarketing</v>
      </c>
      <c r="AF1007" t="str">
        <f t="shared" si="31"/>
        <v>TJ</v>
      </c>
    </row>
    <row r="1008" spans="1:32" x14ac:dyDescent="0.2">
      <c r="A1008" t="s">
        <v>1118</v>
      </c>
      <c r="B1008" t="s">
        <v>29</v>
      </c>
      <c r="C1008">
        <v>1013040591</v>
      </c>
      <c r="D1008" t="s">
        <v>1020</v>
      </c>
      <c r="E1008" t="s">
        <v>31</v>
      </c>
      <c r="F1008" s="1">
        <v>0.67291666666666672</v>
      </c>
      <c r="G1008" t="s">
        <v>32</v>
      </c>
      <c r="H1008" t="s">
        <v>33</v>
      </c>
      <c r="I1008" t="s">
        <v>34</v>
      </c>
      <c r="J1008" t="s">
        <v>1015</v>
      </c>
      <c r="K1008">
        <v>28</v>
      </c>
      <c r="L1008">
        <v>0</v>
      </c>
      <c r="M1008" t="s">
        <v>36</v>
      </c>
      <c r="N1008" t="s">
        <v>37</v>
      </c>
      <c r="O1008">
        <v>103</v>
      </c>
      <c r="P1008">
        <v>8</v>
      </c>
      <c r="Q1008">
        <v>7.7669899999999998</v>
      </c>
      <c r="R1008">
        <v>1</v>
      </c>
      <c r="S1008">
        <v>0.11</v>
      </c>
      <c r="T1008">
        <v>1.0449999999999999</v>
      </c>
      <c r="U1008">
        <v>1.2999999999999999E-2</v>
      </c>
      <c r="V1008">
        <v>0.108</v>
      </c>
      <c r="W1008">
        <v>2</v>
      </c>
      <c r="X1008">
        <v>0</v>
      </c>
      <c r="Y1008" t="s">
        <v>63</v>
      </c>
      <c r="Z1008">
        <v>103</v>
      </c>
      <c r="AA1008">
        <v>70</v>
      </c>
      <c r="AB1008">
        <v>21</v>
      </c>
      <c r="AC1008" t="s">
        <v>760</v>
      </c>
      <c r="AD1008" t="str">
        <f t="shared" si="30"/>
        <v>NZ</v>
      </c>
      <c r="AE1008" t="str">
        <f>_xlfn.XLOOKUP(D1008,Mapping!A:A,Mapping!D:D,0,0)</f>
        <v>Remarketing</v>
      </c>
      <c r="AF1008" t="str">
        <f t="shared" si="31"/>
        <v>TJ</v>
      </c>
    </row>
    <row r="1009" spans="1:32" x14ac:dyDescent="0.2">
      <c r="A1009" t="s">
        <v>1118</v>
      </c>
      <c r="B1009" t="s">
        <v>29</v>
      </c>
      <c r="C1009">
        <v>1013046201</v>
      </c>
      <c r="D1009" t="s">
        <v>1021</v>
      </c>
      <c r="E1009" t="s">
        <v>31</v>
      </c>
      <c r="F1009" s="1">
        <v>0.67291666666666672</v>
      </c>
      <c r="G1009" t="s">
        <v>32</v>
      </c>
      <c r="H1009" t="s">
        <v>33</v>
      </c>
      <c r="I1009" t="s">
        <v>41</v>
      </c>
      <c r="J1009" t="s">
        <v>1015</v>
      </c>
      <c r="K1009">
        <v>28</v>
      </c>
      <c r="L1009">
        <v>0</v>
      </c>
      <c r="M1009" t="s">
        <v>36</v>
      </c>
      <c r="N1009" t="s">
        <v>37</v>
      </c>
      <c r="O1009">
        <v>841947</v>
      </c>
      <c r="P1009">
        <v>35652</v>
      </c>
      <c r="Q1009">
        <v>4.23447</v>
      </c>
      <c r="R1009">
        <v>9</v>
      </c>
      <c r="S1009">
        <v>1777.75</v>
      </c>
      <c r="T1009">
        <v>2.1120000000000001</v>
      </c>
      <c r="U1009">
        <v>0.05</v>
      </c>
      <c r="V1009">
        <v>197.52799999999999</v>
      </c>
      <c r="W1009">
        <v>2</v>
      </c>
      <c r="X1009">
        <v>0</v>
      </c>
      <c r="Y1009" t="s">
        <v>36</v>
      </c>
      <c r="Z1009">
        <v>841896</v>
      </c>
      <c r="AA1009">
        <v>738300</v>
      </c>
      <c r="AB1009">
        <v>74607</v>
      </c>
      <c r="AC1009" t="s">
        <v>760</v>
      </c>
      <c r="AD1009" t="str">
        <f t="shared" si="30"/>
        <v>US</v>
      </c>
      <c r="AE1009" t="str">
        <f>_xlfn.XLOOKUP(D1009,Mapping!A:A,Mapping!D:D,0,0)</f>
        <v>Remarketing</v>
      </c>
      <c r="AF1009" t="str">
        <f t="shared" si="31"/>
        <v>TJ</v>
      </c>
    </row>
    <row r="1010" spans="1:32" x14ac:dyDescent="0.2">
      <c r="A1010" t="s">
        <v>1118</v>
      </c>
      <c r="B1010" t="s">
        <v>29</v>
      </c>
      <c r="C1010">
        <v>1013046221</v>
      </c>
      <c r="D1010" t="s">
        <v>1022</v>
      </c>
      <c r="E1010" t="s">
        <v>31</v>
      </c>
      <c r="F1010" s="1">
        <v>0.67291666666666672</v>
      </c>
      <c r="G1010" t="s">
        <v>32</v>
      </c>
      <c r="H1010" t="s">
        <v>33</v>
      </c>
      <c r="I1010" t="s">
        <v>41</v>
      </c>
      <c r="J1010" t="s">
        <v>1023</v>
      </c>
      <c r="K1010">
        <v>28</v>
      </c>
      <c r="L1010">
        <v>0</v>
      </c>
      <c r="M1010" t="s">
        <v>36</v>
      </c>
      <c r="N1010" t="s">
        <v>37</v>
      </c>
      <c r="O1010">
        <v>15495</v>
      </c>
      <c r="P1010">
        <v>917</v>
      </c>
      <c r="Q1010">
        <v>5.9180400000000004</v>
      </c>
      <c r="R1010">
        <v>0</v>
      </c>
      <c r="S1010">
        <v>11.14</v>
      </c>
      <c r="T1010">
        <v>0.71899999999999997</v>
      </c>
      <c r="U1010">
        <v>1.2E-2</v>
      </c>
      <c r="V1010">
        <v>0</v>
      </c>
      <c r="W1010">
        <v>2</v>
      </c>
      <c r="X1010">
        <v>0</v>
      </c>
      <c r="Y1010" t="s">
        <v>63</v>
      </c>
      <c r="Z1010">
        <v>15489</v>
      </c>
      <c r="AA1010">
        <v>13802</v>
      </c>
      <c r="AB1010">
        <v>863</v>
      </c>
      <c r="AC1010" t="s">
        <v>760</v>
      </c>
      <c r="AD1010" t="str">
        <f t="shared" si="30"/>
        <v>CA</v>
      </c>
      <c r="AE1010" t="str">
        <f>_xlfn.XLOOKUP(D1010,Mapping!A:A,Mapping!D:D,0,0)</f>
        <v>Remarketing</v>
      </c>
      <c r="AF1010" t="str">
        <f t="shared" si="31"/>
        <v>TJ</v>
      </c>
    </row>
    <row r="1011" spans="1:32" x14ac:dyDescent="0.2">
      <c r="A1011" t="s">
        <v>1118</v>
      </c>
      <c r="B1011" t="s">
        <v>29</v>
      </c>
      <c r="C1011">
        <v>1013046231</v>
      </c>
      <c r="D1011" t="s">
        <v>1024</v>
      </c>
      <c r="E1011" t="s">
        <v>31</v>
      </c>
      <c r="F1011" s="1">
        <v>0.67291666666666672</v>
      </c>
      <c r="G1011" t="s">
        <v>32</v>
      </c>
      <c r="H1011" t="s">
        <v>33</v>
      </c>
      <c r="I1011" t="s">
        <v>41</v>
      </c>
      <c r="J1011" t="s">
        <v>1023</v>
      </c>
      <c r="K1011">
        <v>28</v>
      </c>
      <c r="L1011">
        <v>0</v>
      </c>
      <c r="M1011" t="s">
        <v>36</v>
      </c>
      <c r="N1011" t="s">
        <v>37</v>
      </c>
      <c r="O1011">
        <v>21543</v>
      </c>
      <c r="P1011">
        <v>1153</v>
      </c>
      <c r="Q1011">
        <v>5.3520899999999996</v>
      </c>
      <c r="R1011">
        <v>0</v>
      </c>
      <c r="S1011">
        <v>55.71</v>
      </c>
      <c r="T1011">
        <v>2.5859999999999999</v>
      </c>
      <c r="U1011">
        <v>4.8000000000000001E-2</v>
      </c>
      <c r="V1011">
        <v>0</v>
      </c>
      <c r="W1011">
        <v>2</v>
      </c>
      <c r="X1011">
        <v>0</v>
      </c>
      <c r="Y1011" t="s">
        <v>63</v>
      </c>
      <c r="Z1011">
        <v>21551</v>
      </c>
      <c r="AA1011">
        <v>19271</v>
      </c>
      <c r="AB1011">
        <v>1487</v>
      </c>
      <c r="AC1011" t="s">
        <v>760</v>
      </c>
      <c r="AD1011" t="str">
        <f t="shared" si="30"/>
        <v>UK</v>
      </c>
      <c r="AE1011" t="str">
        <f>_xlfn.XLOOKUP(D1011,Mapping!A:A,Mapping!D:D,0,0)</f>
        <v>Remarketing</v>
      </c>
      <c r="AF1011" t="str">
        <f t="shared" si="31"/>
        <v>TJ</v>
      </c>
    </row>
    <row r="1012" spans="1:32" x14ac:dyDescent="0.2">
      <c r="A1012" t="s">
        <v>1118</v>
      </c>
      <c r="B1012" t="s">
        <v>29</v>
      </c>
      <c r="C1012">
        <v>1013046251</v>
      </c>
      <c r="D1012" t="s">
        <v>1025</v>
      </c>
      <c r="E1012" t="s">
        <v>31</v>
      </c>
      <c r="F1012" s="1">
        <v>0.67291666666666672</v>
      </c>
      <c r="G1012" t="s">
        <v>32</v>
      </c>
      <c r="H1012" t="s">
        <v>33</v>
      </c>
      <c r="I1012" t="s">
        <v>41</v>
      </c>
      <c r="J1012" t="s">
        <v>1023</v>
      </c>
      <c r="K1012">
        <v>28</v>
      </c>
      <c r="L1012">
        <v>0</v>
      </c>
      <c r="M1012" t="s">
        <v>36</v>
      </c>
      <c r="N1012" t="s">
        <v>37</v>
      </c>
      <c r="O1012">
        <v>3671</v>
      </c>
      <c r="P1012">
        <v>171</v>
      </c>
      <c r="Q1012">
        <v>4.6581299999999999</v>
      </c>
      <c r="R1012">
        <v>0</v>
      </c>
      <c r="S1012">
        <v>3.74</v>
      </c>
      <c r="T1012">
        <v>1.0189999999999999</v>
      </c>
      <c r="U1012">
        <v>2.1999999999999999E-2</v>
      </c>
      <c r="V1012">
        <v>0</v>
      </c>
      <c r="W1012">
        <v>2</v>
      </c>
      <c r="X1012">
        <v>0</v>
      </c>
      <c r="Y1012" t="s">
        <v>63</v>
      </c>
      <c r="Z1012">
        <v>3674</v>
      </c>
      <c r="AA1012">
        <v>3346</v>
      </c>
      <c r="AB1012">
        <v>223</v>
      </c>
      <c r="AC1012" t="s">
        <v>760</v>
      </c>
      <c r="AD1012" t="str">
        <f t="shared" si="30"/>
        <v>AU</v>
      </c>
      <c r="AE1012" t="str">
        <f>_xlfn.XLOOKUP(D1012,Mapping!A:A,Mapping!D:D,0,0)</f>
        <v>Remarketing</v>
      </c>
      <c r="AF1012" t="str">
        <f t="shared" si="31"/>
        <v>TJ</v>
      </c>
    </row>
    <row r="1013" spans="1:32" x14ac:dyDescent="0.2">
      <c r="A1013" t="s">
        <v>1118</v>
      </c>
      <c r="B1013" t="s">
        <v>29</v>
      </c>
      <c r="C1013">
        <v>1013046271</v>
      </c>
      <c r="D1013" t="s">
        <v>1026</v>
      </c>
      <c r="E1013" t="s">
        <v>31</v>
      </c>
      <c r="F1013" s="1">
        <v>0.67291666666666672</v>
      </c>
      <c r="G1013" t="s">
        <v>32</v>
      </c>
      <c r="H1013" t="s">
        <v>33</v>
      </c>
      <c r="I1013" t="s">
        <v>41</v>
      </c>
      <c r="J1013" t="s">
        <v>1023</v>
      </c>
      <c r="K1013">
        <v>28</v>
      </c>
      <c r="L1013">
        <v>0</v>
      </c>
      <c r="M1013" t="s">
        <v>36</v>
      </c>
      <c r="N1013" t="s">
        <v>37</v>
      </c>
      <c r="O1013">
        <v>11059</v>
      </c>
      <c r="P1013">
        <v>717</v>
      </c>
      <c r="Q1013">
        <v>6.4834100000000001</v>
      </c>
      <c r="R1013">
        <v>1</v>
      </c>
      <c r="S1013">
        <v>13.11</v>
      </c>
      <c r="T1013">
        <v>1.1859999999999999</v>
      </c>
      <c r="U1013">
        <v>1.7999999999999999E-2</v>
      </c>
      <c r="V1013">
        <v>13.114000000000001</v>
      </c>
      <c r="W1013">
        <v>2</v>
      </c>
      <c r="X1013">
        <v>0</v>
      </c>
      <c r="Y1013" t="s">
        <v>63</v>
      </c>
      <c r="Z1013">
        <v>11060</v>
      </c>
      <c r="AA1013">
        <v>9200</v>
      </c>
      <c r="AB1013">
        <v>862</v>
      </c>
      <c r="AC1013" t="s">
        <v>760</v>
      </c>
      <c r="AD1013" t="str">
        <f t="shared" si="30"/>
        <v>NZ</v>
      </c>
      <c r="AE1013" t="str">
        <f>_xlfn.XLOOKUP(D1013,Mapping!A:A,Mapping!D:D,0,0)</f>
        <v>Remarketing</v>
      </c>
      <c r="AF1013" t="str">
        <f t="shared" si="31"/>
        <v>TJ</v>
      </c>
    </row>
    <row r="1014" spans="1:32" x14ac:dyDescent="0.2">
      <c r="A1014" t="s">
        <v>1118</v>
      </c>
      <c r="B1014" t="s">
        <v>29</v>
      </c>
      <c r="C1014">
        <v>1013046321</v>
      </c>
      <c r="D1014" t="s">
        <v>1027</v>
      </c>
      <c r="E1014" t="s">
        <v>31</v>
      </c>
      <c r="F1014" s="1">
        <v>0.67291666666666672</v>
      </c>
      <c r="G1014" t="s">
        <v>32</v>
      </c>
      <c r="H1014" t="s">
        <v>33</v>
      </c>
      <c r="I1014" t="s">
        <v>41</v>
      </c>
      <c r="J1014" t="s">
        <v>1023</v>
      </c>
      <c r="K1014">
        <v>28</v>
      </c>
      <c r="L1014">
        <v>0</v>
      </c>
      <c r="M1014" t="s">
        <v>36</v>
      </c>
      <c r="N1014" t="s">
        <v>37</v>
      </c>
      <c r="O1014">
        <v>158041</v>
      </c>
      <c r="P1014">
        <v>14422</v>
      </c>
      <c r="Q1014">
        <v>9.1254799999999996</v>
      </c>
      <c r="R1014">
        <v>0</v>
      </c>
      <c r="S1014">
        <v>37.340000000000003</v>
      </c>
      <c r="T1014">
        <v>0.23599999999999999</v>
      </c>
      <c r="U1014">
        <v>3.0000000000000001E-3</v>
      </c>
      <c r="V1014">
        <v>0</v>
      </c>
      <c r="W1014">
        <v>2</v>
      </c>
      <c r="X1014">
        <v>0</v>
      </c>
      <c r="Y1014" t="s">
        <v>63</v>
      </c>
      <c r="Z1014">
        <v>158004</v>
      </c>
      <c r="AA1014">
        <v>132193</v>
      </c>
      <c r="AB1014">
        <v>15872</v>
      </c>
      <c r="AC1014" t="s">
        <v>760</v>
      </c>
      <c r="AD1014" t="str">
        <f t="shared" si="30"/>
        <v>MX</v>
      </c>
      <c r="AE1014" t="str">
        <f>_xlfn.XLOOKUP(D1014,Mapping!A:A,Mapping!D:D,0,0)</f>
        <v>Remarketing</v>
      </c>
      <c r="AF1014" t="str">
        <f t="shared" si="31"/>
        <v>TJ</v>
      </c>
    </row>
    <row r="1015" spans="1:32" x14ac:dyDescent="0.2">
      <c r="A1015" t="s">
        <v>1118</v>
      </c>
      <c r="B1015" t="s">
        <v>29</v>
      </c>
      <c r="C1015">
        <v>1013046531</v>
      </c>
      <c r="D1015" t="s">
        <v>1028</v>
      </c>
      <c r="E1015" t="s">
        <v>31</v>
      </c>
      <c r="F1015" t="s">
        <v>246</v>
      </c>
      <c r="G1015" t="s">
        <v>247</v>
      </c>
      <c r="H1015" t="s">
        <v>33</v>
      </c>
      <c r="I1015" t="s">
        <v>41</v>
      </c>
      <c r="J1015" t="s">
        <v>759</v>
      </c>
      <c r="K1015">
        <v>60</v>
      </c>
      <c r="L1015">
        <v>0</v>
      </c>
      <c r="M1015" t="s">
        <v>36</v>
      </c>
      <c r="N1015" t="s">
        <v>37</v>
      </c>
      <c r="O1015">
        <v>9715014</v>
      </c>
      <c r="P1015">
        <v>24622</v>
      </c>
      <c r="Q1015">
        <v>0.25344</v>
      </c>
      <c r="R1015">
        <v>1</v>
      </c>
      <c r="S1015">
        <v>184.24</v>
      </c>
      <c r="T1015">
        <v>1.9E-2</v>
      </c>
      <c r="U1015">
        <v>7.0000000000000001E-3</v>
      </c>
      <c r="V1015">
        <v>184.24299999999999</v>
      </c>
      <c r="W1015">
        <v>2</v>
      </c>
      <c r="X1015">
        <v>0</v>
      </c>
      <c r="Y1015" t="s">
        <v>63</v>
      </c>
      <c r="Z1015">
        <v>0</v>
      </c>
      <c r="AA1015">
        <v>0</v>
      </c>
      <c r="AB1015">
        <v>0</v>
      </c>
      <c r="AC1015" t="s">
        <v>687</v>
      </c>
      <c r="AD1015" t="str">
        <f t="shared" si="30"/>
        <v>LA</v>
      </c>
      <c r="AE1015" t="str">
        <f>_xlfn.XLOOKUP(D1015,Mapping!A:A,Mapping!D:D,0,0)</f>
        <v>General - Pre-roll - T3</v>
      </c>
      <c r="AF1015" t="str">
        <f t="shared" si="31"/>
        <v>TJ</v>
      </c>
    </row>
    <row r="1016" spans="1:32" x14ac:dyDescent="0.2">
      <c r="A1016" t="s">
        <v>1118</v>
      </c>
      <c r="B1016" t="s">
        <v>29</v>
      </c>
      <c r="C1016">
        <v>1013046601</v>
      </c>
      <c r="D1016" t="s">
        <v>1029</v>
      </c>
      <c r="E1016" t="s">
        <v>31</v>
      </c>
      <c r="F1016" t="s">
        <v>246</v>
      </c>
      <c r="G1016" t="s">
        <v>247</v>
      </c>
      <c r="H1016" t="s">
        <v>33</v>
      </c>
      <c r="I1016" t="s">
        <v>34</v>
      </c>
      <c r="J1016" t="s">
        <v>759</v>
      </c>
      <c r="K1016">
        <v>60</v>
      </c>
      <c r="L1016">
        <v>0</v>
      </c>
      <c r="M1016" t="s">
        <v>36</v>
      </c>
      <c r="N1016" t="s">
        <v>37</v>
      </c>
      <c r="O1016">
        <v>540315</v>
      </c>
      <c r="P1016">
        <v>1731</v>
      </c>
      <c r="Q1016">
        <v>0.32036999999999999</v>
      </c>
      <c r="R1016">
        <v>0</v>
      </c>
      <c r="S1016">
        <v>10.47</v>
      </c>
      <c r="T1016">
        <v>1.9E-2</v>
      </c>
      <c r="U1016">
        <v>6.0000000000000001E-3</v>
      </c>
      <c r="V1016">
        <v>0</v>
      </c>
      <c r="W1016">
        <v>2</v>
      </c>
      <c r="X1016">
        <v>0</v>
      </c>
      <c r="Y1016" t="s">
        <v>63</v>
      </c>
      <c r="Z1016">
        <v>0</v>
      </c>
      <c r="AA1016">
        <v>0</v>
      </c>
      <c r="AB1016">
        <v>0</v>
      </c>
      <c r="AC1016" t="s">
        <v>687</v>
      </c>
      <c r="AD1016" t="str">
        <f t="shared" si="30"/>
        <v>LA</v>
      </c>
      <c r="AE1016" t="str">
        <f>_xlfn.XLOOKUP(D1016,Mapping!A:A,Mapping!D:D,0,0)</f>
        <v>General</v>
      </c>
      <c r="AF1016" t="str">
        <f t="shared" si="31"/>
        <v>TJ</v>
      </c>
    </row>
    <row r="1017" spans="1:32" x14ac:dyDescent="0.2">
      <c r="A1017" t="s">
        <v>1118</v>
      </c>
      <c r="B1017" t="s">
        <v>29</v>
      </c>
      <c r="C1017">
        <v>1013046671</v>
      </c>
      <c r="D1017" t="s">
        <v>1030</v>
      </c>
      <c r="E1017" t="s">
        <v>31</v>
      </c>
      <c r="F1017" t="s">
        <v>246</v>
      </c>
      <c r="G1017" t="s">
        <v>247</v>
      </c>
      <c r="H1017" t="s">
        <v>33</v>
      </c>
      <c r="I1017" t="s">
        <v>41</v>
      </c>
      <c r="J1017" t="s">
        <v>1031</v>
      </c>
      <c r="K1017">
        <v>35</v>
      </c>
      <c r="L1017">
        <v>0</v>
      </c>
      <c r="M1017" t="s">
        <v>36</v>
      </c>
      <c r="N1017" t="s">
        <v>37</v>
      </c>
      <c r="O1017">
        <v>14705</v>
      </c>
      <c r="P1017">
        <v>37</v>
      </c>
      <c r="Q1017">
        <v>0.25162000000000001</v>
      </c>
      <c r="R1017">
        <v>0</v>
      </c>
      <c r="S1017">
        <v>2.83</v>
      </c>
      <c r="T1017">
        <v>0.193</v>
      </c>
      <c r="U1017">
        <v>7.6999999999999999E-2</v>
      </c>
      <c r="V1017">
        <v>0</v>
      </c>
      <c r="W1017">
        <v>2</v>
      </c>
      <c r="X1017">
        <v>0</v>
      </c>
      <c r="Y1017" t="s">
        <v>63</v>
      </c>
      <c r="Z1017">
        <v>0</v>
      </c>
      <c r="AA1017">
        <v>0</v>
      </c>
      <c r="AB1017">
        <v>0</v>
      </c>
      <c r="AC1017" t="s">
        <v>760</v>
      </c>
      <c r="AD1017" t="str">
        <f t="shared" si="30"/>
        <v>AU</v>
      </c>
      <c r="AE1017" t="str">
        <f>_xlfn.XLOOKUP(D1017,Mapping!A:A,Mapping!D:D,0,0)</f>
        <v>Remarketing</v>
      </c>
      <c r="AF1017" t="str">
        <f t="shared" si="31"/>
        <v>TJ</v>
      </c>
    </row>
    <row r="1018" spans="1:32" x14ac:dyDescent="0.2">
      <c r="A1018" t="s">
        <v>1118</v>
      </c>
      <c r="B1018" t="s">
        <v>29</v>
      </c>
      <c r="C1018">
        <v>1013046711</v>
      </c>
      <c r="D1018" t="s">
        <v>1032</v>
      </c>
      <c r="E1018" t="s">
        <v>31</v>
      </c>
      <c r="F1018" t="s">
        <v>246</v>
      </c>
      <c r="G1018" t="s">
        <v>247</v>
      </c>
      <c r="H1018" t="s">
        <v>33</v>
      </c>
      <c r="I1018" t="s">
        <v>41</v>
      </c>
      <c r="J1018" t="s">
        <v>1031</v>
      </c>
      <c r="K1018">
        <v>35</v>
      </c>
      <c r="L1018">
        <v>0</v>
      </c>
      <c r="M1018" t="s">
        <v>36</v>
      </c>
      <c r="N1018" t="s">
        <v>37</v>
      </c>
      <c r="O1018">
        <v>27430</v>
      </c>
      <c r="P1018">
        <v>70</v>
      </c>
      <c r="Q1018">
        <v>0.25519999999999998</v>
      </c>
      <c r="R1018">
        <v>0</v>
      </c>
      <c r="S1018">
        <v>4.04</v>
      </c>
      <c r="T1018">
        <v>0.14699999999999999</v>
      </c>
      <c r="U1018">
        <v>5.8000000000000003E-2</v>
      </c>
      <c r="V1018">
        <v>0</v>
      </c>
      <c r="W1018">
        <v>2</v>
      </c>
      <c r="X1018">
        <v>0</v>
      </c>
      <c r="Y1018" t="s">
        <v>63</v>
      </c>
      <c r="Z1018">
        <v>0</v>
      </c>
      <c r="AA1018">
        <v>0</v>
      </c>
      <c r="AB1018">
        <v>0</v>
      </c>
      <c r="AC1018" t="s">
        <v>760</v>
      </c>
      <c r="AD1018" t="str">
        <f t="shared" si="30"/>
        <v>CA</v>
      </c>
      <c r="AE1018" t="str">
        <f>_xlfn.XLOOKUP(D1018,Mapping!A:A,Mapping!D:D,0,0)</f>
        <v>Remarketing</v>
      </c>
      <c r="AF1018" t="str">
        <f t="shared" si="31"/>
        <v>TJ</v>
      </c>
    </row>
    <row r="1019" spans="1:32" x14ac:dyDescent="0.2">
      <c r="A1019" t="s">
        <v>1118</v>
      </c>
      <c r="B1019" t="s">
        <v>29</v>
      </c>
      <c r="C1019">
        <v>1013046731</v>
      </c>
      <c r="D1019" t="s">
        <v>1033</v>
      </c>
      <c r="E1019" t="s">
        <v>31</v>
      </c>
      <c r="F1019" t="s">
        <v>246</v>
      </c>
      <c r="G1019" t="s">
        <v>247</v>
      </c>
      <c r="H1019" t="s">
        <v>33</v>
      </c>
      <c r="I1019" t="s">
        <v>41</v>
      </c>
      <c r="J1019" t="s">
        <v>1031</v>
      </c>
      <c r="K1019">
        <v>35</v>
      </c>
      <c r="L1019">
        <v>0</v>
      </c>
      <c r="M1019" t="s">
        <v>36</v>
      </c>
      <c r="N1019" t="s">
        <v>37</v>
      </c>
      <c r="O1019">
        <v>7044</v>
      </c>
      <c r="P1019">
        <v>38</v>
      </c>
      <c r="Q1019">
        <v>0.53947000000000001</v>
      </c>
      <c r="R1019">
        <v>0</v>
      </c>
      <c r="S1019">
        <v>2.75</v>
      </c>
      <c r="T1019">
        <v>0.39</v>
      </c>
      <c r="U1019">
        <v>7.1999999999999995E-2</v>
      </c>
      <c r="V1019">
        <v>0</v>
      </c>
      <c r="W1019">
        <v>2</v>
      </c>
      <c r="X1019">
        <v>0</v>
      </c>
      <c r="Y1019" t="s">
        <v>63</v>
      </c>
      <c r="Z1019">
        <v>0</v>
      </c>
      <c r="AA1019">
        <v>0</v>
      </c>
      <c r="AB1019">
        <v>0</v>
      </c>
      <c r="AC1019" t="s">
        <v>760</v>
      </c>
      <c r="AD1019" t="str">
        <f t="shared" si="30"/>
        <v>UK</v>
      </c>
      <c r="AE1019" t="str">
        <f>_xlfn.XLOOKUP(D1019,Mapping!A:A,Mapping!D:D,0,0)</f>
        <v>Remarketing</v>
      </c>
      <c r="AF1019" t="str">
        <f t="shared" si="31"/>
        <v>TJ</v>
      </c>
    </row>
    <row r="1020" spans="1:32" x14ac:dyDescent="0.2">
      <c r="A1020" t="s">
        <v>1118</v>
      </c>
      <c r="B1020" t="s">
        <v>29</v>
      </c>
      <c r="C1020">
        <v>1013046741</v>
      </c>
      <c r="D1020" t="s">
        <v>1034</v>
      </c>
      <c r="E1020" t="s">
        <v>31</v>
      </c>
      <c r="F1020" t="s">
        <v>246</v>
      </c>
      <c r="G1020" t="s">
        <v>247</v>
      </c>
      <c r="H1020" t="s">
        <v>33</v>
      </c>
      <c r="I1020" t="s">
        <v>41</v>
      </c>
      <c r="J1020" t="s">
        <v>1031</v>
      </c>
      <c r="K1020">
        <v>35</v>
      </c>
      <c r="L1020">
        <v>0</v>
      </c>
      <c r="M1020" t="s">
        <v>36</v>
      </c>
      <c r="N1020" t="s">
        <v>37</v>
      </c>
      <c r="O1020">
        <v>109375</v>
      </c>
      <c r="P1020">
        <v>335</v>
      </c>
      <c r="Q1020">
        <v>0.30629000000000001</v>
      </c>
      <c r="R1020">
        <v>2</v>
      </c>
      <c r="S1020">
        <v>25.9</v>
      </c>
      <c r="T1020">
        <v>0.23699999999999999</v>
      </c>
      <c r="U1020">
        <v>7.6999999999999999E-2</v>
      </c>
      <c r="V1020">
        <v>12.95</v>
      </c>
      <c r="W1020">
        <v>2</v>
      </c>
      <c r="X1020">
        <v>0</v>
      </c>
      <c r="Y1020" t="s">
        <v>63</v>
      </c>
      <c r="Z1020">
        <v>0</v>
      </c>
      <c r="AA1020">
        <v>0</v>
      </c>
      <c r="AB1020">
        <v>0</v>
      </c>
      <c r="AC1020" t="s">
        <v>760</v>
      </c>
      <c r="AD1020" t="str">
        <f t="shared" si="30"/>
        <v>US</v>
      </c>
      <c r="AE1020" t="str">
        <f>_xlfn.XLOOKUP(D1020,Mapping!A:A,Mapping!D:D,0,0)</f>
        <v>Remarketing</v>
      </c>
      <c r="AF1020" t="str">
        <f t="shared" si="31"/>
        <v>TJ</v>
      </c>
    </row>
    <row r="1021" spans="1:32" x14ac:dyDescent="0.2">
      <c r="A1021" t="s">
        <v>1118</v>
      </c>
      <c r="B1021" t="s">
        <v>29</v>
      </c>
      <c r="C1021">
        <v>1013046751</v>
      </c>
      <c r="D1021" t="s">
        <v>1035</v>
      </c>
      <c r="E1021" t="s">
        <v>31</v>
      </c>
      <c r="F1021" t="s">
        <v>246</v>
      </c>
      <c r="G1021" t="s">
        <v>247</v>
      </c>
      <c r="H1021" t="s">
        <v>33</v>
      </c>
      <c r="I1021" t="s">
        <v>41</v>
      </c>
      <c r="J1021" t="s">
        <v>1031</v>
      </c>
      <c r="K1021">
        <v>35</v>
      </c>
      <c r="L1021">
        <v>0</v>
      </c>
      <c r="M1021" t="s">
        <v>36</v>
      </c>
      <c r="N1021" t="s">
        <v>37</v>
      </c>
      <c r="O1021">
        <v>1450</v>
      </c>
      <c r="P1021">
        <v>0</v>
      </c>
      <c r="Q1021">
        <v>0</v>
      </c>
      <c r="R1021">
        <v>1</v>
      </c>
      <c r="S1021">
        <v>0.02</v>
      </c>
      <c r="T1021">
        <v>1.7000000000000001E-2</v>
      </c>
      <c r="U1021">
        <v>0</v>
      </c>
      <c r="V1021">
        <v>2.5000000000000001E-2</v>
      </c>
      <c r="W1021">
        <v>2</v>
      </c>
      <c r="X1021">
        <v>0</v>
      </c>
      <c r="Y1021" t="s">
        <v>63</v>
      </c>
      <c r="Z1021">
        <v>0</v>
      </c>
      <c r="AA1021">
        <v>0</v>
      </c>
      <c r="AB1021">
        <v>0</v>
      </c>
      <c r="AC1021" t="s">
        <v>760</v>
      </c>
      <c r="AD1021" t="str">
        <f t="shared" si="30"/>
        <v>MX</v>
      </c>
      <c r="AE1021" t="str">
        <f>_xlfn.XLOOKUP(D1021,Mapping!A:A,Mapping!D:D,0,0)</f>
        <v>Remarketing</v>
      </c>
      <c r="AF1021" t="str">
        <f t="shared" si="31"/>
        <v>TJ</v>
      </c>
    </row>
    <row r="1022" spans="1:32" x14ac:dyDescent="0.2">
      <c r="A1022" t="s">
        <v>1118</v>
      </c>
      <c r="B1022" t="s">
        <v>29</v>
      </c>
      <c r="C1022">
        <v>1013046761</v>
      </c>
      <c r="D1022" t="s">
        <v>1036</v>
      </c>
      <c r="E1022" t="s">
        <v>31</v>
      </c>
      <c r="F1022" t="s">
        <v>246</v>
      </c>
      <c r="G1022" t="s">
        <v>247</v>
      </c>
      <c r="H1022" t="s">
        <v>33</v>
      </c>
      <c r="I1022" t="s">
        <v>41</v>
      </c>
      <c r="J1022" t="s">
        <v>1031</v>
      </c>
      <c r="K1022">
        <v>35</v>
      </c>
      <c r="L1022">
        <v>0</v>
      </c>
      <c r="M1022" t="s">
        <v>36</v>
      </c>
      <c r="N1022" t="s">
        <v>37</v>
      </c>
      <c r="O1022">
        <v>1442</v>
      </c>
      <c r="P1022">
        <v>12</v>
      </c>
      <c r="Q1022">
        <v>0.83218000000000003</v>
      </c>
      <c r="R1022">
        <v>0</v>
      </c>
      <c r="S1022">
        <v>0.15</v>
      </c>
      <c r="T1022">
        <v>0.10299999999999999</v>
      </c>
      <c r="U1022">
        <v>1.2E-2</v>
      </c>
      <c r="V1022">
        <v>0</v>
      </c>
      <c r="W1022">
        <v>2</v>
      </c>
      <c r="X1022">
        <v>0</v>
      </c>
      <c r="Y1022" t="s">
        <v>63</v>
      </c>
      <c r="Z1022">
        <v>0</v>
      </c>
      <c r="AA1022">
        <v>0</v>
      </c>
      <c r="AB1022">
        <v>0</v>
      </c>
      <c r="AC1022" t="s">
        <v>760</v>
      </c>
      <c r="AD1022" t="str">
        <f t="shared" si="30"/>
        <v>NZ</v>
      </c>
      <c r="AE1022" t="str">
        <f>_xlfn.XLOOKUP(D1022,Mapping!A:A,Mapping!D:D,0,0)</f>
        <v>Remarketing</v>
      </c>
      <c r="AF1022" t="str">
        <f t="shared" si="31"/>
        <v>TJ</v>
      </c>
    </row>
    <row r="1023" spans="1:32" x14ac:dyDescent="0.2">
      <c r="A1023" t="s">
        <v>1118</v>
      </c>
      <c r="B1023" t="s">
        <v>39</v>
      </c>
      <c r="C1023">
        <v>1013047181</v>
      </c>
      <c r="D1023" t="s">
        <v>1037</v>
      </c>
      <c r="E1023" t="s">
        <v>31</v>
      </c>
      <c r="F1023" t="s">
        <v>246</v>
      </c>
      <c r="G1023" t="s">
        <v>247</v>
      </c>
      <c r="H1023" t="s">
        <v>33</v>
      </c>
      <c r="I1023" t="s">
        <v>41</v>
      </c>
      <c r="J1023" t="s">
        <v>1031</v>
      </c>
      <c r="K1023">
        <v>45</v>
      </c>
      <c r="L1023">
        <v>0</v>
      </c>
      <c r="M1023" t="s">
        <v>63</v>
      </c>
      <c r="N1023">
        <v>25</v>
      </c>
      <c r="O1023">
        <v>0</v>
      </c>
      <c r="P1023">
        <v>0</v>
      </c>
      <c r="Q1023">
        <v>0</v>
      </c>
      <c r="S1023">
        <v>0</v>
      </c>
      <c r="T1023">
        <v>0</v>
      </c>
      <c r="U1023">
        <v>0</v>
      </c>
      <c r="V1023">
        <v>0</v>
      </c>
      <c r="W1023">
        <v>2</v>
      </c>
      <c r="X1023">
        <v>0</v>
      </c>
      <c r="Y1023" t="s">
        <v>63</v>
      </c>
      <c r="AC1023" t="s">
        <v>760</v>
      </c>
      <c r="AD1023" t="str">
        <f t="shared" si="30"/>
        <v>JB</v>
      </c>
      <c r="AE1023" t="str">
        <f>_xlfn.XLOOKUP(D1023,Mapping!A:A,Mapping!D:D,0,0)</f>
        <v>Remarketing</v>
      </c>
      <c r="AF1023" t="str">
        <f t="shared" si="31"/>
        <v>OLD</v>
      </c>
    </row>
    <row r="1024" spans="1:32" x14ac:dyDescent="0.2">
      <c r="A1024" t="s">
        <v>1118</v>
      </c>
      <c r="B1024" t="s">
        <v>29</v>
      </c>
      <c r="C1024">
        <v>1013050271</v>
      </c>
      <c r="D1024" t="s">
        <v>1038</v>
      </c>
      <c r="E1024" t="s">
        <v>31</v>
      </c>
      <c r="F1024" s="1">
        <v>0.38611111111111113</v>
      </c>
      <c r="G1024" t="s">
        <v>32</v>
      </c>
      <c r="H1024" t="s">
        <v>33</v>
      </c>
      <c r="I1024" t="s">
        <v>41</v>
      </c>
      <c r="J1024" t="s">
        <v>942</v>
      </c>
      <c r="K1024">
        <v>5</v>
      </c>
      <c r="L1024">
        <v>0</v>
      </c>
      <c r="M1024" t="s">
        <v>36</v>
      </c>
      <c r="N1024" t="s">
        <v>37</v>
      </c>
      <c r="O1024">
        <v>76349</v>
      </c>
      <c r="P1024">
        <v>829</v>
      </c>
      <c r="Q1024">
        <v>1.0858000000000001</v>
      </c>
      <c r="R1024">
        <v>1</v>
      </c>
      <c r="S1024">
        <v>8.4</v>
      </c>
      <c r="T1024">
        <v>0.11</v>
      </c>
      <c r="U1024">
        <v>0.01</v>
      </c>
      <c r="V1024">
        <v>8.3979999999999997</v>
      </c>
      <c r="W1024">
        <v>2</v>
      </c>
      <c r="X1024">
        <v>0</v>
      </c>
      <c r="Y1024" t="s">
        <v>63</v>
      </c>
      <c r="Z1024">
        <v>76355</v>
      </c>
      <c r="AA1024">
        <v>0</v>
      </c>
      <c r="AB1024">
        <v>551</v>
      </c>
      <c r="AC1024" t="s">
        <v>60</v>
      </c>
      <c r="AD1024" t="str">
        <f t="shared" si="30"/>
        <v>UA</v>
      </c>
      <c r="AE1024" t="str">
        <f>_xlfn.XLOOKUP(D1024,Mapping!A:A,Mapping!D:D,0,0)</f>
        <v>Shorties</v>
      </c>
      <c r="AF1024" t="str">
        <f t="shared" si="31"/>
        <v>TJ</v>
      </c>
    </row>
    <row r="1025" spans="1:32" x14ac:dyDescent="0.2">
      <c r="A1025" t="s">
        <v>1118</v>
      </c>
      <c r="B1025" t="s">
        <v>29</v>
      </c>
      <c r="C1025">
        <v>1013050281</v>
      </c>
      <c r="D1025" t="s">
        <v>1039</v>
      </c>
      <c r="E1025" t="s">
        <v>31</v>
      </c>
      <c r="F1025" s="1">
        <v>0.38611111111111113</v>
      </c>
      <c r="G1025" t="s">
        <v>32</v>
      </c>
      <c r="H1025" t="s">
        <v>33</v>
      </c>
      <c r="I1025" t="s">
        <v>41</v>
      </c>
      <c r="J1025" t="s">
        <v>942</v>
      </c>
      <c r="K1025">
        <v>5</v>
      </c>
      <c r="L1025">
        <v>0</v>
      </c>
      <c r="M1025" t="s">
        <v>36</v>
      </c>
      <c r="N1025" t="s">
        <v>37</v>
      </c>
      <c r="O1025">
        <v>84879</v>
      </c>
      <c r="P1025">
        <v>758</v>
      </c>
      <c r="Q1025">
        <v>0.89303999999999994</v>
      </c>
      <c r="R1025">
        <v>1</v>
      </c>
      <c r="S1025">
        <v>9.34</v>
      </c>
      <c r="T1025">
        <v>0.11</v>
      </c>
      <c r="U1025">
        <v>1.2E-2</v>
      </c>
      <c r="V1025">
        <v>9.3369999999999997</v>
      </c>
      <c r="W1025">
        <v>2</v>
      </c>
      <c r="X1025">
        <v>0</v>
      </c>
      <c r="Y1025" t="s">
        <v>63</v>
      </c>
      <c r="Z1025">
        <v>84887</v>
      </c>
      <c r="AA1025">
        <v>0</v>
      </c>
      <c r="AB1025">
        <v>405</v>
      </c>
      <c r="AC1025" t="s">
        <v>60</v>
      </c>
      <c r="AD1025" t="str">
        <f t="shared" si="30"/>
        <v>PL</v>
      </c>
      <c r="AE1025" t="str">
        <f>_xlfn.XLOOKUP(D1025,Mapping!A:A,Mapping!D:D,0,0)</f>
        <v>Shorties</v>
      </c>
      <c r="AF1025" t="str">
        <f t="shared" si="31"/>
        <v>TJ</v>
      </c>
    </row>
    <row r="1026" spans="1:32" x14ac:dyDescent="0.2">
      <c r="A1026" t="s">
        <v>1118</v>
      </c>
      <c r="B1026" t="s">
        <v>29</v>
      </c>
      <c r="C1026">
        <v>1013050291</v>
      </c>
      <c r="D1026" t="s">
        <v>1040</v>
      </c>
      <c r="E1026" t="s">
        <v>31</v>
      </c>
      <c r="F1026" s="1">
        <v>0.38611111111111113</v>
      </c>
      <c r="G1026" t="s">
        <v>32</v>
      </c>
      <c r="H1026" t="s">
        <v>33</v>
      </c>
      <c r="I1026" t="s">
        <v>41</v>
      </c>
      <c r="J1026" t="s">
        <v>942</v>
      </c>
      <c r="K1026">
        <v>5</v>
      </c>
      <c r="L1026">
        <v>0</v>
      </c>
      <c r="M1026" t="s">
        <v>36</v>
      </c>
      <c r="N1026" t="s">
        <v>37</v>
      </c>
      <c r="O1026">
        <v>122347</v>
      </c>
      <c r="P1026">
        <v>884</v>
      </c>
      <c r="Q1026">
        <v>0.72253999999999996</v>
      </c>
      <c r="R1026">
        <v>0</v>
      </c>
      <c r="S1026">
        <v>13.46</v>
      </c>
      <c r="T1026">
        <v>0.11</v>
      </c>
      <c r="U1026">
        <v>1.4999999999999999E-2</v>
      </c>
      <c r="V1026">
        <v>0</v>
      </c>
      <c r="W1026">
        <v>2</v>
      </c>
      <c r="X1026">
        <v>0</v>
      </c>
      <c r="Y1026" t="s">
        <v>63</v>
      </c>
      <c r="Z1026">
        <v>122312</v>
      </c>
      <c r="AA1026">
        <v>0</v>
      </c>
      <c r="AB1026">
        <v>387</v>
      </c>
      <c r="AC1026" t="s">
        <v>60</v>
      </c>
      <c r="AD1026" t="str">
        <f t="shared" si="30"/>
        <v>MX</v>
      </c>
      <c r="AE1026" t="str">
        <f>_xlfn.XLOOKUP(D1026,Mapping!A:A,Mapping!D:D,0,0)</f>
        <v>Shorties</v>
      </c>
      <c r="AF1026" t="str">
        <f t="shared" si="31"/>
        <v>TJ</v>
      </c>
    </row>
    <row r="1027" spans="1:32" x14ac:dyDescent="0.2">
      <c r="A1027" t="s">
        <v>1118</v>
      </c>
      <c r="B1027" t="s">
        <v>29</v>
      </c>
      <c r="C1027">
        <v>1013050301</v>
      </c>
      <c r="D1027" t="s">
        <v>1041</v>
      </c>
      <c r="E1027" t="s">
        <v>31</v>
      </c>
      <c r="F1027" s="1">
        <v>0.38611111111111113</v>
      </c>
      <c r="G1027" t="s">
        <v>32</v>
      </c>
      <c r="H1027" t="s">
        <v>33</v>
      </c>
      <c r="I1027" t="s">
        <v>41</v>
      </c>
      <c r="J1027" t="s">
        <v>942</v>
      </c>
      <c r="K1027">
        <v>5</v>
      </c>
      <c r="L1027">
        <v>0</v>
      </c>
      <c r="M1027" t="s">
        <v>36</v>
      </c>
      <c r="N1027" t="s">
        <v>37</v>
      </c>
      <c r="O1027">
        <v>85571</v>
      </c>
      <c r="P1027">
        <v>760</v>
      </c>
      <c r="Q1027">
        <v>0.88815</v>
      </c>
      <c r="R1027">
        <v>0</v>
      </c>
      <c r="S1027">
        <v>9.41</v>
      </c>
      <c r="T1027">
        <v>0.11</v>
      </c>
      <c r="U1027">
        <v>1.2E-2</v>
      </c>
      <c r="V1027">
        <v>0</v>
      </c>
      <c r="W1027">
        <v>2</v>
      </c>
      <c r="X1027">
        <v>0</v>
      </c>
      <c r="Y1027" t="s">
        <v>63</v>
      </c>
      <c r="Z1027">
        <v>85561</v>
      </c>
      <c r="AA1027">
        <v>0</v>
      </c>
      <c r="AB1027">
        <v>611</v>
      </c>
      <c r="AC1027" t="s">
        <v>60</v>
      </c>
      <c r="AD1027" t="str">
        <f t="shared" ref="AD1027:AD1044" si="32">LEFT(D1027,2)</f>
        <v>PH</v>
      </c>
      <c r="AE1027" t="str">
        <f>_xlfn.XLOOKUP(D1027,Mapping!A:A,Mapping!D:D,0,0)</f>
        <v>Shorties</v>
      </c>
      <c r="AF1027" t="str">
        <f t="shared" ref="AF1027:AF1044" si="33">IFERROR(IF(SEARCH("_TJ",D1027)&gt;0,"TJ",NA()),IFERROR(IF(SEARCH("_JB",D1027)&gt;0,"JB",NA()),"OLD"))</f>
        <v>TJ</v>
      </c>
    </row>
    <row r="1028" spans="1:32" x14ac:dyDescent="0.2">
      <c r="A1028" t="s">
        <v>1118</v>
      </c>
      <c r="B1028" t="s">
        <v>29</v>
      </c>
      <c r="C1028">
        <v>1013050311</v>
      </c>
      <c r="D1028" t="s">
        <v>1042</v>
      </c>
      <c r="E1028" t="s">
        <v>31</v>
      </c>
      <c r="F1028" s="1">
        <v>0.38611111111111113</v>
      </c>
      <c r="G1028" t="s">
        <v>32</v>
      </c>
      <c r="H1028" t="s">
        <v>33</v>
      </c>
      <c r="I1028" t="s">
        <v>41</v>
      </c>
      <c r="J1028" t="s">
        <v>942</v>
      </c>
      <c r="K1028">
        <v>5</v>
      </c>
      <c r="L1028">
        <v>0</v>
      </c>
      <c r="M1028" t="s">
        <v>36</v>
      </c>
      <c r="N1028" t="s">
        <v>37</v>
      </c>
      <c r="O1028">
        <v>58028</v>
      </c>
      <c r="P1028">
        <v>522</v>
      </c>
      <c r="Q1028">
        <v>0.89956999999999998</v>
      </c>
      <c r="R1028">
        <v>0</v>
      </c>
      <c r="S1028">
        <v>6.38</v>
      </c>
      <c r="T1028">
        <v>0.11</v>
      </c>
      <c r="U1028">
        <v>1.2E-2</v>
      </c>
      <c r="V1028">
        <v>0</v>
      </c>
      <c r="W1028">
        <v>2</v>
      </c>
      <c r="X1028">
        <v>0</v>
      </c>
      <c r="Y1028" t="s">
        <v>63</v>
      </c>
      <c r="Z1028">
        <v>58007</v>
      </c>
      <c r="AA1028">
        <v>0</v>
      </c>
      <c r="AB1028">
        <v>237</v>
      </c>
      <c r="AC1028" t="s">
        <v>60</v>
      </c>
      <c r="AD1028" t="str">
        <f t="shared" si="32"/>
        <v>AR</v>
      </c>
      <c r="AE1028" t="str">
        <f>_xlfn.XLOOKUP(D1028,Mapping!A:A,Mapping!D:D,0,0)</f>
        <v>Shorties</v>
      </c>
      <c r="AF1028" t="str">
        <f t="shared" si="33"/>
        <v>TJ</v>
      </c>
    </row>
    <row r="1029" spans="1:32" x14ac:dyDescent="0.2">
      <c r="A1029" t="s">
        <v>1118</v>
      </c>
      <c r="B1029" t="s">
        <v>29</v>
      </c>
      <c r="C1029">
        <v>1013050321</v>
      </c>
      <c r="D1029" t="s">
        <v>1043</v>
      </c>
      <c r="E1029" t="s">
        <v>31</v>
      </c>
      <c r="F1029" s="1">
        <v>0.38611111111111113</v>
      </c>
      <c r="G1029" t="s">
        <v>32</v>
      </c>
      <c r="H1029" t="s">
        <v>33</v>
      </c>
      <c r="I1029" t="s">
        <v>41</v>
      </c>
      <c r="J1029" t="s">
        <v>942</v>
      </c>
      <c r="K1029">
        <v>5</v>
      </c>
      <c r="L1029">
        <v>0</v>
      </c>
      <c r="M1029" t="s">
        <v>36</v>
      </c>
      <c r="N1029" t="s">
        <v>37</v>
      </c>
      <c r="O1029">
        <v>69138</v>
      </c>
      <c r="P1029">
        <v>586</v>
      </c>
      <c r="Q1029">
        <v>0.84758</v>
      </c>
      <c r="R1029">
        <v>3</v>
      </c>
      <c r="S1029">
        <v>7.61</v>
      </c>
      <c r="T1029">
        <v>0.11</v>
      </c>
      <c r="U1029">
        <v>1.2999999999999999E-2</v>
      </c>
      <c r="V1029">
        <v>2.5350000000000001</v>
      </c>
      <c r="W1029">
        <v>2</v>
      </c>
      <c r="X1029">
        <v>0</v>
      </c>
      <c r="Y1029" t="s">
        <v>63</v>
      </c>
      <c r="Z1029">
        <v>69149</v>
      </c>
      <c r="AA1029">
        <v>0</v>
      </c>
      <c r="AB1029">
        <v>405</v>
      </c>
      <c r="AC1029" t="s">
        <v>60</v>
      </c>
      <c r="AD1029" t="str">
        <f t="shared" si="32"/>
        <v>DE</v>
      </c>
      <c r="AE1029" t="str">
        <f>_xlfn.XLOOKUP(D1029,Mapping!A:A,Mapping!D:D,0,0)</f>
        <v>Shorties</v>
      </c>
      <c r="AF1029" t="str">
        <f t="shared" si="33"/>
        <v>TJ</v>
      </c>
    </row>
    <row r="1030" spans="1:32" x14ac:dyDescent="0.2">
      <c r="A1030" t="s">
        <v>1118</v>
      </c>
      <c r="B1030" t="s">
        <v>29</v>
      </c>
      <c r="C1030">
        <v>1013050331</v>
      </c>
      <c r="D1030" t="s">
        <v>1044</v>
      </c>
      <c r="E1030" t="s">
        <v>31</v>
      </c>
      <c r="F1030" s="1">
        <v>0.38611111111111113</v>
      </c>
      <c r="G1030" t="s">
        <v>32</v>
      </c>
      <c r="H1030" t="s">
        <v>33</v>
      </c>
      <c r="I1030" t="s">
        <v>41</v>
      </c>
      <c r="J1030" t="s">
        <v>942</v>
      </c>
      <c r="K1030">
        <v>5</v>
      </c>
      <c r="L1030">
        <v>0</v>
      </c>
      <c r="M1030" t="s">
        <v>36</v>
      </c>
      <c r="N1030" t="s">
        <v>37</v>
      </c>
      <c r="O1030">
        <v>54226</v>
      </c>
      <c r="P1030">
        <v>505</v>
      </c>
      <c r="Q1030">
        <v>0.93128999999999995</v>
      </c>
      <c r="R1030">
        <v>0</v>
      </c>
      <c r="S1030">
        <v>5.96</v>
      </c>
      <c r="T1030">
        <v>0.11</v>
      </c>
      <c r="U1030">
        <v>1.2E-2</v>
      </c>
      <c r="V1030">
        <v>0</v>
      </c>
      <c r="W1030">
        <v>2</v>
      </c>
      <c r="X1030">
        <v>0</v>
      </c>
      <c r="Y1030" t="s">
        <v>63</v>
      </c>
      <c r="Z1030">
        <v>54198</v>
      </c>
      <c r="AA1030">
        <v>0</v>
      </c>
      <c r="AB1030">
        <v>264</v>
      </c>
      <c r="AC1030" t="s">
        <v>60</v>
      </c>
      <c r="AD1030" t="str">
        <f t="shared" si="32"/>
        <v>CO</v>
      </c>
      <c r="AE1030" t="str">
        <f>_xlfn.XLOOKUP(D1030,Mapping!A:A,Mapping!D:D,0,0)</f>
        <v>Shorties</v>
      </c>
      <c r="AF1030" t="str">
        <f t="shared" si="33"/>
        <v>TJ</v>
      </c>
    </row>
    <row r="1031" spans="1:32" x14ac:dyDescent="0.2">
      <c r="A1031" t="s">
        <v>1118</v>
      </c>
      <c r="B1031" t="s">
        <v>29</v>
      </c>
      <c r="C1031">
        <v>1013050341</v>
      </c>
      <c r="D1031" t="s">
        <v>1045</v>
      </c>
      <c r="E1031" t="s">
        <v>31</v>
      </c>
      <c r="F1031" s="1">
        <v>0.38611111111111113</v>
      </c>
      <c r="G1031" t="s">
        <v>32</v>
      </c>
      <c r="H1031" t="s">
        <v>33</v>
      </c>
      <c r="I1031" t="s">
        <v>41</v>
      </c>
      <c r="J1031" t="s">
        <v>942</v>
      </c>
      <c r="K1031">
        <v>5</v>
      </c>
      <c r="L1031">
        <v>0</v>
      </c>
      <c r="M1031" t="s">
        <v>36</v>
      </c>
      <c r="N1031" t="s">
        <v>37</v>
      </c>
      <c r="O1031">
        <v>44269</v>
      </c>
      <c r="P1031">
        <v>370</v>
      </c>
      <c r="Q1031">
        <v>0.83579999999999999</v>
      </c>
      <c r="R1031">
        <v>0</v>
      </c>
      <c r="S1031">
        <v>4.87</v>
      </c>
      <c r="T1031">
        <v>0.11</v>
      </c>
      <c r="U1031">
        <v>1.2999999999999999E-2</v>
      </c>
      <c r="V1031">
        <v>0</v>
      </c>
      <c r="W1031">
        <v>2</v>
      </c>
      <c r="X1031">
        <v>0</v>
      </c>
      <c r="Y1031" t="s">
        <v>63</v>
      </c>
      <c r="Z1031">
        <v>44245</v>
      </c>
      <c r="AA1031">
        <v>0</v>
      </c>
      <c r="AB1031">
        <v>220</v>
      </c>
      <c r="AC1031" t="s">
        <v>60</v>
      </c>
      <c r="AD1031" t="str">
        <f t="shared" si="32"/>
        <v>CL</v>
      </c>
      <c r="AE1031" t="str">
        <f>_xlfn.XLOOKUP(D1031,Mapping!A:A,Mapping!D:D,0,0)</f>
        <v>Shorties</v>
      </c>
      <c r="AF1031" t="str">
        <f t="shared" si="33"/>
        <v>TJ</v>
      </c>
    </row>
    <row r="1032" spans="1:32" x14ac:dyDescent="0.2">
      <c r="A1032" t="s">
        <v>1118</v>
      </c>
      <c r="B1032" t="s">
        <v>29</v>
      </c>
      <c r="C1032">
        <v>1013050371</v>
      </c>
      <c r="D1032" t="s">
        <v>1046</v>
      </c>
      <c r="E1032" t="s">
        <v>31</v>
      </c>
      <c r="F1032" s="1">
        <v>0.38611111111111113</v>
      </c>
      <c r="G1032" t="s">
        <v>32</v>
      </c>
      <c r="H1032" t="s">
        <v>33</v>
      </c>
      <c r="I1032" t="s">
        <v>41</v>
      </c>
      <c r="J1032" t="s">
        <v>942</v>
      </c>
      <c r="K1032">
        <v>5</v>
      </c>
      <c r="L1032">
        <v>0</v>
      </c>
      <c r="M1032" t="s">
        <v>36</v>
      </c>
      <c r="N1032" t="s">
        <v>37</v>
      </c>
      <c r="O1032">
        <v>47168</v>
      </c>
      <c r="P1032">
        <v>206</v>
      </c>
      <c r="Q1032">
        <v>0.43674000000000002</v>
      </c>
      <c r="R1032">
        <v>0</v>
      </c>
      <c r="S1032">
        <v>19.34</v>
      </c>
      <c r="T1032">
        <v>0.41</v>
      </c>
      <c r="U1032">
        <v>9.4E-2</v>
      </c>
      <c r="V1032">
        <v>0</v>
      </c>
      <c r="W1032">
        <v>2</v>
      </c>
      <c r="X1032">
        <v>0</v>
      </c>
      <c r="Y1032" t="s">
        <v>63</v>
      </c>
      <c r="Z1032">
        <v>47188</v>
      </c>
      <c r="AA1032">
        <v>0</v>
      </c>
      <c r="AB1032">
        <v>103</v>
      </c>
      <c r="AC1032" t="s">
        <v>60</v>
      </c>
      <c r="AD1032" t="str">
        <f t="shared" si="32"/>
        <v>AU</v>
      </c>
      <c r="AE1032" t="str">
        <f>_xlfn.XLOOKUP(D1032,Mapping!A:A,Mapping!D:D,0,0)</f>
        <v>Shorties</v>
      </c>
      <c r="AF1032" t="str">
        <f t="shared" si="33"/>
        <v>TJ</v>
      </c>
    </row>
    <row r="1033" spans="1:32" x14ac:dyDescent="0.2">
      <c r="A1033" t="s">
        <v>1118</v>
      </c>
      <c r="B1033" t="s">
        <v>29</v>
      </c>
      <c r="C1033">
        <v>1013050381</v>
      </c>
      <c r="D1033" t="s">
        <v>1047</v>
      </c>
      <c r="E1033" t="s">
        <v>31</v>
      </c>
      <c r="F1033" s="1">
        <v>0.38611111111111113</v>
      </c>
      <c r="G1033" t="s">
        <v>32</v>
      </c>
      <c r="H1033" t="s">
        <v>33</v>
      </c>
      <c r="I1033" t="s">
        <v>41</v>
      </c>
      <c r="J1033" t="s">
        <v>942</v>
      </c>
      <c r="K1033">
        <v>5</v>
      </c>
      <c r="L1033">
        <v>0</v>
      </c>
      <c r="M1033" t="s">
        <v>36</v>
      </c>
      <c r="N1033" t="s">
        <v>37</v>
      </c>
      <c r="O1033">
        <v>60558</v>
      </c>
      <c r="P1033">
        <v>554</v>
      </c>
      <c r="Q1033">
        <v>0.91483000000000003</v>
      </c>
      <c r="R1033">
        <v>0</v>
      </c>
      <c r="S1033">
        <v>7.87</v>
      </c>
      <c r="T1033">
        <v>0.13</v>
      </c>
      <c r="U1033">
        <v>1.4E-2</v>
      </c>
      <c r="V1033">
        <v>0</v>
      </c>
      <c r="W1033">
        <v>2</v>
      </c>
      <c r="X1033">
        <v>0</v>
      </c>
      <c r="Y1033" t="s">
        <v>63</v>
      </c>
      <c r="Z1033">
        <v>60559</v>
      </c>
      <c r="AA1033">
        <v>0</v>
      </c>
      <c r="AB1033">
        <v>328</v>
      </c>
      <c r="AC1033" t="s">
        <v>60</v>
      </c>
      <c r="AD1033" t="str">
        <f t="shared" si="32"/>
        <v>NL</v>
      </c>
      <c r="AE1033" t="str">
        <f>_xlfn.XLOOKUP(D1033,Mapping!A:A,Mapping!D:D,0,0)</f>
        <v>Shorties</v>
      </c>
      <c r="AF1033" t="str">
        <f t="shared" si="33"/>
        <v>TJ</v>
      </c>
    </row>
    <row r="1034" spans="1:32" x14ac:dyDescent="0.2">
      <c r="A1034" t="s">
        <v>1118</v>
      </c>
      <c r="B1034" t="s">
        <v>29</v>
      </c>
      <c r="C1034">
        <v>1013054421</v>
      </c>
      <c r="D1034" t="s">
        <v>1048</v>
      </c>
      <c r="E1034" t="s">
        <v>31</v>
      </c>
      <c r="F1034" t="s">
        <v>246</v>
      </c>
      <c r="G1034" t="s">
        <v>247</v>
      </c>
      <c r="H1034" t="s">
        <v>33</v>
      </c>
      <c r="I1034" t="s">
        <v>34</v>
      </c>
      <c r="J1034" t="s">
        <v>1031</v>
      </c>
      <c r="K1034">
        <v>42</v>
      </c>
      <c r="L1034">
        <v>0</v>
      </c>
      <c r="M1034" t="s">
        <v>36</v>
      </c>
      <c r="N1034" t="s">
        <v>37</v>
      </c>
      <c r="O1034">
        <v>15983</v>
      </c>
      <c r="P1034">
        <v>49</v>
      </c>
      <c r="Q1034">
        <v>0.30658000000000002</v>
      </c>
      <c r="R1034">
        <v>0</v>
      </c>
      <c r="S1034">
        <v>1.59</v>
      </c>
      <c r="T1034">
        <v>0.1</v>
      </c>
      <c r="U1034">
        <v>3.2000000000000001E-2</v>
      </c>
      <c r="V1034">
        <v>0</v>
      </c>
      <c r="W1034">
        <v>2</v>
      </c>
      <c r="X1034">
        <v>0</v>
      </c>
      <c r="Y1034" t="s">
        <v>63</v>
      </c>
      <c r="Z1034">
        <v>0</v>
      </c>
      <c r="AA1034">
        <v>0</v>
      </c>
      <c r="AB1034">
        <v>0</v>
      </c>
      <c r="AC1034" t="s">
        <v>760</v>
      </c>
      <c r="AD1034" t="str">
        <f t="shared" si="32"/>
        <v>US</v>
      </c>
      <c r="AE1034" t="str">
        <f>_xlfn.XLOOKUP(D1034,Mapping!A:A,Mapping!D:D,0,0)</f>
        <v>Remarketing</v>
      </c>
      <c r="AF1034" t="str">
        <f t="shared" si="33"/>
        <v>TJ</v>
      </c>
    </row>
    <row r="1035" spans="1:32" x14ac:dyDescent="0.2">
      <c r="A1035" t="s">
        <v>1118</v>
      </c>
      <c r="B1035" t="s">
        <v>29</v>
      </c>
      <c r="C1035">
        <v>1013054431</v>
      </c>
      <c r="D1035" t="s">
        <v>1049</v>
      </c>
      <c r="E1035" t="s">
        <v>31</v>
      </c>
      <c r="F1035" t="s">
        <v>246</v>
      </c>
      <c r="G1035" t="s">
        <v>247</v>
      </c>
      <c r="H1035" t="s">
        <v>33</v>
      </c>
      <c r="I1035" t="s">
        <v>34</v>
      </c>
      <c r="J1035" t="s">
        <v>1031</v>
      </c>
      <c r="K1035">
        <v>42</v>
      </c>
      <c r="L1035">
        <v>0</v>
      </c>
      <c r="M1035" t="s">
        <v>36</v>
      </c>
      <c r="N1035" t="s">
        <v>37</v>
      </c>
      <c r="O1035">
        <v>5286</v>
      </c>
      <c r="P1035">
        <v>12</v>
      </c>
      <c r="Q1035">
        <v>0.22700999999999999</v>
      </c>
      <c r="R1035">
        <v>0</v>
      </c>
      <c r="S1035">
        <v>0.44</v>
      </c>
      <c r="T1035">
        <v>8.2000000000000003E-2</v>
      </c>
      <c r="U1035">
        <v>3.5999999999999997E-2</v>
      </c>
      <c r="V1035">
        <v>0</v>
      </c>
      <c r="W1035">
        <v>2</v>
      </c>
      <c r="X1035">
        <v>0</v>
      </c>
      <c r="Y1035" t="s">
        <v>63</v>
      </c>
      <c r="Z1035">
        <v>0</v>
      </c>
      <c r="AA1035">
        <v>0</v>
      </c>
      <c r="AB1035">
        <v>0</v>
      </c>
      <c r="AC1035" t="s">
        <v>760</v>
      </c>
      <c r="AD1035" t="str">
        <f t="shared" si="32"/>
        <v>CA</v>
      </c>
      <c r="AE1035" t="str">
        <f>_xlfn.XLOOKUP(D1035,Mapping!A:A,Mapping!D:D,0,0)</f>
        <v>Remarketing</v>
      </c>
      <c r="AF1035" t="str">
        <f t="shared" si="33"/>
        <v>TJ</v>
      </c>
    </row>
    <row r="1036" spans="1:32" x14ac:dyDescent="0.2">
      <c r="A1036" t="s">
        <v>1118</v>
      </c>
      <c r="B1036" t="s">
        <v>29</v>
      </c>
      <c r="C1036">
        <v>1013054441</v>
      </c>
      <c r="D1036" t="s">
        <v>1050</v>
      </c>
      <c r="E1036" t="s">
        <v>31</v>
      </c>
      <c r="F1036" t="s">
        <v>246</v>
      </c>
      <c r="G1036" t="s">
        <v>247</v>
      </c>
      <c r="H1036" t="s">
        <v>33</v>
      </c>
      <c r="I1036" t="s">
        <v>34</v>
      </c>
      <c r="J1036" t="s">
        <v>1031</v>
      </c>
      <c r="K1036">
        <v>42</v>
      </c>
      <c r="L1036">
        <v>0</v>
      </c>
      <c r="M1036" t="s">
        <v>36</v>
      </c>
      <c r="N1036" t="s">
        <v>37</v>
      </c>
      <c r="O1036">
        <v>2213</v>
      </c>
      <c r="P1036">
        <v>5</v>
      </c>
      <c r="Q1036">
        <v>0.22594</v>
      </c>
      <c r="R1036">
        <v>0</v>
      </c>
      <c r="S1036">
        <v>0.38</v>
      </c>
      <c r="T1036">
        <v>0.17399999999999999</v>
      </c>
      <c r="U1036">
        <v>7.6999999999999999E-2</v>
      </c>
      <c r="V1036">
        <v>0</v>
      </c>
      <c r="W1036">
        <v>2</v>
      </c>
      <c r="X1036">
        <v>0</v>
      </c>
      <c r="Y1036" t="s">
        <v>63</v>
      </c>
      <c r="Z1036">
        <v>0</v>
      </c>
      <c r="AA1036">
        <v>0</v>
      </c>
      <c r="AB1036">
        <v>0</v>
      </c>
      <c r="AC1036" t="s">
        <v>760</v>
      </c>
      <c r="AD1036" t="str">
        <f t="shared" si="32"/>
        <v>UK</v>
      </c>
      <c r="AE1036" t="str">
        <f>_xlfn.XLOOKUP(D1036,Mapping!A:A,Mapping!D:D,0,0)</f>
        <v>Remarketing</v>
      </c>
      <c r="AF1036" t="str">
        <f t="shared" si="33"/>
        <v>TJ</v>
      </c>
    </row>
    <row r="1037" spans="1:32" x14ac:dyDescent="0.2">
      <c r="A1037" t="s">
        <v>1118</v>
      </c>
      <c r="B1037" t="s">
        <v>29</v>
      </c>
      <c r="C1037">
        <v>1013054451</v>
      </c>
      <c r="D1037" t="s">
        <v>1051</v>
      </c>
      <c r="E1037" t="s">
        <v>31</v>
      </c>
      <c r="F1037" t="s">
        <v>246</v>
      </c>
      <c r="G1037" t="s">
        <v>247</v>
      </c>
      <c r="H1037" t="s">
        <v>33</v>
      </c>
      <c r="I1037" t="s">
        <v>34</v>
      </c>
      <c r="J1037" t="s">
        <v>1031</v>
      </c>
      <c r="K1037">
        <v>42</v>
      </c>
      <c r="L1037">
        <v>0</v>
      </c>
      <c r="M1037" t="s">
        <v>36</v>
      </c>
      <c r="N1037" t="s">
        <v>37</v>
      </c>
      <c r="O1037">
        <v>2474</v>
      </c>
      <c r="P1037">
        <v>10</v>
      </c>
      <c r="Q1037">
        <v>0.4042</v>
      </c>
      <c r="R1037">
        <v>0</v>
      </c>
      <c r="S1037">
        <v>0.21</v>
      </c>
      <c r="T1037">
        <v>8.5000000000000006E-2</v>
      </c>
      <c r="U1037">
        <v>2.1000000000000001E-2</v>
      </c>
      <c r="V1037">
        <v>0</v>
      </c>
      <c r="W1037">
        <v>2</v>
      </c>
      <c r="X1037">
        <v>0</v>
      </c>
      <c r="Y1037" t="s">
        <v>63</v>
      </c>
      <c r="Z1037">
        <v>0</v>
      </c>
      <c r="AA1037">
        <v>0</v>
      </c>
      <c r="AB1037">
        <v>0</v>
      </c>
      <c r="AC1037" t="s">
        <v>760</v>
      </c>
      <c r="AD1037" t="str">
        <f t="shared" si="32"/>
        <v>AU</v>
      </c>
      <c r="AE1037" t="str">
        <f>_xlfn.XLOOKUP(D1037,Mapping!A:A,Mapping!D:D,0,0)</f>
        <v>Remarketing</v>
      </c>
      <c r="AF1037" t="str">
        <f t="shared" si="33"/>
        <v>TJ</v>
      </c>
    </row>
    <row r="1038" spans="1:32" x14ac:dyDescent="0.2">
      <c r="A1038" t="s">
        <v>1118</v>
      </c>
      <c r="B1038" t="s">
        <v>29</v>
      </c>
      <c r="C1038">
        <v>1013054461</v>
      </c>
      <c r="D1038" t="s">
        <v>1052</v>
      </c>
      <c r="E1038" t="s">
        <v>31</v>
      </c>
      <c r="F1038" t="s">
        <v>246</v>
      </c>
      <c r="G1038" t="s">
        <v>247</v>
      </c>
      <c r="H1038" t="s">
        <v>33</v>
      </c>
      <c r="I1038" t="s">
        <v>34</v>
      </c>
      <c r="J1038" t="s">
        <v>1031</v>
      </c>
      <c r="K1038">
        <v>42</v>
      </c>
      <c r="L1038">
        <v>0</v>
      </c>
      <c r="M1038" t="s">
        <v>36</v>
      </c>
      <c r="N1038" t="s">
        <v>37</v>
      </c>
      <c r="O1038">
        <v>448</v>
      </c>
      <c r="P1038">
        <v>1</v>
      </c>
      <c r="Q1038">
        <v>0.22320999999999999</v>
      </c>
      <c r="R1038">
        <v>0</v>
      </c>
      <c r="S1038">
        <v>0.01</v>
      </c>
      <c r="T1038">
        <v>1.7000000000000001E-2</v>
      </c>
      <c r="U1038">
        <v>7.0000000000000001E-3</v>
      </c>
      <c r="V1038">
        <v>0</v>
      </c>
      <c r="W1038">
        <v>2</v>
      </c>
      <c r="X1038">
        <v>0</v>
      </c>
      <c r="Y1038" t="s">
        <v>63</v>
      </c>
      <c r="Z1038">
        <v>0</v>
      </c>
      <c r="AA1038">
        <v>0</v>
      </c>
      <c r="AB1038">
        <v>0</v>
      </c>
      <c r="AC1038" t="s">
        <v>760</v>
      </c>
      <c r="AD1038" t="str">
        <f t="shared" si="32"/>
        <v>MX</v>
      </c>
      <c r="AE1038" t="str">
        <f>_xlfn.XLOOKUP(D1038,Mapping!A:A,Mapping!D:D,0,0)</f>
        <v>Remarketing</v>
      </c>
      <c r="AF1038" t="str">
        <f t="shared" si="33"/>
        <v>TJ</v>
      </c>
    </row>
    <row r="1039" spans="1:32" x14ac:dyDescent="0.2">
      <c r="A1039" t="s">
        <v>1118</v>
      </c>
      <c r="B1039" t="s">
        <v>29</v>
      </c>
      <c r="C1039">
        <v>1013054471</v>
      </c>
      <c r="D1039" t="s">
        <v>1053</v>
      </c>
      <c r="E1039" t="s">
        <v>31</v>
      </c>
      <c r="F1039" t="s">
        <v>246</v>
      </c>
      <c r="G1039" t="s">
        <v>247</v>
      </c>
      <c r="H1039" t="s">
        <v>33</v>
      </c>
      <c r="I1039" t="s">
        <v>34</v>
      </c>
      <c r="J1039" t="s">
        <v>1031</v>
      </c>
      <c r="K1039">
        <v>42</v>
      </c>
      <c r="L1039">
        <v>0</v>
      </c>
      <c r="M1039" t="s">
        <v>36</v>
      </c>
      <c r="N1039" t="s">
        <v>37</v>
      </c>
      <c r="O1039">
        <v>430</v>
      </c>
      <c r="P1039">
        <v>1</v>
      </c>
      <c r="Q1039">
        <v>0.23255999999999999</v>
      </c>
      <c r="R1039">
        <v>0</v>
      </c>
      <c r="S1039">
        <v>0.03</v>
      </c>
      <c r="T1039">
        <v>6.6000000000000003E-2</v>
      </c>
      <c r="U1039">
        <v>2.8000000000000001E-2</v>
      </c>
      <c r="V1039">
        <v>0</v>
      </c>
      <c r="W1039">
        <v>2</v>
      </c>
      <c r="X1039">
        <v>0</v>
      </c>
      <c r="Y1039" t="s">
        <v>63</v>
      </c>
      <c r="Z1039">
        <v>0</v>
      </c>
      <c r="AA1039">
        <v>0</v>
      </c>
      <c r="AB1039">
        <v>0</v>
      </c>
      <c r="AC1039" t="s">
        <v>760</v>
      </c>
      <c r="AD1039" t="str">
        <f t="shared" si="32"/>
        <v>NZ</v>
      </c>
      <c r="AE1039" t="str">
        <f>_xlfn.XLOOKUP(D1039,Mapping!A:A,Mapping!D:D,0,0)</f>
        <v>Remarketing</v>
      </c>
      <c r="AF1039" t="str">
        <f t="shared" si="33"/>
        <v>TJ</v>
      </c>
    </row>
    <row r="1040" spans="1:32" x14ac:dyDescent="0.2">
      <c r="A1040" t="s">
        <v>1118</v>
      </c>
      <c r="B1040" t="s">
        <v>29</v>
      </c>
      <c r="C1040">
        <v>1013054541</v>
      </c>
      <c r="D1040" t="s">
        <v>1054</v>
      </c>
      <c r="E1040" t="s">
        <v>31</v>
      </c>
      <c r="F1040" s="1">
        <v>0.67291666666666672</v>
      </c>
      <c r="G1040" t="s">
        <v>32</v>
      </c>
      <c r="H1040" t="s">
        <v>33</v>
      </c>
      <c r="I1040" t="s">
        <v>737</v>
      </c>
      <c r="J1040" t="s">
        <v>84</v>
      </c>
      <c r="K1040">
        <v>126</v>
      </c>
      <c r="L1040">
        <v>0</v>
      </c>
      <c r="M1040" t="s">
        <v>36</v>
      </c>
      <c r="N1040" t="s">
        <v>37</v>
      </c>
      <c r="O1040">
        <v>4070</v>
      </c>
      <c r="P1040">
        <v>314</v>
      </c>
      <c r="Q1040">
        <v>7.7149900000000002</v>
      </c>
      <c r="R1040">
        <v>0</v>
      </c>
      <c r="S1040">
        <v>9.17</v>
      </c>
      <c r="T1040">
        <v>2.254</v>
      </c>
      <c r="U1040">
        <v>2.9000000000000001E-2</v>
      </c>
      <c r="V1040">
        <v>0</v>
      </c>
      <c r="W1040">
        <v>2</v>
      </c>
      <c r="X1040">
        <v>0</v>
      </c>
      <c r="Y1040" t="s">
        <v>63</v>
      </c>
      <c r="Z1040">
        <v>4070</v>
      </c>
      <c r="AA1040">
        <v>3617</v>
      </c>
      <c r="AB1040">
        <v>263</v>
      </c>
      <c r="AC1040" t="s">
        <v>760</v>
      </c>
      <c r="AD1040" t="str">
        <f t="shared" si="32"/>
        <v>US</v>
      </c>
      <c r="AE1040" t="str">
        <f>_xlfn.XLOOKUP(D1040,Mapping!A:A,Mapping!D:D,0,0)</f>
        <v>Remarketing</v>
      </c>
      <c r="AF1040" t="str">
        <f t="shared" si="33"/>
        <v>TJ</v>
      </c>
    </row>
    <row r="1041" spans="1:32" x14ac:dyDescent="0.2">
      <c r="A1041" t="s">
        <v>1118</v>
      </c>
      <c r="B1041" t="s">
        <v>29</v>
      </c>
      <c r="C1041">
        <v>1013054571</v>
      </c>
      <c r="D1041" t="s">
        <v>1055</v>
      </c>
      <c r="E1041" t="s">
        <v>31</v>
      </c>
      <c r="F1041" t="s">
        <v>246</v>
      </c>
      <c r="G1041" t="s">
        <v>247</v>
      </c>
      <c r="H1041" t="s">
        <v>33</v>
      </c>
      <c r="I1041" t="s">
        <v>41</v>
      </c>
      <c r="J1041" t="s">
        <v>58</v>
      </c>
      <c r="K1041">
        <v>23</v>
      </c>
      <c r="L1041">
        <v>0</v>
      </c>
      <c r="M1041" t="s">
        <v>36</v>
      </c>
      <c r="N1041" t="s">
        <v>37</v>
      </c>
      <c r="O1041">
        <v>2732</v>
      </c>
      <c r="P1041">
        <v>43</v>
      </c>
      <c r="Q1041">
        <v>1.5739399999999999</v>
      </c>
      <c r="R1041">
        <v>0</v>
      </c>
      <c r="S1041">
        <v>0.87</v>
      </c>
      <c r="T1041">
        <v>0.318</v>
      </c>
      <c r="U1041">
        <v>0.02</v>
      </c>
      <c r="V1041">
        <v>0</v>
      </c>
      <c r="W1041">
        <v>1</v>
      </c>
      <c r="X1041">
        <v>0</v>
      </c>
      <c r="Y1041" t="s">
        <v>36</v>
      </c>
      <c r="Z1041">
        <v>0</v>
      </c>
      <c r="AA1041">
        <v>0</v>
      </c>
      <c r="AB1041">
        <v>0</v>
      </c>
      <c r="AC1041" t="s">
        <v>760</v>
      </c>
      <c r="AD1041" t="str">
        <f t="shared" si="32"/>
        <v>US</v>
      </c>
      <c r="AE1041" t="str">
        <f>_xlfn.XLOOKUP(D1041,Mapping!A:A,Mapping!D:D,0,0)</f>
        <v>Remarketing</v>
      </c>
      <c r="AF1041" t="str">
        <f t="shared" si="33"/>
        <v>TJ</v>
      </c>
    </row>
    <row r="1042" spans="1:32" x14ac:dyDescent="0.2">
      <c r="A1042" t="s">
        <v>1118</v>
      </c>
      <c r="B1042" t="s">
        <v>39</v>
      </c>
      <c r="C1042">
        <v>1013059081</v>
      </c>
      <c r="D1042" t="s">
        <v>1056</v>
      </c>
      <c r="E1042" t="s">
        <v>31</v>
      </c>
      <c r="F1042" t="s">
        <v>671</v>
      </c>
      <c r="G1042" t="s">
        <v>247</v>
      </c>
      <c r="H1042" t="s">
        <v>33</v>
      </c>
      <c r="I1042" t="s">
        <v>34</v>
      </c>
      <c r="J1042" t="s">
        <v>942</v>
      </c>
      <c r="K1042">
        <v>30</v>
      </c>
      <c r="L1042">
        <v>0</v>
      </c>
      <c r="M1042" t="s">
        <v>36</v>
      </c>
      <c r="N1042" t="s">
        <v>37</v>
      </c>
      <c r="O1042">
        <v>0</v>
      </c>
      <c r="P1042">
        <v>0</v>
      </c>
      <c r="Q1042">
        <v>0</v>
      </c>
      <c r="S1042">
        <v>0</v>
      </c>
      <c r="T1042">
        <v>0</v>
      </c>
      <c r="U1042">
        <v>0</v>
      </c>
      <c r="V1042">
        <v>0</v>
      </c>
      <c r="W1042">
        <v>2</v>
      </c>
      <c r="X1042">
        <v>0</v>
      </c>
      <c r="Y1042" t="s">
        <v>63</v>
      </c>
      <c r="AC1042" t="s">
        <v>687</v>
      </c>
      <c r="AD1042" t="str">
        <f t="shared" si="32"/>
        <v>US</v>
      </c>
      <c r="AE1042" t="str">
        <f>_xlfn.XLOOKUP(D1042,Mapping!A:A,Mapping!D:D,0,0)</f>
        <v>General</v>
      </c>
      <c r="AF1042" t="str">
        <f t="shared" si="33"/>
        <v>TJ</v>
      </c>
    </row>
    <row r="1043" spans="1:32" x14ac:dyDescent="0.2">
      <c r="A1043" t="s">
        <v>1118</v>
      </c>
      <c r="B1043" t="s">
        <v>39</v>
      </c>
      <c r="C1043">
        <v>1013059101</v>
      </c>
      <c r="D1043" t="s">
        <v>1057</v>
      </c>
      <c r="E1043" t="s">
        <v>31</v>
      </c>
      <c r="F1043" t="s">
        <v>671</v>
      </c>
      <c r="G1043" t="s">
        <v>247</v>
      </c>
      <c r="H1043" t="s">
        <v>33</v>
      </c>
      <c r="I1043" t="s">
        <v>41</v>
      </c>
      <c r="J1043" t="s">
        <v>942</v>
      </c>
      <c r="K1043">
        <v>6</v>
      </c>
      <c r="L1043">
        <v>0</v>
      </c>
      <c r="M1043" t="s">
        <v>36</v>
      </c>
      <c r="N1043" t="s">
        <v>37</v>
      </c>
      <c r="O1043">
        <v>0</v>
      </c>
      <c r="P1043">
        <v>0</v>
      </c>
      <c r="Q1043">
        <v>0</v>
      </c>
      <c r="S1043">
        <v>0</v>
      </c>
      <c r="T1043">
        <v>0</v>
      </c>
      <c r="U1043">
        <v>0</v>
      </c>
      <c r="V1043">
        <v>0</v>
      </c>
      <c r="W1043">
        <v>2</v>
      </c>
      <c r="X1043">
        <v>0</v>
      </c>
      <c r="Y1043" t="s">
        <v>63</v>
      </c>
      <c r="AC1043" t="s">
        <v>687</v>
      </c>
      <c r="AD1043" t="str">
        <f t="shared" si="32"/>
        <v>MX</v>
      </c>
      <c r="AE1043" t="str">
        <f>_xlfn.XLOOKUP(D1043,Mapping!A:A,Mapping!D:D,0,0)</f>
        <v>General</v>
      </c>
      <c r="AF1043" t="str">
        <f t="shared" si="33"/>
        <v>TJ</v>
      </c>
    </row>
    <row r="1044" spans="1:32" x14ac:dyDescent="0.2">
      <c r="A1044" t="s">
        <v>1118</v>
      </c>
      <c r="B1044" t="s">
        <v>39</v>
      </c>
      <c r="C1044">
        <v>1013059151</v>
      </c>
      <c r="D1044" t="s">
        <v>1058</v>
      </c>
      <c r="E1044" t="s">
        <v>31</v>
      </c>
      <c r="F1044" t="s">
        <v>671</v>
      </c>
      <c r="G1044" t="s">
        <v>247</v>
      </c>
      <c r="H1044" t="s">
        <v>33</v>
      </c>
      <c r="I1044" t="s">
        <v>41</v>
      </c>
      <c r="J1044" t="s">
        <v>942</v>
      </c>
      <c r="K1044">
        <v>6</v>
      </c>
      <c r="L1044">
        <v>0</v>
      </c>
      <c r="M1044" t="s">
        <v>36</v>
      </c>
      <c r="N1044" t="s">
        <v>37</v>
      </c>
      <c r="O1044">
        <v>0</v>
      </c>
      <c r="P1044">
        <v>0</v>
      </c>
      <c r="Q1044">
        <v>0</v>
      </c>
      <c r="S1044">
        <v>0</v>
      </c>
      <c r="T1044">
        <v>0</v>
      </c>
      <c r="U1044">
        <v>0</v>
      </c>
      <c r="V1044">
        <v>0</v>
      </c>
      <c r="W1044">
        <v>2</v>
      </c>
      <c r="X1044">
        <v>0</v>
      </c>
      <c r="Y1044" t="s">
        <v>63</v>
      </c>
      <c r="AC1044" t="s">
        <v>687</v>
      </c>
      <c r="AD1044" t="str">
        <f t="shared" si="32"/>
        <v>BR</v>
      </c>
      <c r="AE1044" t="str">
        <f>_xlfn.XLOOKUP(D1044,Mapping!A:A,Mapping!D:D,0,0)</f>
        <v>General</v>
      </c>
      <c r="AF1044" t="str">
        <f t="shared" si="33"/>
        <v>TJ</v>
      </c>
    </row>
    <row r="1045" spans="1:32" x14ac:dyDescent="0.2">
      <c r="A1045" t="s">
        <v>1119</v>
      </c>
      <c r="B1045" t="s">
        <v>29</v>
      </c>
      <c r="C1045">
        <v>1011737002</v>
      </c>
      <c r="D1045" t="s">
        <v>30</v>
      </c>
      <c r="E1045" t="s">
        <v>31</v>
      </c>
      <c r="F1045" s="1">
        <v>0.67291666666666672</v>
      </c>
      <c r="G1045" t="s">
        <v>32</v>
      </c>
      <c r="H1045" t="s">
        <v>33</v>
      </c>
      <c r="I1045" t="s">
        <v>34</v>
      </c>
      <c r="J1045" t="s">
        <v>35</v>
      </c>
      <c r="K1045">
        <v>230</v>
      </c>
      <c r="L1045">
        <v>0</v>
      </c>
      <c r="M1045" t="s">
        <v>36</v>
      </c>
      <c r="N1045" t="s">
        <v>37</v>
      </c>
      <c r="O1045">
        <v>4161</v>
      </c>
      <c r="P1045">
        <v>228</v>
      </c>
      <c r="Q1045">
        <v>5.4794499999999999</v>
      </c>
      <c r="R1045">
        <v>0</v>
      </c>
      <c r="S1045">
        <v>17.95</v>
      </c>
      <c r="T1045">
        <v>4.3129999999999997</v>
      </c>
      <c r="U1045">
        <v>7.9000000000000001E-2</v>
      </c>
      <c r="V1045">
        <v>0</v>
      </c>
      <c r="W1045">
        <v>1</v>
      </c>
      <c r="X1045">
        <v>0</v>
      </c>
      <c r="Y1045" t="s">
        <v>36</v>
      </c>
      <c r="Z1045">
        <v>4161</v>
      </c>
      <c r="AA1045">
        <v>3276</v>
      </c>
      <c r="AB1045">
        <v>483</v>
      </c>
      <c r="AC1045" t="s">
        <v>687</v>
      </c>
      <c r="AD1045" t="str">
        <f t="shared" ref="AD1045:AD1108" si="34">LEFT(D1045,2)</f>
        <v>CP</v>
      </c>
      <c r="AE1045" t="str">
        <f>_xlfn.XLOOKUP(D1045,Mapping!A:A,Mapping!D:D,0,0)</f>
        <v>AI</v>
      </c>
      <c r="AF1045" t="str">
        <f t="shared" ref="AF1045:AF1108" si="35">IFERROR(IF(SEARCH("_TJ",D1045)&gt;0,"TJ",NA()),IFERROR(IF(SEARCH("_JB",D1045)&gt;0,"JB",NA()),"OLD"))</f>
        <v>OLD</v>
      </c>
    </row>
    <row r="1046" spans="1:32" x14ac:dyDescent="0.2">
      <c r="A1046" t="s">
        <v>1119</v>
      </c>
      <c r="B1046" t="s">
        <v>39</v>
      </c>
      <c r="C1046">
        <v>1011737052</v>
      </c>
      <c r="D1046" t="s">
        <v>40</v>
      </c>
      <c r="E1046" t="s">
        <v>31</v>
      </c>
      <c r="F1046" s="1">
        <v>0.67291666666666672</v>
      </c>
      <c r="G1046" t="s">
        <v>32</v>
      </c>
      <c r="H1046" t="s">
        <v>33</v>
      </c>
      <c r="I1046" t="s">
        <v>41</v>
      </c>
      <c r="J1046" t="s">
        <v>42</v>
      </c>
      <c r="K1046">
        <v>308</v>
      </c>
      <c r="L1046">
        <v>0</v>
      </c>
      <c r="M1046" t="s">
        <v>36</v>
      </c>
      <c r="N1046" t="s">
        <v>37</v>
      </c>
      <c r="O1046">
        <v>0</v>
      </c>
      <c r="P1046">
        <v>0</v>
      </c>
      <c r="Q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 t="s">
        <v>36</v>
      </c>
      <c r="AC1046" t="s">
        <v>687</v>
      </c>
      <c r="AD1046" t="str">
        <f t="shared" si="34"/>
        <v>CP</v>
      </c>
      <c r="AE1046" t="str">
        <f>_xlfn.XLOOKUP(D1046,Mapping!A:A,Mapping!D:D,0,0)</f>
        <v>Bin</v>
      </c>
      <c r="AF1046" t="str">
        <f t="shared" si="35"/>
        <v>OLD</v>
      </c>
    </row>
    <row r="1047" spans="1:32" x14ac:dyDescent="0.2">
      <c r="A1047" t="s">
        <v>1119</v>
      </c>
      <c r="B1047" t="s">
        <v>39</v>
      </c>
      <c r="C1047">
        <v>1011737062</v>
      </c>
      <c r="D1047" t="s">
        <v>44</v>
      </c>
      <c r="E1047" t="s">
        <v>31</v>
      </c>
      <c r="F1047" s="1">
        <v>0.67291666666666672</v>
      </c>
      <c r="G1047" t="s">
        <v>32</v>
      </c>
      <c r="H1047" t="s">
        <v>33</v>
      </c>
      <c r="I1047" t="s">
        <v>41</v>
      </c>
      <c r="J1047" t="s">
        <v>42</v>
      </c>
      <c r="K1047">
        <v>308</v>
      </c>
      <c r="L1047">
        <v>0</v>
      </c>
      <c r="M1047" t="s">
        <v>36</v>
      </c>
      <c r="N1047" t="s">
        <v>37</v>
      </c>
      <c r="O1047">
        <v>0</v>
      </c>
      <c r="P1047">
        <v>0</v>
      </c>
      <c r="Q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 t="s">
        <v>36</v>
      </c>
      <c r="AC1047" t="s">
        <v>687</v>
      </c>
      <c r="AD1047" t="str">
        <f t="shared" si="34"/>
        <v>CP</v>
      </c>
      <c r="AE1047" t="str">
        <f>_xlfn.XLOOKUP(D1047,Mapping!A:A,Mapping!D:D,0,0)</f>
        <v>Bin</v>
      </c>
      <c r="AF1047" t="str">
        <f t="shared" si="35"/>
        <v>OLD</v>
      </c>
    </row>
    <row r="1048" spans="1:32" x14ac:dyDescent="0.2">
      <c r="A1048" t="s">
        <v>1119</v>
      </c>
      <c r="B1048" t="s">
        <v>29</v>
      </c>
      <c r="C1048">
        <v>1011737262</v>
      </c>
      <c r="D1048" t="s">
        <v>45</v>
      </c>
      <c r="E1048" t="s">
        <v>31</v>
      </c>
      <c r="F1048" s="1">
        <v>0.67291666666666672</v>
      </c>
      <c r="G1048" t="s">
        <v>32</v>
      </c>
      <c r="H1048" t="s">
        <v>33</v>
      </c>
      <c r="I1048" t="s">
        <v>34</v>
      </c>
      <c r="J1048" t="s">
        <v>35</v>
      </c>
      <c r="K1048">
        <v>215</v>
      </c>
      <c r="L1048">
        <v>0</v>
      </c>
      <c r="M1048" t="s">
        <v>36</v>
      </c>
      <c r="N1048" t="s">
        <v>37</v>
      </c>
      <c r="O1048">
        <v>456</v>
      </c>
      <c r="P1048">
        <v>20</v>
      </c>
      <c r="Q1048">
        <v>4.3859599999999999</v>
      </c>
      <c r="R1048">
        <v>0</v>
      </c>
      <c r="S1048">
        <v>1.25</v>
      </c>
      <c r="T1048">
        <v>2.7320000000000002</v>
      </c>
      <c r="U1048">
        <v>6.2E-2</v>
      </c>
      <c r="V1048">
        <v>0</v>
      </c>
      <c r="W1048">
        <v>1</v>
      </c>
      <c r="X1048">
        <v>0</v>
      </c>
      <c r="Y1048" t="s">
        <v>36</v>
      </c>
      <c r="Z1048">
        <v>456</v>
      </c>
      <c r="AA1048">
        <v>343</v>
      </c>
      <c r="AB1048">
        <v>64</v>
      </c>
      <c r="AC1048" t="s">
        <v>687</v>
      </c>
      <c r="AD1048" t="str">
        <f t="shared" si="34"/>
        <v>CP</v>
      </c>
      <c r="AE1048" t="str">
        <f>_xlfn.XLOOKUP(D1048,Mapping!A:A,Mapping!D:D,0,0)</f>
        <v>AI</v>
      </c>
      <c r="AF1048" t="str">
        <f t="shared" si="35"/>
        <v>OLD</v>
      </c>
    </row>
    <row r="1049" spans="1:32" x14ac:dyDescent="0.2">
      <c r="A1049" t="s">
        <v>1119</v>
      </c>
      <c r="B1049" t="s">
        <v>29</v>
      </c>
      <c r="C1049">
        <v>1011737272</v>
      </c>
      <c r="D1049" t="s">
        <v>46</v>
      </c>
      <c r="E1049" t="s">
        <v>31</v>
      </c>
      <c r="F1049" s="1">
        <v>0.67291666666666672</v>
      </c>
      <c r="G1049" t="s">
        <v>32</v>
      </c>
      <c r="H1049" t="s">
        <v>33</v>
      </c>
      <c r="I1049" t="s">
        <v>41</v>
      </c>
      <c r="J1049" t="s">
        <v>42</v>
      </c>
      <c r="K1049">
        <v>638</v>
      </c>
      <c r="L1049">
        <v>0</v>
      </c>
      <c r="M1049" t="s">
        <v>36</v>
      </c>
      <c r="N1049" t="s">
        <v>37</v>
      </c>
      <c r="O1049">
        <v>835</v>
      </c>
      <c r="P1049">
        <v>36</v>
      </c>
      <c r="Q1049">
        <v>4.3113799999999998</v>
      </c>
      <c r="R1049">
        <v>0</v>
      </c>
      <c r="S1049">
        <v>2.91</v>
      </c>
      <c r="T1049">
        <v>3.48</v>
      </c>
      <c r="U1049">
        <v>8.1000000000000003E-2</v>
      </c>
      <c r="V1049">
        <v>0</v>
      </c>
      <c r="W1049">
        <v>1</v>
      </c>
      <c r="X1049">
        <v>0</v>
      </c>
      <c r="Y1049" t="s">
        <v>36</v>
      </c>
      <c r="Z1049">
        <v>835</v>
      </c>
      <c r="AA1049">
        <v>721</v>
      </c>
      <c r="AB1049">
        <v>92</v>
      </c>
      <c r="AC1049" t="s">
        <v>687</v>
      </c>
      <c r="AD1049" t="str">
        <f t="shared" si="34"/>
        <v>CP</v>
      </c>
      <c r="AE1049" t="str">
        <f>_xlfn.XLOOKUP(D1049,Mapping!A:A,Mapping!D:D,0,0)</f>
        <v>AI</v>
      </c>
      <c r="AF1049" t="str">
        <f t="shared" si="35"/>
        <v>OLD</v>
      </c>
    </row>
    <row r="1050" spans="1:32" x14ac:dyDescent="0.2">
      <c r="A1050" t="s">
        <v>1119</v>
      </c>
      <c r="B1050" t="s">
        <v>29</v>
      </c>
      <c r="C1050">
        <v>1011737322</v>
      </c>
      <c r="D1050" t="s">
        <v>47</v>
      </c>
      <c r="E1050" t="s">
        <v>31</v>
      </c>
      <c r="F1050" s="1">
        <v>0.67291666666666672</v>
      </c>
      <c r="G1050" t="s">
        <v>32</v>
      </c>
      <c r="H1050" t="s">
        <v>33</v>
      </c>
      <c r="I1050" t="s">
        <v>41</v>
      </c>
      <c r="J1050" t="s">
        <v>42</v>
      </c>
      <c r="K1050">
        <v>638</v>
      </c>
      <c r="L1050">
        <v>0</v>
      </c>
      <c r="M1050" t="s">
        <v>36</v>
      </c>
      <c r="N1050" t="s">
        <v>37</v>
      </c>
      <c r="O1050">
        <v>834</v>
      </c>
      <c r="P1050">
        <v>39</v>
      </c>
      <c r="Q1050">
        <v>4.6762600000000001</v>
      </c>
      <c r="R1050">
        <v>0</v>
      </c>
      <c r="S1050">
        <v>3.33</v>
      </c>
      <c r="T1050">
        <v>3.988</v>
      </c>
      <c r="U1050">
        <v>8.5000000000000006E-2</v>
      </c>
      <c r="V1050">
        <v>0</v>
      </c>
      <c r="W1050">
        <v>1</v>
      </c>
      <c r="X1050">
        <v>0</v>
      </c>
      <c r="Y1050" t="s">
        <v>36</v>
      </c>
      <c r="Z1050">
        <v>834</v>
      </c>
      <c r="AA1050">
        <v>731</v>
      </c>
      <c r="AB1050">
        <v>79</v>
      </c>
      <c r="AC1050" t="s">
        <v>687</v>
      </c>
      <c r="AD1050" t="str">
        <f t="shared" si="34"/>
        <v>CP</v>
      </c>
      <c r="AE1050" t="str">
        <f>_xlfn.XLOOKUP(D1050,Mapping!A:A,Mapping!D:D,0,0)</f>
        <v>AI</v>
      </c>
      <c r="AF1050" t="str">
        <f t="shared" si="35"/>
        <v>OLD</v>
      </c>
    </row>
    <row r="1051" spans="1:32" x14ac:dyDescent="0.2">
      <c r="A1051" t="s">
        <v>1119</v>
      </c>
      <c r="B1051" t="s">
        <v>29</v>
      </c>
      <c r="C1051">
        <v>1011744802</v>
      </c>
      <c r="D1051" t="s">
        <v>48</v>
      </c>
      <c r="E1051" t="s">
        <v>31</v>
      </c>
      <c r="F1051" s="1">
        <v>0.67291666666666672</v>
      </c>
      <c r="G1051" t="s">
        <v>32</v>
      </c>
      <c r="H1051" t="s">
        <v>33</v>
      </c>
      <c r="I1051" t="s">
        <v>34</v>
      </c>
      <c r="J1051" t="s">
        <v>35</v>
      </c>
      <c r="K1051">
        <v>285</v>
      </c>
      <c r="L1051">
        <v>0</v>
      </c>
      <c r="M1051" t="s">
        <v>36</v>
      </c>
      <c r="N1051" t="s">
        <v>37</v>
      </c>
      <c r="O1051">
        <v>1560</v>
      </c>
      <c r="P1051">
        <v>67</v>
      </c>
      <c r="Q1051">
        <v>4.2948700000000004</v>
      </c>
      <c r="R1051">
        <v>1</v>
      </c>
      <c r="S1051">
        <v>7.04</v>
      </c>
      <c r="T1051">
        <v>4.5119999999999996</v>
      </c>
      <c r="U1051">
        <v>0.105</v>
      </c>
      <c r="V1051">
        <v>7.0389999999999997</v>
      </c>
      <c r="W1051">
        <v>1</v>
      </c>
      <c r="X1051">
        <v>0</v>
      </c>
      <c r="Y1051" t="s">
        <v>36</v>
      </c>
      <c r="Z1051">
        <v>1560</v>
      </c>
      <c r="AA1051">
        <v>1232</v>
      </c>
      <c r="AB1051">
        <v>191</v>
      </c>
      <c r="AC1051" t="s">
        <v>687</v>
      </c>
      <c r="AD1051" t="str">
        <f t="shared" si="34"/>
        <v>CP</v>
      </c>
      <c r="AE1051" t="str">
        <f>_xlfn.XLOOKUP(D1051,Mapping!A:A,Mapping!D:D,0,0)</f>
        <v>AI</v>
      </c>
      <c r="AF1051" t="str">
        <f t="shared" si="35"/>
        <v>OLD</v>
      </c>
    </row>
    <row r="1052" spans="1:32" x14ac:dyDescent="0.2">
      <c r="A1052" t="s">
        <v>1119</v>
      </c>
      <c r="B1052" t="s">
        <v>39</v>
      </c>
      <c r="C1052">
        <v>1011744812</v>
      </c>
      <c r="D1052" t="s">
        <v>49</v>
      </c>
      <c r="E1052" t="s">
        <v>31</v>
      </c>
      <c r="F1052" s="1">
        <v>0.67291666666666672</v>
      </c>
      <c r="G1052" t="s">
        <v>32</v>
      </c>
      <c r="H1052" t="s">
        <v>33</v>
      </c>
      <c r="I1052" t="s">
        <v>41</v>
      </c>
      <c r="J1052" t="s">
        <v>42</v>
      </c>
      <c r="K1052">
        <v>539</v>
      </c>
      <c r="L1052">
        <v>0</v>
      </c>
      <c r="M1052" t="s">
        <v>36</v>
      </c>
      <c r="N1052" t="s">
        <v>37</v>
      </c>
      <c r="O1052">
        <v>0</v>
      </c>
      <c r="P1052">
        <v>0</v>
      </c>
      <c r="Q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 t="s">
        <v>36</v>
      </c>
      <c r="AC1052" t="s">
        <v>687</v>
      </c>
      <c r="AD1052" t="str">
        <f t="shared" si="34"/>
        <v>CP</v>
      </c>
      <c r="AE1052" t="str">
        <f>_xlfn.XLOOKUP(D1052,Mapping!A:A,Mapping!D:D,0,0)</f>
        <v>Bin</v>
      </c>
      <c r="AF1052" t="str">
        <f t="shared" si="35"/>
        <v>OLD</v>
      </c>
    </row>
    <row r="1053" spans="1:32" x14ac:dyDescent="0.2">
      <c r="A1053" t="s">
        <v>1119</v>
      </c>
      <c r="B1053" t="s">
        <v>39</v>
      </c>
      <c r="C1053">
        <v>1011744822</v>
      </c>
      <c r="D1053" t="s">
        <v>50</v>
      </c>
      <c r="E1053" t="s">
        <v>31</v>
      </c>
      <c r="F1053" s="1">
        <v>0.67291666666666672</v>
      </c>
      <c r="G1053" t="s">
        <v>32</v>
      </c>
      <c r="H1053" t="s">
        <v>33</v>
      </c>
      <c r="I1053" t="s">
        <v>41</v>
      </c>
      <c r="J1053" t="s">
        <v>42</v>
      </c>
      <c r="K1053">
        <v>638</v>
      </c>
      <c r="L1053">
        <v>0</v>
      </c>
      <c r="M1053" t="s">
        <v>36</v>
      </c>
      <c r="N1053" t="s">
        <v>37</v>
      </c>
      <c r="O1053">
        <v>0</v>
      </c>
      <c r="P1053">
        <v>0</v>
      </c>
      <c r="Q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 t="s">
        <v>36</v>
      </c>
      <c r="AC1053" t="s">
        <v>687</v>
      </c>
      <c r="AD1053" t="str">
        <f t="shared" si="34"/>
        <v>CP</v>
      </c>
      <c r="AE1053" t="str">
        <f>_xlfn.XLOOKUP(D1053,Mapping!A:A,Mapping!D:D,0,0)</f>
        <v>AI</v>
      </c>
      <c r="AF1053" t="str">
        <f t="shared" si="35"/>
        <v>OLD</v>
      </c>
    </row>
    <row r="1054" spans="1:32" x14ac:dyDescent="0.2">
      <c r="A1054" t="s">
        <v>1119</v>
      </c>
      <c r="B1054" t="s">
        <v>29</v>
      </c>
      <c r="C1054">
        <v>1011744832</v>
      </c>
      <c r="D1054" t="s">
        <v>51</v>
      </c>
      <c r="E1054" t="s">
        <v>31</v>
      </c>
      <c r="F1054" s="1">
        <v>0.67291666666666672</v>
      </c>
      <c r="G1054" t="s">
        <v>32</v>
      </c>
      <c r="H1054" t="s">
        <v>33</v>
      </c>
      <c r="I1054" t="s">
        <v>34</v>
      </c>
      <c r="J1054" t="s">
        <v>35</v>
      </c>
      <c r="K1054">
        <v>215</v>
      </c>
      <c r="L1054">
        <v>0</v>
      </c>
      <c r="M1054" t="s">
        <v>36</v>
      </c>
      <c r="N1054" t="s">
        <v>37</v>
      </c>
      <c r="O1054">
        <v>196</v>
      </c>
      <c r="P1054">
        <v>8</v>
      </c>
      <c r="Q1054">
        <v>4.08162</v>
      </c>
      <c r="R1054">
        <v>0</v>
      </c>
      <c r="S1054">
        <v>0.89</v>
      </c>
      <c r="T1054">
        <v>4.556</v>
      </c>
      <c r="U1054">
        <v>0.112</v>
      </c>
      <c r="V1054">
        <v>0</v>
      </c>
      <c r="W1054">
        <v>1</v>
      </c>
      <c r="X1054">
        <v>0</v>
      </c>
      <c r="Y1054" t="s">
        <v>36</v>
      </c>
      <c r="Z1054">
        <v>196</v>
      </c>
      <c r="AA1054">
        <v>155</v>
      </c>
      <c r="AB1054">
        <v>28</v>
      </c>
      <c r="AC1054" t="s">
        <v>687</v>
      </c>
      <c r="AD1054" t="str">
        <f t="shared" si="34"/>
        <v>CP</v>
      </c>
      <c r="AE1054" t="str">
        <f>_xlfn.XLOOKUP(D1054,Mapping!A:A,Mapping!D:D,0,0)</f>
        <v>AI</v>
      </c>
      <c r="AF1054" t="str">
        <f t="shared" si="35"/>
        <v>OLD</v>
      </c>
    </row>
    <row r="1055" spans="1:32" x14ac:dyDescent="0.2">
      <c r="A1055" t="s">
        <v>1119</v>
      </c>
      <c r="B1055" t="s">
        <v>39</v>
      </c>
      <c r="C1055">
        <v>1011744842</v>
      </c>
      <c r="D1055" t="s">
        <v>52</v>
      </c>
      <c r="E1055" t="s">
        <v>31</v>
      </c>
      <c r="F1055" s="1">
        <v>0.67291666666666672</v>
      </c>
      <c r="G1055" t="s">
        <v>32</v>
      </c>
      <c r="H1055" t="s">
        <v>33</v>
      </c>
      <c r="I1055" t="s">
        <v>41</v>
      </c>
      <c r="J1055" t="s">
        <v>42</v>
      </c>
      <c r="K1055">
        <v>539</v>
      </c>
      <c r="L1055">
        <v>0</v>
      </c>
      <c r="M1055" t="s">
        <v>36</v>
      </c>
      <c r="N1055" t="s">
        <v>37</v>
      </c>
      <c r="O1055">
        <v>0</v>
      </c>
      <c r="P1055">
        <v>0</v>
      </c>
      <c r="Q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 t="s">
        <v>36</v>
      </c>
      <c r="AC1055" t="s">
        <v>687</v>
      </c>
      <c r="AD1055" t="str">
        <f t="shared" si="34"/>
        <v>CP</v>
      </c>
      <c r="AE1055" t="str">
        <f>_xlfn.XLOOKUP(D1055,Mapping!A:A,Mapping!D:D,0,0)</f>
        <v>Bin</v>
      </c>
      <c r="AF1055" t="str">
        <f t="shared" si="35"/>
        <v>OLD</v>
      </c>
    </row>
    <row r="1056" spans="1:32" x14ac:dyDescent="0.2">
      <c r="A1056" t="s">
        <v>1119</v>
      </c>
      <c r="B1056" t="s">
        <v>29</v>
      </c>
      <c r="C1056">
        <v>1011744852</v>
      </c>
      <c r="D1056" t="s">
        <v>53</v>
      </c>
      <c r="E1056" t="s">
        <v>31</v>
      </c>
      <c r="F1056" s="1">
        <v>0.67291666666666672</v>
      </c>
      <c r="G1056" t="s">
        <v>32</v>
      </c>
      <c r="H1056" t="s">
        <v>33</v>
      </c>
      <c r="I1056" t="s">
        <v>41</v>
      </c>
      <c r="J1056" t="s">
        <v>42</v>
      </c>
      <c r="K1056">
        <v>638</v>
      </c>
      <c r="L1056">
        <v>0</v>
      </c>
      <c r="M1056" t="s">
        <v>36</v>
      </c>
      <c r="N1056" t="s">
        <v>37</v>
      </c>
      <c r="O1056">
        <v>569</v>
      </c>
      <c r="P1056">
        <v>39</v>
      </c>
      <c r="Q1056">
        <v>6.8541299999999996</v>
      </c>
      <c r="R1056">
        <v>0</v>
      </c>
      <c r="S1056">
        <v>2.33</v>
      </c>
      <c r="T1056">
        <v>4.101</v>
      </c>
      <c r="U1056">
        <v>0.06</v>
      </c>
      <c r="V1056">
        <v>0</v>
      </c>
      <c r="W1056">
        <v>1</v>
      </c>
      <c r="X1056">
        <v>0</v>
      </c>
      <c r="Y1056" t="s">
        <v>36</v>
      </c>
      <c r="Z1056">
        <v>569</v>
      </c>
      <c r="AA1056">
        <v>516</v>
      </c>
      <c r="AB1056">
        <v>37</v>
      </c>
      <c r="AC1056" t="s">
        <v>687</v>
      </c>
      <c r="AD1056" t="str">
        <f t="shared" si="34"/>
        <v>CP</v>
      </c>
      <c r="AE1056" t="str">
        <f>_xlfn.XLOOKUP(D1056,Mapping!A:A,Mapping!D:D,0,0)</f>
        <v>AI</v>
      </c>
      <c r="AF1056" t="str">
        <f t="shared" si="35"/>
        <v>OLD</v>
      </c>
    </row>
    <row r="1057" spans="1:32" x14ac:dyDescent="0.2">
      <c r="A1057" t="s">
        <v>1119</v>
      </c>
      <c r="B1057" t="s">
        <v>39</v>
      </c>
      <c r="C1057">
        <v>1011744862</v>
      </c>
      <c r="D1057" t="s">
        <v>54</v>
      </c>
      <c r="E1057" t="s">
        <v>31</v>
      </c>
      <c r="F1057" s="1">
        <v>0.67291666666666672</v>
      </c>
      <c r="G1057" t="s">
        <v>32</v>
      </c>
      <c r="H1057" t="s">
        <v>33</v>
      </c>
      <c r="I1057" t="s">
        <v>41</v>
      </c>
      <c r="J1057" t="s">
        <v>42</v>
      </c>
      <c r="K1057">
        <v>539</v>
      </c>
      <c r="L1057">
        <v>0</v>
      </c>
      <c r="M1057" t="s">
        <v>36</v>
      </c>
      <c r="N1057" t="s">
        <v>37</v>
      </c>
      <c r="O1057">
        <v>0</v>
      </c>
      <c r="P1057">
        <v>0</v>
      </c>
      <c r="Q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 t="s">
        <v>36</v>
      </c>
      <c r="AC1057" t="s">
        <v>687</v>
      </c>
      <c r="AD1057" t="str">
        <f t="shared" si="34"/>
        <v>CP</v>
      </c>
      <c r="AE1057" t="str">
        <f>_xlfn.XLOOKUP(D1057,Mapping!A:A,Mapping!D:D,0,0)</f>
        <v>Bin</v>
      </c>
      <c r="AF1057" t="str">
        <f t="shared" si="35"/>
        <v>OLD</v>
      </c>
    </row>
    <row r="1058" spans="1:32" x14ac:dyDescent="0.2">
      <c r="A1058" t="s">
        <v>1119</v>
      </c>
      <c r="B1058" t="s">
        <v>39</v>
      </c>
      <c r="C1058">
        <v>1011744872</v>
      </c>
      <c r="D1058" t="s">
        <v>55</v>
      </c>
      <c r="E1058" t="s">
        <v>31</v>
      </c>
      <c r="F1058" s="1">
        <v>0.67291666666666672</v>
      </c>
      <c r="G1058" t="s">
        <v>32</v>
      </c>
      <c r="H1058" t="s">
        <v>33</v>
      </c>
      <c r="I1058" t="s">
        <v>41</v>
      </c>
      <c r="J1058" t="s">
        <v>42</v>
      </c>
      <c r="K1058">
        <v>539</v>
      </c>
      <c r="L1058">
        <v>0</v>
      </c>
      <c r="M1058" t="s">
        <v>36</v>
      </c>
      <c r="N1058" t="s">
        <v>37</v>
      </c>
      <c r="O1058">
        <v>0</v>
      </c>
      <c r="P1058">
        <v>0</v>
      </c>
      <c r="Q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 t="s">
        <v>36</v>
      </c>
      <c r="AC1058" t="s">
        <v>687</v>
      </c>
      <c r="AD1058" t="str">
        <f t="shared" si="34"/>
        <v>CP</v>
      </c>
      <c r="AE1058" t="str">
        <f>_xlfn.XLOOKUP(D1058,Mapping!A:A,Mapping!D:D,0,0)</f>
        <v>Bin</v>
      </c>
      <c r="AF1058" t="str">
        <f t="shared" si="35"/>
        <v>OLD</v>
      </c>
    </row>
    <row r="1059" spans="1:32" x14ac:dyDescent="0.2">
      <c r="A1059" t="s">
        <v>1119</v>
      </c>
      <c r="B1059" t="s">
        <v>39</v>
      </c>
      <c r="C1059">
        <v>1011744882</v>
      </c>
      <c r="D1059" t="s">
        <v>56</v>
      </c>
      <c r="E1059" t="s">
        <v>31</v>
      </c>
      <c r="F1059" s="1">
        <v>0.67291666666666672</v>
      </c>
      <c r="G1059" t="s">
        <v>32</v>
      </c>
      <c r="H1059" t="s">
        <v>33</v>
      </c>
      <c r="I1059" t="s">
        <v>34</v>
      </c>
      <c r="J1059" t="s">
        <v>35</v>
      </c>
      <c r="K1059">
        <v>240</v>
      </c>
      <c r="L1059">
        <v>0</v>
      </c>
      <c r="M1059" t="s">
        <v>36</v>
      </c>
      <c r="N1059" t="s">
        <v>37</v>
      </c>
      <c r="O1059">
        <v>0</v>
      </c>
      <c r="P1059">
        <v>0</v>
      </c>
      <c r="Q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 t="s">
        <v>36</v>
      </c>
      <c r="AC1059" t="s">
        <v>687</v>
      </c>
      <c r="AD1059" t="str">
        <f t="shared" si="34"/>
        <v>CP</v>
      </c>
      <c r="AE1059" t="str">
        <f>_xlfn.XLOOKUP(D1059,Mapping!A:A,Mapping!D:D,0,0)</f>
        <v>Bin</v>
      </c>
      <c r="AF1059" t="str">
        <f t="shared" si="35"/>
        <v>OLD</v>
      </c>
    </row>
    <row r="1060" spans="1:32" x14ac:dyDescent="0.2">
      <c r="A1060" t="s">
        <v>1119</v>
      </c>
      <c r="B1060" t="s">
        <v>39</v>
      </c>
      <c r="C1060">
        <v>1011813152</v>
      </c>
      <c r="D1060" t="s">
        <v>57</v>
      </c>
      <c r="E1060" t="s">
        <v>31</v>
      </c>
      <c r="F1060" s="1">
        <v>0.67291666666666672</v>
      </c>
      <c r="G1060" t="s">
        <v>32</v>
      </c>
      <c r="H1060" t="s">
        <v>33</v>
      </c>
      <c r="I1060" t="s">
        <v>41</v>
      </c>
      <c r="J1060" t="s">
        <v>58</v>
      </c>
      <c r="K1060">
        <v>352</v>
      </c>
      <c r="L1060">
        <v>0</v>
      </c>
      <c r="M1060" t="s">
        <v>36</v>
      </c>
      <c r="N1060" t="s">
        <v>37</v>
      </c>
      <c r="O1060">
        <v>0</v>
      </c>
      <c r="P1060">
        <v>0</v>
      </c>
      <c r="Q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 t="s">
        <v>36</v>
      </c>
      <c r="AC1060" t="s">
        <v>687</v>
      </c>
      <c r="AD1060" t="str">
        <f t="shared" si="34"/>
        <v>CP</v>
      </c>
      <c r="AE1060" t="str">
        <f>_xlfn.XLOOKUP(D1060,Mapping!A:A,Mapping!D:D,0,0)</f>
        <v>Bin</v>
      </c>
      <c r="AF1060" t="str">
        <f t="shared" si="35"/>
        <v>OLD</v>
      </c>
    </row>
    <row r="1061" spans="1:32" x14ac:dyDescent="0.2">
      <c r="A1061" t="s">
        <v>1119</v>
      </c>
      <c r="B1061" t="s">
        <v>39</v>
      </c>
      <c r="C1061">
        <v>1011813182</v>
      </c>
      <c r="D1061" t="s">
        <v>59</v>
      </c>
      <c r="E1061" t="s">
        <v>31</v>
      </c>
      <c r="F1061" s="1">
        <v>0.38611111111111113</v>
      </c>
      <c r="G1061" t="s">
        <v>32</v>
      </c>
      <c r="H1061" t="s">
        <v>33</v>
      </c>
      <c r="I1061" t="s">
        <v>41</v>
      </c>
      <c r="J1061" t="s">
        <v>58</v>
      </c>
      <c r="K1061">
        <v>11</v>
      </c>
      <c r="L1061">
        <v>0</v>
      </c>
      <c r="M1061" t="s">
        <v>36</v>
      </c>
      <c r="N1061" t="s">
        <v>37</v>
      </c>
      <c r="O1061">
        <v>0</v>
      </c>
      <c r="P1061">
        <v>0</v>
      </c>
      <c r="Q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 t="s">
        <v>36</v>
      </c>
      <c r="AC1061" t="s">
        <v>687</v>
      </c>
      <c r="AD1061" t="str">
        <f t="shared" si="34"/>
        <v>CP</v>
      </c>
      <c r="AE1061" t="str">
        <f>_xlfn.XLOOKUP(D1061,Mapping!A:A,Mapping!D:D,0,0)</f>
        <v>Shorties</v>
      </c>
      <c r="AF1061" t="str">
        <f t="shared" si="35"/>
        <v>OLD</v>
      </c>
    </row>
    <row r="1062" spans="1:32" x14ac:dyDescent="0.2">
      <c r="A1062" t="s">
        <v>1119</v>
      </c>
      <c r="B1062" t="s">
        <v>39</v>
      </c>
      <c r="C1062">
        <v>1011813292</v>
      </c>
      <c r="D1062" t="s">
        <v>61</v>
      </c>
      <c r="E1062" t="s">
        <v>31</v>
      </c>
      <c r="F1062" s="1">
        <v>0.67291666666666672</v>
      </c>
      <c r="G1062" t="s">
        <v>32</v>
      </c>
      <c r="H1062" t="s">
        <v>33</v>
      </c>
      <c r="I1062" t="s">
        <v>41</v>
      </c>
      <c r="J1062" t="s">
        <v>62</v>
      </c>
      <c r="K1062">
        <v>117</v>
      </c>
      <c r="L1062">
        <v>0</v>
      </c>
      <c r="M1062" t="s">
        <v>63</v>
      </c>
      <c r="N1062">
        <v>100</v>
      </c>
      <c r="O1062">
        <v>0</v>
      </c>
      <c r="P1062">
        <v>0</v>
      </c>
      <c r="Q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 t="s">
        <v>36</v>
      </c>
      <c r="AC1062" t="s">
        <v>687</v>
      </c>
      <c r="AD1062" t="str">
        <f t="shared" si="34"/>
        <v>CP</v>
      </c>
      <c r="AE1062" t="str">
        <f>_xlfn.XLOOKUP(D1062,Mapping!A:A,Mapping!D:D,0,0)</f>
        <v>Bin</v>
      </c>
      <c r="AF1062" t="str">
        <f t="shared" si="35"/>
        <v>OLD</v>
      </c>
    </row>
    <row r="1063" spans="1:32" x14ac:dyDescent="0.2">
      <c r="A1063" t="s">
        <v>1119</v>
      </c>
      <c r="B1063" t="s">
        <v>39</v>
      </c>
      <c r="C1063">
        <v>1011813302</v>
      </c>
      <c r="D1063" t="s">
        <v>64</v>
      </c>
      <c r="E1063" t="s">
        <v>31</v>
      </c>
      <c r="F1063" s="1">
        <v>0.67291666666666672</v>
      </c>
      <c r="G1063" t="s">
        <v>32</v>
      </c>
      <c r="H1063" t="s">
        <v>33</v>
      </c>
      <c r="I1063" t="s">
        <v>41</v>
      </c>
      <c r="J1063" t="s">
        <v>62</v>
      </c>
      <c r="K1063">
        <v>308</v>
      </c>
      <c r="L1063">
        <v>0</v>
      </c>
      <c r="M1063" t="s">
        <v>36</v>
      </c>
      <c r="N1063" t="s">
        <v>37</v>
      </c>
      <c r="O1063">
        <v>0</v>
      </c>
      <c r="P1063">
        <v>0</v>
      </c>
      <c r="Q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 t="s">
        <v>36</v>
      </c>
      <c r="AC1063" t="s">
        <v>687</v>
      </c>
      <c r="AD1063" t="str">
        <f t="shared" si="34"/>
        <v>CP</v>
      </c>
      <c r="AE1063" t="str">
        <f>_xlfn.XLOOKUP(D1063,Mapping!A:A,Mapping!D:D,0,0)</f>
        <v>Bin</v>
      </c>
      <c r="AF1063" t="str">
        <f t="shared" si="35"/>
        <v>OLD</v>
      </c>
    </row>
    <row r="1064" spans="1:32" x14ac:dyDescent="0.2">
      <c r="A1064" t="s">
        <v>1119</v>
      </c>
      <c r="B1064" t="s">
        <v>39</v>
      </c>
      <c r="C1064">
        <v>1011813312</v>
      </c>
      <c r="D1064" t="s">
        <v>65</v>
      </c>
      <c r="E1064" t="s">
        <v>31</v>
      </c>
      <c r="F1064" s="1">
        <v>0.67291666666666672</v>
      </c>
      <c r="G1064" t="s">
        <v>32</v>
      </c>
      <c r="H1064" t="s">
        <v>33</v>
      </c>
      <c r="I1064" t="s">
        <v>41</v>
      </c>
      <c r="J1064" t="s">
        <v>62</v>
      </c>
      <c r="K1064">
        <v>658</v>
      </c>
      <c r="L1064">
        <v>0</v>
      </c>
      <c r="M1064" t="s">
        <v>36</v>
      </c>
      <c r="N1064" t="s">
        <v>37</v>
      </c>
      <c r="O1064">
        <v>0</v>
      </c>
      <c r="P1064">
        <v>0</v>
      </c>
      <c r="Q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 t="s">
        <v>36</v>
      </c>
      <c r="AC1064" t="s">
        <v>687</v>
      </c>
      <c r="AD1064" t="str">
        <f t="shared" si="34"/>
        <v>CP</v>
      </c>
      <c r="AE1064" t="str">
        <f>_xlfn.XLOOKUP(D1064,Mapping!A:A,Mapping!D:D,0,0)</f>
        <v>Bin</v>
      </c>
      <c r="AF1064" t="str">
        <f t="shared" si="35"/>
        <v>OLD</v>
      </c>
    </row>
    <row r="1065" spans="1:32" x14ac:dyDescent="0.2">
      <c r="A1065" t="s">
        <v>1119</v>
      </c>
      <c r="B1065" t="s">
        <v>39</v>
      </c>
      <c r="C1065">
        <v>1011813322</v>
      </c>
      <c r="D1065" t="s">
        <v>66</v>
      </c>
      <c r="E1065" t="s">
        <v>31</v>
      </c>
      <c r="F1065" s="1">
        <v>0.67291666666666672</v>
      </c>
      <c r="G1065" t="s">
        <v>32</v>
      </c>
      <c r="H1065" t="s">
        <v>33</v>
      </c>
      <c r="I1065" t="s">
        <v>41</v>
      </c>
      <c r="J1065" t="s">
        <v>62</v>
      </c>
      <c r="K1065">
        <v>64</v>
      </c>
      <c r="L1065">
        <v>0</v>
      </c>
      <c r="M1065" t="s">
        <v>63</v>
      </c>
      <c r="N1065">
        <v>100</v>
      </c>
      <c r="O1065">
        <v>0</v>
      </c>
      <c r="P1065">
        <v>0</v>
      </c>
      <c r="Q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 t="s">
        <v>36</v>
      </c>
      <c r="AC1065" t="s">
        <v>687</v>
      </c>
      <c r="AD1065" t="str">
        <f t="shared" si="34"/>
        <v>CP</v>
      </c>
      <c r="AE1065" t="str">
        <f>_xlfn.XLOOKUP(D1065,Mapping!A:A,Mapping!D:D,0,0)</f>
        <v>Bin</v>
      </c>
      <c r="AF1065" t="str">
        <f t="shared" si="35"/>
        <v>OLD</v>
      </c>
    </row>
    <row r="1066" spans="1:32" x14ac:dyDescent="0.2">
      <c r="A1066" t="s">
        <v>1119</v>
      </c>
      <c r="B1066" t="s">
        <v>39</v>
      </c>
      <c r="C1066">
        <v>1011813332</v>
      </c>
      <c r="D1066" t="s">
        <v>67</v>
      </c>
      <c r="E1066" t="s">
        <v>31</v>
      </c>
      <c r="F1066" s="1">
        <v>0.67291666666666672</v>
      </c>
      <c r="G1066" t="s">
        <v>32</v>
      </c>
      <c r="H1066" t="s">
        <v>33</v>
      </c>
      <c r="I1066" t="s">
        <v>41</v>
      </c>
      <c r="J1066" t="s">
        <v>62</v>
      </c>
      <c r="K1066">
        <v>80</v>
      </c>
      <c r="L1066">
        <v>0</v>
      </c>
      <c r="M1066" t="s">
        <v>36</v>
      </c>
      <c r="N1066" t="s">
        <v>37</v>
      </c>
      <c r="O1066">
        <v>0</v>
      </c>
      <c r="P1066">
        <v>0</v>
      </c>
      <c r="Q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 t="s">
        <v>36</v>
      </c>
      <c r="AC1066" t="s">
        <v>687</v>
      </c>
      <c r="AD1066" t="str">
        <f t="shared" si="34"/>
        <v>CP</v>
      </c>
      <c r="AE1066" t="str">
        <f>_xlfn.XLOOKUP(D1066,Mapping!A:A,Mapping!D:D,0,0)</f>
        <v>Bin</v>
      </c>
      <c r="AF1066" t="str">
        <f t="shared" si="35"/>
        <v>OLD</v>
      </c>
    </row>
    <row r="1067" spans="1:32" x14ac:dyDescent="0.2">
      <c r="A1067" t="s">
        <v>1119</v>
      </c>
      <c r="B1067" t="s">
        <v>39</v>
      </c>
      <c r="C1067">
        <v>1011813342</v>
      </c>
      <c r="D1067" t="s">
        <v>68</v>
      </c>
      <c r="E1067" t="s">
        <v>31</v>
      </c>
      <c r="F1067" s="1">
        <v>0.67291666666666672</v>
      </c>
      <c r="G1067" t="s">
        <v>32</v>
      </c>
      <c r="H1067" t="s">
        <v>33</v>
      </c>
      <c r="I1067" t="s">
        <v>41</v>
      </c>
      <c r="J1067" t="s">
        <v>62</v>
      </c>
      <c r="K1067">
        <v>117</v>
      </c>
      <c r="L1067">
        <v>0</v>
      </c>
      <c r="M1067" t="s">
        <v>63</v>
      </c>
      <c r="N1067">
        <v>100</v>
      </c>
      <c r="O1067">
        <v>0</v>
      </c>
      <c r="P1067">
        <v>0</v>
      </c>
      <c r="Q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 t="s">
        <v>36</v>
      </c>
      <c r="AC1067" t="s">
        <v>687</v>
      </c>
      <c r="AD1067" t="str">
        <f t="shared" si="34"/>
        <v>CP</v>
      </c>
      <c r="AE1067" t="str">
        <f>_xlfn.XLOOKUP(D1067,Mapping!A:A,Mapping!D:D,0,0)</f>
        <v>Bin</v>
      </c>
      <c r="AF1067" t="str">
        <f t="shared" si="35"/>
        <v>OLD</v>
      </c>
    </row>
    <row r="1068" spans="1:32" x14ac:dyDescent="0.2">
      <c r="A1068" t="s">
        <v>1119</v>
      </c>
      <c r="B1068" t="s">
        <v>39</v>
      </c>
      <c r="C1068">
        <v>1011813352</v>
      </c>
      <c r="D1068" t="s">
        <v>69</v>
      </c>
      <c r="E1068" t="s">
        <v>31</v>
      </c>
      <c r="F1068" s="1">
        <v>0.67291666666666672</v>
      </c>
      <c r="G1068" t="s">
        <v>32</v>
      </c>
      <c r="H1068" t="s">
        <v>33</v>
      </c>
      <c r="I1068" t="s">
        <v>34</v>
      </c>
      <c r="J1068" t="s">
        <v>35</v>
      </c>
      <c r="K1068">
        <v>215</v>
      </c>
      <c r="L1068">
        <v>0</v>
      </c>
      <c r="M1068" t="s">
        <v>36</v>
      </c>
      <c r="N1068" t="s">
        <v>37</v>
      </c>
      <c r="O1068">
        <v>0</v>
      </c>
      <c r="P1068">
        <v>0</v>
      </c>
      <c r="Q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 t="s">
        <v>36</v>
      </c>
      <c r="AC1068" t="s">
        <v>687</v>
      </c>
      <c r="AD1068" t="str">
        <f t="shared" si="34"/>
        <v>CP</v>
      </c>
      <c r="AE1068" t="str">
        <f>_xlfn.XLOOKUP(D1068,Mapping!A:A,Mapping!D:D,0,0)</f>
        <v>Bin</v>
      </c>
      <c r="AF1068" t="str">
        <f t="shared" si="35"/>
        <v>OLD</v>
      </c>
    </row>
    <row r="1069" spans="1:32" x14ac:dyDescent="0.2">
      <c r="A1069" t="s">
        <v>1119</v>
      </c>
      <c r="B1069" t="s">
        <v>39</v>
      </c>
      <c r="C1069">
        <v>1011813362</v>
      </c>
      <c r="D1069" t="s">
        <v>70</v>
      </c>
      <c r="E1069" t="s">
        <v>31</v>
      </c>
      <c r="F1069" s="1">
        <v>0.67291666666666672</v>
      </c>
      <c r="G1069" t="s">
        <v>32</v>
      </c>
      <c r="H1069" t="s">
        <v>33</v>
      </c>
      <c r="I1069" t="s">
        <v>41</v>
      </c>
      <c r="J1069" t="s">
        <v>42</v>
      </c>
      <c r="K1069">
        <v>539</v>
      </c>
      <c r="L1069">
        <v>0</v>
      </c>
      <c r="M1069" t="s">
        <v>36</v>
      </c>
      <c r="N1069" t="s">
        <v>37</v>
      </c>
      <c r="O1069">
        <v>0</v>
      </c>
      <c r="P1069">
        <v>0</v>
      </c>
      <c r="Q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 t="s">
        <v>36</v>
      </c>
      <c r="AC1069" t="s">
        <v>687</v>
      </c>
      <c r="AD1069" t="str">
        <f t="shared" si="34"/>
        <v>CP</v>
      </c>
      <c r="AE1069" t="str">
        <f>_xlfn.XLOOKUP(D1069,Mapping!A:A,Mapping!D:D,0,0)</f>
        <v>Bin</v>
      </c>
      <c r="AF1069" t="str">
        <f t="shared" si="35"/>
        <v>OLD</v>
      </c>
    </row>
    <row r="1070" spans="1:32" x14ac:dyDescent="0.2">
      <c r="A1070" t="s">
        <v>1119</v>
      </c>
      <c r="B1070" t="s">
        <v>39</v>
      </c>
      <c r="C1070">
        <v>1011813372</v>
      </c>
      <c r="D1070" t="s">
        <v>71</v>
      </c>
      <c r="E1070" t="s">
        <v>31</v>
      </c>
      <c r="F1070" s="1">
        <v>0.67291666666666672</v>
      </c>
      <c r="G1070" t="s">
        <v>32</v>
      </c>
      <c r="H1070" t="s">
        <v>33</v>
      </c>
      <c r="I1070" t="s">
        <v>41</v>
      </c>
      <c r="J1070" t="s">
        <v>42</v>
      </c>
      <c r="K1070">
        <v>539</v>
      </c>
      <c r="L1070">
        <v>0</v>
      </c>
      <c r="M1070" t="s">
        <v>36</v>
      </c>
      <c r="N1070" t="s">
        <v>37</v>
      </c>
      <c r="O1070">
        <v>0</v>
      </c>
      <c r="P1070">
        <v>0</v>
      </c>
      <c r="Q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 t="s">
        <v>36</v>
      </c>
      <c r="AC1070" t="s">
        <v>687</v>
      </c>
      <c r="AD1070" t="str">
        <f t="shared" si="34"/>
        <v>CP</v>
      </c>
      <c r="AE1070" t="str">
        <f>_xlfn.XLOOKUP(D1070,Mapping!A:A,Mapping!D:D,0,0)</f>
        <v>Bin</v>
      </c>
      <c r="AF1070" t="str">
        <f t="shared" si="35"/>
        <v>OLD</v>
      </c>
    </row>
    <row r="1071" spans="1:32" x14ac:dyDescent="0.2">
      <c r="A1071" t="s">
        <v>1119</v>
      </c>
      <c r="B1071" t="s">
        <v>29</v>
      </c>
      <c r="C1071">
        <v>1011813382</v>
      </c>
      <c r="D1071" t="s">
        <v>72</v>
      </c>
      <c r="E1071" t="s">
        <v>31</v>
      </c>
      <c r="F1071" s="1">
        <v>0.67291666666666672</v>
      </c>
      <c r="G1071" t="s">
        <v>32</v>
      </c>
      <c r="H1071" t="s">
        <v>33</v>
      </c>
      <c r="I1071" t="s">
        <v>41</v>
      </c>
      <c r="J1071" t="s">
        <v>42</v>
      </c>
      <c r="K1071">
        <v>539</v>
      </c>
      <c r="L1071">
        <v>0</v>
      </c>
      <c r="M1071" t="s">
        <v>36</v>
      </c>
      <c r="N1071" t="s">
        <v>37</v>
      </c>
      <c r="O1071">
        <v>92</v>
      </c>
      <c r="P1071">
        <v>7</v>
      </c>
      <c r="Q1071">
        <v>7.6086999999999998</v>
      </c>
      <c r="R1071">
        <v>0</v>
      </c>
      <c r="S1071">
        <v>0.35</v>
      </c>
      <c r="T1071">
        <v>3.7989999999999999</v>
      </c>
      <c r="U1071">
        <v>0.05</v>
      </c>
      <c r="V1071">
        <v>0</v>
      </c>
      <c r="W1071">
        <v>1</v>
      </c>
      <c r="X1071">
        <v>0</v>
      </c>
      <c r="Y1071" t="s">
        <v>36</v>
      </c>
      <c r="Z1071">
        <v>92</v>
      </c>
      <c r="AA1071">
        <v>80</v>
      </c>
      <c r="AB1071">
        <v>12</v>
      </c>
      <c r="AC1071" t="s">
        <v>687</v>
      </c>
      <c r="AD1071" t="str">
        <f t="shared" si="34"/>
        <v>CP</v>
      </c>
      <c r="AE1071" t="str">
        <f>_xlfn.XLOOKUP(D1071,Mapping!A:A,Mapping!D:D,0,0)</f>
        <v>AI</v>
      </c>
      <c r="AF1071" t="str">
        <f t="shared" si="35"/>
        <v>OLD</v>
      </c>
    </row>
    <row r="1072" spans="1:32" x14ac:dyDescent="0.2">
      <c r="A1072" t="s">
        <v>1119</v>
      </c>
      <c r="B1072" t="s">
        <v>29</v>
      </c>
      <c r="C1072">
        <v>1011813392</v>
      </c>
      <c r="D1072" t="s">
        <v>73</v>
      </c>
      <c r="E1072" t="s">
        <v>31</v>
      </c>
      <c r="F1072" s="1">
        <v>0.67291666666666672</v>
      </c>
      <c r="G1072" t="s">
        <v>32</v>
      </c>
      <c r="H1072" t="s">
        <v>33</v>
      </c>
      <c r="I1072" t="s">
        <v>41</v>
      </c>
      <c r="J1072" t="s">
        <v>42</v>
      </c>
      <c r="K1072">
        <v>539</v>
      </c>
      <c r="L1072">
        <v>0</v>
      </c>
      <c r="M1072" t="s">
        <v>36</v>
      </c>
      <c r="N1072" t="s">
        <v>37</v>
      </c>
      <c r="O1072">
        <v>68</v>
      </c>
      <c r="P1072">
        <v>3</v>
      </c>
      <c r="Q1072">
        <v>4.4117600000000001</v>
      </c>
      <c r="R1072">
        <v>0</v>
      </c>
      <c r="S1072">
        <v>0.28000000000000003</v>
      </c>
      <c r="T1072">
        <v>4.0529999999999999</v>
      </c>
      <c r="U1072">
        <v>9.1999999999999998E-2</v>
      </c>
      <c r="V1072">
        <v>0</v>
      </c>
      <c r="W1072">
        <v>1</v>
      </c>
      <c r="X1072">
        <v>0</v>
      </c>
      <c r="Y1072" t="s">
        <v>36</v>
      </c>
      <c r="Z1072">
        <v>68</v>
      </c>
      <c r="AA1072">
        <v>58</v>
      </c>
      <c r="AB1072">
        <v>6</v>
      </c>
      <c r="AC1072" t="s">
        <v>687</v>
      </c>
      <c r="AD1072" t="str">
        <f t="shared" si="34"/>
        <v>CP</v>
      </c>
      <c r="AE1072" t="str">
        <f>_xlfn.XLOOKUP(D1072,Mapping!A:A,Mapping!D:D,0,0)</f>
        <v>Keyword - Preroll</v>
      </c>
      <c r="AF1072" t="str">
        <f t="shared" si="35"/>
        <v>OLD</v>
      </c>
    </row>
    <row r="1073" spans="1:32" x14ac:dyDescent="0.2">
      <c r="A1073" t="s">
        <v>1119</v>
      </c>
      <c r="B1073" t="s">
        <v>39</v>
      </c>
      <c r="C1073">
        <v>1011813402</v>
      </c>
      <c r="D1073" t="s">
        <v>74</v>
      </c>
      <c r="E1073" t="s">
        <v>31</v>
      </c>
      <c r="F1073" s="1">
        <v>0.67291666666666672</v>
      </c>
      <c r="G1073" t="s">
        <v>32</v>
      </c>
      <c r="H1073" t="s">
        <v>33</v>
      </c>
      <c r="I1073" t="s">
        <v>34</v>
      </c>
      <c r="J1073" t="s">
        <v>35</v>
      </c>
      <c r="K1073">
        <v>240</v>
      </c>
      <c r="L1073">
        <v>0</v>
      </c>
      <c r="M1073" t="s">
        <v>36</v>
      </c>
      <c r="N1073" t="s">
        <v>37</v>
      </c>
      <c r="O1073">
        <v>0</v>
      </c>
      <c r="P1073">
        <v>0</v>
      </c>
      <c r="Q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 t="s">
        <v>36</v>
      </c>
      <c r="AC1073" t="s">
        <v>687</v>
      </c>
      <c r="AD1073" t="str">
        <f t="shared" si="34"/>
        <v>CP</v>
      </c>
      <c r="AE1073" t="str">
        <f>_xlfn.XLOOKUP(D1073,Mapping!A:A,Mapping!D:D,0,0)</f>
        <v>Bin</v>
      </c>
      <c r="AF1073" t="str">
        <f t="shared" si="35"/>
        <v>OLD</v>
      </c>
    </row>
    <row r="1074" spans="1:32" x14ac:dyDescent="0.2">
      <c r="A1074" t="s">
        <v>1119</v>
      </c>
      <c r="B1074" t="s">
        <v>39</v>
      </c>
      <c r="C1074">
        <v>1011813412</v>
      </c>
      <c r="D1074" t="s">
        <v>75</v>
      </c>
      <c r="E1074" t="s">
        <v>31</v>
      </c>
      <c r="F1074" s="1">
        <v>0.67291666666666672</v>
      </c>
      <c r="G1074" t="s">
        <v>32</v>
      </c>
      <c r="H1074" t="s">
        <v>33</v>
      </c>
      <c r="I1074" t="s">
        <v>34</v>
      </c>
      <c r="J1074" t="s">
        <v>35</v>
      </c>
      <c r="K1074">
        <v>215</v>
      </c>
      <c r="L1074">
        <v>0</v>
      </c>
      <c r="M1074" t="s">
        <v>36</v>
      </c>
      <c r="N1074" t="s">
        <v>37</v>
      </c>
      <c r="O1074">
        <v>0</v>
      </c>
      <c r="P1074">
        <v>0</v>
      </c>
      <c r="Q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 t="s">
        <v>36</v>
      </c>
      <c r="AC1074" t="s">
        <v>687</v>
      </c>
      <c r="AD1074" t="str">
        <f t="shared" si="34"/>
        <v>CP</v>
      </c>
      <c r="AE1074" t="str">
        <f>_xlfn.XLOOKUP(D1074,Mapping!A:A,Mapping!D:D,0,0)</f>
        <v>Bin</v>
      </c>
      <c r="AF1074" t="str">
        <f t="shared" si="35"/>
        <v>OLD</v>
      </c>
    </row>
    <row r="1075" spans="1:32" x14ac:dyDescent="0.2">
      <c r="A1075" t="s">
        <v>1119</v>
      </c>
      <c r="B1075" t="s">
        <v>39</v>
      </c>
      <c r="C1075">
        <v>1011813422</v>
      </c>
      <c r="D1075" t="s">
        <v>76</v>
      </c>
      <c r="E1075" t="s">
        <v>31</v>
      </c>
      <c r="F1075" s="1">
        <v>0.67291666666666672</v>
      </c>
      <c r="G1075" t="s">
        <v>32</v>
      </c>
      <c r="H1075" t="s">
        <v>33</v>
      </c>
      <c r="I1075" t="s">
        <v>41</v>
      </c>
      <c r="J1075" t="s">
        <v>42</v>
      </c>
      <c r="K1075">
        <v>539</v>
      </c>
      <c r="L1075">
        <v>0</v>
      </c>
      <c r="M1075" t="s">
        <v>36</v>
      </c>
      <c r="N1075" t="s">
        <v>37</v>
      </c>
      <c r="O1075">
        <v>0</v>
      </c>
      <c r="P1075">
        <v>0</v>
      </c>
      <c r="Q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 t="s">
        <v>36</v>
      </c>
      <c r="AC1075" t="s">
        <v>687</v>
      </c>
      <c r="AD1075" t="str">
        <f t="shared" si="34"/>
        <v>CP</v>
      </c>
      <c r="AE1075" t="str">
        <f>_xlfn.XLOOKUP(D1075,Mapping!A:A,Mapping!D:D,0,0)</f>
        <v>Bin</v>
      </c>
      <c r="AF1075" t="str">
        <f t="shared" si="35"/>
        <v>OLD</v>
      </c>
    </row>
    <row r="1076" spans="1:32" x14ac:dyDescent="0.2">
      <c r="A1076" t="s">
        <v>1119</v>
      </c>
      <c r="B1076" t="s">
        <v>39</v>
      </c>
      <c r="C1076">
        <v>1011813432</v>
      </c>
      <c r="D1076" t="s">
        <v>77</v>
      </c>
      <c r="E1076" t="s">
        <v>31</v>
      </c>
      <c r="F1076" s="1">
        <v>0.67291666666666672</v>
      </c>
      <c r="G1076" t="s">
        <v>32</v>
      </c>
      <c r="H1076" t="s">
        <v>33</v>
      </c>
      <c r="I1076" t="s">
        <v>41</v>
      </c>
      <c r="J1076" t="s">
        <v>42</v>
      </c>
      <c r="K1076">
        <v>539</v>
      </c>
      <c r="L1076">
        <v>0</v>
      </c>
      <c r="M1076" t="s">
        <v>36</v>
      </c>
      <c r="N1076" t="s">
        <v>37</v>
      </c>
      <c r="O1076">
        <v>0</v>
      </c>
      <c r="P1076">
        <v>0</v>
      </c>
      <c r="Q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 t="s">
        <v>36</v>
      </c>
      <c r="AC1076" t="s">
        <v>687</v>
      </c>
      <c r="AD1076" t="str">
        <f t="shared" si="34"/>
        <v>CP</v>
      </c>
      <c r="AE1076" t="str">
        <f>_xlfn.XLOOKUP(D1076,Mapping!A:A,Mapping!D:D,0,0)</f>
        <v>Bin</v>
      </c>
      <c r="AF1076" t="str">
        <f t="shared" si="35"/>
        <v>OLD</v>
      </c>
    </row>
    <row r="1077" spans="1:32" x14ac:dyDescent="0.2">
      <c r="A1077" t="s">
        <v>1119</v>
      </c>
      <c r="B1077" t="s">
        <v>39</v>
      </c>
      <c r="C1077">
        <v>1011822352</v>
      </c>
      <c r="D1077" t="s">
        <v>78</v>
      </c>
      <c r="E1077" t="s">
        <v>31</v>
      </c>
      <c r="F1077" s="1">
        <v>0.38611111111111113</v>
      </c>
      <c r="G1077" t="s">
        <v>32</v>
      </c>
      <c r="H1077" t="s">
        <v>33</v>
      </c>
      <c r="I1077" t="s">
        <v>41</v>
      </c>
      <c r="J1077" t="s">
        <v>42</v>
      </c>
      <c r="K1077">
        <v>2</v>
      </c>
      <c r="L1077">
        <v>0</v>
      </c>
      <c r="M1077" t="s">
        <v>36</v>
      </c>
      <c r="N1077" t="s">
        <v>37</v>
      </c>
      <c r="O1077">
        <v>0</v>
      </c>
      <c r="P1077">
        <v>0</v>
      </c>
      <c r="Q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 t="s">
        <v>36</v>
      </c>
      <c r="AC1077" t="s">
        <v>687</v>
      </c>
      <c r="AD1077" t="str">
        <f t="shared" si="34"/>
        <v>CP</v>
      </c>
      <c r="AE1077" t="str">
        <f>_xlfn.XLOOKUP(D1077,Mapping!A:A,Mapping!D:D,0,0)</f>
        <v>Bin</v>
      </c>
      <c r="AF1077" t="str">
        <f t="shared" si="35"/>
        <v>OLD</v>
      </c>
    </row>
    <row r="1078" spans="1:32" x14ac:dyDescent="0.2">
      <c r="A1078" t="s">
        <v>1119</v>
      </c>
      <c r="B1078" t="s">
        <v>39</v>
      </c>
      <c r="C1078">
        <v>1011822362</v>
      </c>
      <c r="D1078" t="s">
        <v>79</v>
      </c>
      <c r="E1078" t="s">
        <v>31</v>
      </c>
      <c r="F1078" s="1">
        <v>0.38611111111111113</v>
      </c>
      <c r="G1078" t="s">
        <v>32</v>
      </c>
      <c r="H1078" t="s">
        <v>33</v>
      </c>
      <c r="I1078" t="s">
        <v>41</v>
      </c>
      <c r="J1078" t="s">
        <v>42</v>
      </c>
      <c r="K1078">
        <v>2</v>
      </c>
      <c r="L1078">
        <v>0</v>
      </c>
      <c r="M1078" t="s">
        <v>36</v>
      </c>
      <c r="N1078" t="s">
        <v>37</v>
      </c>
      <c r="O1078">
        <v>0</v>
      </c>
      <c r="P1078">
        <v>0</v>
      </c>
      <c r="Q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 t="s">
        <v>36</v>
      </c>
      <c r="AC1078" t="s">
        <v>687</v>
      </c>
      <c r="AD1078" t="str">
        <f t="shared" si="34"/>
        <v>CP</v>
      </c>
      <c r="AE1078" t="str">
        <f>_xlfn.XLOOKUP(D1078,Mapping!A:A,Mapping!D:D,0,0)</f>
        <v>Bin</v>
      </c>
      <c r="AF1078" t="str">
        <f t="shared" si="35"/>
        <v>OLD</v>
      </c>
    </row>
    <row r="1079" spans="1:32" x14ac:dyDescent="0.2">
      <c r="A1079" t="s">
        <v>1119</v>
      </c>
      <c r="B1079" t="s">
        <v>39</v>
      </c>
      <c r="C1079">
        <v>1011822372</v>
      </c>
      <c r="D1079" t="s">
        <v>80</v>
      </c>
      <c r="E1079" t="s">
        <v>31</v>
      </c>
      <c r="F1079" s="1">
        <v>0.38611111111111113</v>
      </c>
      <c r="G1079" t="s">
        <v>32</v>
      </c>
      <c r="H1079" t="s">
        <v>33</v>
      </c>
      <c r="I1079" t="s">
        <v>41</v>
      </c>
      <c r="J1079" t="s">
        <v>42</v>
      </c>
      <c r="K1079">
        <v>2</v>
      </c>
      <c r="L1079">
        <v>0</v>
      </c>
      <c r="M1079" t="s">
        <v>36</v>
      </c>
      <c r="N1079" t="s">
        <v>37</v>
      </c>
      <c r="O1079">
        <v>0</v>
      </c>
      <c r="P1079">
        <v>0</v>
      </c>
      <c r="Q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 t="s">
        <v>36</v>
      </c>
      <c r="AC1079" t="s">
        <v>687</v>
      </c>
      <c r="AD1079" t="str">
        <f t="shared" si="34"/>
        <v>CP</v>
      </c>
      <c r="AE1079" t="str">
        <f>_xlfn.XLOOKUP(D1079,Mapping!A:A,Mapping!D:D,0,0)</f>
        <v>Bin</v>
      </c>
      <c r="AF1079" t="str">
        <f t="shared" si="35"/>
        <v>OLD</v>
      </c>
    </row>
    <row r="1080" spans="1:32" x14ac:dyDescent="0.2">
      <c r="A1080" t="s">
        <v>1119</v>
      </c>
      <c r="B1080" t="s">
        <v>39</v>
      </c>
      <c r="C1080">
        <v>1011822382</v>
      </c>
      <c r="D1080" t="s">
        <v>81</v>
      </c>
      <c r="E1080" t="s">
        <v>31</v>
      </c>
      <c r="F1080" s="1">
        <v>0.38611111111111113</v>
      </c>
      <c r="G1080" t="s">
        <v>32</v>
      </c>
      <c r="H1080" t="s">
        <v>33</v>
      </c>
      <c r="I1080" t="s">
        <v>41</v>
      </c>
      <c r="J1080" t="s">
        <v>42</v>
      </c>
      <c r="K1080">
        <v>2</v>
      </c>
      <c r="L1080">
        <v>0</v>
      </c>
      <c r="M1080" t="s">
        <v>36</v>
      </c>
      <c r="N1080" t="s">
        <v>37</v>
      </c>
      <c r="O1080">
        <v>0</v>
      </c>
      <c r="P1080">
        <v>0</v>
      </c>
      <c r="Q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 t="s">
        <v>36</v>
      </c>
      <c r="AC1080" t="s">
        <v>687</v>
      </c>
      <c r="AD1080" t="str">
        <f t="shared" si="34"/>
        <v>CP</v>
      </c>
      <c r="AE1080" t="str">
        <f>_xlfn.XLOOKUP(D1080,Mapping!A:A,Mapping!D:D,0,0)</f>
        <v>Bin</v>
      </c>
      <c r="AF1080" t="str">
        <f t="shared" si="35"/>
        <v>OLD</v>
      </c>
    </row>
    <row r="1081" spans="1:32" x14ac:dyDescent="0.2">
      <c r="A1081" t="s">
        <v>1119</v>
      </c>
      <c r="B1081" t="s">
        <v>39</v>
      </c>
      <c r="C1081">
        <v>1011822392</v>
      </c>
      <c r="D1081" t="s">
        <v>82</v>
      </c>
      <c r="E1081" t="s">
        <v>31</v>
      </c>
      <c r="F1081" s="1">
        <v>0.67291666666666672</v>
      </c>
      <c r="G1081" t="s">
        <v>32</v>
      </c>
      <c r="H1081" t="s">
        <v>33</v>
      </c>
      <c r="I1081" t="s">
        <v>41</v>
      </c>
      <c r="J1081" t="s">
        <v>62</v>
      </c>
      <c r="K1081">
        <v>72</v>
      </c>
      <c r="L1081">
        <v>0</v>
      </c>
      <c r="M1081" t="s">
        <v>63</v>
      </c>
      <c r="N1081">
        <v>100</v>
      </c>
      <c r="O1081">
        <v>0</v>
      </c>
      <c r="P1081">
        <v>0</v>
      </c>
      <c r="Q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 t="s">
        <v>36</v>
      </c>
      <c r="AC1081" t="s">
        <v>687</v>
      </c>
      <c r="AD1081" t="str">
        <f t="shared" si="34"/>
        <v>CP</v>
      </c>
      <c r="AE1081" t="str">
        <f>_xlfn.XLOOKUP(D1081,Mapping!A:A,Mapping!D:D,0,0)</f>
        <v>Bin</v>
      </c>
      <c r="AF1081" t="str">
        <f t="shared" si="35"/>
        <v>OLD</v>
      </c>
    </row>
    <row r="1082" spans="1:32" x14ac:dyDescent="0.2">
      <c r="A1082" t="s">
        <v>1119</v>
      </c>
      <c r="B1082" t="s">
        <v>39</v>
      </c>
      <c r="C1082">
        <v>1011822412</v>
      </c>
      <c r="D1082" t="s">
        <v>83</v>
      </c>
      <c r="E1082" t="s">
        <v>31</v>
      </c>
      <c r="F1082" s="1">
        <v>0.67291666666666672</v>
      </c>
      <c r="G1082" t="s">
        <v>32</v>
      </c>
      <c r="H1082" t="s">
        <v>33</v>
      </c>
      <c r="I1082" t="s">
        <v>34</v>
      </c>
      <c r="J1082" t="s">
        <v>84</v>
      </c>
      <c r="K1082">
        <v>140</v>
      </c>
      <c r="L1082">
        <v>0</v>
      </c>
      <c r="M1082" t="s">
        <v>36</v>
      </c>
      <c r="N1082" t="s">
        <v>37</v>
      </c>
      <c r="O1082">
        <v>0</v>
      </c>
      <c r="P1082">
        <v>0</v>
      </c>
      <c r="Q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 t="s">
        <v>36</v>
      </c>
      <c r="AC1082" t="s">
        <v>687</v>
      </c>
      <c r="AD1082" t="str">
        <f t="shared" si="34"/>
        <v>CP</v>
      </c>
      <c r="AE1082" t="str">
        <f>_xlfn.XLOOKUP(D1082,Mapping!A:A,Mapping!D:D,0,0)</f>
        <v>Bin</v>
      </c>
      <c r="AF1082" t="str">
        <f t="shared" si="35"/>
        <v>OLD</v>
      </c>
    </row>
    <row r="1083" spans="1:32" x14ac:dyDescent="0.2">
      <c r="A1083" t="s">
        <v>1119</v>
      </c>
      <c r="B1083" t="s">
        <v>39</v>
      </c>
      <c r="C1083">
        <v>1011822422</v>
      </c>
      <c r="D1083" t="s">
        <v>85</v>
      </c>
      <c r="E1083" t="s">
        <v>31</v>
      </c>
      <c r="F1083" s="1">
        <v>0.67291666666666672</v>
      </c>
      <c r="G1083" t="s">
        <v>32</v>
      </c>
      <c r="H1083" t="s">
        <v>33</v>
      </c>
      <c r="I1083" t="s">
        <v>41</v>
      </c>
      <c r="J1083" t="s">
        <v>62</v>
      </c>
      <c r="K1083">
        <v>468</v>
      </c>
      <c r="L1083">
        <v>0</v>
      </c>
      <c r="M1083" t="s">
        <v>36</v>
      </c>
      <c r="N1083" t="s">
        <v>37</v>
      </c>
      <c r="O1083">
        <v>0</v>
      </c>
      <c r="P1083">
        <v>0</v>
      </c>
      <c r="Q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 t="s">
        <v>36</v>
      </c>
      <c r="AC1083" t="s">
        <v>687</v>
      </c>
      <c r="AD1083" t="str">
        <f t="shared" si="34"/>
        <v>CP</v>
      </c>
      <c r="AE1083" t="str">
        <f>_xlfn.XLOOKUP(D1083,Mapping!A:A,Mapping!D:D,0,0)</f>
        <v>Bin</v>
      </c>
      <c r="AF1083" t="str">
        <f t="shared" si="35"/>
        <v>OLD</v>
      </c>
    </row>
    <row r="1084" spans="1:32" x14ac:dyDescent="0.2">
      <c r="A1084" t="s">
        <v>1119</v>
      </c>
      <c r="B1084" t="s">
        <v>39</v>
      </c>
      <c r="C1084">
        <v>1011822432</v>
      </c>
      <c r="D1084" t="s">
        <v>86</v>
      </c>
      <c r="E1084" t="s">
        <v>31</v>
      </c>
      <c r="F1084" s="1">
        <v>0.67291666666666672</v>
      </c>
      <c r="G1084" t="s">
        <v>32</v>
      </c>
      <c r="H1084" t="s">
        <v>33</v>
      </c>
      <c r="I1084" t="s">
        <v>41</v>
      </c>
      <c r="J1084" t="s">
        <v>84</v>
      </c>
      <c r="K1084">
        <v>468</v>
      </c>
      <c r="L1084">
        <v>0</v>
      </c>
      <c r="M1084" t="s">
        <v>36</v>
      </c>
      <c r="N1084" t="s">
        <v>37</v>
      </c>
      <c r="O1084">
        <v>0</v>
      </c>
      <c r="P1084">
        <v>0</v>
      </c>
      <c r="Q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 t="s">
        <v>36</v>
      </c>
      <c r="AC1084" t="s">
        <v>687</v>
      </c>
      <c r="AD1084" t="str">
        <f t="shared" si="34"/>
        <v>CP</v>
      </c>
      <c r="AE1084" t="str">
        <f>_xlfn.XLOOKUP(D1084,Mapping!A:A,Mapping!D:D,0,0)</f>
        <v>Bin</v>
      </c>
      <c r="AF1084" t="str">
        <f t="shared" si="35"/>
        <v>OLD</v>
      </c>
    </row>
    <row r="1085" spans="1:32" x14ac:dyDescent="0.2">
      <c r="A1085" t="s">
        <v>1119</v>
      </c>
      <c r="B1085" t="s">
        <v>39</v>
      </c>
      <c r="C1085">
        <v>1011822442</v>
      </c>
      <c r="D1085" t="s">
        <v>87</v>
      </c>
      <c r="E1085" t="s">
        <v>31</v>
      </c>
      <c r="F1085" s="1">
        <v>0.67291666666666672</v>
      </c>
      <c r="G1085" t="s">
        <v>32</v>
      </c>
      <c r="H1085" t="s">
        <v>33</v>
      </c>
      <c r="I1085" t="s">
        <v>34</v>
      </c>
      <c r="J1085" t="s">
        <v>84</v>
      </c>
      <c r="K1085">
        <v>88</v>
      </c>
      <c r="L1085">
        <v>0</v>
      </c>
      <c r="M1085" t="s">
        <v>63</v>
      </c>
      <c r="N1085">
        <v>500</v>
      </c>
      <c r="O1085">
        <v>0</v>
      </c>
      <c r="P1085">
        <v>0</v>
      </c>
      <c r="Q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 t="s">
        <v>36</v>
      </c>
      <c r="AC1085" t="s">
        <v>687</v>
      </c>
      <c r="AD1085" t="str">
        <f t="shared" si="34"/>
        <v>CP</v>
      </c>
      <c r="AE1085" t="str">
        <f>_xlfn.XLOOKUP(D1085,Mapping!A:A,Mapping!D:D,0,0)</f>
        <v>Bin</v>
      </c>
      <c r="AF1085" t="str">
        <f t="shared" si="35"/>
        <v>OLD</v>
      </c>
    </row>
    <row r="1086" spans="1:32" x14ac:dyDescent="0.2">
      <c r="A1086" t="s">
        <v>1119</v>
      </c>
      <c r="B1086" t="s">
        <v>39</v>
      </c>
      <c r="C1086">
        <v>1011822452</v>
      </c>
      <c r="D1086" t="s">
        <v>88</v>
      </c>
      <c r="E1086" t="s">
        <v>31</v>
      </c>
      <c r="F1086" s="1">
        <v>0.67291666666666672</v>
      </c>
      <c r="G1086" t="s">
        <v>32</v>
      </c>
      <c r="H1086" t="s">
        <v>33</v>
      </c>
      <c r="I1086" t="s">
        <v>34</v>
      </c>
      <c r="J1086" t="s">
        <v>84</v>
      </c>
      <c r="K1086">
        <v>88</v>
      </c>
      <c r="L1086">
        <v>0</v>
      </c>
      <c r="M1086" t="s">
        <v>63</v>
      </c>
      <c r="N1086">
        <v>500</v>
      </c>
      <c r="O1086">
        <v>0</v>
      </c>
      <c r="P1086">
        <v>0</v>
      </c>
      <c r="Q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 t="s">
        <v>36</v>
      </c>
      <c r="AC1086" t="s">
        <v>687</v>
      </c>
      <c r="AD1086" t="str">
        <f t="shared" si="34"/>
        <v>CP</v>
      </c>
      <c r="AE1086" t="str">
        <f>_xlfn.XLOOKUP(D1086,Mapping!A:A,Mapping!D:D,0,0)</f>
        <v>Bin</v>
      </c>
      <c r="AF1086" t="str">
        <f t="shared" si="35"/>
        <v>OLD</v>
      </c>
    </row>
    <row r="1087" spans="1:32" x14ac:dyDescent="0.2">
      <c r="A1087" t="s">
        <v>1119</v>
      </c>
      <c r="B1087" t="s">
        <v>39</v>
      </c>
      <c r="C1087">
        <v>1011822462</v>
      </c>
      <c r="D1087" t="s">
        <v>89</v>
      </c>
      <c r="E1087" t="s">
        <v>31</v>
      </c>
      <c r="F1087" s="1">
        <v>0.67291666666666672</v>
      </c>
      <c r="G1087" t="s">
        <v>32</v>
      </c>
      <c r="H1087" t="s">
        <v>33</v>
      </c>
      <c r="I1087" t="s">
        <v>41</v>
      </c>
      <c r="J1087" t="s">
        <v>84</v>
      </c>
      <c r="K1087">
        <v>72</v>
      </c>
      <c r="L1087">
        <v>0</v>
      </c>
      <c r="M1087" t="s">
        <v>63</v>
      </c>
      <c r="N1087">
        <v>100</v>
      </c>
      <c r="O1087">
        <v>0</v>
      </c>
      <c r="P1087">
        <v>0</v>
      </c>
      <c r="Q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 t="s">
        <v>36</v>
      </c>
      <c r="AC1087" t="s">
        <v>687</v>
      </c>
      <c r="AD1087" t="str">
        <f t="shared" si="34"/>
        <v>CP</v>
      </c>
      <c r="AE1087" t="str">
        <f>_xlfn.XLOOKUP(D1087,Mapping!A:A,Mapping!D:D,0,0)</f>
        <v>Bin</v>
      </c>
      <c r="AF1087" t="str">
        <f t="shared" si="35"/>
        <v>OLD</v>
      </c>
    </row>
    <row r="1088" spans="1:32" x14ac:dyDescent="0.2">
      <c r="A1088" t="s">
        <v>1119</v>
      </c>
      <c r="B1088" t="s">
        <v>39</v>
      </c>
      <c r="C1088">
        <v>1011822472</v>
      </c>
      <c r="D1088" t="s">
        <v>90</v>
      </c>
      <c r="E1088" t="s">
        <v>31</v>
      </c>
      <c r="F1088" s="1">
        <v>0.67291666666666672</v>
      </c>
      <c r="G1088" t="s">
        <v>32</v>
      </c>
      <c r="H1088" t="s">
        <v>33</v>
      </c>
      <c r="I1088" t="s">
        <v>41</v>
      </c>
      <c r="J1088" t="s">
        <v>62</v>
      </c>
      <c r="K1088">
        <v>468</v>
      </c>
      <c r="L1088">
        <v>0</v>
      </c>
      <c r="M1088" t="s">
        <v>36</v>
      </c>
      <c r="N1088" t="s">
        <v>37</v>
      </c>
      <c r="O1088">
        <v>0</v>
      </c>
      <c r="P1088">
        <v>0</v>
      </c>
      <c r="Q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 t="s">
        <v>36</v>
      </c>
      <c r="AC1088" t="s">
        <v>687</v>
      </c>
      <c r="AD1088" t="str">
        <f t="shared" si="34"/>
        <v>CP</v>
      </c>
      <c r="AE1088" t="str">
        <f>_xlfn.XLOOKUP(D1088,Mapping!A:A,Mapping!D:D,0,0)</f>
        <v>Bin</v>
      </c>
      <c r="AF1088" t="str">
        <f t="shared" si="35"/>
        <v>OLD</v>
      </c>
    </row>
    <row r="1089" spans="1:32" x14ac:dyDescent="0.2">
      <c r="A1089" t="s">
        <v>1119</v>
      </c>
      <c r="B1089" t="s">
        <v>39</v>
      </c>
      <c r="C1089">
        <v>1011822482</v>
      </c>
      <c r="D1089" t="s">
        <v>91</v>
      </c>
      <c r="E1089" t="s">
        <v>31</v>
      </c>
      <c r="F1089" s="1">
        <v>0.67291666666666672</v>
      </c>
      <c r="G1089" t="s">
        <v>32</v>
      </c>
      <c r="H1089" t="s">
        <v>33</v>
      </c>
      <c r="I1089" t="s">
        <v>34</v>
      </c>
      <c r="J1089" t="s">
        <v>84</v>
      </c>
      <c r="K1089">
        <v>268</v>
      </c>
      <c r="L1089">
        <v>0</v>
      </c>
      <c r="M1089" t="s">
        <v>36</v>
      </c>
      <c r="N1089" t="s">
        <v>37</v>
      </c>
      <c r="O1089">
        <v>0</v>
      </c>
      <c r="P1089">
        <v>0</v>
      </c>
      <c r="Q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 t="s">
        <v>36</v>
      </c>
      <c r="AC1089" t="s">
        <v>687</v>
      </c>
      <c r="AD1089" t="str">
        <f t="shared" si="34"/>
        <v>CP</v>
      </c>
      <c r="AE1089" t="str">
        <f>_xlfn.XLOOKUP(D1089,Mapping!A:A,Mapping!D:D,0,0)</f>
        <v>Bin</v>
      </c>
      <c r="AF1089" t="str">
        <f t="shared" si="35"/>
        <v>OLD</v>
      </c>
    </row>
    <row r="1090" spans="1:32" x14ac:dyDescent="0.2">
      <c r="A1090" t="s">
        <v>1119</v>
      </c>
      <c r="B1090" t="s">
        <v>39</v>
      </c>
      <c r="C1090">
        <v>1011822492</v>
      </c>
      <c r="D1090" t="s">
        <v>92</v>
      </c>
      <c r="E1090" t="s">
        <v>31</v>
      </c>
      <c r="F1090" s="1">
        <v>0.67291666666666672</v>
      </c>
      <c r="G1090" t="s">
        <v>32</v>
      </c>
      <c r="H1090" t="s">
        <v>33</v>
      </c>
      <c r="I1090" t="s">
        <v>41</v>
      </c>
      <c r="J1090" t="s">
        <v>84</v>
      </c>
      <c r="K1090">
        <v>72</v>
      </c>
      <c r="L1090">
        <v>0</v>
      </c>
      <c r="M1090" t="s">
        <v>36</v>
      </c>
      <c r="N1090" t="s">
        <v>37</v>
      </c>
      <c r="O1090">
        <v>0</v>
      </c>
      <c r="P1090">
        <v>0</v>
      </c>
      <c r="Q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 t="s">
        <v>36</v>
      </c>
      <c r="AC1090" t="s">
        <v>687</v>
      </c>
      <c r="AD1090" t="str">
        <f t="shared" si="34"/>
        <v>CP</v>
      </c>
      <c r="AE1090" t="str">
        <f>_xlfn.XLOOKUP(D1090,Mapping!A:A,Mapping!D:D,0,0)</f>
        <v>Bin</v>
      </c>
      <c r="AF1090" t="str">
        <f t="shared" si="35"/>
        <v>OLD</v>
      </c>
    </row>
    <row r="1091" spans="1:32" x14ac:dyDescent="0.2">
      <c r="A1091" t="s">
        <v>1119</v>
      </c>
      <c r="B1091" t="s">
        <v>39</v>
      </c>
      <c r="C1091">
        <v>1011822502</v>
      </c>
      <c r="D1091" t="s">
        <v>93</v>
      </c>
      <c r="E1091" t="s">
        <v>31</v>
      </c>
      <c r="F1091" s="1">
        <v>0.67291666666666672</v>
      </c>
      <c r="G1091" t="s">
        <v>32</v>
      </c>
      <c r="H1091" t="s">
        <v>33</v>
      </c>
      <c r="I1091" t="s">
        <v>41</v>
      </c>
      <c r="J1091" t="s">
        <v>62</v>
      </c>
      <c r="K1091">
        <v>308</v>
      </c>
      <c r="L1091">
        <v>0</v>
      </c>
      <c r="M1091" t="s">
        <v>36</v>
      </c>
      <c r="N1091" t="s">
        <v>37</v>
      </c>
      <c r="O1091">
        <v>0</v>
      </c>
      <c r="P1091">
        <v>0</v>
      </c>
      <c r="Q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 t="s">
        <v>36</v>
      </c>
      <c r="AC1091" t="s">
        <v>687</v>
      </c>
      <c r="AD1091" t="str">
        <f t="shared" si="34"/>
        <v>CP</v>
      </c>
      <c r="AE1091" t="str">
        <f>_xlfn.XLOOKUP(D1091,Mapping!A:A,Mapping!D:D,0,0)</f>
        <v>Bin</v>
      </c>
      <c r="AF1091" t="str">
        <f t="shared" si="35"/>
        <v>OLD</v>
      </c>
    </row>
    <row r="1092" spans="1:32" x14ac:dyDescent="0.2">
      <c r="A1092" t="s">
        <v>1119</v>
      </c>
      <c r="B1092" t="s">
        <v>39</v>
      </c>
      <c r="C1092">
        <v>1011822512</v>
      </c>
      <c r="D1092" t="s">
        <v>94</v>
      </c>
      <c r="E1092" t="s">
        <v>31</v>
      </c>
      <c r="F1092" s="1">
        <v>0.67291666666666672</v>
      </c>
      <c r="G1092" t="s">
        <v>32</v>
      </c>
      <c r="H1092" t="s">
        <v>33</v>
      </c>
      <c r="I1092" t="s">
        <v>41</v>
      </c>
      <c r="J1092" t="s">
        <v>62</v>
      </c>
      <c r="K1092">
        <v>126</v>
      </c>
      <c r="L1092">
        <v>0</v>
      </c>
      <c r="M1092" t="s">
        <v>36</v>
      </c>
      <c r="N1092" t="s">
        <v>37</v>
      </c>
      <c r="O1092">
        <v>0</v>
      </c>
      <c r="P1092">
        <v>0</v>
      </c>
      <c r="Q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 t="s">
        <v>36</v>
      </c>
      <c r="AC1092" t="s">
        <v>687</v>
      </c>
      <c r="AD1092" t="str">
        <f t="shared" si="34"/>
        <v>CP</v>
      </c>
      <c r="AE1092" t="str">
        <f>_xlfn.XLOOKUP(D1092,Mapping!A:A,Mapping!D:D,0,0)</f>
        <v>Keyword - Preroll</v>
      </c>
      <c r="AF1092" t="str">
        <f t="shared" si="35"/>
        <v>OLD</v>
      </c>
    </row>
    <row r="1093" spans="1:32" x14ac:dyDescent="0.2">
      <c r="A1093" t="s">
        <v>1119</v>
      </c>
      <c r="B1093" t="s">
        <v>29</v>
      </c>
      <c r="C1093">
        <v>1011822522</v>
      </c>
      <c r="D1093" t="s">
        <v>95</v>
      </c>
      <c r="E1093" t="s">
        <v>31</v>
      </c>
      <c r="F1093" s="1">
        <v>0.67291666666666672</v>
      </c>
      <c r="G1093" t="s">
        <v>32</v>
      </c>
      <c r="H1093" t="s">
        <v>33</v>
      </c>
      <c r="I1093" t="s">
        <v>34</v>
      </c>
      <c r="J1093" t="s">
        <v>84</v>
      </c>
      <c r="K1093">
        <v>65</v>
      </c>
      <c r="L1093">
        <v>0</v>
      </c>
      <c r="M1093" t="s">
        <v>36</v>
      </c>
      <c r="N1093" t="s">
        <v>37</v>
      </c>
      <c r="O1093">
        <v>979</v>
      </c>
      <c r="P1093">
        <v>47</v>
      </c>
      <c r="Q1093">
        <v>4.8008199999999999</v>
      </c>
      <c r="R1093">
        <v>1</v>
      </c>
      <c r="S1093">
        <v>2.82</v>
      </c>
      <c r="T1093">
        <v>2.879</v>
      </c>
      <c r="U1093">
        <v>0.06</v>
      </c>
      <c r="V1093">
        <v>2.8180000000000001</v>
      </c>
      <c r="W1093">
        <v>1</v>
      </c>
      <c r="X1093">
        <v>0</v>
      </c>
      <c r="Y1093" t="s">
        <v>36</v>
      </c>
      <c r="Z1093">
        <v>979</v>
      </c>
      <c r="AA1093">
        <v>736</v>
      </c>
      <c r="AB1093">
        <v>112</v>
      </c>
      <c r="AC1093" t="s">
        <v>687</v>
      </c>
      <c r="AD1093" t="str">
        <f t="shared" si="34"/>
        <v>CP</v>
      </c>
      <c r="AE1093" t="str">
        <f>_xlfn.XLOOKUP(D1093,Mapping!A:A,Mapping!D:D,0,0)</f>
        <v>Furry</v>
      </c>
      <c r="AF1093" t="str">
        <f t="shared" si="35"/>
        <v>OLD</v>
      </c>
    </row>
    <row r="1094" spans="1:32" x14ac:dyDescent="0.2">
      <c r="A1094" t="s">
        <v>1119</v>
      </c>
      <c r="B1094" t="s">
        <v>39</v>
      </c>
      <c r="C1094">
        <v>1011822532</v>
      </c>
      <c r="D1094" t="s">
        <v>97</v>
      </c>
      <c r="E1094" t="s">
        <v>31</v>
      </c>
      <c r="F1094" s="1">
        <v>0.67291666666666672</v>
      </c>
      <c r="G1094" t="s">
        <v>32</v>
      </c>
      <c r="H1094" t="s">
        <v>33</v>
      </c>
      <c r="I1094" t="s">
        <v>34</v>
      </c>
      <c r="J1094" t="s">
        <v>84</v>
      </c>
      <c r="K1094">
        <v>273</v>
      </c>
      <c r="L1094">
        <v>0</v>
      </c>
      <c r="M1094" t="s">
        <v>36</v>
      </c>
      <c r="N1094" t="s">
        <v>37</v>
      </c>
      <c r="O1094">
        <v>0</v>
      </c>
      <c r="P1094">
        <v>0</v>
      </c>
      <c r="Q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 t="s">
        <v>36</v>
      </c>
      <c r="AC1094" t="s">
        <v>687</v>
      </c>
      <c r="AD1094" t="str">
        <f t="shared" si="34"/>
        <v>CP</v>
      </c>
      <c r="AE1094" t="str">
        <f>_xlfn.XLOOKUP(D1094,Mapping!A:A,Mapping!D:D,0,0)</f>
        <v>Keyword - Preroll</v>
      </c>
      <c r="AF1094" t="str">
        <f t="shared" si="35"/>
        <v>OLD</v>
      </c>
    </row>
    <row r="1095" spans="1:32" x14ac:dyDescent="0.2">
      <c r="A1095" t="s">
        <v>1119</v>
      </c>
      <c r="B1095" t="s">
        <v>39</v>
      </c>
      <c r="C1095">
        <v>1011822542</v>
      </c>
      <c r="D1095" t="s">
        <v>98</v>
      </c>
      <c r="E1095" t="s">
        <v>31</v>
      </c>
      <c r="F1095" s="1">
        <v>0.67291666666666672</v>
      </c>
      <c r="G1095" t="s">
        <v>32</v>
      </c>
      <c r="H1095" t="s">
        <v>33</v>
      </c>
      <c r="I1095" t="s">
        <v>41</v>
      </c>
      <c r="J1095" t="s">
        <v>62</v>
      </c>
      <c r="K1095">
        <v>308</v>
      </c>
      <c r="L1095">
        <v>0</v>
      </c>
      <c r="M1095" t="s">
        <v>36</v>
      </c>
      <c r="N1095" t="s">
        <v>37</v>
      </c>
      <c r="O1095">
        <v>0</v>
      </c>
      <c r="P1095">
        <v>0</v>
      </c>
      <c r="Q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 t="s">
        <v>36</v>
      </c>
      <c r="AC1095" t="s">
        <v>687</v>
      </c>
      <c r="AD1095" t="str">
        <f t="shared" si="34"/>
        <v>CP</v>
      </c>
      <c r="AE1095" t="str">
        <f>_xlfn.XLOOKUP(D1095,Mapping!A:A,Mapping!D:D,0,0)</f>
        <v>Bin</v>
      </c>
      <c r="AF1095" t="str">
        <f t="shared" si="35"/>
        <v>OLD</v>
      </c>
    </row>
    <row r="1096" spans="1:32" x14ac:dyDescent="0.2">
      <c r="A1096" t="s">
        <v>1119</v>
      </c>
      <c r="B1096" t="s">
        <v>39</v>
      </c>
      <c r="C1096">
        <v>1011822552</v>
      </c>
      <c r="D1096" t="s">
        <v>99</v>
      </c>
      <c r="E1096" t="s">
        <v>31</v>
      </c>
      <c r="F1096" s="1">
        <v>0.67291666666666672</v>
      </c>
      <c r="G1096" t="s">
        <v>32</v>
      </c>
      <c r="H1096" t="s">
        <v>33</v>
      </c>
      <c r="I1096" t="s">
        <v>41</v>
      </c>
      <c r="J1096" t="s">
        <v>62</v>
      </c>
      <c r="K1096">
        <v>126</v>
      </c>
      <c r="L1096">
        <v>0</v>
      </c>
      <c r="M1096" t="s">
        <v>63</v>
      </c>
      <c r="N1096">
        <v>100</v>
      </c>
      <c r="O1096">
        <v>0</v>
      </c>
      <c r="P1096">
        <v>0</v>
      </c>
      <c r="Q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 t="s">
        <v>36</v>
      </c>
      <c r="AC1096" t="s">
        <v>687</v>
      </c>
      <c r="AD1096" t="str">
        <f t="shared" si="34"/>
        <v>CP</v>
      </c>
      <c r="AE1096" t="str">
        <f>_xlfn.XLOOKUP(D1096,Mapping!A:A,Mapping!D:D,0,0)</f>
        <v>Bin</v>
      </c>
      <c r="AF1096" t="str">
        <f t="shared" si="35"/>
        <v>OLD</v>
      </c>
    </row>
    <row r="1097" spans="1:32" x14ac:dyDescent="0.2">
      <c r="A1097" t="s">
        <v>1119</v>
      </c>
      <c r="B1097" t="s">
        <v>39</v>
      </c>
      <c r="C1097">
        <v>1011822562</v>
      </c>
      <c r="D1097" t="s">
        <v>100</v>
      </c>
      <c r="E1097" t="s">
        <v>31</v>
      </c>
      <c r="F1097" s="1">
        <v>0.67291666666666672</v>
      </c>
      <c r="G1097" t="s">
        <v>32</v>
      </c>
      <c r="H1097" t="s">
        <v>33</v>
      </c>
      <c r="I1097" t="s">
        <v>34</v>
      </c>
      <c r="J1097" t="s">
        <v>84</v>
      </c>
      <c r="K1097">
        <v>273</v>
      </c>
      <c r="L1097">
        <v>0</v>
      </c>
      <c r="M1097" t="s">
        <v>36</v>
      </c>
      <c r="N1097" t="s">
        <v>37</v>
      </c>
      <c r="O1097">
        <v>0</v>
      </c>
      <c r="P1097">
        <v>0</v>
      </c>
      <c r="Q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 t="s">
        <v>36</v>
      </c>
      <c r="AC1097" t="s">
        <v>687</v>
      </c>
      <c r="AD1097" t="str">
        <f t="shared" si="34"/>
        <v>CP</v>
      </c>
      <c r="AE1097" t="str">
        <f>_xlfn.XLOOKUP(D1097,Mapping!A:A,Mapping!D:D,0,0)</f>
        <v>Bin</v>
      </c>
      <c r="AF1097" t="str">
        <f t="shared" si="35"/>
        <v>OLD</v>
      </c>
    </row>
    <row r="1098" spans="1:32" x14ac:dyDescent="0.2">
      <c r="A1098" t="s">
        <v>1119</v>
      </c>
      <c r="B1098" t="s">
        <v>39</v>
      </c>
      <c r="C1098">
        <v>1011822572</v>
      </c>
      <c r="D1098" t="s">
        <v>101</v>
      </c>
      <c r="E1098" t="s">
        <v>31</v>
      </c>
      <c r="F1098" s="1">
        <v>0.67291666666666672</v>
      </c>
      <c r="G1098" t="s">
        <v>32</v>
      </c>
      <c r="H1098" t="s">
        <v>33</v>
      </c>
      <c r="I1098" t="s">
        <v>41</v>
      </c>
      <c r="J1098" t="s">
        <v>62</v>
      </c>
      <c r="K1098">
        <v>522</v>
      </c>
      <c r="L1098">
        <v>0</v>
      </c>
      <c r="M1098" t="s">
        <v>36</v>
      </c>
      <c r="N1098" t="s">
        <v>37</v>
      </c>
      <c r="O1098">
        <v>0</v>
      </c>
      <c r="P1098">
        <v>0</v>
      </c>
      <c r="Q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 t="s">
        <v>36</v>
      </c>
      <c r="AC1098" t="s">
        <v>687</v>
      </c>
      <c r="AD1098" t="str">
        <f t="shared" si="34"/>
        <v>CP</v>
      </c>
      <c r="AE1098" t="str">
        <f>_xlfn.XLOOKUP(D1098,Mapping!A:A,Mapping!D:D,0,0)</f>
        <v>Keyword - Preroll</v>
      </c>
      <c r="AF1098" t="str">
        <f t="shared" si="35"/>
        <v>OLD</v>
      </c>
    </row>
    <row r="1099" spans="1:32" x14ac:dyDescent="0.2">
      <c r="A1099" t="s">
        <v>1119</v>
      </c>
      <c r="B1099" t="s">
        <v>39</v>
      </c>
      <c r="C1099">
        <v>1011822582</v>
      </c>
      <c r="D1099" t="s">
        <v>102</v>
      </c>
      <c r="E1099" t="s">
        <v>31</v>
      </c>
      <c r="F1099" s="1">
        <v>0.67291666666666672</v>
      </c>
      <c r="G1099" t="s">
        <v>32</v>
      </c>
      <c r="H1099" t="s">
        <v>33</v>
      </c>
      <c r="I1099" t="s">
        <v>41</v>
      </c>
      <c r="J1099" t="s">
        <v>62</v>
      </c>
      <c r="K1099">
        <v>126</v>
      </c>
      <c r="L1099">
        <v>0</v>
      </c>
      <c r="M1099" t="s">
        <v>63</v>
      </c>
      <c r="N1099">
        <v>100</v>
      </c>
      <c r="O1099">
        <v>0</v>
      </c>
      <c r="P1099">
        <v>0</v>
      </c>
      <c r="Q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 t="s">
        <v>36</v>
      </c>
      <c r="AC1099" t="s">
        <v>687</v>
      </c>
      <c r="AD1099" t="str">
        <f t="shared" si="34"/>
        <v>CP</v>
      </c>
      <c r="AE1099" t="str">
        <f>_xlfn.XLOOKUP(D1099,Mapping!A:A,Mapping!D:D,0,0)</f>
        <v>Bin</v>
      </c>
      <c r="AF1099" t="str">
        <f t="shared" si="35"/>
        <v>OLD</v>
      </c>
    </row>
    <row r="1100" spans="1:32" x14ac:dyDescent="0.2">
      <c r="A1100" t="s">
        <v>1119</v>
      </c>
      <c r="B1100" t="s">
        <v>39</v>
      </c>
      <c r="C1100">
        <v>1011822592</v>
      </c>
      <c r="D1100" t="s">
        <v>103</v>
      </c>
      <c r="E1100" t="s">
        <v>31</v>
      </c>
      <c r="F1100" s="1">
        <v>0.67291666666666672</v>
      </c>
      <c r="G1100" t="s">
        <v>32</v>
      </c>
      <c r="H1100" t="s">
        <v>33</v>
      </c>
      <c r="I1100" t="s">
        <v>34</v>
      </c>
      <c r="J1100" t="s">
        <v>84</v>
      </c>
      <c r="K1100">
        <v>273</v>
      </c>
      <c r="L1100">
        <v>0</v>
      </c>
      <c r="M1100" t="s">
        <v>36</v>
      </c>
      <c r="N1100" t="s">
        <v>37</v>
      </c>
      <c r="O1100">
        <v>0</v>
      </c>
      <c r="P1100">
        <v>0</v>
      </c>
      <c r="Q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 t="s">
        <v>36</v>
      </c>
      <c r="AC1100" t="s">
        <v>687</v>
      </c>
      <c r="AD1100" t="str">
        <f t="shared" si="34"/>
        <v>CP</v>
      </c>
      <c r="AE1100" t="str">
        <f>_xlfn.XLOOKUP(D1100,Mapping!A:A,Mapping!D:D,0,0)</f>
        <v>Keyword - Preroll</v>
      </c>
      <c r="AF1100" t="str">
        <f t="shared" si="35"/>
        <v>OLD</v>
      </c>
    </row>
    <row r="1101" spans="1:32" x14ac:dyDescent="0.2">
      <c r="A1101" t="s">
        <v>1119</v>
      </c>
      <c r="B1101" t="s">
        <v>39</v>
      </c>
      <c r="C1101">
        <v>1011822602</v>
      </c>
      <c r="D1101" t="s">
        <v>104</v>
      </c>
      <c r="E1101" t="s">
        <v>31</v>
      </c>
      <c r="F1101" s="1">
        <v>0.67291666666666672</v>
      </c>
      <c r="G1101" t="s">
        <v>32</v>
      </c>
      <c r="H1101" t="s">
        <v>33</v>
      </c>
      <c r="I1101" t="s">
        <v>41</v>
      </c>
      <c r="J1101" t="s">
        <v>62</v>
      </c>
      <c r="K1101">
        <v>522</v>
      </c>
      <c r="L1101">
        <v>0</v>
      </c>
      <c r="M1101" t="s">
        <v>36</v>
      </c>
      <c r="N1101" t="s">
        <v>37</v>
      </c>
      <c r="O1101">
        <v>0</v>
      </c>
      <c r="P1101">
        <v>0</v>
      </c>
      <c r="Q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 t="s">
        <v>36</v>
      </c>
      <c r="AC1101" t="s">
        <v>687</v>
      </c>
      <c r="AD1101" t="str">
        <f t="shared" si="34"/>
        <v>CP</v>
      </c>
      <c r="AE1101" t="str">
        <f>_xlfn.XLOOKUP(D1101,Mapping!A:A,Mapping!D:D,0,0)</f>
        <v>Bin</v>
      </c>
      <c r="AF1101" t="str">
        <f t="shared" si="35"/>
        <v>OLD</v>
      </c>
    </row>
    <row r="1102" spans="1:32" x14ac:dyDescent="0.2">
      <c r="A1102" t="s">
        <v>1119</v>
      </c>
      <c r="B1102" t="s">
        <v>39</v>
      </c>
      <c r="C1102">
        <v>1011822612</v>
      </c>
      <c r="D1102" t="s">
        <v>105</v>
      </c>
      <c r="E1102" t="s">
        <v>31</v>
      </c>
      <c r="F1102" s="1">
        <v>0.67291666666666672</v>
      </c>
      <c r="G1102" t="s">
        <v>32</v>
      </c>
      <c r="H1102" t="s">
        <v>33</v>
      </c>
      <c r="I1102" t="s">
        <v>41</v>
      </c>
      <c r="J1102" t="s">
        <v>62</v>
      </c>
      <c r="K1102">
        <v>126</v>
      </c>
      <c r="L1102">
        <v>0</v>
      </c>
      <c r="M1102" t="s">
        <v>63</v>
      </c>
      <c r="N1102">
        <v>100</v>
      </c>
      <c r="O1102">
        <v>0</v>
      </c>
      <c r="P1102">
        <v>0</v>
      </c>
      <c r="Q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 t="s">
        <v>36</v>
      </c>
      <c r="AC1102" t="s">
        <v>687</v>
      </c>
      <c r="AD1102" t="str">
        <f t="shared" si="34"/>
        <v>CP</v>
      </c>
      <c r="AE1102" t="str">
        <f>_xlfn.XLOOKUP(D1102,Mapping!A:A,Mapping!D:D,0,0)</f>
        <v>Bin</v>
      </c>
      <c r="AF1102" t="str">
        <f t="shared" si="35"/>
        <v>OLD</v>
      </c>
    </row>
    <row r="1103" spans="1:32" x14ac:dyDescent="0.2">
      <c r="A1103" t="s">
        <v>1119</v>
      </c>
      <c r="B1103" t="s">
        <v>39</v>
      </c>
      <c r="C1103">
        <v>1011822642</v>
      </c>
      <c r="D1103" t="s">
        <v>106</v>
      </c>
      <c r="E1103" t="s">
        <v>31</v>
      </c>
      <c r="F1103" s="1">
        <v>0.67291666666666672</v>
      </c>
      <c r="G1103" t="s">
        <v>32</v>
      </c>
      <c r="H1103" t="s">
        <v>33</v>
      </c>
      <c r="I1103" t="s">
        <v>41</v>
      </c>
      <c r="J1103" t="s">
        <v>62</v>
      </c>
      <c r="K1103">
        <v>616</v>
      </c>
      <c r="L1103">
        <v>0</v>
      </c>
      <c r="M1103" t="s">
        <v>36</v>
      </c>
      <c r="N1103" t="s">
        <v>37</v>
      </c>
      <c r="O1103">
        <v>0</v>
      </c>
      <c r="P1103">
        <v>0</v>
      </c>
      <c r="Q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 t="s">
        <v>36</v>
      </c>
      <c r="AC1103" t="s">
        <v>687</v>
      </c>
      <c r="AD1103" t="str">
        <f t="shared" si="34"/>
        <v>CP</v>
      </c>
      <c r="AE1103" t="str">
        <f>_xlfn.XLOOKUP(D1103,Mapping!A:A,Mapping!D:D,0,0)</f>
        <v>Bin</v>
      </c>
      <c r="AF1103" t="str">
        <f t="shared" si="35"/>
        <v>OLD</v>
      </c>
    </row>
    <row r="1104" spans="1:32" x14ac:dyDescent="0.2">
      <c r="A1104" t="s">
        <v>1119</v>
      </c>
      <c r="B1104" t="s">
        <v>39</v>
      </c>
      <c r="C1104">
        <v>1011822652</v>
      </c>
      <c r="D1104" t="s">
        <v>107</v>
      </c>
      <c r="E1104" t="s">
        <v>31</v>
      </c>
      <c r="F1104" s="1">
        <v>0.67291666666666672</v>
      </c>
      <c r="G1104" t="s">
        <v>32</v>
      </c>
      <c r="H1104" t="s">
        <v>33</v>
      </c>
      <c r="I1104" t="s">
        <v>41</v>
      </c>
      <c r="J1104" t="s">
        <v>62</v>
      </c>
      <c r="K1104">
        <v>616</v>
      </c>
      <c r="L1104">
        <v>0</v>
      </c>
      <c r="M1104" t="s">
        <v>63</v>
      </c>
      <c r="N1104">
        <v>200</v>
      </c>
      <c r="O1104">
        <v>0</v>
      </c>
      <c r="P1104">
        <v>0</v>
      </c>
      <c r="Q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 t="s">
        <v>36</v>
      </c>
      <c r="AC1104" t="s">
        <v>687</v>
      </c>
      <c r="AD1104" t="str">
        <f t="shared" si="34"/>
        <v>CP</v>
      </c>
      <c r="AE1104" t="str">
        <f>_xlfn.XLOOKUP(D1104,Mapping!A:A,Mapping!D:D,0,0)</f>
        <v>Bin</v>
      </c>
      <c r="AF1104" t="str">
        <f t="shared" si="35"/>
        <v>OLD</v>
      </c>
    </row>
    <row r="1105" spans="1:32" x14ac:dyDescent="0.2">
      <c r="A1105" t="s">
        <v>1119</v>
      </c>
      <c r="B1105" t="s">
        <v>39</v>
      </c>
      <c r="C1105">
        <v>1011822662</v>
      </c>
      <c r="D1105" t="s">
        <v>108</v>
      </c>
      <c r="E1105" t="s">
        <v>31</v>
      </c>
      <c r="F1105" s="1">
        <v>0.67291666666666672</v>
      </c>
      <c r="G1105" t="s">
        <v>32</v>
      </c>
      <c r="H1105" t="s">
        <v>33</v>
      </c>
      <c r="I1105" t="s">
        <v>41</v>
      </c>
      <c r="J1105" t="s">
        <v>62</v>
      </c>
      <c r="K1105">
        <v>220</v>
      </c>
      <c r="L1105">
        <v>0</v>
      </c>
      <c r="M1105" t="s">
        <v>63</v>
      </c>
      <c r="N1105">
        <v>200</v>
      </c>
      <c r="O1105">
        <v>0</v>
      </c>
      <c r="P1105">
        <v>0</v>
      </c>
      <c r="Q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 t="s">
        <v>36</v>
      </c>
      <c r="AC1105" t="s">
        <v>687</v>
      </c>
      <c r="AD1105" t="str">
        <f t="shared" si="34"/>
        <v>CP</v>
      </c>
      <c r="AE1105" t="str">
        <f>_xlfn.XLOOKUP(D1105,Mapping!A:A,Mapping!D:D,0,0)</f>
        <v>Bin</v>
      </c>
      <c r="AF1105" t="str">
        <f t="shared" si="35"/>
        <v>OLD</v>
      </c>
    </row>
    <row r="1106" spans="1:32" x14ac:dyDescent="0.2">
      <c r="A1106" t="s">
        <v>1119</v>
      </c>
      <c r="B1106" t="s">
        <v>39</v>
      </c>
      <c r="C1106">
        <v>1011822672</v>
      </c>
      <c r="D1106" t="s">
        <v>109</v>
      </c>
      <c r="E1106" t="s">
        <v>31</v>
      </c>
      <c r="F1106" s="1">
        <v>0.67291666666666672</v>
      </c>
      <c r="G1106" t="s">
        <v>32</v>
      </c>
      <c r="H1106" t="s">
        <v>33</v>
      </c>
      <c r="I1106" t="s">
        <v>41</v>
      </c>
      <c r="J1106" t="s">
        <v>62</v>
      </c>
      <c r="K1106">
        <v>220</v>
      </c>
      <c r="L1106">
        <v>0</v>
      </c>
      <c r="M1106" t="s">
        <v>36</v>
      </c>
      <c r="N1106" t="s">
        <v>37</v>
      </c>
      <c r="O1106">
        <v>0</v>
      </c>
      <c r="P1106">
        <v>0</v>
      </c>
      <c r="Q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 t="s">
        <v>36</v>
      </c>
      <c r="AC1106" t="s">
        <v>687</v>
      </c>
      <c r="AD1106" t="str">
        <f t="shared" si="34"/>
        <v>CP</v>
      </c>
      <c r="AE1106" t="str">
        <f>_xlfn.XLOOKUP(D1106,Mapping!A:A,Mapping!D:D,0,0)</f>
        <v>Bin</v>
      </c>
      <c r="AF1106" t="str">
        <f t="shared" si="35"/>
        <v>OLD</v>
      </c>
    </row>
    <row r="1107" spans="1:32" x14ac:dyDescent="0.2">
      <c r="A1107" t="s">
        <v>1119</v>
      </c>
      <c r="B1107" t="s">
        <v>39</v>
      </c>
      <c r="C1107">
        <v>1011822682</v>
      </c>
      <c r="D1107" t="s">
        <v>110</v>
      </c>
      <c r="E1107" t="s">
        <v>31</v>
      </c>
      <c r="F1107" s="1">
        <v>0.67291666666666672</v>
      </c>
      <c r="G1107" t="s">
        <v>32</v>
      </c>
      <c r="H1107" t="s">
        <v>33</v>
      </c>
      <c r="I1107" t="s">
        <v>41</v>
      </c>
      <c r="J1107" t="s">
        <v>62</v>
      </c>
      <c r="K1107">
        <v>220</v>
      </c>
      <c r="L1107">
        <v>0</v>
      </c>
      <c r="M1107" t="s">
        <v>63</v>
      </c>
      <c r="N1107">
        <v>200</v>
      </c>
      <c r="O1107">
        <v>0</v>
      </c>
      <c r="P1107">
        <v>0</v>
      </c>
      <c r="Q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 t="s">
        <v>36</v>
      </c>
      <c r="AC1107" t="s">
        <v>687</v>
      </c>
      <c r="AD1107" t="str">
        <f t="shared" si="34"/>
        <v>CP</v>
      </c>
      <c r="AE1107" t="str">
        <f>_xlfn.XLOOKUP(D1107,Mapping!A:A,Mapping!D:D,0,0)</f>
        <v>Bin</v>
      </c>
      <c r="AF1107" t="str">
        <f t="shared" si="35"/>
        <v>OLD</v>
      </c>
    </row>
    <row r="1108" spans="1:32" x14ac:dyDescent="0.2">
      <c r="A1108" t="s">
        <v>1119</v>
      </c>
      <c r="B1108" t="s">
        <v>39</v>
      </c>
      <c r="C1108">
        <v>1011822692</v>
      </c>
      <c r="D1108" t="s">
        <v>111</v>
      </c>
      <c r="E1108" t="s">
        <v>31</v>
      </c>
      <c r="F1108" s="1">
        <v>0.67291666666666672</v>
      </c>
      <c r="G1108" t="s">
        <v>32</v>
      </c>
      <c r="H1108" t="s">
        <v>33</v>
      </c>
      <c r="I1108" t="s">
        <v>41</v>
      </c>
      <c r="J1108" t="s">
        <v>62</v>
      </c>
      <c r="K1108">
        <v>220</v>
      </c>
      <c r="L1108">
        <v>0</v>
      </c>
      <c r="M1108" t="s">
        <v>36</v>
      </c>
      <c r="N1108" t="s">
        <v>37</v>
      </c>
      <c r="O1108">
        <v>0</v>
      </c>
      <c r="P1108">
        <v>0</v>
      </c>
      <c r="Q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 t="s">
        <v>36</v>
      </c>
      <c r="AC1108" t="s">
        <v>687</v>
      </c>
      <c r="AD1108" t="str">
        <f t="shared" si="34"/>
        <v>CP</v>
      </c>
      <c r="AE1108" t="str">
        <f>_xlfn.XLOOKUP(D1108,Mapping!A:A,Mapping!D:D,0,0)</f>
        <v>Bin</v>
      </c>
      <c r="AF1108" t="str">
        <f t="shared" si="35"/>
        <v>OLD</v>
      </c>
    </row>
    <row r="1109" spans="1:32" x14ac:dyDescent="0.2">
      <c r="A1109" t="s">
        <v>1119</v>
      </c>
      <c r="B1109" t="s">
        <v>39</v>
      </c>
      <c r="C1109">
        <v>1011822702</v>
      </c>
      <c r="D1109" t="s">
        <v>112</v>
      </c>
      <c r="E1109" t="s">
        <v>31</v>
      </c>
      <c r="F1109" s="1">
        <v>0.67291666666666672</v>
      </c>
      <c r="G1109" t="s">
        <v>32</v>
      </c>
      <c r="H1109" t="s">
        <v>33</v>
      </c>
      <c r="I1109" t="s">
        <v>41</v>
      </c>
      <c r="J1109" t="s">
        <v>62</v>
      </c>
      <c r="K1109">
        <v>220</v>
      </c>
      <c r="L1109">
        <v>0</v>
      </c>
      <c r="M1109" t="s">
        <v>63</v>
      </c>
      <c r="N1109">
        <v>200</v>
      </c>
      <c r="O1109">
        <v>0</v>
      </c>
      <c r="P1109">
        <v>0</v>
      </c>
      <c r="Q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 t="s">
        <v>36</v>
      </c>
      <c r="AC1109" t="s">
        <v>687</v>
      </c>
      <c r="AD1109" t="str">
        <f t="shared" ref="AD1109:AD1172" si="36">LEFT(D1109,2)</f>
        <v>CP</v>
      </c>
      <c r="AE1109" t="str">
        <f>_xlfn.XLOOKUP(D1109,Mapping!A:A,Mapping!D:D,0,0)</f>
        <v>Bin</v>
      </c>
      <c r="AF1109" t="str">
        <f t="shared" ref="AF1109:AF1172" si="37">IFERROR(IF(SEARCH("_TJ",D1109)&gt;0,"TJ",NA()),IFERROR(IF(SEARCH("_JB",D1109)&gt;0,"JB",NA()),"OLD"))</f>
        <v>OLD</v>
      </c>
    </row>
    <row r="1110" spans="1:32" x14ac:dyDescent="0.2">
      <c r="A1110" t="s">
        <v>1119</v>
      </c>
      <c r="B1110" t="s">
        <v>39</v>
      </c>
      <c r="C1110">
        <v>1011822712</v>
      </c>
      <c r="D1110" t="s">
        <v>113</v>
      </c>
      <c r="E1110" t="s">
        <v>31</v>
      </c>
      <c r="F1110" s="1">
        <v>0.67291666666666672</v>
      </c>
      <c r="G1110" t="s">
        <v>32</v>
      </c>
      <c r="H1110" t="s">
        <v>33</v>
      </c>
      <c r="I1110" t="s">
        <v>41</v>
      </c>
      <c r="J1110" t="s">
        <v>62</v>
      </c>
      <c r="K1110">
        <v>748</v>
      </c>
      <c r="L1110">
        <v>0</v>
      </c>
      <c r="M1110" t="s">
        <v>36</v>
      </c>
      <c r="N1110" t="s">
        <v>37</v>
      </c>
      <c r="O1110">
        <v>0</v>
      </c>
      <c r="P1110">
        <v>0</v>
      </c>
      <c r="Q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 t="s">
        <v>36</v>
      </c>
      <c r="AC1110" t="s">
        <v>687</v>
      </c>
      <c r="AD1110" t="str">
        <f t="shared" si="36"/>
        <v>CP</v>
      </c>
      <c r="AE1110" t="str">
        <f>_xlfn.XLOOKUP(D1110,Mapping!A:A,Mapping!D:D,0,0)</f>
        <v>Bin</v>
      </c>
      <c r="AF1110" t="str">
        <f t="shared" si="37"/>
        <v>OLD</v>
      </c>
    </row>
    <row r="1111" spans="1:32" x14ac:dyDescent="0.2">
      <c r="A1111" t="s">
        <v>1119</v>
      </c>
      <c r="B1111" t="s">
        <v>39</v>
      </c>
      <c r="C1111">
        <v>1011822722</v>
      </c>
      <c r="D1111" t="s">
        <v>114</v>
      </c>
      <c r="E1111" t="s">
        <v>31</v>
      </c>
      <c r="F1111" s="1">
        <v>0.67291666666666672</v>
      </c>
      <c r="G1111" t="s">
        <v>32</v>
      </c>
      <c r="H1111" t="s">
        <v>33</v>
      </c>
      <c r="I1111" t="s">
        <v>41</v>
      </c>
      <c r="J1111" t="s">
        <v>62</v>
      </c>
      <c r="K1111">
        <v>616</v>
      </c>
      <c r="L1111">
        <v>0</v>
      </c>
      <c r="M1111" t="s">
        <v>36</v>
      </c>
      <c r="N1111" t="s">
        <v>37</v>
      </c>
      <c r="O1111">
        <v>0</v>
      </c>
      <c r="P1111">
        <v>0</v>
      </c>
      <c r="Q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 t="s">
        <v>36</v>
      </c>
      <c r="AC1111" t="s">
        <v>687</v>
      </c>
      <c r="AD1111" t="str">
        <f t="shared" si="36"/>
        <v>CP</v>
      </c>
      <c r="AE1111" t="str">
        <f>_xlfn.XLOOKUP(D1111,Mapping!A:A,Mapping!D:D,0,0)</f>
        <v>Bin</v>
      </c>
      <c r="AF1111" t="str">
        <f t="shared" si="37"/>
        <v>OLD</v>
      </c>
    </row>
    <row r="1112" spans="1:32" x14ac:dyDescent="0.2">
      <c r="A1112" t="s">
        <v>1119</v>
      </c>
      <c r="B1112" t="s">
        <v>39</v>
      </c>
      <c r="C1112">
        <v>1011822732</v>
      </c>
      <c r="D1112" t="s">
        <v>115</v>
      </c>
      <c r="E1112" t="s">
        <v>31</v>
      </c>
      <c r="F1112" s="1">
        <v>0.67291666666666672</v>
      </c>
      <c r="G1112" t="s">
        <v>32</v>
      </c>
      <c r="H1112" t="s">
        <v>33</v>
      </c>
      <c r="I1112" t="s">
        <v>41</v>
      </c>
      <c r="J1112" t="s">
        <v>62</v>
      </c>
      <c r="K1112">
        <v>616</v>
      </c>
      <c r="L1112">
        <v>0</v>
      </c>
      <c r="M1112" t="s">
        <v>63</v>
      </c>
      <c r="N1112">
        <v>200</v>
      </c>
      <c r="O1112">
        <v>0</v>
      </c>
      <c r="P1112">
        <v>0</v>
      </c>
      <c r="Q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 t="s">
        <v>36</v>
      </c>
      <c r="AC1112" t="s">
        <v>687</v>
      </c>
      <c r="AD1112" t="str">
        <f t="shared" si="36"/>
        <v>CP</v>
      </c>
      <c r="AE1112" t="str">
        <f>_xlfn.XLOOKUP(D1112,Mapping!A:A,Mapping!D:D,0,0)</f>
        <v>Bin</v>
      </c>
      <c r="AF1112" t="str">
        <f t="shared" si="37"/>
        <v>OLD</v>
      </c>
    </row>
    <row r="1113" spans="1:32" x14ac:dyDescent="0.2">
      <c r="A1113" t="s">
        <v>1119</v>
      </c>
      <c r="B1113" t="s">
        <v>39</v>
      </c>
      <c r="C1113">
        <v>1011822742</v>
      </c>
      <c r="D1113" t="s">
        <v>116</v>
      </c>
      <c r="E1113" t="s">
        <v>31</v>
      </c>
      <c r="F1113" s="1">
        <v>0.67291666666666672</v>
      </c>
      <c r="G1113" t="s">
        <v>32</v>
      </c>
      <c r="H1113" t="s">
        <v>33</v>
      </c>
      <c r="I1113" t="s">
        <v>41</v>
      </c>
      <c r="J1113" t="s">
        <v>62</v>
      </c>
      <c r="K1113">
        <v>220</v>
      </c>
      <c r="L1113">
        <v>0</v>
      </c>
      <c r="M1113" t="s">
        <v>36</v>
      </c>
      <c r="N1113" t="s">
        <v>37</v>
      </c>
      <c r="O1113">
        <v>0</v>
      </c>
      <c r="P1113">
        <v>0</v>
      </c>
      <c r="Q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 t="s">
        <v>36</v>
      </c>
      <c r="AC1113" t="s">
        <v>687</v>
      </c>
      <c r="AD1113" t="str">
        <f t="shared" si="36"/>
        <v>CP</v>
      </c>
      <c r="AE1113" t="str">
        <f>_xlfn.XLOOKUP(D1113,Mapping!A:A,Mapping!D:D,0,0)</f>
        <v>Bin</v>
      </c>
      <c r="AF1113" t="str">
        <f t="shared" si="37"/>
        <v>OLD</v>
      </c>
    </row>
    <row r="1114" spans="1:32" x14ac:dyDescent="0.2">
      <c r="A1114" t="s">
        <v>1119</v>
      </c>
      <c r="B1114" t="s">
        <v>39</v>
      </c>
      <c r="C1114">
        <v>1011822762</v>
      </c>
      <c r="D1114" t="s">
        <v>117</v>
      </c>
      <c r="E1114" t="s">
        <v>31</v>
      </c>
      <c r="F1114" s="1">
        <v>0.67291666666666672</v>
      </c>
      <c r="G1114" t="s">
        <v>32</v>
      </c>
      <c r="H1114" t="s">
        <v>33</v>
      </c>
      <c r="I1114" t="s">
        <v>41</v>
      </c>
      <c r="J1114" t="s">
        <v>62</v>
      </c>
      <c r="K1114">
        <v>748</v>
      </c>
      <c r="L1114">
        <v>0</v>
      </c>
      <c r="M1114" t="s">
        <v>36</v>
      </c>
      <c r="N1114" t="s">
        <v>37</v>
      </c>
      <c r="O1114">
        <v>0</v>
      </c>
      <c r="P1114">
        <v>0</v>
      </c>
      <c r="Q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 t="s">
        <v>36</v>
      </c>
      <c r="AC1114" t="s">
        <v>687</v>
      </c>
      <c r="AD1114" t="str">
        <f t="shared" si="36"/>
        <v>CP</v>
      </c>
      <c r="AE1114" t="str">
        <f>_xlfn.XLOOKUP(D1114,Mapping!A:A,Mapping!D:D,0,0)</f>
        <v>Bin</v>
      </c>
      <c r="AF1114" t="str">
        <f t="shared" si="37"/>
        <v>OLD</v>
      </c>
    </row>
    <row r="1115" spans="1:32" x14ac:dyDescent="0.2">
      <c r="A1115" t="s">
        <v>1119</v>
      </c>
      <c r="B1115" t="s">
        <v>39</v>
      </c>
      <c r="C1115">
        <v>1011822772</v>
      </c>
      <c r="D1115" t="s">
        <v>118</v>
      </c>
      <c r="E1115" t="s">
        <v>31</v>
      </c>
      <c r="F1115" s="1">
        <v>0.67291666666666672</v>
      </c>
      <c r="G1115" t="s">
        <v>32</v>
      </c>
      <c r="H1115" t="s">
        <v>33</v>
      </c>
      <c r="I1115" t="s">
        <v>41</v>
      </c>
      <c r="J1115" t="s">
        <v>62</v>
      </c>
      <c r="K1115">
        <v>99</v>
      </c>
      <c r="L1115">
        <v>0</v>
      </c>
      <c r="M1115" t="s">
        <v>36</v>
      </c>
      <c r="N1115" t="s">
        <v>37</v>
      </c>
      <c r="O1115">
        <v>0</v>
      </c>
      <c r="P1115">
        <v>0</v>
      </c>
      <c r="Q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 t="s">
        <v>36</v>
      </c>
      <c r="AC1115" t="s">
        <v>687</v>
      </c>
      <c r="AD1115" t="str">
        <f t="shared" si="36"/>
        <v>CP</v>
      </c>
      <c r="AE1115" t="str">
        <f>_xlfn.XLOOKUP(D1115,Mapping!A:A,Mapping!D:D,0,0)</f>
        <v>Archive</v>
      </c>
      <c r="AF1115" t="str">
        <f t="shared" si="37"/>
        <v>OLD</v>
      </c>
    </row>
    <row r="1116" spans="1:32" x14ac:dyDescent="0.2">
      <c r="A1116" t="s">
        <v>1119</v>
      </c>
      <c r="B1116" t="s">
        <v>39</v>
      </c>
      <c r="C1116">
        <v>1011822782</v>
      </c>
      <c r="D1116" t="s">
        <v>120</v>
      </c>
      <c r="E1116" t="s">
        <v>31</v>
      </c>
      <c r="F1116" s="1">
        <v>0.67291666666666672</v>
      </c>
      <c r="G1116" t="s">
        <v>32</v>
      </c>
      <c r="H1116" t="s">
        <v>33</v>
      </c>
      <c r="I1116" t="s">
        <v>41</v>
      </c>
      <c r="J1116" t="s">
        <v>62</v>
      </c>
      <c r="K1116">
        <v>220</v>
      </c>
      <c r="L1116">
        <v>0</v>
      </c>
      <c r="M1116" t="s">
        <v>63</v>
      </c>
      <c r="N1116">
        <v>200</v>
      </c>
      <c r="O1116">
        <v>0</v>
      </c>
      <c r="P1116">
        <v>0</v>
      </c>
      <c r="Q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 t="s">
        <v>36</v>
      </c>
      <c r="AC1116" t="s">
        <v>687</v>
      </c>
      <c r="AD1116" t="str">
        <f t="shared" si="36"/>
        <v>CP</v>
      </c>
      <c r="AE1116" t="str">
        <f>_xlfn.XLOOKUP(D1116,Mapping!A:A,Mapping!D:D,0,0)</f>
        <v>Bin</v>
      </c>
      <c r="AF1116" t="str">
        <f t="shared" si="37"/>
        <v>OLD</v>
      </c>
    </row>
    <row r="1117" spans="1:32" x14ac:dyDescent="0.2">
      <c r="A1117" t="s">
        <v>1119</v>
      </c>
      <c r="B1117" t="s">
        <v>39</v>
      </c>
      <c r="C1117">
        <v>1011822792</v>
      </c>
      <c r="D1117" t="s">
        <v>121</v>
      </c>
      <c r="E1117" t="s">
        <v>31</v>
      </c>
      <c r="F1117" s="1">
        <v>0.67291666666666672</v>
      </c>
      <c r="G1117" t="s">
        <v>32</v>
      </c>
      <c r="H1117" t="s">
        <v>33</v>
      </c>
      <c r="I1117" t="s">
        <v>41</v>
      </c>
      <c r="J1117" t="s">
        <v>62</v>
      </c>
      <c r="K1117">
        <v>220</v>
      </c>
      <c r="L1117">
        <v>0</v>
      </c>
      <c r="M1117" t="s">
        <v>36</v>
      </c>
      <c r="N1117" t="s">
        <v>37</v>
      </c>
      <c r="O1117">
        <v>0</v>
      </c>
      <c r="P1117">
        <v>0</v>
      </c>
      <c r="Q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 t="s">
        <v>36</v>
      </c>
      <c r="AC1117" t="s">
        <v>687</v>
      </c>
      <c r="AD1117" t="str">
        <f t="shared" si="36"/>
        <v>CP</v>
      </c>
      <c r="AE1117" t="str">
        <f>_xlfn.XLOOKUP(D1117,Mapping!A:A,Mapping!D:D,0,0)</f>
        <v>Bin</v>
      </c>
      <c r="AF1117" t="str">
        <f t="shared" si="37"/>
        <v>OLD</v>
      </c>
    </row>
    <row r="1118" spans="1:32" x14ac:dyDescent="0.2">
      <c r="A1118" t="s">
        <v>1119</v>
      </c>
      <c r="B1118" t="s">
        <v>39</v>
      </c>
      <c r="C1118">
        <v>1011822812</v>
      </c>
      <c r="D1118" t="s">
        <v>122</v>
      </c>
      <c r="E1118" t="s">
        <v>31</v>
      </c>
      <c r="F1118" s="1">
        <v>0.67291666666666672</v>
      </c>
      <c r="G1118" t="s">
        <v>32</v>
      </c>
      <c r="H1118" t="s">
        <v>33</v>
      </c>
      <c r="I1118" t="s">
        <v>41</v>
      </c>
      <c r="J1118" t="s">
        <v>58</v>
      </c>
      <c r="K1118">
        <v>242</v>
      </c>
      <c r="L1118">
        <v>0</v>
      </c>
      <c r="M1118" t="s">
        <v>36</v>
      </c>
      <c r="N1118" t="s">
        <v>37</v>
      </c>
      <c r="O1118">
        <v>0</v>
      </c>
      <c r="P1118">
        <v>0</v>
      </c>
      <c r="Q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 t="s">
        <v>36</v>
      </c>
      <c r="AC1118" t="s">
        <v>687</v>
      </c>
      <c r="AD1118" t="str">
        <f t="shared" si="36"/>
        <v>CP</v>
      </c>
      <c r="AE1118" t="str">
        <f>_xlfn.XLOOKUP(D1118,Mapping!A:A,Mapping!D:D,0,0)</f>
        <v>Bin</v>
      </c>
      <c r="AF1118" t="str">
        <f t="shared" si="37"/>
        <v>OLD</v>
      </c>
    </row>
    <row r="1119" spans="1:32" x14ac:dyDescent="0.2">
      <c r="A1119" t="s">
        <v>1119</v>
      </c>
      <c r="B1119" t="s">
        <v>39</v>
      </c>
      <c r="C1119">
        <v>1011838812</v>
      </c>
      <c r="D1119" t="s">
        <v>123</v>
      </c>
      <c r="E1119" t="s">
        <v>31</v>
      </c>
      <c r="F1119" s="1">
        <v>0.67291666666666672</v>
      </c>
      <c r="G1119" t="s">
        <v>32</v>
      </c>
      <c r="H1119" t="s">
        <v>33</v>
      </c>
      <c r="I1119" t="s">
        <v>34</v>
      </c>
      <c r="J1119" t="s">
        <v>124</v>
      </c>
      <c r="K1119">
        <v>170</v>
      </c>
      <c r="L1119">
        <v>0</v>
      </c>
      <c r="M1119" t="s">
        <v>63</v>
      </c>
      <c r="N1119">
        <v>150</v>
      </c>
      <c r="O1119">
        <v>0</v>
      </c>
      <c r="P1119">
        <v>0</v>
      </c>
      <c r="Q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 t="s">
        <v>36</v>
      </c>
      <c r="AC1119" t="s">
        <v>687</v>
      </c>
      <c r="AD1119" t="str">
        <f t="shared" si="36"/>
        <v>CP</v>
      </c>
      <c r="AE1119" t="str">
        <f>_xlfn.XLOOKUP(D1119,Mapping!A:A,Mapping!D:D,0,0)</f>
        <v>Trans</v>
      </c>
      <c r="AF1119" t="str">
        <f t="shared" si="37"/>
        <v>OLD</v>
      </c>
    </row>
    <row r="1120" spans="1:32" x14ac:dyDescent="0.2">
      <c r="A1120" t="s">
        <v>1119</v>
      </c>
      <c r="B1120" t="s">
        <v>39</v>
      </c>
      <c r="C1120">
        <v>1011838822</v>
      </c>
      <c r="D1120" t="s">
        <v>125</v>
      </c>
      <c r="E1120" t="s">
        <v>31</v>
      </c>
      <c r="F1120" s="1">
        <v>0.67291666666666672</v>
      </c>
      <c r="G1120" t="s">
        <v>32</v>
      </c>
      <c r="H1120" t="s">
        <v>33</v>
      </c>
      <c r="I1120" t="s">
        <v>41</v>
      </c>
      <c r="J1120" t="s">
        <v>58</v>
      </c>
      <c r="K1120">
        <v>242</v>
      </c>
      <c r="L1120">
        <v>0</v>
      </c>
      <c r="M1120" t="s">
        <v>63</v>
      </c>
      <c r="N1120">
        <v>100</v>
      </c>
      <c r="O1120">
        <v>0</v>
      </c>
      <c r="P1120">
        <v>0</v>
      </c>
      <c r="Q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 t="s">
        <v>36</v>
      </c>
      <c r="AC1120" t="s">
        <v>687</v>
      </c>
      <c r="AD1120" t="str">
        <f t="shared" si="36"/>
        <v>CP</v>
      </c>
      <c r="AE1120" t="str">
        <f>_xlfn.XLOOKUP(D1120,Mapping!A:A,Mapping!D:D,0,0)</f>
        <v>Bin</v>
      </c>
      <c r="AF1120" t="str">
        <f t="shared" si="37"/>
        <v>OLD</v>
      </c>
    </row>
    <row r="1121" spans="1:32" x14ac:dyDescent="0.2">
      <c r="A1121" t="s">
        <v>1119</v>
      </c>
      <c r="B1121" t="s">
        <v>39</v>
      </c>
      <c r="C1121">
        <v>1011838832</v>
      </c>
      <c r="D1121" t="s">
        <v>126</v>
      </c>
      <c r="E1121" t="s">
        <v>31</v>
      </c>
      <c r="F1121" s="1">
        <v>0.67291666666666672</v>
      </c>
      <c r="G1121" t="s">
        <v>32</v>
      </c>
      <c r="H1121" t="s">
        <v>33</v>
      </c>
      <c r="I1121" t="s">
        <v>41</v>
      </c>
      <c r="J1121" t="s">
        <v>58</v>
      </c>
      <c r="K1121">
        <v>242</v>
      </c>
      <c r="L1121">
        <v>0</v>
      </c>
      <c r="M1121" t="s">
        <v>36</v>
      </c>
      <c r="N1121" t="s">
        <v>37</v>
      </c>
      <c r="O1121">
        <v>0</v>
      </c>
      <c r="P1121">
        <v>0</v>
      </c>
      <c r="Q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 t="s">
        <v>36</v>
      </c>
      <c r="AC1121" t="s">
        <v>687</v>
      </c>
      <c r="AD1121" t="str">
        <f t="shared" si="36"/>
        <v>CP</v>
      </c>
      <c r="AE1121" t="str">
        <f>_xlfn.XLOOKUP(D1121,Mapping!A:A,Mapping!D:D,0,0)</f>
        <v>Trans</v>
      </c>
      <c r="AF1121" t="str">
        <f t="shared" si="37"/>
        <v>OLD</v>
      </c>
    </row>
    <row r="1122" spans="1:32" x14ac:dyDescent="0.2">
      <c r="A1122" t="s">
        <v>1119</v>
      </c>
      <c r="B1122" t="s">
        <v>39</v>
      </c>
      <c r="C1122">
        <v>1011838852</v>
      </c>
      <c r="D1122" t="s">
        <v>127</v>
      </c>
      <c r="E1122" t="s">
        <v>31</v>
      </c>
      <c r="F1122" s="1">
        <v>0.67291666666666672</v>
      </c>
      <c r="G1122" t="s">
        <v>32</v>
      </c>
      <c r="H1122" t="s">
        <v>33</v>
      </c>
      <c r="I1122" t="s">
        <v>41</v>
      </c>
      <c r="J1122" t="s">
        <v>58</v>
      </c>
      <c r="K1122">
        <v>242</v>
      </c>
      <c r="L1122">
        <v>0</v>
      </c>
      <c r="M1122" t="s">
        <v>36</v>
      </c>
      <c r="N1122" t="s">
        <v>37</v>
      </c>
      <c r="O1122">
        <v>0</v>
      </c>
      <c r="P1122">
        <v>0</v>
      </c>
      <c r="Q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 t="s">
        <v>36</v>
      </c>
      <c r="AC1122" t="s">
        <v>687</v>
      </c>
      <c r="AD1122" t="str">
        <f t="shared" si="36"/>
        <v>CP</v>
      </c>
      <c r="AE1122" t="str">
        <f>_xlfn.XLOOKUP(D1122,Mapping!A:A,Mapping!D:D,0,0)</f>
        <v>Bin</v>
      </c>
      <c r="AF1122" t="str">
        <f t="shared" si="37"/>
        <v>OLD</v>
      </c>
    </row>
    <row r="1123" spans="1:32" x14ac:dyDescent="0.2">
      <c r="A1123" t="s">
        <v>1119</v>
      </c>
      <c r="B1123" t="s">
        <v>39</v>
      </c>
      <c r="C1123">
        <v>1011838862</v>
      </c>
      <c r="D1123" t="s">
        <v>128</v>
      </c>
      <c r="E1123" t="s">
        <v>31</v>
      </c>
      <c r="F1123" s="1">
        <v>0.67291666666666672</v>
      </c>
      <c r="G1123" t="s">
        <v>32</v>
      </c>
      <c r="H1123" t="s">
        <v>33</v>
      </c>
      <c r="I1123" t="s">
        <v>41</v>
      </c>
      <c r="J1123" t="s">
        <v>58</v>
      </c>
      <c r="K1123">
        <v>242</v>
      </c>
      <c r="L1123">
        <v>0</v>
      </c>
      <c r="M1123" t="s">
        <v>36</v>
      </c>
      <c r="N1123" t="s">
        <v>37</v>
      </c>
      <c r="O1123">
        <v>0</v>
      </c>
      <c r="P1123">
        <v>0</v>
      </c>
      <c r="Q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 t="s">
        <v>36</v>
      </c>
      <c r="AC1123" t="s">
        <v>687</v>
      </c>
      <c r="AD1123" t="str">
        <f t="shared" si="36"/>
        <v>CP</v>
      </c>
      <c r="AE1123" t="str">
        <f>_xlfn.XLOOKUP(D1123,Mapping!A:A,Mapping!D:D,0,0)</f>
        <v>Bin</v>
      </c>
      <c r="AF1123" t="str">
        <f t="shared" si="37"/>
        <v>OLD</v>
      </c>
    </row>
    <row r="1124" spans="1:32" x14ac:dyDescent="0.2">
      <c r="A1124" t="s">
        <v>1119</v>
      </c>
      <c r="B1124" t="s">
        <v>39</v>
      </c>
      <c r="C1124">
        <v>1011838882</v>
      </c>
      <c r="D1124" t="s">
        <v>129</v>
      </c>
      <c r="E1124" t="s">
        <v>31</v>
      </c>
      <c r="F1124" s="1">
        <v>0.67291666666666672</v>
      </c>
      <c r="G1124" t="s">
        <v>32</v>
      </c>
      <c r="H1124" t="s">
        <v>33</v>
      </c>
      <c r="I1124" t="s">
        <v>34</v>
      </c>
      <c r="J1124" t="s">
        <v>124</v>
      </c>
      <c r="K1124">
        <v>120</v>
      </c>
      <c r="L1124">
        <v>0</v>
      </c>
      <c r="M1124" t="s">
        <v>36</v>
      </c>
      <c r="N1124" t="s">
        <v>37</v>
      </c>
      <c r="O1124">
        <v>0</v>
      </c>
      <c r="P1124">
        <v>0</v>
      </c>
      <c r="Q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 t="s">
        <v>36</v>
      </c>
      <c r="AC1124" t="s">
        <v>687</v>
      </c>
      <c r="AD1124" t="str">
        <f t="shared" si="36"/>
        <v>CP</v>
      </c>
      <c r="AE1124" t="str">
        <f>_xlfn.XLOOKUP(D1124,Mapping!A:A,Mapping!D:D,0,0)</f>
        <v>Trans</v>
      </c>
      <c r="AF1124" t="str">
        <f t="shared" si="37"/>
        <v>OLD</v>
      </c>
    </row>
    <row r="1125" spans="1:32" x14ac:dyDescent="0.2">
      <c r="A1125" t="s">
        <v>1119</v>
      </c>
      <c r="B1125" t="s">
        <v>39</v>
      </c>
      <c r="C1125">
        <v>1011838892</v>
      </c>
      <c r="D1125" t="s">
        <v>130</v>
      </c>
      <c r="E1125" t="s">
        <v>31</v>
      </c>
      <c r="F1125" s="1">
        <v>0.67291666666666672</v>
      </c>
      <c r="G1125" t="s">
        <v>32</v>
      </c>
      <c r="H1125" t="s">
        <v>33</v>
      </c>
      <c r="I1125" t="s">
        <v>34</v>
      </c>
      <c r="J1125" t="s">
        <v>124</v>
      </c>
      <c r="K1125">
        <v>230</v>
      </c>
      <c r="L1125">
        <v>0</v>
      </c>
      <c r="M1125" t="s">
        <v>36</v>
      </c>
      <c r="N1125" t="s">
        <v>37</v>
      </c>
      <c r="O1125">
        <v>0</v>
      </c>
      <c r="P1125">
        <v>0</v>
      </c>
      <c r="Q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 t="s">
        <v>36</v>
      </c>
      <c r="AC1125" t="s">
        <v>687</v>
      </c>
      <c r="AD1125" t="str">
        <f t="shared" si="36"/>
        <v>CP</v>
      </c>
      <c r="AE1125" t="str">
        <f>_xlfn.XLOOKUP(D1125,Mapping!A:A,Mapping!D:D,0,0)</f>
        <v>Trans</v>
      </c>
      <c r="AF1125" t="str">
        <f t="shared" si="37"/>
        <v>OLD</v>
      </c>
    </row>
    <row r="1126" spans="1:32" x14ac:dyDescent="0.2">
      <c r="A1126" t="s">
        <v>1119</v>
      </c>
      <c r="B1126" t="s">
        <v>39</v>
      </c>
      <c r="C1126">
        <v>1011838902</v>
      </c>
      <c r="D1126" t="s">
        <v>131</v>
      </c>
      <c r="E1126" t="s">
        <v>31</v>
      </c>
      <c r="F1126" s="1">
        <v>0.67291666666666672</v>
      </c>
      <c r="G1126" t="s">
        <v>32</v>
      </c>
      <c r="H1126" t="s">
        <v>33</v>
      </c>
      <c r="I1126" t="s">
        <v>34</v>
      </c>
      <c r="J1126" t="s">
        <v>124</v>
      </c>
      <c r="K1126">
        <v>170</v>
      </c>
      <c r="L1126">
        <v>0</v>
      </c>
      <c r="M1126" t="s">
        <v>36</v>
      </c>
      <c r="N1126" t="s">
        <v>37</v>
      </c>
      <c r="O1126">
        <v>0</v>
      </c>
      <c r="P1126">
        <v>0</v>
      </c>
      <c r="Q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 t="s">
        <v>36</v>
      </c>
      <c r="AC1126" t="s">
        <v>687</v>
      </c>
      <c r="AD1126" t="str">
        <f t="shared" si="36"/>
        <v>CP</v>
      </c>
      <c r="AE1126" t="str">
        <f>_xlfn.XLOOKUP(D1126,Mapping!A:A,Mapping!D:D,0,0)</f>
        <v>Bin</v>
      </c>
      <c r="AF1126" t="str">
        <f t="shared" si="37"/>
        <v>OLD</v>
      </c>
    </row>
    <row r="1127" spans="1:32" x14ac:dyDescent="0.2">
      <c r="A1127" t="s">
        <v>1119</v>
      </c>
      <c r="B1127" t="s">
        <v>39</v>
      </c>
      <c r="C1127">
        <v>1011838912</v>
      </c>
      <c r="D1127" t="s">
        <v>132</v>
      </c>
      <c r="E1127" t="s">
        <v>31</v>
      </c>
      <c r="F1127" s="1">
        <v>0.67291666666666672</v>
      </c>
      <c r="G1127" t="s">
        <v>32</v>
      </c>
      <c r="H1127" t="s">
        <v>33</v>
      </c>
      <c r="I1127" t="s">
        <v>41</v>
      </c>
      <c r="J1127" t="s">
        <v>58</v>
      </c>
      <c r="K1127">
        <v>242</v>
      </c>
      <c r="L1127">
        <v>0</v>
      </c>
      <c r="M1127" t="s">
        <v>36</v>
      </c>
      <c r="N1127" t="s">
        <v>37</v>
      </c>
      <c r="O1127">
        <v>0</v>
      </c>
      <c r="P1127">
        <v>0</v>
      </c>
      <c r="Q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 t="s">
        <v>36</v>
      </c>
      <c r="AC1127" t="s">
        <v>687</v>
      </c>
      <c r="AD1127" t="str">
        <f t="shared" si="36"/>
        <v>CP</v>
      </c>
      <c r="AE1127" t="str">
        <f>_xlfn.XLOOKUP(D1127,Mapping!A:A,Mapping!D:D,0,0)</f>
        <v>Trans</v>
      </c>
      <c r="AF1127" t="str">
        <f t="shared" si="37"/>
        <v>OLD</v>
      </c>
    </row>
    <row r="1128" spans="1:32" x14ac:dyDescent="0.2">
      <c r="A1128" t="s">
        <v>1119</v>
      </c>
      <c r="B1128" t="s">
        <v>39</v>
      </c>
      <c r="C1128">
        <v>1011838922</v>
      </c>
      <c r="D1128" t="s">
        <v>133</v>
      </c>
      <c r="E1128" t="s">
        <v>31</v>
      </c>
      <c r="F1128" s="1">
        <v>0.67291666666666672</v>
      </c>
      <c r="G1128" t="s">
        <v>32</v>
      </c>
      <c r="H1128" t="s">
        <v>33</v>
      </c>
      <c r="I1128" t="s">
        <v>41</v>
      </c>
      <c r="J1128" t="s">
        <v>58</v>
      </c>
      <c r="K1128">
        <v>242</v>
      </c>
      <c r="L1128">
        <v>0</v>
      </c>
      <c r="M1128" t="s">
        <v>36</v>
      </c>
      <c r="N1128" t="s">
        <v>37</v>
      </c>
      <c r="O1128">
        <v>0</v>
      </c>
      <c r="P1128">
        <v>0</v>
      </c>
      <c r="Q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 t="s">
        <v>36</v>
      </c>
      <c r="AC1128" t="s">
        <v>687</v>
      </c>
      <c r="AD1128" t="str">
        <f t="shared" si="36"/>
        <v>CP</v>
      </c>
      <c r="AE1128" t="str">
        <f>_xlfn.XLOOKUP(D1128,Mapping!A:A,Mapping!D:D,0,0)</f>
        <v>Bin</v>
      </c>
      <c r="AF1128" t="str">
        <f t="shared" si="37"/>
        <v>OLD</v>
      </c>
    </row>
    <row r="1129" spans="1:32" x14ac:dyDescent="0.2">
      <c r="A1129" t="s">
        <v>1119</v>
      </c>
      <c r="B1129" t="s">
        <v>39</v>
      </c>
      <c r="C1129">
        <v>1011838932</v>
      </c>
      <c r="D1129" t="s">
        <v>134</v>
      </c>
      <c r="E1129" t="s">
        <v>31</v>
      </c>
      <c r="F1129" s="1">
        <v>0.67291666666666672</v>
      </c>
      <c r="G1129" t="s">
        <v>32</v>
      </c>
      <c r="H1129" t="s">
        <v>33</v>
      </c>
      <c r="I1129" t="s">
        <v>41</v>
      </c>
      <c r="J1129" t="s">
        <v>62</v>
      </c>
      <c r="K1129">
        <v>220</v>
      </c>
      <c r="L1129">
        <v>0</v>
      </c>
      <c r="M1129" t="s">
        <v>63</v>
      </c>
      <c r="N1129">
        <v>250</v>
      </c>
      <c r="O1129">
        <v>0</v>
      </c>
      <c r="P1129">
        <v>0</v>
      </c>
      <c r="Q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 t="s">
        <v>36</v>
      </c>
      <c r="AC1129" t="s">
        <v>687</v>
      </c>
      <c r="AD1129" t="str">
        <f t="shared" si="36"/>
        <v>CP</v>
      </c>
      <c r="AE1129" t="str">
        <f>_xlfn.XLOOKUP(D1129,Mapping!A:A,Mapping!D:D,0,0)</f>
        <v>Bin</v>
      </c>
      <c r="AF1129" t="str">
        <f t="shared" si="37"/>
        <v>OLD</v>
      </c>
    </row>
    <row r="1130" spans="1:32" x14ac:dyDescent="0.2">
      <c r="A1130" t="s">
        <v>1119</v>
      </c>
      <c r="B1130" t="s">
        <v>39</v>
      </c>
      <c r="C1130">
        <v>1011838942</v>
      </c>
      <c r="D1130" t="s">
        <v>135</v>
      </c>
      <c r="E1130" t="s">
        <v>31</v>
      </c>
      <c r="F1130" s="1">
        <v>0.67291666666666672</v>
      </c>
      <c r="G1130" t="s">
        <v>32</v>
      </c>
      <c r="H1130" t="s">
        <v>33</v>
      </c>
      <c r="I1130" t="s">
        <v>34</v>
      </c>
      <c r="J1130" t="s">
        <v>84</v>
      </c>
      <c r="K1130">
        <v>88</v>
      </c>
      <c r="L1130">
        <v>0</v>
      </c>
      <c r="M1130" t="s">
        <v>63</v>
      </c>
      <c r="N1130">
        <v>500</v>
      </c>
      <c r="O1130">
        <v>0</v>
      </c>
      <c r="P1130">
        <v>0</v>
      </c>
      <c r="Q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 t="s">
        <v>36</v>
      </c>
      <c r="AC1130" t="s">
        <v>687</v>
      </c>
      <c r="AD1130" t="str">
        <f t="shared" si="36"/>
        <v>CP</v>
      </c>
      <c r="AE1130" t="str">
        <f>_xlfn.XLOOKUP(D1130,Mapping!A:A,Mapping!D:D,0,0)</f>
        <v>Bin</v>
      </c>
      <c r="AF1130" t="str">
        <f t="shared" si="37"/>
        <v>OLD</v>
      </c>
    </row>
    <row r="1131" spans="1:32" x14ac:dyDescent="0.2">
      <c r="A1131" t="s">
        <v>1119</v>
      </c>
      <c r="B1131" t="s">
        <v>39</v>
      </c>
      <c r="C1131">
        <v>1011838952</v>
      </c>
      <c r="D1131" t="s">
        <v>136</v>
      </c>
      <c r="E1131" t="s">
        <v>31</v>
      </c>
      <c r="F1131" s="1">
        <v>0.67291666666666672</v>
      </c>
      <c r="G1131" t="s">
        <v>32</v>
      </c>
      <c r="H1131" t="s">
        <v>33</v>
      </c>
      <c r="I1131" t="s">
        <v>41</v>
      </c>
      <c r="J1131" t="s">
        <v>62</v>
      </c>
      <c r="K1131">
        <v>748</v>
      </c>
      <c r="L1131">
        <v>0</v>
      </c>
      <c r="M1131" t="s">
        <v>36</v>
      </c>
      <c r="N1131" t="s">
        <v>37</v>
      </c>
      <c r="O1131">
        <v>0</v>
      </c>
      <c r="P1131">
        <v>0</v>
      </c>
      <c r="Q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 t="s">
        <v>36</v>
      </c>
      <c r="AC1131" t="s">
        <v>687</v>
      </c>
      <c r="AD1131" t="str">
        <f t="shared" si="36"/>
        <v>CP</v>
      </c>
      <c r="AE1131" t="str">
        <f>_xlfn.XLOOKUP(D1131,Mapping!A:A,Mapping!D:D,0,0)</f>
        <v>Bin</v>
      </c>
      <c r="AF1131" t="str">
        <f t="shared" si="37"/>
        <v>OLD</v>
      </c>
    </row>
    <row r="1132" spans="1:32" x14ac:dyDescent="0.2">
      <c r="A1132" t="s">
        <v>1119</v>
      </c>
      <c r="B1132" t="s">
        <v>39</v>
      </c>
      <c r="C1132">
        <v>1011838962</v>
      </c>
      <c r="D1132" t="s">
        <v>137</v>
      </c>
      <c r="E1132" t="s">
        <v>31</v>
      </c>
      <c r="F1132" s="1">
        <v>0.67291666666666672</v>
      </c>
      <c r="G1132" t="s">
        <v>32</v>
      </c>
      <c r="H1132" t="s">
        <v>33</v>
      </c>
      <c r="I1132" t="s">
        <v>41</v>
      </c>
      <c r="J1132" t="s">
        <v>62</v>
      </c>
      <c r="K1132">
        <v>616</v>
      </c>
      <c r="L1132">
        <v>0</v>
      </c>
      <c r="M1132" t="s">
        <v>36</v>
      </c>
      <c r="N1132" t="s">
        <v>37</v>
      </c>
      <c r="O1132">
        <v>0</v>
      </c>
      <c r="P1132">
        <v>0</v>
      </c>
      <c r="Q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 t="s">
        <v>36</v>
      </c>
      <c r="AC1132" t="s">
        <v>687</v>
      </c>
      <c r="AD1132" t="str">
        <f t="shared" si="36"/>
        <v>CP</v>
      </c>
      <c r="AE1132" t="str">
        <f>_xlfn.XLOOKUP(D1132,Mapping!A:A,Mapping!D:D,0,0)</f>
        <v>Bin</v>
      </c>
      <c r="AF1132" t="str">
        <f t="shared" si="37"/>
        <v>OLD</v>
      </c>
    </row>
    <row r="1133" spans="1:32" x14ac:dyDescent="0.2">
      <c r="A1133" t="s">
        <v>1119</v>
      </c>
      <c r="B1133" t="s">
        <v>39</v>
      </c>
      <c r="C1133">
        <v>1011838972</v>
      </c>
      <c r="D1133" t="s">
        <v>138</v>
      </c>
      <c r="E1133" t="s">
        <v>31</v>
      </c>
      <c r="F1133" s="1">
        <v>0.67291666666666672</v>
      </c>
      <c r="G1133" t="s">
        <v>32</v>
      </c>
      <c r="H1133" t="s">
        <v>33</v>
      </c>
      <c r="I1133" t="s">
        <v>34</v>
      </c>
      <c r="J1133" t="s">
        <v>84</v>
      </c>
      <c r="K1133">
        <v>88</v>
      </c>
      <c r="L1133">
        <v>0</v>
      </c>
      <c r="M1133" t="s">
        <v>63</v>
      </c>
      <c r="N1133">
        <v>500</v>
      </c>
      <c r="O1133">
        <v>0</v>
      </c>
      <c r="P1133">
        <v>0</v>
      </c>
      <c r="Q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 t="s">
        <v>36</v>
      </c>
      <c r="AC1133" t="s">
        <v>687</v>
      </c>
      <c r="AD1133" t="str">
        <f t="shared" si="36"/>
        <v>CP</v>
      </c>
      <c r="AE1133" t="str">
        <f>_xlfn.XLOOKUP(D1133,Mapping!A:A,Mapping!D:D,0,0)</f>
        <v>Bin</v>
      </c>
      <c r="AF1133" t="str">
        <f t="shared" si="37"/>
        <v>OLD</v>
      </c>
    </row>
    <row r="1134" spans="1:32" x14ac:dyDescent="0.2">
      <c r="A1134" t="s">
        <v>1119</v>
      </c>
      <c r="B1134" t="s">
        <v>39</v>
      </c>
      <c r="C1134">
        <v>1011838982</v>
      </c>
      <c r="D1134" t="s">
        <v>139</v>
      </c>
      <c r="E1134" t="s">
        <v>31</v>
      </c>
      <c r="F1134" s="1">
        <v>0.67291666666666672</v>
      </c>
      <c r="G1134" t="s">
        <v>32</v>
      </c>
      <c r="H1134" t="s">
        <v>33</v>
      </c>
      <c r="I1134" t="s">
        <v>41</v>
      </c>
      <c r="J1134" t="s">
        <v>62</v>
      </c>
      <c r="K1134">
        <v>220</v>
      </c>
      <c r="L1134">
        <v>0</v>
      </c>
      <c r="M1134" t="s">
        <v>36</v>
      </c>
      <c r="N1134" t="s">
        <v>37</v>
      </c>
      <c r="O1134">
        <v>0</v>
      </c>
      <c r="P1134">
        <v>0</v>
      </c>
      <c r="Q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 t="s">
        <v>36</v>
      </c>
      <c r="AC1134" t="s">
        <v>687</v>
      </c>
      <c r="AD1134" t="str">
        <f t="shared" si="36"/>
        <v>CP</v>
      </c>
      <c r="AE1134" t="str">
        <f>_xlfn.XLOOKUP(D1134,Mapping!A:A,Mapping!D:D,0,0)</f>
        <v>Bin</v>
      </c>
      <c r="AF1134" t="str">
        <f t="shared" si="37"/>
        <v>OLD</v>
      </c>
    </row>
    <row r="1135" spans="1:32" x14ac:dyDescent="0.2">
      <c r="A1135" t="s">
        <v>1119</v>
      </c>
      <c r="B1135" t="s">
        <v>39</v>
      </c>
      <c r="C1135">
        <v>1011838992</v>
      </c>
      <c r="D1135" t="s">
        <v>140</v>
      </c>
      <c r="E1135" t="s">
        <v>31</v>
      </c>
      <c r="F1135" s="1">
        <v>0.67291666666666672</v>
      </c>
      <c r="G1135" t="s">
        <v>32</v>
      </c>
      <c r="H1135" t="s">
        <v>33</v>
      </c>
      <c r="I1135" t="s">
        <v>41</v>
      </c>
      <c r="J1135" t="s">
        <v>62</v>
      </c>
      <c r="K1135">
        <v>220</v>
      </c>
      <c r="L1135">
        <v>0</v>
      </c>
      <c r="M1135" t="s">
        <v>63</v>
      </c>
      <c r="N1135">
        <v>150</v>
      </c>
      <c r="O1135">
        <v>0</v>
      </c>
      <c r="P1135">
        <v>0</v>
      </c>
      <c r="Q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 t="s">
        <v>36</v>
      </c>
      <c r="AC1135" t="s">
        <v>687</v>
      </c>
      <c r="AD1135" t="str">
        <f t="shared" si="36"/>
        <v>CP</v>
      </c>
      <c r="AE1135" t="str">
        <f>_xlfn.XLOOKUP(D1135,Mapping!A:A,Mapping!D:D,0,0)</f>
        <v>Bin</v>
      </c>
      <c r="AF1135" t="str">
        <f t="shared" si="37"/>
        <v>OLD</v>
      </c>
    </row>
    <row r="1136" spans="1:32" x14ac:dyDescent="0.2">
      <c r="A1136" t="s">
        <v>1119</v>
      </c>
      <c r="B1136" t="s">
        <v>39</v>
      </c>
      <c r="C1136">
        <v>1011839002</v>
      </c>
      <c r="D1136" t="s">
        <v>141</v>
      </c>
      <c r="E1136" t="s">
        <v>31</v>
      </c>
      <c r="F1136" s="1">
        <v>0.67291666666666672</v>
      </c>
      <c r="G1136" t="s">
        <v>32</v>
      </c>
      <c r="H1136" t="s">
        <v>33</v>
      </c>
      <c r="I1136" t="s">
        <v>34</v>
      </c>
      <c r="J1136" t="s">
        <v>84</v>
      </c>
      <c r="K1136">
        <v>88</v>
      </c>
      <c r="L1136">
        <v>0</v>
      </c>
      <c r="M1136" t="s">
        <v>63</v>
      </c>
      <c r="N1136">
        <v>500</v>
      </c>
      <c r="O1136">
        <v>0</v>
      </c>
      <c r="P1136">
        <v>0</v>
      </c>
      <c r="Q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 t="s">
        <v>36</v>
      </c>
      <c r="AC1136" t="s">
        <v>687</v>
      </c>
      <c r="AD1136" t="str">
        <f t="shared" si="36"/>
        <v>CP</v>
      </c>
      <c r="AE1136" t="str">
        <f>_xlfn.XLOOKUP(D1136,Mapping!A:A,Mapping!D:D,0,0)</f>
        <v>Bin</v>
      </c>
      <c r="AF1136" t="str">
        <f t="shared" si="37"/>
        <v>OLD</v>
      </c>
    </row>
    <row r="1137" spans="1:32" x14ac:dyDescent="0.2">
      <c r="A1137" t="s">
        <v>1119</v>
      </c>
      <c r="B1137" t="s">
        <v>39</v>
      </c>
      <c r="C1137">
        <v>1011839012</v>
      </c>
      <c r="D1137" t="s">
        <v>142</v>
      </c>
      <c r="E1137" t="s">
        <v>31</v>
      </c>
      <c r="F1137" s="1">
        <v>0.67291666666666672</v>
      </c>
      <c r="G1137" t="s">
        <v>32</v>
      </c>
      <c r="H1137" t="s">
        <v>33</v>
      </c>
      <c r="I1137" t="s">
        <v>34</v>
      </c>
      <c r="J1137" t="s">
        <v>84</v>
      </c>
      <c r="K1137">
        <v>88</v>
      </c>
      <c r="L1137">
        <v>0</v>
      </c>
      <c r="M1137" t="s">
        <v>36</v>
      </c>
      <c r="N1137" t="s">
        <v>37</v>
      </c>
      <c r="O1137">
        <v>0</v>
      </c>
      <c r="P1137">
        <v>0</v>
      </c>
      <c r="Q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 t="s">
        <v>36</v>
      </c>
      <c r="AC1137" t="s">
        <v>687</v>
      </c>
      <c r="AD1137" t="str">
        <f t="shared" si="36"/>
        <v>CP</v>
      </c>
      <c r="AE1137" t="str">
        <f>_xlfn.XLOOKUP(D1137,Mapping!A:A,Mapping!D:D,0,0)</f>
        <v>Bin</v>
      </c>
      <c r="AF1137" t="str">
        <f t="shared" si="37"/>
        <v>OLD</v>
      </c>
    </row>
    <row r="1138" spans="1:32" x14ac:dyDescent="0.2">
      <c r="A1138" t="s">
        <v>1119</v>
      </c>
      <c r="B1138" t="s">
        <v>39</v>
      </c>
      <c r="C1138">
        <v>1011839022</v>
      </c>
      <c r="D1138" t="s">
        <v>143</v>
      </c>
      <c r="E1138" t="s">
        <v>31</v>
      </c>
      <c r="F1138" s="1">
        <v>0.67291666666666672</v>
      </c>
      <c r="G1138" t="s">
        <v>32</v>
      </c>
      <c r="H1138" t="s">
        <v>33</v>
      </c>
      <c r="I1138" t="s">
        <v>41</v>
      </c>
      <c r="J1138" t="s">
        <v>62</v>
      </c>
      <c r="K1138">
        <v>220</v>
      </c>
      <c r="L1138">
        <v>0</v>
      </c>
      <c r="M1138" t="s">
        <v>36</v>
      </c>
      <c r="N1138" t="s">
        <v>37</v>
      </c>
      <c r="O1138">
        <v>0</v>
      </c>
      <c r="P1138">
        <v>0</v>
      </c>
      <c r="Q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 t="s">
        <v>36</v>
      </c>
      <c r="AC1138" t="s">
        <v>687</v>
      </c>
      <c r="AD1138" t="str">
        <f t="shared" si="36"/>
        <v>CP</v>
      </c>
      <c r="AE1138" t="str">
        <f>_xlfn.XLOOKUP(D1138,Mapping!A:A,Mapping!D:D,0,0)</f>
        <v>Bin</v>
      </c>
      <c r="AF1138" t="str">
        <f t="shared" si="37"/>
        <v>OLD</v>
      </c>
    </row>
    <row r="1139" spans="1:32" x14ac:dyDescent="0.2">
      <c r="A1139" t="s">
        <v>1119</v>
      </c>
      <c r="B1139" t="s">
        <v>39</v>
      </c>
      <c r="C1139">
        <v>1011839032</v>
      </c>
      <c r="D1139" t="s">
        <v>144</v>
      </c>
      <c r="E1139" t="s">
        <v>31</v>
      </c>
      <c r="F1139" s="1">
        <v>0.67291666666666672</v>
      </c>
      <c r="G1139" t="s">
        <v>32</v>
      </c>
      <c r="H1139" t="s">
        <v>33</v>
      </c>
      <c r="I1139" t="s">
        <v>41</v>
      </c>
      <c r="J1139" t="s">
        <v>62</v>
      </c>
      <c r="K1139">
        <v>220</v>
      </c>
      <c r="L1139">
        <v>0</v>
      </c>
      <c r="M1139" t="s">
        <v>63</v>
      </c>
      <c r="N1139">
        <v>200</v>
      </c>
      <c r="O1139">
        <v>0</v>
      </c>
      <c r="P1139">
        <v>0</v>
      </c>
      <c r="Q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 t="s">
        <v>36</v>
      </c>
      <c r="AC1139" t="s">
        <v>687</v>
      </c>
      <c r="AD1139" t="str">
        <f t="shared" si="36"/>
        <v>CP</v>
      </c>
      <c r="AE1139" t="str">
        <f>_xlfn.XLOOKUP(D1139,Mapping!A:A,Mapping!D:D,0,0)</f>
        <v>Bin</v>
      </c>
      <c r="AF1139" t="str">
        <f t="shared" si="37"/>
        <v>OLD</v>
      </c>
    </row>
    <row r="1140" spans="1:32" x14ac:dyDescent="0.2">
      <c r="A1140" t="s">
        <v>1119</v>
      </c>
      <c r="B1140" t="s">
        <v>39</v>
      </c>
      <c r="C1140">
        <v>1011839042</v>
      </c>
      <c r="D1140" t="s">
        <v>145</v>
      </c>
      <c r="E1140" t="s">
        <v>31</v>
      </c>
      <c r="F1140" s="1">
        <v>0.67291666666666672</v>
      </c>
      <c r="G1140" t="s">
        <v>32</v>
      </c>
      <c r="H1140" t="s">
        <v>33</v>
      </c>
      <c r="I1140" t="s">
        <v>41</v>
      </c>
      <c r="J1140" t="s">
        <v>62</v>
      </c>
      <c r="K1140">
        <v>130</v>
      </c>
      <c r="L1140">
        <v>0</v>
      </c>
      <c r="M1140" t="s">
        <v>63</v>
      </c>
      <c r="N1140">
        <v>100</v>
      </c>
      <c r="O1140">
        <v>0</v>
      </c>
      <c r="P1140">
        <v>0</v>
      </c>
      <c r="Q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 t="s">
        <v>36</v>
      </c>
      <c r="AC1140" t="s">
        <v>687</v>
      </c>
      <c r="AD1140" t="str">
        <f t="shared" si="36"/>
        <v>CP</v>
      </c>
      <c r="AE1140" t="str">
        <f>_xlfn.XLOOKUP(D1140,Mapping!A:A,Mapping!D:D,0,0)</f>
        <v>Bin</v>
      </c>
      <c r="AF1140" t="str">
        <f t="shared" si="37"/>
        <v>OLD</v>
      </c>
    </row>
    <row r="1141" spans="1:32" x14ac:dyDescent="0.2">
      <c r="A1141" t="s">
        <v>1119</v>
      </c>
      <c r="B1141" t="s">
        <v>39</v>
      </c>
      <c r="C1141">
        <v>1011839052</v>
      </c>
      <c r="D1141" t="s">
        <v>146</v>
      </c>
      <c r="E1141" t="s">
        <v>31</v>
      </c>
      <c r="F1141" s="1">
        <v>0.67291666666666672</v>
      </c>
      <c r="G1141" t="s">
        <v>32</v>
      </c>
      <c r="H1141" t="s">
        <v>33</v>
      </c>
      <c r="I1141" t="s">
        <v>34</v>
      </c>
      <c r="J1141" t="s">
        <v>84</v>
      </c>
      <c r="K1141">
        <v>88</v>
      </c>
      <c r="L1141">
        <v>0</v>
      </c>
      <c r="M1141" t="s">
        <v>63</v>
      </c>
      <c r="N1141">
        <v>500</v>
      </c>
      <c r="O1141">
        <v>0</v>
      </c>
      <c r="P1141">
        <v>0</v>
      </c>
      <c r="Q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 t="s">
        <v>36</v>
      </c>
      <c r="AC1141" t="s">
        <v>687</v>
      </c>
      <c r="AD1141" t="str">
        <f t="shared" si="36"/>
        <v>CP</v>
      </c>
      <c r="AE1141" t="str">
        <f>_xlfn.XLOOKUP(D1141,Mapping!A:A,Mapping!D:D,0,0)</f>
        <v>Bin</v>
      </c>
      <c r="AF1141" t="str">
        <f t="shared" si="37"/>
        <v>OLD</v>
      </c>
    </row>
    <row r="1142" spans="1:32" x14ac:dyDescent="0.2">
      <c r="A1142" t="s">
        <v>1119</v>
      </c>
      <c r="B1142" t="s">
        <v>39</v>
      </c>
      <c r="C1142">
        <v>1011839072</v>
      </c>
      <c r="D1142" t="s">
        <v>147</v>
      </c>
      <c r="E1142" t="s">
        <v>31</v>
      </c>
      <c r="F1142" s="1">
        <v>0.67291666666666672</v>
      </c>
      <c r="G1142" t="s">
        <v>32</v>
      </c>
      <c r="H1142" t="s">
        <v>33</v>
      </c>
      <c r="I1142" t="s">
        <v>41</v>
      </c>
      <c r="J1142" t="s">
        <v>62</v>
      </c>
      <c r="K1142">
        <v>130</v>
      </c>
      <c r="L1142">
        <v>0</v>
      </c>
      <c r="M1142" t="s">
        <v>63</v>
      </c>
      <c r="N1142">
        <v>100</v>
      </c>
      <c r="O1142">
        <v>0</v>
      </c>
      <c r="P1142">
        <v>0</v>
      </c>
      <c r="Q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 t="s">
        <v>36</v>
      </c>
      <c r="AC1142" t="s">
        <v>687</v>
      </c>
      <c r="AD1142" t="str">
        <f t="shared" si="36"/>
        <v>CP</v>
      </c>
      <c r="AE1142" t="str">
        <f>_xlfn.XLOOKUP(D1142,Mapping!A:A,Mapping!D:D,0,0)</f>
        <v>Bin</v>
      </c>
      <c r="AF1142" t="str">
        <f t="shared" si="37"/>
        <v>OLD</v>
      </c>
    </row>
    <row r="1143" spans="1:32" x14ac:dyDescent="0.2">
      <c r="A1143" t="s">
        <v>1119</v>
      </c>
      <c r="B1143" t="s">
        <v>39</v>
      </c>
      <c r="C1143">
        <v>1011839082</v>
      </c>
      <c r="D1143" t="s">
        <v>148</v>
      </c>
      <c r="E1143" t="s">
        <v>31</v>
      </c>
      <c r="F1143" s="1">
        <v>0.67291666666666672</v>
      </c>
      <c r="G1143" t="s">
        <v>32</v>
      </c>
      <c r="H1143" t="s">
        <v>33</v>
      </c>
      <c r="I1143" t="s">
        <v>41</v>
      </c>
      <c r="J1143" t="s">
        <v>62</v>
      </c>
      <c r="K1143">
        <v>526</v>
      </c>
      <c r="L1143">
        <v>0</v>
      </c>
      <c r="M1143" t="s">
        <v>36</v>
      </c>
      <c r="N1143" t="s">
        <v>37</v>
      </c>
      <c r="O1143">
        <v>0</v>
      </c>
      <c r="P1143">
        <v>0</v>
      </c>
      <c r="Q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 t="s">
        <v>36</v>
      </c>
      <c r="AC1143" t="s">
        <v>687</v>
      </c>
      <c r="AD1143" t="str">
        <f t="shared" si="36"/>
        <v>CP</v>
      </c>
      <c r="AE1143" t="str">
        <f>_xlfn.XLOOKUP(D1143,Mapping!A:A,Mapping!D:D,0,0)</f>
        <v>Bin</v>
      </c>
      <c r="AF1143" t="str">
        <f t="shared" si="37"/>
        <v>OLD</v>
      </c>
    </row>
    <row r="1144" spans="1:32" x14ac:dyDescent="0.2">
      <c r="A1144" t="s">
        <v>1119</v>
      </c>
      <c r="B1144" t="s">
        <v>39</v>
      </c>
      <c r="C1144">
        <v>1011839092</v>
      </c>
      <c r="D1144" t="s">
        <v>149</v>
      </c>
      <c r="E1144" t="s">
        <v>31</v>
      </c>
      <c r="F1144" s="1">
        <v>0.67291666666666672</v>
      </c>
      <c r="G1144" t="s">
        <v>32</v>
      </c>
      <c r="H1144" t="s">
        <v>33</v>
      </c>
      <c r="I1144" t="s">
        <v>34</v>
      </c>
      <c r="J1144" t="s">
        <v>84</v>
      </c>
      <c r="K1144">
        <v>268</v>
      </c>
      <c r="L1144">
        <v>0</v>
      </c>
      <c r="M1144" t="s">
        <v>36</v>
      </c>
      <c r="N1144" t="s">
        <v>37</v>
      </c>
      <c r="O1144">
        <v>0</v>
      </c>
      <c r="P1144">
        <v>0</v>
      </c>
      <c r="Q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 t="s">
        <v>36</v>
      </c>
      <c r="AC1144" t="s">
        <v>687</v>
      </c>
      <c r="AD1144" t="str">
        <f t="shared" si="36"/>
        <v>CP</v>
      </c>
      <c r="AE1144" t="str">
        <f>_xlfn.XLOOKUP(D1144,Mapping!A:A,Mapping!D:D,0,0)</f>
        <v>Bin</v>
      </c>
      <c r="AF1144" t="str">
        <f t="shared" si="37"/>
        <v>OLD</v>
      </c>
    </row>
    <row r="1145" spans="1:32" x14ac:dyDescent="0.2">
      <c r="A1145" t="s">
        <v>1119</v>
      </c>
      <c r="B1145" t="s">
        <v>39</v>
      </c>
      <c r="C1145">
        <v>1011839102</v>
      </c>
      <c r="D1145" t="s">
        <v>150</v>
      </c>
      <c r="E1145" t="s">
        <v>31</v>
      </c>
      <c r="F1145" s="1">
        <v>0.67291666666666672</v>
      </c>
      <c r="G1145" t="s">
        <v>32</v>
      </c>
      <c r="H1145" t="s">
        <v>33</v>
      </c>
      <c r="I1145" t="s">
        <v>34</v>
      </c>
      <c r="J1145" t="s">
        <v>84</v>
      </c>
      <c r="K1145">
        <v>268</v>
      </c>
      <c r="L1145">
        <v>0</v>
      </c>
      <c r="M1145" t="s">
        <v>36</v>
      </c>
      <c r="N1145" t="s">
        <v>37</v>
      </c>
      <c r="O1145">
        <v>0</v>
      </c>
      <c r="P1145">
        <v>0</v>
      </c>
      <c r="Q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 t="s">
        <v>36</v>
      </c>
      <c r="AC1145" t="s">
        <v>687</v>
      </c>
      <c r="AD1145" t="str">
        <f t="shared" si="36"/>
        <v>CP</v>
      </c>
      <c r="AE1145" t="str">
        <f>_xlfn.XLOOKUP(D1145,Mapping!A:A,Mapping!D:D,0,0)</f>
        <v>Bin</v>
      </c>
      <c r="AF1145" t="str">
        <f t="shared" si="37"/>
        <v>OLD</v>
      </c>
    </row>
    <row r="1146" spans="1:32" x14ac:dyDescent="0.2">
      <c r="A1146" t="s">
        <v>1119</v>
      </c>
      <c r="B1146" t="s">
        <v>39</v>
      </c>
      <c r="C1146">
        <v>1011839112</v>
      </c>
      <c r="D1146" t="s">
        <v>151</v>
      </c>
      <c r="E1146" t="s">
        <v>31</v>
      </c>
      <c r="F1146" s="1">
        <v>0.67291666666666672</v>
      </c>
      <c r="G1146" t="s">
        <v>32</v>
      </c>
      <c r="H1146" t="s">
        <v>33</v>
      </c>
      <c r="I1146" t="s">
        <v>41</v>
      </c>
      <c r="J1146" t="s">
        <v>62</v>
      </c>
      <c r="K1146">
        <v>526</v>
      </c>
      <c r="L1146">
        <v>0</v>
      </c>
      <c r="M1146" t="s">
        <v>36</v>
      </c>
      <c r="N1146" t="s">
        <v>37</v>
      </c>
      <c r="O1146">
        <v>0</v>
      </c>
      <c r="P1146">
        <v>0</v>
      </c>
      <c r="Q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 t="s">
        <v>36</v>
      </c>
      <c r="AC1146" t="s">
        <v>687</v>
      </c>
      <c r="AD1146" t="str">
        <f t="shared" si="36"/>
        <v>CP</v>
      </c>
      <c r="AE1146" t="str">
        <f>_xlfn.XLOOKUP(D1146,Mapping!A:A,Mapping!D:D,0,0)</f>
        <v>Bin</v>
      </c>
      <c r="AF1146" t="str">
        <f t="shared" si="37"/>
        <v>OLD</v>
      </c>
    </row>
    <row r="1147" spans="1:32" x14ac:dyDescent="0.2">
      <c r="A1147" t="s">
        <v>1119</v>
      </c>
      <c r="B1147" t="s">
        <v>39</v>
      </c>
      <c r="C1147">
        <v>1011839122</v>
      </c>
      <c r="D1147" t="s">
        <v>152</v>
      </c>
      <c r="E1147" t="s">
        <v>31</v>
      </c>
      <c r="F1147" s="1">
        <v>0.67291666666666672</v>
      </c>
      <c r="G1147" t="s">
        <v>32</v>
      </c>
      <c r="H1147" t="s">
        <v>33</v>
      </c>
      <c r="I1147" t="s">
        <v>41</v>
      </c>
      <c r="J1147" t="s">
        <v>62</v>
      </c>
      <c r="K1147">
        <v>130</v>
      </c>
      <c r="L1147">
        <v>0</v>
      </c>
      <c r="M1147" t="s">
        <v>63</v>
      </c>
      <c r="N1147">
        <v>100</v>
      </c>
      <c r="O1147">
        <v>0</v>
      </c>
      <c r="P1147">
        <v>0</v>
      </c>
      <c r="Q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 t="s">
        <v>36</v>
      </c>
      <c r="AC1147" t="s">
        <v>687</v>
      </c>
      <c r="AD1147" t="str">
        <f t="shared" si="36"/>
        <v>CP</v>
      </c>
      <c r="AE1147" t="str">
        <f>_xlfn.XLOOKUP(D1147,Mapping!A:A,Mapping!D:D,0,0)</f>
        <v>Bin</v>
      </c>
      <c r="AF1147" t="str">
        <f t="shared" si="37"/>
        <v>OLD</v>
      </c>
    </row>
    <row r="1148" spans="1:32" x14ac:dyDescent="0.2">
      <c r="A1148" t="s">
        <v>1119</v>
      </c>
      <c r="B1148" t="s">
        <v>39</v>
      </c>
      <c r="C1148">
        <v>1011839132</v>
      </c>
      <c r="D1148" t="s">
        <v>153</v>
      </c>
      <c r="E1148" t="s">
        <v>31</v>
      </c>
      <c r="F1148" s="1">
        <v>0.67291666666666672</v>
      </c>
      <c r="G1148" t="s">
        <v>32</v>
      </c>
      <c r="H1148" t="s">
        <v>33</v>
      </c>
      <c r="I1148" t="s">
        <v>41</v>
      </c>
      <c r="J1148" t="s">
        <v>62</v>
      </c>
      <c r="K1148">
        <v>130</v>
      </c>
      <c r="L1148">
        <v>0</v>
      </c>
      <c r="M1148" t="s">
        <v>63</v>
      </c>
      <c r="N1148">
        <v>150</v>
      </c>
      <c r="O1148">
        <v>0</v>
      </c>
      <c r="P1148">
        <v>0</v>
      </c>
      <c r="Q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 t="s">
        <v>36</v>
      </c>
      <c r="AC1148" t="s">
        <v>687</v>
      </c>
      <c r="AD1148" t="str">
        <f t="shared" si="36"/>
        <v>CP</v>
      </c>
      <c r="AE1148" t="str">
        <f>_xlfn.XLOOKUP(D1148,Mapping!A:A,Mapping!D:D,0,0)</f>
        <v>Bin</v>
      </c>
      <c r="AF1148" t="str">
        <f t="shared" si="37"/>
        <v>OLD</v>
      </c>
    </row>
    <row r="1149" spans="1:32" x14ac:dyDescent="0.2">
      <c r="A1149" t="s">
        <v>1119</v>
      </c>
      <c r="B1149" t="s">
        <v>39</v>
      </c>
      <c r="C1149">
        <v>1011839142</v>
      </c>
      <c r="D1149" t="s">
        <v>154</v>
      </c>
      <c r="E1149" t="s">
        <v>31</v>
      </c>
      <c r="F1149" s="1">
        <v>0.67291666666666672</v>
      </c>
      <c r="G1149" t="s">
        <v>32</v>
      </c>
      <c r="H1149" t="s">
        <v>33</v>
      </c>
      <c r="I1149" t="s">
        <v>41</v>
      </c>
      <c r="J1149" t="s">
        <v>62</v>
      </c>
      <c r="K1149">
        <v>526</v>
      </c>
      <c r="L1149">
        <v>0</v>
      </c>
      <c r="M1149" t="s">
        <v>36</v>
      </c>
      <c r="N1149" t="s">
        <v>37</v>
      </c>
      <c r="O1149">
        <v>0</v>
      </c>
      <c r="P1149">
        <v>0</v>
      </c>
      <c r="Q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 t="s">
        <v>36</v>
      </c>
      <c r="AC1149" t="s">
        <v>687</v>
      </c>
      <c r="AD1149" t="str">
        <f t="shared" si="36"/>
        <v>CP</v>
      </c>
      <c r="AE1149" t="str">
        <f>_xlfn.XLOOKUP(D1149,Mapping!A:A,Mapping!D:D,0,0)</f>
        <v>Bin</v>
      </c>
      <c r="AF1149" t="str">
        <f t="shared" si="37"/>
        <v>OLD</v>
      </c>
    </row>
    <row r="1150" spans="1:32" x14ac:dyDescent="0.2">
      <c r="A1150" t="s">
        <v>1119</v>
      </c>
      <c r="B1150" t="s">
        <v>39</v>
      </c>
      <c r="C1150">
        <v>1011839152</v>
      </c>
      <c r="D1150" t="s">
        <v>155</v>
      </c>
      <c r="E1150" t="s">
        <v>31</v>
      </c>
      <c r="F1150" s="1">
        <v>0.67291666666666672</v>
      </c>
      <c r="G1150" t="s">
        <v>32</v>
      </c>
      <c r="H1150" t="s">
        <v>33</v>
      </c>
      <c r="I1150" t="s">
        <v>34</v>
      </c>
      <c r="J1150" t="s">
        <v>84</v>
      </c>
      <c r="K1150">
        <v>268</v>
      </c>
      <c r="L1150">
        <v>0</v>
      </c>
      <c r="M1150" t="s">
        <v>36</v>
      </c>
      <c r="N1150" t="s">
        <v>37</v>
      </c>
      <c r="O1150">
        <v>0</v>
      </c>
      <c r="P1150">
        <v>0</v>
      </c>
      <c r="Q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 t="s">
        <v>36</v>
      </c>
      <c r="AC1150" t="s">
        <v>687</v>
      </c>
      <c r="AD1150" t="str">
        <f t="shared" si="36"/>
        <v>CP</v>
      </c>
      <c r="AE1150" t="str">
        <f>_xlfn.XLOOKUP(D1150,Mapping!A:A,Mapping!D:D,0,0)</f>
        <v>Bin</v>
      </c>
      <c r="AF1150" t="str">
        <f t="shared" si="37"/>
        <v>OLD</v>
      </c>
    </row>
    <row r="1151" spans="1:32" x14ac:dyDescent="0.2">
      <c r="A1151" t="s">
        <v>1119</v>
      </c>
      <c r="B1151" t="s">
        <v>39</v>
      </c>
      <c r="C1151">
        <v>1011839162</v>
      </c>
      <c r="D1151" t="s">
        <v>156</v>
      </c>
      <c r="E1151" t="s">
        <v>31</v>
      </c>
      <c r="F1151" s="1">
        <v>0.67291666666666672</v>
      </c>
      <c r="G1151" t="s">
        <v>32</v>
      </c>
      <c r="H1151" t="s">
        <v>33</v>
      </c>
      <c r="I1151" t="s">
        <v>41</v>
      </c>
      <c r="J1151" t="s">
        <v>62</v>
      </c>
      <c r="K1151">
        <v>616</v>
      </c>
      <c r="L1151">
        <v>0</v>
      </c>
      <c r="M1151" t="s">
        <v>36</v>
      </c>
      <c r="N1151" t="s">
        <v>37</v>
      </c>
      <c r="O1151">
        <v>0</v>
      </c>
      <c r="P1151">
        <v>0</v>
      </c>
      <c r="Q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 t="s">
        <v>36</v>
      </c>
      <c r="AC1151" t="s">
        <v>687</v>
      </c>
      <c r="AD1151" t="str">
        <f t="shared" si="36"/>
        <v>CP</v>
      </c>
      <c r="AE1151" t="str">
        <f>_xlfn.XLOOKUP(D1151,Mapping!A:A,Mapping!D:D,0,0)</f>
        <v>Bin</v>
      </c>
      <c r="AF1151" t="str">
        <f t="shared" si="37"/>
        <v>OLD</v>
      </c>
    </row>
    <row r="1152" spans="1:32" x14ac:dyDescent="0.2">
      <c r="A1152" t="s">
        <v>1119</v>
      </c>
      <c r="B1152" t="s">
        <v>29</v>
      </c>
      <c r="C1152">
        <v>1011839172</v>
      </c>
      <c r="D1152" t="s">
        <v>157</v>
      </c>
      <c r="E1152" t="s">
        <v>31</v>
      </c>
      <c r="F1152" s="1">
        <v>0.67291666666666672</v>
      </c>
      <c r="G1152" t="s">
        <v>32</v>
      </c>
      <c r="H1152" t="s">
        <v>33</v>
      </c>
      <c r="I1152" t="s">
        <v>34</v>
      </c>
      <c r="J1152" t="s">
        <v>84</v>
      </c>
      <c r="K1152">
        <v>45</v>
      </c>
      <c r="L1152">
        <v>0</v>
      </c>
      <c r="M1152" t="s">
        <v>36</v>
      </c>
      <c r="N1152" t="s">
        <v>37</v>
      </c>
      <c r="O1152">
        <v>26154</v>
      </c>
      <c r="P1152">
        <v>1165</v>
      </c>
      <c r="Q1152">
        <v>4.4543900000000001</v>
      </c>
      <c r="R1152">
        <v>0</v>
      </c>
      <c r="S1152">
        <v>98.63</v>
      </c>
      <c r="T1152">
        <v>3.7709999999999999</v>
      </c>
      <c r="U1152">
        <v>8.5000000000000006E-2</v>
      </c>
      <c r="V1152">
        <v>0</v>
      </c>
      <c r="W1152">
        <v>1</v>
      </c>
      <c r="X1152">
        <v>0</v>
      </c>
      <c r="Y1152" t="s">
        <v>36</v>
      </c>
      <c r="Z1152">
        <v>26154</v>
      </c>
      <c r="AA1152">
        <v>20294</v>
      </c>
      <c r="AB1152">
        <v>3268</v>
      </c>
      <c r="AC1152" t="s">
        <v>687</v>
      </c>
      <c r="AD1152" t="str">
        <f t="shared" si="36"/>
        <v>CP</v>
      </c>
      <c r="AE1152" t="str">
        <f>_xlfn.XLOOKUP(D1152,Mapping!A:A,Mapping!D:D,0,0)</f>
        <v>Keyword - Preroll</v>
      </c>
      <c r="AF1152" t="str">
        <f t="shared" si="37"/>
        <v>OLD</v>
      </c>
    </row>
    <row r="1153" spans="1:32" x14ac:dyDescent="0.2">
      <c r="A1153" t="s">
        <v>1119</v>
      </c>
      <c r="B1153" t="s">
        <v>39</v>
      </c>
      <c r="C1153">
        <v>1011839182</v>
      </c>
      <c r="D1153" t="s">
        <v>159</v>
      </c>
      <c r="E1153" t="s">
        <v>31</v>
      </c>
      <c r="F1153" s="1">
        <v>0.67291666666666672</v>
      </c>
      <c r="G1153" t="s">
        <v>32</v>
      </c>
      <c r="H1153" t="s">
        <v>33</v>
      </c>
      <c r="I1153" t="s">
        <v>41</v>
      </c>
      <c r="J1153" t="s">
        <v>62</v>
      </c>
      <c r="K1153">
        <v>99</v>
      </c>
      <c r="L1153">
        <v>0</v>
      </c>
      <c r="M1153" t="s">
        <v>36</v>
      </c>
      <c r="N1153" t="s">
        <v>37</v>
      </c>
      <c r="O1153">
        <v>0</v>
      </c>
      <c r="P1153">
        <v>0</v>
      </c>
      <c r="Q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 t="s">
        <v>36</v>
      </c>
      <c r="AC1153" t="s">
        <v>687</v>
      </c>
      <c r="AD1153" t="str">
        <f t="shared" si="36"/>
        <v>CP</v>
      </c>
      <c r="AE1153" t="str">
        <f>_xlfn.XLOOKUP(D1153,Mapping!A:A,Mapping!D:D,0,0)</f>
        <v>Keyword - Preroll</v>
      </c>
      <c r="AF1153" t="str">
        <f t="shared" si="37"/>
        <v>OLD</v>
      </c>
    </row>
    <row r="1154" spans="1:32" x14ac:dyDescent="0.2">
      <c r="A1154" t="s">
        <v>1119</v>
      </c>
      <c r="B1154" t="s">
        <v>29</v>
      </c>
      <c r="C1154">
        <v>1011839192</v>
      </c>
      <c r="D1154" t="s">
        <v>160</v>
      </c>
      <c r="E1154" t="s">
        <v>31</v>
      </c>
      <c r="F1154" s="1">
        <v>0.67291666666666672</v>
      </c>
      <c r="G1154" t="s">
        <v>32</v>
      </c>
      <c r="H1154" t="s">
        <v>33</v>
      </c>
      <c r="I1154" t="s">
        <v>41</v>
      </c>
      <c r="J1154" t="s">
        <v>62</v>
      </c>
      <c r="K1154">
        <v>99</v>
      </c>
      <c r="L1154">
        <v>0</v>
      </c>
      <c r="M1154" t="s">
        <v>36</v>
      </c>
      <c r="N1154" t="s">
        <v>37</v>
      </c>
      <c r="O1154">
        <v>966</v>
      </c>
      <c r="P1154">
        <v>65</v>
      </c>
      <c r="Q1154">
        <v>6.7287800000000004</v>
      </c>
      <c r="R1154">
        <v>0</v>
      </c>
      <c r="S1154">
        <v>1.91</v>
      </c>
      <c r="T1154">
        <v>1.9750000000000001</v>
      </c>
      <c r="U1154">
        <v>2.9000000000000001E-2</v>
      </c>
      <c r="V1154">
        <v>0</v>
      </c>
      <c r="W1154">
        <v>1</v>
      </c>
      <c r="X1154">
        <v>0</v>
      </c>
      <c r="Y1154" t="s">
        <v>36</v>
      </c>
      <c r="Z1154">
        <v>966</v>
      </c>
      <c r="AA1154">
        <v>856</v>
      </c>
      <c r="AB1154">
        <v>88</v>
      </c>
      <c r="AC1154" t="s">
        <v>687</v>
      </c>
      <c r="AD1154" t="str">
        <f t="shared" si="36"/>
        <v>CP</v>
      </c>
      <c r="AE1154" t="str">
        <f>_xlfn.XLOOKUP(D1154,Mapping!A:A,Mapping!D:D,0,0)</f>
        <v>Keyword - Preroll</v>
      </c>
      <c r="AF1154" t="str">
        <f t="shared" si="37"/>
        <v>OLD</v>
      </c>
    </row>
    <row r="1155" spans="1:32" x14ac:dyDescent="0.2">
      <c r="A1155" t="s">
        <v>1119</v>
      </c>
      <c r="B1155" t="s">
        <v>39</v>
      </c>
      <c r="C1155">
        <v>1011839202</v>
      </c>
      <c r="D1155" t="s">
        <v>161</v>
      </c>
      <c r="E1155" t="s">
        <v>31</v>
      </c>
      <c r="F1155" s="1">
        <v>0.67291666666666672</v>
      </c>
      <c r="G1155" t="s">
        <v>32</v>
      </c>
      <c r="H1155" t="s">
        <v>33</v>
      </c>
      <c r="I1155" t="s">
        <v>34</v>
      </c>
      <c r="J1155" t="s">
        <v>84</v>
      </c>
      <c r="K1155">
        <v>45</v>
      </c>
      <c r="L1155">
        <v>0</v>
      </c>
      <c r="M1155" t="s">
        <v>36</v>
      </c>
      <c r="N1155" t="s">
        <v>37</v>
      </c>
      <c r="O1155">
        <v>0</v>
      </c>
      <c r="P1155">
        <v>0</v>
      </c>
      <c r="Q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 t="s">
        <v>36</v>
      </c>
      <c r="AC1155" t="s">
        <v>687</v>
      </c>
      <c r="AD1155" t="str">
        <f t="shared" si="36"/>
        <v>CP</v>
      </c>
      <c r="AE1155" t="str">
        <f>_xlfn.XLOOKUP(D1155,Mapping!A:A,Mapping!D:D,0,0)</f>
        <v>FinDom</v>
      </c>
      <c r="AF1155" t="str">
        <f t="shared" si="37"/>
        <v>OLD</v>
      </c>
    </row>
    <row r="1156" spans="1:32" x14ac:dyDescent="0.2">
      <c r="A1156" t="s">
        <v>1119</v>
      </c>
      <c r="B1156" t="s">
        <v>29</v>
      </c>
      <c r="C1156">
        <v>1011839212</v>
      </c>
      <c r="D1156" t="s">
        <v>162</v>
      </c>
      <c r="E1156" t="s">
        <v>31</v>
      </c>
      <c r="F1156" s="1">
        <v>0.67291666666666672</v>
      </c>
      <c r="G1156" t="s">
        <v>32</v>
      </c>
      <c r="H1156" t="s">
        <v>33</v>
      </c>
      <c r="I1156" t="s">
        <v>34</v>
      </c>
      <c r="J1156" t="s">
        <v>84</v>
      </c>
      <c r="K1156">
        <v>45</v>
      </c>
      <c r="L1156">
        <v>0</v>
      </c>
      <c r="M1156" t="s">
        <v>36</v>
      </c>
      <c r="N1156" t="s">
        <v>37</v>
      </c>
      <c r="O1156">
        <v>5967</v>
      </c>
      <c r="P1156">
        <v>249</v>
      </c>
      <c r="Q1156">
        <v>4.1729500000000002</v>
      </c>
      <c r="R1156">
        <v>0</v>
      </c>
      <c r="S1156">
        <v>15.62</v>
      </c>
      <c r="T1156">
        <v>2.6179999999999999</v>
      </c>
      <c r="U1156">
        <v>6.3E-2</v>
      </c>
      <c r="V1156">
        <v>0</v>
      </c>
      <c r="W1156">
        <v>1</v>
      </c>
      <c r="X1156">
        <v>0</v>
      </c>
      <c r="Y1156" t="s">
        <v>36</v>
      </c>
      <c r="Z1156">
        <v>5967</v>
      </c>
      <c r="AA1156">
        <v>4605</v>
      </c>
      <c r="AB1156">
        <v>808</v>
      </c>
      <c r="AC1156" t="s">
        <v>687</v>
      </c>
      <c r="AD1156" t="str">
        <f t="shared" si="36"/>
        <v>CP</v>
      </c>
      <c r="AE1156" t="str">
        <f>_xlfn.XLOOKUP(D1156,Mapping!A:A,Mapping!D:D,0,0)</f>
        <v>Keyword - Preroll</v>
      </c>
      <c r="AF1156" t="str">
        <f t="shared" si="37"/>
        <v>OLD</v>
      </c>
    </row>
    <row r="1157" spans="1:32" x14ac:dyDescent="0.2">
      <c r="A1157" t="s">
        <v>1119</v>
      </c>
      <c r="B1157" t="s">
        <v>39</v>
      </c>
      <c r="C1157">
        <v>1011839222</v>
      </c>
      <c r="D1157" t="s">
        <v>163</v>
      </c>
      <c r="E1157" t="s">
        <v>31</v>
      </c>
      <c r="F1157" s="1">
        <v>0.67291666666666672</v>
      </c>
      <c r="G1157" t="s">
        <v>32</v>
      </c>
      <c r="H1157" t="s">
        <v>33</v>
      </c>
      <c r="I1157" t="s">
        <v>41</v>
      </c>
      <c r="J1157" t="s">
        <v>62</v>
      </c>
      <c r="K1157">
        <v>616</v>
      </c>
      <c r="L1157">
        <v>0</v>
      </c>
      <c r="M1157" t="s">
        <v>36</v>
      </c>
      <c r="N1157" t="s">
        <v>37</v>
      </c>
      <c r="O1157">
        <v>0</v>
      </c>
      <c r="P1157">
        <v>0</v>
      </c>
      <c r="Q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 t="s">
        <v>36</v>
      </c>
      <c r="AC1157" t="s">
        <v>687</v>
      </c>
      <c r="AD1157" t="str">
        <f t="shared" si="36"/>
        <v>CP</v>
      </c>
      <c r="AE1157" t="str">
        <f>_xlfn.XLOOKUP(D1157,Mapping!A:A,Mapping!D:D,0,0)</f>
        <v>Bin</v>
      </c>
      <c r="AF1157" t="str">
        <f t="shared" si="37"/>
        <v>OLD</v>
      </c>
    </row>
    <row r="1158" spans="1:32" x14ac:dyDescent="0.2">
      <c r="A1158" t="s">
        <v>1119</v>
      </c>
      <c r="B1158" t="s">
        <v>39</v>
      </c>
      <c r="C1158">
        <v>1011839232</v>
      </c>
      <c r="D1158" t="s">
        <v>164</v>
      </c>
      <c r="E1158" t="s">
        <v>31</v>
      </c>
      <c r="F1158" s="1">
        <v>0.67291666666666672</v>
      </c>
      <c r="G1158" t="s">
        <v>32</v>
      </c>
      <c r="H1158" t="s">
        <v>33</v>
      </c>
      <c r="I1158" t="s">
        <v>41</v>
      </c>
      <c r="J1158" t="s">
        <v>62</v>
      </c>
      <c r="K1158">
        <v>616</v>
      </c>
      <c r="L1158">
        <v>0</v>
      </c>
      <c r="M1158" t="s">
        <v>36</v>
      </c>
      <c r="N1158" t="s">
        <v>37</v>
      </c>
      <c r="O1158">
        <v>0</v>
      </c>
      <c r="P1158">
        <v>0</v>
      </c>
      <c r="Q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 t="s">
        <v>36</v>
      </c>
      <c r="AC1158" t="s">
        <v>687</v>
      </c>
      <c r="AD1158" t="str">
        <f t="shared" si="36"/>
        <v>CP</v>
      </c>
      <c r="AE1158" t="str">
        <f>_xlfn.XLOOKUP(D1158,Mapping!A:A,Mapping!D:D,0,0)</f>
        <v>Bin</v>
      </c>
      <c r="AF1158" t="str">
        <f t="shared" si="37"/>
        <v>OLD</v>
      </c>
    </row>
    <row r="1159" spans="1:32" x14ac:dyDescent="0.2">
      <c r="A1159" t="s">
        <v>1119</v>
      </c>
      <c r="B1159" t="s">
        <v>39</v>
      </c>
      <c r="C1159">
        <v>1011839242</v>
      </c>
      <c r="D1159" t="s">
        <v>165</v>
      </c>
      <c r="E1159" t="s">
        <v>31</v>
      </c>
      <c r="F1159" s="1">
        <v>0.67291666666666672</v>
      </c>
      <c r="G1159" t="s">
        <v>32</v>
      </c>
      <c r="H1159" t="s">
        <v>33</v>
      </c>
      <c r="I1159" t="s">
        <v>41</v>
      </c>
      <c r="J1159" t="s">
        <v>62</v>
      </c>
      <c r="K1159">
        <v>99</v>
      </c>
      <c r="L1159">
        <v>0</v>
      </c>
      <c r="M1159" t="s">
        <v>36</v>
      </c>
      <c r="N1159" t="s">
        <v>37</v>
      </c>
      <c r="O1159">
        <v>0</v>
      </c>
      <c r="P1159">
        <v>0</v>
      </c>
      <c r="Q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 t="s">
        <v>36</v>
      </c>
      <c r="AC1159" t="s">
        <v>687</v>
      </c>
      <c r="AD1159" t="str">
        <f t="shared" si="36"/>
        <v>CP</v>
      </c>
      <c r="AE1159" t="str">
        <f>_xlfn.XLOOKUP(D1159,Mapping!A:A,Mapping!D:D,0,0)</f>
        <v>Bin</v>
      </c>
      <c r="AF1159" t="str">
        <f t="shared" si="37"/>
        <v>OLD</v>
      </c>
    </row>
    <row r="1160" spans="1:32" x14ac:dyDescent="0.2">
      <c r="A1160" t="s">
        <v>1119</v>
      </c>
      <c r="B1160" t="s">
        <v>39</v>
      </c>
      <c r="C1160">
        <v>1011839252</v>
      </c>
      <c r="D1160" t="s">
        <v>166</v>
      </c>
      <c r="E1160" t="s">
        <v>31</v>
      </c>
      <c r="F1160" s="1">
        <v>0.67291666666666672</v>
      </c>
      <c r="G1160" t="s">
        <v>32</v>
      </c>
      <c r="H1160" t="s">
        <v>33</v>
      </c>
      <c r="I1160" t="s">
        <v>41</v>
      </c>
      <c r="J1160" t="s">
        <v>62</v>
      </c>
      <c r="K1160">
        <v>616</v>
      </c>
      <c r="L1160">
        <v>0</v>
      </c>
      <c r="M1160" t="s">
        <v>36</v>
      </c>
      <c r="N1160" t="s">
        <v>37</v>
      </c>
      <c r="O1160">
        <v>0</v>
      </c>
      <c r="P1160">
        <v>0</v>
      </c>
      <c r="Q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 t="s">
        <v>36</v>
      </c>
      <c r="AC1160" t="s">
        <v>687</v>
      </c>
      <c r="AD1160" t="str">
        <f t="shared" si="36"/>
        <v>CP</v>
      </c>
      <c r="AE1160" t="str">
        <f>_xlfn.XLOOKUP(D1160,Mapping!A:A,Mapping!D:D,0,0)</f>
        <v>Bin</v>
      </c>
      <c r="AF1160" t="str">
        <f t="shared" si="37"/>
        <v>OLD</v>
      </c>
    </row>
    <row r="1161" spans="1:32" x14ac:dyDescent="0.2">
      <c r="A1161" t="s">
        <v>1119</v>
      </c>
      <c r="B1161" t="s">
        <v>39</v>
      </c>
      <c r="C1161">
        <v>1011839262</v>
      </c>
      <c r="D1161" t="s">
        <v>167</v>
      </c>
      <c r="E1161" t="s">
        <v>31</v>
      </c>
      <c r="F1161" s="1">
        <v>0.67291666666666672</v>
      </c>
      <c r="G1161" t="s">
        <v>32</v>
      </c>
      <c r="H1161" t="s">
        <v>33</v>
      </c>
      <c r="I1161" t="s">
        <v>34</v>
      </c>
      <c r="J1161" t="s">
        <v>84</v>
      </c>
      <c r="K1161">
        <v>268</v>
      </c>
      <c r="L1161">
        <v>0</v>
      </c>
      <c r="M1161" t="s">
        <v>63</v>
      </c>
      <c r="N1161">
        <v>150</v>
      </c>
      <c r="O1161">
        <v>0</v>
      </c>
      <c r="P1161">
        <v>0</v>
      </c>
      <c r="Q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 t="s">
        <v>36</v>
      </c>
      <c r="AC1161" t="s">
        <v>687</v>
      </c>
      <c r="AD1161" t="str">
        <f t="shared" si="36"/>
        <v>CP</v>
      </c>
      <c r="AE1161" t="str">
        <f>_xlfn.XLOOKUP(D1161,Mapping!A:A,Mapping!D:D,0,0)</f>
        <v>Keyword - Preroll</v>
      </c>
      <c r="AF1161" t="str">
        <f t="shared" si="37"/>
        <v>OLD</v>
      </c>
    </row>
    <row r="1162" spans="1:32" x14ac:dyDescent="0.2">
      <c r="A1162" t="s">
        <v>1119</v>
      </c>
      <c r="B1162" t="s">
        <v>39</v>
      </c>
      <c r="C1162">
        <v>1011839272</v>
      </c>
      <c r="D1162" t="s">
        <v>168</v>
      </c>
      <c r="E1162" t="s">
        <v>31</v>
      </c>
      <c r="F1162" s="1">
        <v>0.67291666666666672</v>
      </c>
      <c r="G1162" t="s">
        <v>32</v>
      </c>
      <c r="H1162" t="s">
        <v>33</v>
      </c>
      <c r="I1162" t="s">
        <v>41</v>
      </c>
      <c r="J1162" t="s">
        <v>62</v>
      </c>
      <c r="K1162">
        <v>220</v>
      </c>
      <c r="L1162">
        <v>0</v>
      </c>
      <c r="M1162" t="s">
        <v>36</v>
      </c>
      <c r="N1162" t="s">
        <v>37</v>
      </c>
      <c r="O1162">
        <v>0</v>
      </c>
      <c r="P1162">
        <v>0</v>
      </c>
      <c r="Q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 t="s">
        <v>36</v>
      </c>
      <c r="AC1162" t="s">
        <v>687</v>
      </c>
      <c r="AD1162" t="str">
        <f t="shared" si="36"/>
        <v>CP</v>
      </c>
      <c r="AE1162" t="str">
        <f>_xlfn.XLOOKUP(D1162,Mapping!A:A,Mapping!D:D,0,0)</f>
        <v>Bin</v>
      </c>
      <c r="AF1162" t="str">
        <f t="shared" si="37"/>
        <v>OLD</v>
      </c>
    </row>
    <row r="1163" spans="1:32" x14ac:dyDescent="0.2">
      <c r="A1163" t="s">
        <v>1119</v>
      </c>
      <c r="B1163" t="s">
        <v>39</v>
      </c>
      <c r="C1163">
        <v>1011839282</v>
      </c>
      <c r="D1163" t="s">
        <v>169</v>
      </c>
      <c r="E1163" t="s">
        <v>31</v>
      </c>
      <c r="F1163" s="1">
        <v>0.67291666666666672</v>
      </c>
      <c r="G1163" t="s">
        <v>32</v>
      </c>
      <c r="H1163" t="s">
        <v>33</v>
      </c>
      <c r="I1163" t="s">
        <v>34</v>
      </c>
      <c r="J1163" t="s">
        <v>84</v>
      </c>
      <c r="K1163">
        <v>88</v>
      </c>
      <c r="L1163">
        <v>0</v>
      </c>
      <c r="M1163" t="s">
        <v>63</v>
      </c>
      <c r="N1163">
        <v>500</v>
      </c>
      <c r="O1163">
        <v>0</v>
      </c>
      <c r="P1163">
        <v>0</v>
      </c>
      <c r="Q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 t="s">
        <v>36</v>
      </c>
      <c r="AC1163" t="s">
        <v>687</v>
      </c>
      <c r="AD1163" t="str">
        <f t="shared" si="36"/>
        <v>CP</v>
      </c>
      <c r="AE1163" t="str">
        <f>_xlfn.XLOOKUP(D1163,Mapping!A:A,Mapping!D:D,0,0)</f>
        <v>Bin</v>
      </c>
      <c r="AF1163" t="str">
        <f t="shared" si="37"/>
        <v>OLD</v>
      </c>
    </row>
    <row r="1164" spans="1:32" x14ac:dyDescent="0.2">
      <c r="A1164" t="s">
        <v>1119</v>
      </c>
      <c r="B1164" t="s">
        <v>39</v>
      </c>
      <c r="C1164">
        <v>1011839292</v>
      </c>
      <c r="D1164" t="s">
        <v>170</v>
      </c>
      <c r="E1164" t="s">
        <v>31</v>
      </c>
      <c r="F1164" s="1">
        <v>0.67291666666666672</v>
      </c>
      <c r="G1164" t="s">
        <v>32</v>
      </c>
      <c r="H1164" t="s">
        <v>33</v>
      </c>
      <c r="I1164" t="s">
        <v>34</v>
      </c>
      <c r="J1164" t="s">
        <v>84</v>
      </c>
      <c r="K1164">
        <v>88</v>
      </c>
      <c r="L1164">
        <v>0</v>
      </c>
      <c r="M1164" t="s">
        <v>63</v>
      </c>
      <c r="N1164">
        <v>500</v>
      </c>
      <c r="O1164">
        <v>0</v>
      </c>
      <c r="P1164">
        <v>0</v>
      </c>
      <c r="Q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 t="s">
        <v>36</v>
      </c>
      <c r="AC1164" t="s">
        <v>687</v>
      </c>
      <c r="AD1164" t="str">
        <f t="shared" si="36"/>
        <v>CP</v>
      </c>
      <c r="AE1164" t="str">
        <f>_xlfn.XLOOKUP(D1164,Mapping!A:A,Mapping!D:D,0,0)</f>
        <v>Bin</v>
      </c>
      <c r="AF1164" t="str">
        <f t="shared" si="37"/>
        <v>OLD</v>
      </c>
    </row>
    <row r="1165" spans="1:32" x14ac:dyDescent="0.2">
      <c r="A1165" t="s">
        <v>1119</v>
      </c>
      <c r="B1165" t="s">
        <v>39</v>
      </c>
      <c r="C1165">
        <v>1011839302</v>
      </c>
      <c r="D1165" t="s">
        <v>171</v>
      </c>
      <c r="E1165" t="s">
        <v>31</v>
      </c>
      <c r="F1165" s="1">
        <v>0.67291666666666672</v>
      </c>
      <c r="G1165" t="s">
        <v>32</v>
      </c>
      <c r="H1165" t="s">
        <v>33</v>
      </c>
      <c r="I1165" t="s">
        <v>41</v>
      </c>
      <c r="J1165" t="s">
        <v>62</v>
      </c>
      <c r="K1165">
        <v>616</v>
      </c>
      <c r="L1165">
        <v>0</v>
      </c>
      <c r="M1165" t="s">
        <v>36</v>
      </c>
      <c r="N1165" t="s">
        <v>37</v>
      </c>
      <c r="O1165">
        <v>0</v>
      </c>
      <c r="P1165">
        <v>0</v>
      </c>
      <c r="Q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 t="s">
        <v>36</v>
      </c>
      <c r="AC1165" t="s">
        <v>687</v>
      </c>
      <c r="AD1165" t="str">
        <f t="shared" si="36"/>
        <v>CP</v>
      </c>
      <c r="AE1165" t="str">
        <f>_xlfn.XLOOKUP(D1165,Mapping!A:A,Mapping!D:D,0,0)</f>
        <v>Ocean</v>
      </c>
      <c r="AF1165" t="str">
        <f t="shared" si="37"/>
        <v>OLD</v>
      </c>
    </row>
    <row r="1166" spans="1:32" x14ac:dyDescent="0.2">
      <c r="A1166" t="s">
        <v>1119</v>
      </c>
      <c r="B1166" t="s">
        <v>39</v>
      </c>
      <c r="C1166">
        <v>1011839312</v>
      </c>
      <c r="D1166" t="s">
        <v>173</v>
      </c>
      <c r="E1166" t="s">
        <v>31</v>
      </c>
      <c r="F1166" s="1">
        <v>0.67291666666666672</v>
      </c>
      <c r="G1166" t="s">
        <v>32</v>
      </c>
      <c r="H1166" t="s">
        <v>33</v>
      </c>
      <c r="I1166" t="s">
        <v>41</v>
      </c>
      <c r="J1166" t="s">
        <v>62</v>
      </c>
      <c r="K1166">
        <v>616</v>
      </c>
      <c r="L1166">
        <v>0</v>
      </c>
      <c r="M1166" t="s">
        <v>36</v>
      </c>
      <c r="N1166" t="s">
        <v>37</v>
      </c>
      <c r="O1166">
        <v>0</v>
      </c>
      <c r="P1166">
        <v>0</v>
      </c>
      <c r="Q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 t="s">
        <v>36</v>
      </c>
      <c r="AC1166" t="s">
        <v>687</v>
      </c>
      <c r="AD1166" t="str">
        <f t="shared" si="36"/>
        <v>CP</v>
      </c>
      <c r="AE1166" t="str">
        <f>_xlfn.XLOOKUP(D1166,Mapping!A:A,Mapping!D:D,0,0)</f>
        <v>Bin</v>
      </c>
      <c r="AF1166" t="str">
        <f t="shared" si="37"/>
        <v>OLD</v>
      </c>
    </row>
    <row r="1167" spans="1:32" x14ac:dyDescent="0.2">
      <c r="A1167" t="s">
        <v>1119</v>
      </c>
      <c r="B1167" t="s">
        <v>39</v>
      </c>
      <c r="C1167">
        <v>1011839322</v>
      </c>
      <c r="D1167" t="s">
        <v>174</v>
      </c>
      <c r="E1167" t="s">
        <v>31</v>
      </c>
      <c r="F1167" s="1">
        <v>0.67291666666666672</v>
      </c>
      <c r="G1167" t="s">
        <v>32</v>
      </c>
      <c r="H1167" t="s">
        <v>33</v>
      </c>
      <c r="I1167" t="s">
        <v>41</v>
      </c>
      <c r="J1167" t="s">
        <v>62</v>
      </c>
      <c r="K1167">
        <v>220</v>
      </c>
      <c r="L1167">
        <v>0</v>
      </c>
      <c r="M1167" t="s">
        <v>63</v>
      </c>
      <c r="N1167">
        <v>200</v>
      </c>
      <c r="O1167">
        <v>0</v>
      </c>
      <c r="P1167">
        <v>0</v>
      </c>
      <c r="Q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 t="s">
        <v>36</v>
      </c>
      <c r="AC1167" t="s">
        <v>687</v>
      </c>
      <c r="AD1167" t="str">
        <f t="shared" si="36"/>
        <v>CP</v>
      </c>
      <c r="AE1167" t="str">
        <f>_xlfn.XLOOKUP(D1167,Mapping!A:A,Mapping!D:D,0,0)</f>
        <v>Bin</v>
      </c>
      <c r="AF1167" t="str">
        <f t="shared" si="37"/>
        <v>OLD</v>
      </c>
    </row>
    <row r="1168" spans="1:32" x14ac:dyDescent="0.2">
      <c r="A1168" t="s">
        <v>1119</v>
      </c>
      <c r="B1168" t="s">
        <v>39</v>
      </c>
      <c r="C1168">
        <v>1011839332</v>
      </c>
      <c r="D1168" t="s">
        <v>175</v>
      </c>
      <c r="E1168" t="s">
        <v>31</v>
      </c>
      <c r="F1168" s="1">
        <v>0.67291666666666672</v>
      </c>
      <c r="G1168" t="s">
        <v>32</v>
      </c>
      <c r="H1168" t="s">
        <v>33</v>
      </c>
      <c r="I1168" t="s">
        <v>41</v>
      </c>
      <c r="J1168" t="s">
        <v>62</v>
      </c>
      <c r="K1168">
        <v>220</v>
      </c>
      <c r="L1168">
        <v>0</v>
      </c>
      <c r="M1168" t="s">
        <v>63</v>
      </c>
      <c r="N1168">
        <v>200</v>
      </c>
      <c r="O1168">
        <v>0</v>
      </c>
      <c r="P1168">
        <v>0</v>
      </c>
      <c r="Q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 t="s">
        <v>36</v>
      </c>
      <c r="AC1168" t="s">
        <v>687</v>
      </c>
      <c r="AD1168" t="str">
        <f t="shared" si="36"/>
        <v>CP</v>
      </c>
      <c r="AE1168" t="str">
        <f>_xlfn.XLOOKUP(D1168,Mapping!A:A,Mapping!D:D,0,0)</f>
        <v>Bin</v>
      </c>
      <c r="AF1168" t="str">
        <f t="shared" si="37"/>
        <v>OLD</v>
      </c>
    </row>
    <row r="1169" spans="1:32" x14ac:dyDescent="0.2">
      <c r="A1169" t="s">
        <v>1119</v>
      </c>
      <c r="B1169" t="s">
        <v>39</v>
      </c>
      <c r="C1169">
        <v>1011839342</v>
      </c>
      <c r="D1169" t="s">
        <v>176</v>
      </c>
      <c r="E1169" t="s">
        <v>31</v>
      </c>
      <c r="F1169" s="1">
        <v>0.67291666666666672</v>
      </c>
      <c r="G1169" t="s">
        <v>32</v>
      </c>
      <c r="H1169" t="s">
        <v>33</v>
      </c>
      <c r="I1169" t="s">
        <v>34</v>
      </c>
      <c r="J1169" t="s">
        <v>84</v>
      </c>
      <c r="K1169">
        <v>88</v>
      </c>
      <c r="L1169">
        <v>0</v>
      </c>
      <c r="M1169" t="s">
        <v>63</v>
      </c>
      <c r="N1169">
        <v>500</v>
      </c>
      <c r="O1169">
        <v>0</v>
      </c>
      <c r="P1169">
        <v>0</v>
      </c>
      <c r="Q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 t="s">
        <v>36</v>
      </c>
      <c r="AC1169" t="s">
        <v>687</v>
      </c>
      <c r="AD1169" t="str">
        <f t="shared" si="36"/>
        <v>CP</v>
      </c>
      <c r="AE1169" t="str">
        <f>_xlfn.XLOOKUP(D1169,Mapping!A:A,Mapping!D:D,0,0)</f>
        <v>Bin</v>
      </c>
      <c r="AF1169" t="str">
        <f t="shared" si="37"/>
        <v>OLD</v>
      </c>
    </row>
    <row r="1170" spans="1:32" x14ac:dyDescent="0.2">
      <c r="A1170" t="s">
        <v>1119</v>
      </c>
      <c r="B1170" t="s">
        <v>39</v>
      </c>
      <c r="C1170">
        <v>1011839352</v>
      </c>
      <c r="D1170" t="s">
        <v>177</v>
      </c>
      <c r="E1170" t="s">
        <v>31</v>
      </c>
      <c r="F1170" s="1">
        <v>0.67291666666666672</v>
      </c>
      <c r="G1170" t="s">
        <v>32</v>
      </c>
      <c r="H1170" t="s">
        <v>33</v>
      </c>
      <c r="I1170" t="s">
        <v>34</v>
      </c>
      <c r="J1170" t="s">
        <v>84</v>
      </c>
      <c r="K1170">
        <v>88</v>
      </c>
      <c r="L1170">
        <v>0</v>
      </c>
      <c r="M1170" t="s">
        <v>63</v>
      </c>
      <c r="N1170">
        <v>500</v>
      </c>
      <c r="O1170">
        <v>0</v>
      </c>
      <c r="P1170">
        <v>0</v>
      </c>
      <c r="Q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 t="s">
        <v>36</v>
      </c>
      <c r="AC1170" t="s">
        <v>687</v>
      </c>
      <c r="AD1170" t="str">
        <f t="shared" si="36"/>
        <v>CP</v>
      </c>
      <c r="AE1170" t="str">
        <f>_xlfn.XLOOKUP(D1170,Mapping!A:A,Mapping!D:D,0,0)</f>
        <v>Bin</v>
      </c>
      <c r="AF1170" t="str">
        <f t="shared" si="37"/>
        <v>OLD</v>
      </c>
    </row>
    <row r="1171" spans="1:32" x14ac:dyDescent="0.2">
      <c r="A1171" t="s">
        <v>1119</v>
      </c>
      <c r="B1171" t="s">
        <v>39</v>
      </c>
      <c r="C1171">
        <v>1011839362</v>
      </c>
      <c r="D1171" t="s">
        <v>178</v>
      </c>
      <c r="E1171" t="s">
        <v>31</v>
      </c>
      <c r="F1171" s="1">
        <v>0.67291666666666672</v>
      </c>
      <c r="G1171" t="s">
        <v>32</v>
      </c>
      <c r="H1171" t="s">
        <v>33</v>
      </c>
      <c r="I1171" t="s">
        <v>41</v>
      </c>
      <c r="J1171" t="s">
        <v>62</v>
      </c>
      <c r="K1171">
        <v>220</v>
      </c>
      <c r="L1171">
        <v>0</v>
      </c>
      <c r="M1171" t="s">
        <v>36</v>
      </c>
      <c r="N1171" t="s">
        <v>37</v>
      </c>
      <c r="O1171">
        <v>0</v>
      </c>
      <c r="P1171">
        <v>0</v>
      </c>
      <c r="Q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 t="s">
        <v>36</v>
      </c>
      <c r="AC1171" t="s">
        <v>687</v>
      </c>
      <c r="AD1171" t="str">
        <f t="shared" si="36"/>
        <v>CP</v>
      </c>
      <c r="AE1171" t="str">
        <f>_xlfn.XLOOKUP(D1171,Mapping!A:A,Mapping!D:D,0,0)</f>
        <v>Bin</v>
      </c>
      <c r="AF1171" t="str">
        <f t="shared" si="37"/>
        <v>OLD</v>
      </c>
    </row>
    <row r="1172" spans="1:32" x14ac:dyDescent="0.2">
      <c r="A1172" t="s">
        <v>1119</v>
      </c>
      <c r="B1172" t="s">
        <v>39</v>
      </c>
      <c r="C1172">
        <v>1011839372</v>
      </c>
      <c r="D1172" t="s">
        <v>179</v>
      </c>
      <c r="E1172" t="s">
        <v>31</v>
      </c>
      <c r="F1172" s="1">
        <v>0.67291666666666672</v>
      </c>
      <c r="G1172" t="s">
        <v>32</v>
      </c>
      <c r="H1172" t="s">
        <v>33</v>
      </c>
      <c r="I1172" t="s">
        <v>41</v>
      </c>
      <c r="J1172" t="s">
        <v>62</v>
      </c>
      <c r="K1172">
        <v>220</v>
      </c>
      <c r="L1172">
        <v>0</v>
      </c>
      <c r="M1172" t="s">
        <v>63</v>
      </c>
      <c r="N1172">
        <v>200</v>
      </c>
      <c r="O1172">
        <v>0</v>
      </c>
      <c r="P1172">
        <v>0</v>
      </c>
      <c r="Q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 t="s">
        <v>36</v>
      </c>
      <c r="AC1172" t="s">
        <v>687</v>
      </c>
      <c r="AD1172" t="str">
        <f t="shared" si="36"/>
        <v>CP</v>
      </c>
      <c r="AE1172" t="str">
        <f>_xlfn.XLOOKUP(D1172,Mapping!A:A,Mapping!D:D,0,0)</f>
        <v>Bin</v>
      </c>
      <c r="AF1172" t="str">
        <f t="shared" si="37"/>
        <v>OLD</v>
      </c>
    </row>
    <row r="1173" spans="1:32" x14ac:dyDescent="0.2">
      <c r="A1173" t="s">
        <v>1119</v>
      </c>
      <c r="B1173" t="s">
        <v>39</v>
      </c>
      <c r="C1173">
        <v>1011843472</v>
      </c>
      <c r="D1173" t="s">
        <v>180</v>
      </c>
      <c r="E1173" t="s">
        <v>31</v>
      </c>
      <c r="F1173" s="1">
        <v>0.67291666666666672</v>
      </c>
      <c r="G1173" t="s">
        <v>32</v>
      </c>
      <c r="H1173" t="s">
        <v>33</v>
      </c>
      <c r="I1173" t="s">
        <v>41</v>
      </c>
      <c r="J1173" t="s">
        <v>62</v>
      </c>
      <c r="K1173">
        <v>308</v>
      </c>
      <c r="L1173">
        <v>0</v>
      </c>
      <c r="M1173" t="s">
        <v>36</v>
      </c>
      <c r="N1173" t="s">
        <v>37</v>
      </c>
      <c r="O1173">
        <v>0</v>
      </c>
      <c r="P1173">
        <v>0</v>
      </c>
      <c r="Q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 t="s">
        <v>36</v>
      </c>
      <c r="AC1173" t="s">
        <v>687</v>
      </c>
      <c r="AD1173" t="str">
        <f t="shared" ref="AD1173:AD1236" si="38">LEFT(D1173,2)</f>
        <v>CP</v>
      </c>
      <c r="AE1173" t="str">
        <f>_xlfn.XLOOKUP(D1173,Mapping!A:A,Mapping!D:D,0,0)</f>
        <v>Bin</v>
      </c>
      <c r="AF1173" t="str">
        <f t="shared" ref="AF1173:AF1236" si="39">IFERROR(IF(SEARCH("_TJ",D1173)&gt;0,"TJ",NA()),IFERROR(IF(SEARCH("_JB",D1173)&gt;0,"JB",NA()),"OLD"))</f>
        <v>OLD</v>
      </c>
    </row>
    <row r="1174" spans="1:32" x14ac:dyDescent="0.2">
      <c r="A1174" t="s">
        <v>1119</v>
      </c>
      <c r="B1174" t="s">
        <v>39</v>
      </c>
      <c r="C1174">
        <v>1011843482</v>
      </c>
      <c r="D1174" t="s">
        <v>181</v>
      </c>
      <c r="E1174" t="s">
        <v>31</v>
      </c>
      <c r="F1174" s="1">
        <v>0.67291666666666672</v>
      </c>
      <c r="G1174" t="s">
        <v>32</v>
      </c>
      <c r="H1174" t="s">
        <v>33</v>
      </c>
      <c r="I1174" t="s">
        <v>41</v>
      </c>
      <c r="J1174" t="s">
        <v>62</v>
      </c>
      <c r="K1174">
        <v>891</v>
      </c>
      <c r="L1174">
        <v>0</v>
      </c>
      <c r="M1174" t="s">
        <v>36</v>
      </c>
      <c r="N1174" t="s">
        <v>37</v>
      </c>
      <c r="O1174">
        <v>0</v>
      </c>
      <c r="P1174">
        <v>0</v>
      </c>
      <c r="Q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 t="s">
        <v>36</v>
      </c>
      <c r="AC1174" t="s">
        <v>687</v>
      </c>
      <c r="AD1174" t="str">
        <f t="shared" si="38"/>
        <v>CP</v>
      </c>
      <c r="AE1174" t="str">
        <f>_xlfn.XLOOKUP(D1174,Mapping!A:A,Mapping!D:D,0,0)</f>
        <v>Bin</v>
      </c>
      <c r="AF1174" t="str">
        <f t="shared" si="39"/>
        <v>OLD</v>
      </c>
    </row>
    <row r="1175" spans="1:32" x14ac:dyDescent="0.2">
      <c r="A1175" t="s">
        <v>1119</v>
      </c>
      <c r="B1175" t="s">
        <v>39</v>
      </c>
      <c r="C1175">
        <v>1011847032</v>
      </c>
      <c r="D1175" t="s">
        <v>182</v>
      </c>
      <c r="E1175" t="s">
        <v>31</v>
      </c>
      <c r="F1175" s="1">
        <v>0.67291666666666672</v>
      </c>
      <c r="G1175" t="s">
        <v>32</v>
      </c>
      <c r="H1175" t="s">
        <v>33</v>
      </c>
      <c r="I1175" t="s">
        <v>34</v>
      </c>
      <c r="J1175" t="s">
        <v>84</v>
      </c>
      <c r="K1175">
        <v>355</v>
      </c>
      <c r="L1175">
        <v>0</v>
      </c>
      <c r="M1175" t="s">
        <v>36</v>
      </c>
      <c r="N1175" t="s">
        <v>37</v>
      </c>
      <c r="O1175">
        <v>0</v>
      </c>
      <c r="P1175">
        <v>0</v>
      </c>
      <c r="Q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 t="s">
        <v>36</v>
      </c>
      <c r="AC1175" t="s">
        <v>687</v>
      </c>
      <c r="AD1175" t="str">
        <f t="shared" si="38"/>
        <v>CP</v>
      </c>
      <c r="AE1175" t="str">
        <f>_xlfn.XLOOKUP(D1175,Mapping!A:A,Mapping!D:D,0,0)</f>
        <v>Bin</v>
      </c>
      <c r="AF1175" t="str">
        <f t="shared" si="39"/>
        <v>OLD</v>
      </c>
    </row>
    <row r="1176" spans="1:32" x14ac:dyDescent="0.2">
      <c r="A1176" t="s">
        <v>1119</v>
      </c>
      <c r="B1176" t="s">
        <v>39</v>
      </c>
      <c r="C1176">
        <v>1011847042</v>
      </c>
      <c r="D1176" t="s">
        <v>183</v>
      </c>
      <c r="E1176" t="s">
        <v>31</v>
      </c>
      <c r="F1176" s="1">
        <v>0.67291666666666672</v>
      </c>
      <c r="G1176" t="s">
        <v>32</v>
      </c>
      <c r="H1176" t="s">
        <v>33</v>
      </c>
      <c r="I1176" t="s">
        <v>41</v>
      </c>
      <c r="J1176" t="s">
        <v>62</v>
      </c>
      <c r="K1176">
        <v>891</v>
      </c>
      <c r="L1176">
        <v>0</v>
      </c>
      <c r="M1176" t="s">
        <v>36</v>
      </c>
      <c r="N1176" t="s">
        <v>37</v>
      </c>
      <c r="O1176">
        <v>0</v>
      </c>
      <c r="P1176">
        <v>0</v>
      </c>
      <c r="Q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 t="s">
        <v>36</v>
      </c>
      <c r="AC1176" t="s">
        <v>687</v>
      </c>
      <c r="AD1176" t="str">
        <f t="shared" si="38"/>
        <v>CP</v>
      </c>
      <c r="AE1176" t="str">
        <f>_xlfn.XLOOKUP(D1176,Mapping!A:A,Mapping!D:D,0,0)</f>
        <v>Bin</v>
      </c>
      <c r="AF1176" t="str">
        <f t="shared" si="39"/>
        <v>OLD</v>
      </c>
    </row>
    <row r="1177" spans="1:32" x14ac:dyDescent="0.2">
      <c r="A1177" t="s">
        <v>1119</v>
      </c>
      <c r="B1177" t="s">
        <v>39</v>
      </c>
      <c r="C1177">
        <v>1011847052</v>
      </c>
      <c r="D1177" t="s">
        <v>184</v>
      </c>
      <c r="E1177" t="s">
        <v>31</v>
      </c>
      <c r="F1177" s="1">
        <v>0.67291666666666672</v>
      </c>
      <c r="G1177" t="s">
        <v>32</v>
      </c>
      <c r="H1177" t="s">
        <v>33</v>
      </c>
      <c r="I1177" t="s">
        <v>41</v>
      </c>
      <c r="J1177" t="s">
        <v>62</v>
      </c>
      <c r="K1177">
        <v>308</v>
      </c>
      <c r="L1177">
        <v>0</v>
      </c>
      <c r="M1177" t="s">
        <v>36</v>
      </c>
      <c r="N1177" t="s">
        <v>37</v>
      </c>
      <c r="O1177">
        <v>0</v>
      </c>
      <c r="P1177">
        <v>0</v>
      </c>
      <c r="Q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 t="s">
        <v>36</v>
      </c>
      <c r="AC1177" t="s">
        <v>687</v>
      </c>
      <c r="AD1177" t="str">
        <f t="shared" si="38"/>
        <v>CP</v>
      </c>
      <c r="AE1177" t="str">
        <f>_xlfn.XLOOKUP(D1177,Mapping!A:A,Mapping!D:D,0,0)</f>
        <v>Bin</v>
      </c>
      <c r="AF1177" t="str">
        <f t="shared" si="39"/>
        <v>OLD</v>
      </c>
    </row>
    <row r="1178" spans="1:32" x14ac:dyDescent="0.2">
      <c r="A1178" t="s">
        <v>1119</v>
      </c>
      <c r="B1178" t="s">
        <v>39</v>
      </c>
      <c r="C1178">
        <v>1011847062</v>
      </c>
      <c r="D1178" t="s">
        <v>185</v>
      </c>
      <c r="E1178" t="s">
        <v>31</v>
      </c>
      <c r="F1178" s="1">
        <v>0.67291666666666672</v>
      </c>
      <c r="G1178" t="s">
        <v>32</v>
      </c>
      <c r="H1178" t="s">
        <v>33</v>
      </c>
      <c r="I1178" t="s">
        <v>41</v>
      </c>
      <c r="J1178" t="s">
        <v>62</v>
      </c>
      <c r="K1178">
        <v>891</v>
      </c>
      <c r="L1178">
        <v>0</v>
      </c>
      <c r="M1178" t="s">
        <v>36</v>
      </c>
      <c r="N1178" t="s">
        <v>37</v>
      </c>
      <c r="O1178">
        <v>0</v>
      </c>
      <c r="P1178">
        <v>0</v>
      </c>
      <c r="Q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 t="s">
        <v>36</v>
      </c>
      <c r="AC1178" t="s">
        <v>687</v>
      </c>
      <c r="AD1178" t="str">
        <f t="shared" si="38"/>
        <v>CP</v>
      </c>
      <c r="AE1178" t="str">
        <f>_xlfn.XLOOKUP(D1178,Mapping!A:A,Mapping!D:D,0,0)</f>
        <v>Bin</v>
      </c>
      <c r="AF1178" t="str">
        <f t="shared" si="39"/>
        <v>OLD</v>
      </c>
    </row>
    <row r="1179" spans="1:32" x14ac:dyDescent="0.2">
      <c r="A1179" t="s">
        <v>1119</v>
      </c>
      <c r="B1179" t="s">
        <v>39</v>
      </c>
      <c r="C1179">
        <v>1011847072</v>
      </c>
      <c r="D1179" t="s">
        <v>186</v>
      </c>
      <c r="E1179" t="s">
        <v>31</v>
      </c>
      <c r="F1179" s="1">
        <v>0.67291666666666672</v>
      </c>
      <c r="G1179" t="s">
        <v>32</v>
      </c>
      <c r="H1179" t="s">
        <v>33</v>
      </c>
      <c r="I1179" t="s">
        <v>41</v>
      </c>
      <c r="J1179" t="s">
        <v>62</v>
      </c>
      <c r="K1179">
        <v>891</v>
      </c>
      <c r="L1179">
        <v>0</v>
      </c>
      <c r="M1179" t="s">
        <v>36</v>
      </c>
      <c r="N1179" t="s">
        <v>37</v>
      </c>
      <c r="O1179">
        <v>0</v>
      </c>
      <c r="P1179">
        <v>0</v>
      </c>
      <c r="Q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 t="s">
        <v>36</v>
      </c>
      <c r="AC1179" t="s">
        <v>687</v>
      </c>
      <c r="AD1179" t="str">
        <f t="shared" si="38"/>
        <v>CP</v>
      </c>
      <c r="AE1179" t="str">
        <f>_xlfn.XLOOKUP(D1179,Mapping!A:A,Mapping!D:D,0,0)</f>
        <v>Bin</v>
      </c>
      <c r="AF1179" t="str">
        <f t="shared" si="39"/>
        <v>OLD</v>
      </c>
    </row>
    <row r="1180" spans="1:32" x14ac:dyDescent="0.2">
      <c r="A1180" t="s">
        <v>1119</v>
      </c>
      <c r="B1180" t="s">
        <v>39</v>
      </c>
      <c r="C1180">
        <v>1011847082</v>
      </c>
      <c r="D1180" t="s">
        <v>187</v>
      </c>
      <c r="E1180" t="s">
        <v>31</v>
      </c>
      <c r="F1180" s="1">
        <v>0.67291666666666672</v>
      </c>
      <c r="G1180" t="s">
        <v>32</v>
      </c>
      <c r="H1180" t="s">
        <v>33</v>
      </c>
      <c r="I1180" t="s">
        <v>41</v>
      </c>
      <c r="J1180" t="s">
        <v>62</v>
      </c>
      <c r="K1180">
        <v>891</v>
      </c>
      <c r="L1180">
        <v>0</v>
      </c>
      <c r="M1180" t="s">
        <v>36</v>
      </c>
      <c r="N1180" t="s">
        <v>37</v>
      </c>
      <c r="O1180">
        <v>0</v>
      </c>
      <c r="P1180">
        <v>0</v>
      </c>
      <c r="Q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 t="s">
        <v>36</v>
      </c>
      <c r="AC1180" t="s">
        <v>687</v>
      </c>
      <c r="AD1180" t="str">
        <f t="shared" si="38"/>
        <v>CP</v>
      </c>
      <c r="AE1180" t="str">
        <f>_xlfn.XLOOKUP(D1180,Mapping!A:A,Mapping!D:D,0,0)</f>
        <v>Bin</v>
      </c>
      <c r="AF1180" t="str">
        <f t="shared" si="39"/>
        <v>OLD</v>
      </c>
    </row>
    <row r="1181" spans="1:32" x14ac:dyDescent="0.2">
      <c r="A1181" t="s">
        <v>1119</v>
      </c>
      <c r="B1181" t="s">
        <v>39</v>
      </c>
      <c r="C1181">
        <v>1011847092</v>
      </c>
      <c r="D1181" t="s">
        <v>188</v>
      </c>
      <c r="E1181" t="s">
        <v>31</v>
      </c>
      <c r="F1181" s="1">
        <v>0.67291666666666672</v>
      </c>
      <c r="G1181" t="s">
        <v>32</v>
      </c>
      <c r="H1181" t="s">
        <v>33</v>
      </c>
      <c r="I1181" t="s">
        <v>41</v>
      </c>
      <c r="J1181" t="s">
        <v>62</v>
      </c>
      <c r="K1181">
        <v>308</v>
      </c>
      <c r="L1181">
        <v>0</v>
      </c>
      <c r="M1181" t="s">
        <v>36</v>
      </c>
      <c r="N1181" t="s">
        <v>37</v>
      </c>
      <c r="O1181">
        <v>0</v>
      </c>
      <c r="P1181">
        <v>0</v>
      </c>
      <c r="Q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 t="s">
        <v>36</v>
      </c>
      <c r="AC1181" t="s">
        <v>687</v>
      </c>
      <c r="AD1181" t="str">
        <f t="shared" si="38"/>
        <v>CP</v>
      </c>
      <c r="AE1181" t="str">
        <f>_xlfn.XLOOKUP(D1181,Mapping!A:A,Mapping!D:D,0,0)</f>
        <v>Bin</v>
      </c>
      <c r="AF1181" t="str">
        <f t="shared" si="39"/>
        <v>OLD</v>
      </c>
    </row>
    <row r="1182" spans="1:32" x14ac:dyDescent="0.2">
      <c r="A1182" t="s">
        <v>1119</v>
      </c>
      <c r="B1182" t="s">
        <v>39</v>
      </c>
      <c r="C1182">
        <v>1011847112</v>
      </c>
      <c r="D1182" t="s">
        <v>189</v>
      </c>
      <c r="E1182" t="s">
        <v>31</v>
      </c>
      <c r="F1182" s="1">
        <v>0.67291666666666672</v>
      </c>
      <c r="G1182" t="s">
        <v>32</v>
      </c>
      <c r="H1182" t="s">
        <v>33</v>
      </c>
      <c r="I1182" t="s">
        <v>34</v>
      </c>
      <c r="J1182" t="s">
        <v>84</v>
      </c>
      <c r="K1182">
        <v>355</v>
      </c>
      <c r="L1182">
        <v>0</v>
      </c>
      <c r="M1182" t="s">
        <v>36</v>
      </c>
      <c r="N1182" t="s">
        <v>37</v>
      </c>
      <c r="O1182">
        <v>0</v>
      </c>
      <c r="P1182">
        <v>0</v>
      </c>
      <c r="Q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 t="s">
        <v>36</v>
      </c>
      <c r="AC1182" t="s">
        <v>687</v>
      </c>
      <c r="AD1182" t="str">
        <f t="shared" si="38"/>
        <v>CP</v>
      </c>
      <c r="AE1182" t="str">
        <f>_xlfn.XLOOKUP(D1182,Mapping!A:A,Mapping!D:D,0,0)</f>
        <v>Bin</v>
      </c>
      <c r="AF1182" t="str">
        <f t="shared" si="39"/>
        <v>OLD</v>
      </c>
    </row>
    <row r="1183" spans="1:32" x14ac:dyDescent="0.2">
      <c r="A1183" t="s">
        <v>1119</v>
      </c>
      <c r="B1183" t="s">
        <v>39</v>
      </c>
      <c r="C1183">
        <v>1011847122</v>
      </c>
      <c r="D1183" t="s">
        <v>190</v>
      </c>
      <c r="E1183" t="s">
        <v>31</v>
      </c>
      <c r="F1183" s="1">
        <v>0.67291666666666672</v>
      </c>
      <c r="G1183" t="s">
        <v>32</v>
      </c>
      <c r="H1183" t="s">
        <v>33</v>
      </c>
      <c r="I1183" t="s">
        <v>34</v>
      </c>
      <c r="J1183" t="s">
        <v>84</v>
      </c>
      <c r="K1183">
        <v>355</v>
      </c>
      <c r="L1183">
        <v>0</v>
      </c>
      <c r="M1183" t="s">
        <v>36</v>
      </c>
      <c r="N1183" t="s">
        <v>37</v>
      </c>
      <c r="O1183">
        <v>0</v>
      </c>
      <c r="P1183">
        <v>0</v>
      </c>
      <c r="Q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 t="s">
        <v>36</v>
      </c>
      <c r="AC1183" t="s">
        <v>687</v>
      </c>
      <c r="AD1183" t="str">
        <f t="shared" si="38"/>
        <v>CP</v>
      </c>
      <c r="AE1183" t="str">
        <f>_xlfn.XLOOKUP(D1183,Mapping!A:A,Mapping!D:D,0,0)</f>
        <v>Bin</v>
      </c>
      <c r="AF1183" t="str">
        <f t="shared" si="39"/>
        <v>OLD</v>
      </c>
    </row>
    <row r="1184" spans="1:32" x14ac:dyDescent="0.2">
      <c r="A1184" t="s">
        <v>1119</v>
      </c>
      <c r="B1184" t="s">
        <v>39</v>
      </c>
      <c r="C1184">
        <v>1011847132</v>
      </c>
      <c r="D1184" t="s">
        <v>191</v>
      </c>
      <c r="E1184" t="s">
        <v>31</v>
      </c>
      <c r="F1184" s="1">
        <v>0.67291666666666672</v>
      </c>
      <c r="G1184" t="s">
        <v>32</v>
      </c>
      <c r="H1184" t="s">
        <v>33</v>
      </c>
      <c r="I1184" t="s">
        <v>34</v>
      </c>
      <c r="J1184" t="s">
        <v>84</v>
      </c>
      <c r="K1184">
        <v>355</v>
      </c>
      <c r="L1184">
        <v>0</v>
      </c>
      <c r="M1184" t="s">
        <v>36</v>
      </c>
      <c r="N1184" t="s">
        <v>37</v>
      </c>
      <c r="O1184">
        <v>0</v>
      </c>
      <c r="P1184">
        <v>0</v>
      </c>
      <c r="Q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 t="s">
        <v>36</v>
      </c>
      <c r="AC1184" t="s">
        <v>687</v>
      </c>
      <c r="AD1184" t="str">
        <f t="shared" si="38"/>
        <v>CP</v>
      </c>
      <c r="AE1184" t="str">
        <f>_xlfn.XLOOKUP(D1184,Mapping!A:A,Mapping!D:D,0,0)</f>
        <v>Bin</v>
      </c>
      <c r="AF1184" t="str">
        <f t="shared" si="39"/>
        <v>OLD</v>
      </c>
    </row>
    <row r="1185" spans="1:32" x14ac:dyDescent="0.2">
      <c r="A1185" t="s">
        <v>1119</v>
      </c>
      <c r="B1185" t="s">
        <v>39</v>
      </c>
      <c r="C1185">
        <v>1011857952</v>
      </c>
      <c r="D1185" t="s">
        <v>192</v>
      </c>
      <c r="E1185" t="s">
        <v>31</v>
      </c>
      <c r="F1185" s="1">
        <v>0.67291666666666672</v>
      </c>
      <c r="G1185" t="s">
        <v>32</v>
      </c>
      <c r="H1185" t="s">
        <v>33</v>
      </c>
      <c r="I1185" t="s">
        <v>41</v>
      </c>
      <c r="J1185" t="s">
        <v>62</v>
      </c>
      <c r="K1185">
        <v>220</v>
      </c>
      <c r="L1185">
        <v>0</v>
      </c>
      <c r="M1185" t="s">
        <v>63</v>
      </c>
      <c r="N1185">
        <v>250</v>
      </c>
      <c r="O1185">
        <v>0</v>
      </c>
      <c r="P1185">
        <v>0</v>
      </c>
      <c r="Q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 t="s">
        <v>36</v>
      </c>
      <c r="AC1185" t="s">
        <v>687</v>
      </c>
      <c r="AD1185" t="str">
        <f t="shared" si="38"/>
        <v>CP</v>
      </c>
      <c r="AE1185" t="str">
        <f>_xlfn.XLOOKUP(D1185,Mapping!A:A,Mapping!D:D,0,0)</f>
        <v>Bin</v>
      </c>
      <c r="AF1185" t="str">
        <f t="shared" si="39"/>
        <v>OLD</v>
      </c>
    </row>
    <row r="1186" spans="1:32" x14ac:dyDescent="0.2">
      <c r="A1186" t="s">
        <v>1119</v>
      </c>
      <c r="B1186" t="s">
        <v>39</v>
      </c>
      <c r="C1186">
        <v>1011857962</v>
      </c>
      <c r="D1186" t="s">
        <v>193</v>
      </c>
      <c r="E1186" t="s">
        <v>31</v>
      </c>
      <c r="F1186" s="1">
        <v>0.67291666666666672</v>
      </c>
      <c r="G1186" t="s">
        <v>32</v>
      </c>
      <c r="H1186" t="s">
        <v>33</v>
      </c>
      <c r="I1186" t="s">
        <v>34</v>
      </c>
      <c r="J1186" t="s">
        <v>84</v>
      </c>
      <c r="K1186">
        <v>88</v>
      </c>
      <c r="L1186">
        <v>0</v>
      </c>
      <c r="M1186" t="s">
        <v>36</v>
      </c>
      <c r="N1186" t="s">
        <v>37</v>
      </c>
      <c r="O1186">
        <v>0</v>
      </c>
      <c r="P1186">
        <v>0</v>
      </c>
      <c r="Q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 t="s">
        <v>36</v>
      </c>
      <c r="AC1186" t="s">
        <v>687</v>
      </c>
      <c r="AD1186" t="str">
        <f t="shared" si="38"/>
        <v>CP</v>
      </c>
      <c r="AE1186" t="str">
        <f>_xlfn.XLOOKUP(D1186,Mapping!A:A,Mapping!D:D,0,0)</f>
        <v>Bin</v>
      </c>
      <c r="AF1186" t="str">
        <f t="shared" si="39"/>
        <v>OLD</v>
      </c>
    </row>
    <row r="1187" spans="1:32" x14ac:dyDescent="0.2">
      <c r="A1187" t="s">
        <v>1119</v>
      </c>
      <c r="B1187" t="s">
        <v>39</v>
      </c>
      <c r="C1187">
        <v>1011857972</v>
      </c>
      <c r="D1187" t="s">
        <v>194</v>
      </c>
      <c r="E1187" t="s">
        <v>31</v>
      </c>
      <c r="F1187" s="1">
        <v>0.67291666666666672</v>
      </c>
      <c r="G1187" t="s">
        <v>32</v>
      </c>
      <c r="H1187" t="s">
        <v>33</v>
      </c>
      <c r="I1187" t="s">
        <v>41</v>
      </c>
      <c r="J1187" t="s">
        <v>62</v>
      </c>
      <c r="K1187">
        <v>220</v>
      </c>
      <c r="L1187">
        <v>0</v>
      </c>
      <c r="M1187" t="s">
        <v>36</v>
      </c>
      <c r="N1187" t="s">
        <v>37</v>
      </c>
      <c r="O1187">
        <v>0</v>
      </c>
      <c r="P1187">
        <v>0</v>
      </c>
      <c r="Q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 t="s">
        <v>36</v>
      </c>
      <c r="AC1187" t="s">
        <v>687</v>
      </c>
      <c r="AD1187" t="str">
        <f t="shared" si="38"/>
        <v>CP</v>
      </c>
      <c r="AE1187" t="str">
        <f>_xlfn.XLOOKUP(D1187,Mapping!A:A,Mapping!D:D,0,0)</f>
        <v>Bin</v>
      </c>
      <c r="AF1187" t="str">
        <f t="shared" si="39"/>
        <v>OLD</v>
      </c>
    </row>
    <row r="1188" spans="1:32" x14ac:dyDescent="0.2">
      <c r="A1188" t="s">
        <v>1119</v>
      </c>
      <c r="B1188" t="s">
        <v>39</v>
      </c>
      <c r="C1188">
        <v>1011857982</v>
      </c>
      <c r="D1188" t="s">
        <v>195</v>
      </c>
      <c r="E1188" t="s">
        <v>31</v>
      </c>
      <c r="F1188" s="1">
        <v>0.67291666666666672</v>
      </c>
      <c r="G1188" t="s">
        <v>32</v>
      </c>
      <c r="H1188" t="s">
        <v>33</v>
      </c>
      <c r="I1188" t="s">
        <v>41</v>
      </c>
      <c r="J1188" t="s">
        <v>62</v>
      </c>
      <c r="K1188">
        <v>616</v>
      </c>
      <c r="L1188">
        <v>0</v>
      </c>
      <c r="M1188" t="s">
        <v>36</v>
      </c>
      <c r="N1188" t="s">
        <v>37</v>
      </c>
      <c r="O1188">
        <v>0</v>
      </c>
      <c r="P1188">
        <v>0</v>
      </c>
      <c r="Q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 t="s">
        <v>36</v>
      </c>
      <c r="AC1188" t="s">
        <v>687</v>
      </c>
      <c r="AD1188" t="str">
        <f t="shared" si="38"/>
        <v>CP</v>
      </c>
      <c r="AE1188" t="str">
        <f>_xlfn.XLOOKUP(D1188,Mapping!A:A,Mapping!D:D,0,0)</f>
        <v>Bin</v>
      </c>
      <c r="AF1188" t="str">
        <f t="shared" si="39"/>
        <v>OLD</v>
      </c>
    </row>
    <row r="1189" spans="1:32" x14ac:dyDescent="0.2">
      <c r="A1189" t="s">
        <v>1119</v>
      </c>
      <c r="B1189" t="s">
        <v>39</v>
      </c>
      <c r="C1189">
        <v>1011857992</v>
      </c>
      <c r="D1189" t="s">
        <v>196</v>
      </c>
      <c r="E1189" t="s">
        <v>31</v>
      </c>
      <c r="F1189" s="1">
        <v>0.67291666666666672</v>
      </c>
      <c r="G1189" t="s">
        <v>32</v>
      </c>
      <c r="H1189" t="s">
        <v>33</v>
      </c>
      <c r="I1189" t="s">
        <v>34</v>
      </c>
      <c r="J1189" t="s">
        <v>84</v>
      </c>
      <c r="K1189">
        <v>88</v>
      </c>
      <c r="L1189">
        <v>0</v>
      </c>
      <c r="M1189" t="s">
        <v>36</v>
      </c>
      <c r="N1189" t="s">
        <v>37</v>
      </c>
      <c r="O1189">
        <v>0</v>
      </c>
      <c r="P1189">
        <v>0</v>
      </c>
      <c r="Q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 t="s">
        <v>36</v>
      </c>
      <c r="AC1189" t="s">
        <v>687</v>
      </c>
      <c r="AD1189" t="str">
        <f t="shared" si="38"/>
        <v>CP</v>
      </c>
      <c r="AE1189" t="str">
        <f>_xlfn.XLOOKUP(D1189,Mapping!A:A,Mapping!D:D,0,0)</f>
        <v>Bin</v>
      </c>
      <c r="AF1189" t="str">
        <f t="shared" si="39"/>
        <v>OLD</v>
      </c>
    </row>
    <row r="1190" spans="1:32" x14ac:dyDescent="0.2">
      <c r="A1190" t="s">
        <v>1119</v>
      </c>
      <c r="B1190" t="s">
        <v>39</v>
      </c>
      <c r="C1190">
        <v>1011858002</v>
      </c>
      <c r="D1190" t="s">
        <v>197</v>
      </c>
      <c r="E1190" t="s">
        <v>31</v>
      </c>
      <c r="F1190" s="1">
        <v>0.67291666666666672</v>
      </c>
      <c r="G1190" t="s">
        <v>32</v>
      </c>
      <c r="H1190" t="s">
        <v>33</v>
      </c>
      <c r="I1190" t="s">
        <v>34</v>
      </c>
      <c r="J1190" t="s">
        <v>84</v>
      </c>
      <c r="K1190">
        <v>140</v>
      </c>
      <c r="L1190">
        <v>0</v>
      </c>
      <c r="M1190" t="s">
        <v>36</v>
      </c>
      <c r="N1190" t="s">
        <v>37</v>
      </c>
      <c r="O1190">
        <v>0</v>
      </c>
      <c r="P1190">
        <v>0</v>
      </c>
      <c r="Q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 t="s">
        <v>36</v>
      </c>
      <c r="AC1190" t="s">
        <v>687</v>
      </c>
      <c r="AD1190" t="str">
        <f t="shared" si="38"/>
        <v>CP</v>
      </c>
      <c r="AE1190" t="str">
        <f>_xlfn.XLOOKUP(D1190,Mapping!A:A,Mapping!D:D,0,0)</f>
        <v>Bin</v>
      </c>
      <c r="AF1190" t="str">
        <f t="shared" si="39"/>
        <v>OLD</v>
      </c>
    </row>
    <row r="1191" spans="1:32" x14ac:dyDescent="0.2">
      <c r="A1191" t="s">
        <v>1119</v>
      </c>
      <c r="B1191" t="s">
        <v>39</v>
      </c>
      <c r="C1191">
        <v>1011858012</v>
      </c>
      <c r="D1191" t="s">
        <v>198</v>
      </c>
      <c r="E1191" t="s">
        <v>31</v>
      </c>
      <c r="F1191" s="1">
        <v>0.67291666666666672</v>
      </c>
      <c r="G1191" t="s">
        <v>32</v>
      </c>
      <c r="H1191" t="s">
        <v>33</v>
      </c>
      <c r="I1191" t="s">
        <v>41</v>
      </c>
      <c r="J1191" t="s">
        <v>62</v>
      </c>
      <c r="K1191">
        <v>220</v>
      </c>
      <c r="L1191">
        <v>0</v>
      </c>
      <c r="M1191" t="s">
        <v>63</v>
      </c>
      <c r="N1191">
        <v>250</v>
      </c>
      <c r="O1191">
        <v>0</v>
      </c>
      <c r="P1191">
        <v>0</v>
      </c>
      <c r="Q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 t="s">
        <v>36</v>
      </c>
      <c r="AC1191" t="s">
        <v>687</v>
      </c>
      <c r="AD1191" t="str">
        <f t="shared" si="38"/>
        <v>CP</v>
      </c>
      <c r="AE1191" t="str">
        <f>_xlfn.XLOOKUP(D1191,Mapping!A:A,Mapping!D:D,0,0)</f>
        <v>Bin</v>
      </c>
      <c r="AF1191" t="str">
        <f t="shared" si="39"/>
        <v>OLD</v>
      </c>
    </row>
    <row r="1192" spans="1:32" x14ac:dyDescent="0.2">
      <c r="A1192" t="s">
        <v>1119</v>
      </c>
      <c r="B1192" t="s">
        <v>39</v>
      </c>
      <c r="C1192">
        <v>1011858022</v>
      </c>
      <c r="D1192" t="s">
        <v>199</v>
      </c>
      <c r="E1192" t="s">
        <v>31</v>
      </c>
      <c r="F1192" s="1">
        <v>0.67291666666666672</v>
      </c>
      <c r="G1192" t="s">
        <v>32</v>
      </c>
      <c r="H1192" t="s">
        <v>33</v>
      </c>
      <c r="I1192" t="s">
        <v>41</v>
      </c>
      <c r="J1192" t="s">
        <v>62</v>
      </c>
      <c r="K1192">
        <v>220</v>
      </c>
      <c r="L1192">
        <v>0</v>
      </c>
      <c r="M1192" t="s">
        <v>36</v>
      </c>
      <c r="N1192" t="s">
        <v>37</v>
      </c>
      <c r="O1192">
        <v>0</v>
      </c>
      <c r="P1192">
        <v>0</v>
      </c>
      <c r="Q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 t="s">
        <v>36</v>
      </c>
      <c r="AC1192" t="s">
        <v>687</v>
      </c>
      <c r="AD1192" t="str">
        <f t="shared" si="38"/>
        <v>CP</v>
      </c>
      <c r="AE1192" t="str">
        <f>_xlfn.XLOOKUP(D1192,Mapping!A:A,Mapping!D:D,0,0)</f>
        <v>Bin</v>
      </c>
      <c r="AF1192" t="str">
        <f t="shared" si="39"/>
        <v>OLD</v>
      </c>
    </row>
    <row r="1193" spans="1:32" x14ac:dyDescent="0.2">
      <c r="A1193" t="s">
        <v>1119</v>
      </c>
      <c r="B1193" t="s">
        <v>39</v>
      </c>
      <c r="C1193">
        <v>1011858032</v>
      </c>
      <c r="D1193" t="s">
        <v>200</v>
      </c>
      <c r="E1193" t="s">
        <v>31</v>
      </c>
      <c r="F1193" s="1">
        <v>0.67291666666666672</v>
      </c>
      <c r="G1193" t="s">
        <v>32</v>
      </c>
      <c r="H1193" t="s">
        <v>33</v>
      </c>
      <c r="I1193" t="s">
        <v>34</v>
      </c>
      <c r="J1193" t="s">
        <v>84</v>
      </c>
      <c r="K1193">
        <v>88</v>
      </c>
      <c r="L1193">
        <v>0</v>
      </c>
      <c r="M1193" t="s">
        <v>63</v>
      </c>
      <c r="N1193">
        <v>500</v>
      </c>
      <c r="O1193">
        <v>0</v>
      </c>
      <c r="P1193">
        <v>0</v>
      </c>
      <c r="Q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 t="s">
        <v>36</v>
      </c>
      <c r="AC1193" t="s">
        <v>687</v>
      </c>
      <c r="AD1193" t="str">
        <f t="shared" si="38"/>
        <v>CP</v>
      </c>
      <c r="AE1193" t="str">
        <f>_xlfn.XLOOKUP(D1193,Mapping!A:A,Mapping!D:D,0,0)</f>
        <v>Bin</v>
      </c>
      <c r="AF1193" t="str">
        <f t="shared" si="39"/>
        <v>OLD</v>
      </c>
    </row>
    <row r="1194" spans="1:32" x14ac:dyDescent="0.2">
      <c r="A1194" t="s">
        <v>1119</v>
      </c>
      <c r="B1194" t="s">
        <v>39</v>
      </c>
      <c r="C1194">
        <v>1011858042</v>
      </c>
      <c r="D1194" t="s">
        <v>201</v>
      </c>
      <c r="E1194" t="s">
        <v>31</v>
      </c>
      <c r="F1194" s="1">
        <v>0.67291666666666672</v>
      </c>
      <c r="G1194" t="s">
        <v>32</v>
      </c>
      <c r="H1194" t="s">
        <v>33</v>
      </c>
      <c r="I1194" t="s">
        <v>41</v>
      </c>
      <c r="J1194" t="s">
        <v>62</v>
      </c>
      <c r="K1194">
        <v>220</v>
      </c>
      <c r="L1194">
        <v>0</v>
      </c>
      <c r="M1194" t="s">
        <v>63</v>
      </c>
      <c r="N1194">
        <v>250</v>
      </c>
      <c r="O1194">
        <v>0</v>
      </c>
      <c r="P1194">
        <v>0</v>
      </c>
      <c r="Q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 t="s">
        <v>36</v>
      </c>
      <c r="AC1194" t="s">
        <v>687</v>
      </c>
      <c r="AD1194" t="str">
        <f t="shared" si="38"/>
        <v>CP</v>
      </c>
      <c r="AE1194" t="str">
        <f>_xlfn.XLOOKUP(D1194,Mapping!A:A,Mapping!D:D,0,0)</f>
        <v>Bin</v>
      </c>
      <c r="AF1194" t="str">
        <f t="shared" si="39"/>
        <v>OLD</v>
      </c>
    </row>
    <row r="1195" spans="1:32" x14ac:dyDescent="0.2">
      <c r="A1195" t="s">
        <v>1119</v>
      </c>
      <c r="B1195" t="s">
        <v>39</v>
      </c>
      <c r="C1195">
        <v>1011858052</v>
      </c>
      <c r="D1195" t="s">
        <v>202</v>
      </c>
      <c r="E1195" t="s">
        <v>31</v>
      </c>
      <c r="F1195" s="1">
        <v>0.67291666666666672</v>
      </c>
      <c r="G1195" t="s">
        <v>32</v>
      </c>
      <c r="H1195" t="s">
        <v>33</v>
      </c>
      <c r="I1195" t="s">
        <v>41</v>
      </c>
      <c r="J1195" t="s">
        <v>62</v>
      </c>
      <c r="K1195">
        <v>616</v>
      </c>
      <c r="L1195">
        <v>0</v>
      </c>
      <c r="M1195" t="s">
        <v>36</v>
      </c>
      <c r="N1195" t="s">
        <v>37</v>
      </c>
      <c r="O1195">
        <v>0</v>
      </c>
      <c r="P1195">
        <v>0</v>
      </c>
      <c r="Q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 t="s">
        <v>36</v>
      </c>
      <c r="AC1195" t="s">
        <v>687</v>
      </c>
      <c r="AD1195" t="str">
        <f t="shared" si="38"/>
        <v>CP</v>
      </c>
      <c r="AE1195" t="str">
        <f>_xlfn.XLOOKUP(D1195,Mapping!A:A,Mapping!D:D,0,0)</f>
        <v>Bin</v>
      </c>
      <c r="AF1195" t="str">
        <f t="shared" si="39"/>
        <v>OLD</v>
      </c>
    </row>
    <row r="1196" spans="1:32" x14ac:dyDescent="0.2">
      <c r="A1196" t="s">
        <v>1119</v>
      </c>
      <c r="B1196" t="s">
        <v>39</v>
      </c>
      <c r="C1196">
        <v>1011858062</v>
      </c>
      <c r="D1196" t="s">
        <v>203</v>
      </c>
      <c r="E1196" t="s">
        <v>31</v>
      </c>
      <c r="F1196" s="1">
        <v>0.67291666666666672</v>
      </c>
      <c r="G1196" t="s">
        <v>32</v>
      </c>
      <c r="H1196" t="s">
        <v>33</v>
      </c>
      <c r="I1196" t="s">
        <v>41</v>
      </c>
      <c r="J1196" t="s">
        <v>62</v>
      </c>
      <c r="K1196">
        <v>220</v>
      </c>
      <c r="L1196">
        <v>0</v>
      </c>
      <c r="M1196" t="s">
        <v>63</v>
      </c>
      <c r="N1196">
        <v>200</v>
      </c>
      <c r="O1196">
        <v>0</v>
      </c>
      <c r="P1196">
        <v>0</v>
      </c>
      <c r="Q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 t="s">
        <v>36</v>
      </c>
      <c r="AC1196" t="s">
        <v>687</v>
      </c>
      <c r="AD1196" t="str">
        <f t="shared" si="38"/>
        <v>CP</v>
      </c>
      <c r="AE1196" t="str">
        <f>_xlfn.XLOOKUP(D1196,Mapping!A:A,Mapping!D:D,0,0)</f>
        <v>Bin</v>
      </c>
      <c r="AF1196" t="str">
        <f t="shared" si="39"/>
        <v>OLD</v>
      </c>
    </row>
    <row r="1197" spans="1:32" x14ac:dyDescent="0.2">
      <c r="A1197" t="s">
        <v>1119</v>
      </c>
      <c r="B1197" t="s">
        <v>39</v>
      </c>
      <c r="C1197">
        <v>1011858072</v>
      </c>
      <c r="D1197" t="s">
        <v>204</v>
      </c>
      <c r="E1197" t="s">
        <v>31</v>
      </c>
      <c r="F1197" s="1">
        <v>0.67291666666666672</v>
      </c>
      <c r="G1197" t="s">
        <v>32</v>
      </c>
      <c r="H1197" t="s">
        <v>33</v>
      </c>
      <c r="I1197" t="s">
        <v>41</v>
      </c>
      <c r="J1197" t="s">
        <v>62</v>
      </c>
      <c r="K1197">
        <v>220</v>
      </c>
      <c r="L1197">
        <v>0</v>
      </c>
      <c r="M1197" t="s">
        <v>63</v>
      </c>
      <c r="N1197">
        <v>150</v>
      </c>
      <c r="O1197">
        <v>0</v>
      </c>
      <c r="P1197">
        <v>0</v>
      </c>
      <c r="Q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 t="s">
        <v>36</v>
      </c>
      <c r="AC1197" t="s">
        <v>687</v>
      </c>
      <c r="AD1197" t="str">
        <f t="shared" si="38"/>
        <v>CP</v>
      </c>
      <c r="AE1197" t="str">
        <f>_xlfn.XLOOKUP(D1197,Mapping!A:A,Mapping!D:D,0,0)</f>
        <v>Bin</v>
      </c>
      <c r="AF1197" t="str">
        <f t="shared" si="39"/>
        <v>OLD</v>
      </c>
    </row>
    <row r="1198" spans="1:32" x14ac:dyDescent="0.2">
      <c r="A1198" t="s">
        <v>1119</v>
      </c>
      <c r="B1198" t="s">
        <v>39</v>
      </c>
      <c r="C1198">
        <v>1011858402</v>
      </c>
      <c r="D1198" t="s">
        <v>205</v>
      </c>
      <c r="E1198" t="s">
        <v>31</v>
      </c>
      <c r="F1198" s="1">
        <v>0.38611111111111113</v>
      </c>
      <c r="G1198" t="s">
        <v>32</v>
      </c>
      <c r="H1198" t="s">
        <v>33</v>
      </c>
      <c r="I1198" t="s">
        <v>41</v>
      </c>
      <c r="J1198" t="s">
        <v>206</v>
      </c>
      <c r="K1198">
        <v>11</v>
      </c>
      <c r="L1198">
        <v>0</v>
      </c>
      <c r="M1198" t="s">
        <v>36</v>
      </c>
      <c r="N1198" t="s">
        <v>37</v>
      </c>
      <c r="O1198">
        <v>0</v>
      </c>
      <c r="P1198">
        <v>0</v>
      </c>
      <c r="Q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 t="s">
        <v>36</v>
      </c>
      <c r="AC1198" t="s">
        <v>687</v>
      </c>
      <c r="AD1198" t="str">
        <f t="shared" si="38"/>
        <v>CP</v>
      </c>
      <c r="AE1198" t="str">
        <f>_xlfn.XLOOKUP(D1198,Mapping!A:A,Mapping!D:D,0,0)</f>
        <v>Bin</v>
      </c>
      <c r="AF1198" t="str">
        <f t="shared" si="39"/>
        <v>OLD</v>
      </c>
    </row>
    <row r="1199" spans="1:32" x14ac:dyDescent="0.2">
      <c r="A1199" t="s">
        <v>1119</v>
      </c>
      <c r="B1199" t="s">
        <v>39</v>
      </c>
      <c r="C1199">
        <v>1011858412</v>
      </c>
      <c r="D1199" t="s">
        <v>207</v>
      </c>
      <c r="E1199" t="s">
        <v>31</v>
      </c>
      <c r="F1199" s="1">
        <v>0.38611111111111113</v>
      </c>
      <c r="G1199" t="s">
        <v>32</v>
      </c>
      <c r="H1199" t="s">
        <v>33</v>
      </c>
      <c r="I1199" t="s">
        <v>41</v>
      </c>
      <c r="J1199" t="s">
        <v>58</v>
      </c>
      <c r="K1199">
        <v>5</v>
      </c>
      <c r="L1199">
        <v>0</v>
      </c>
      <c r="M1199" t="s">
        <v>36</v>
      </c>
      <c r="N1199" t="s">
        <v>37</v>
      </c>
      <c r="O1199">
        <v>0</v>
      </c>
      <c r="P1199">
        <v>0</v>
      </c>
      <c r="Q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 t="s">
        <v>36</v>
      </c>
      <c r="AC1199" t="s">
        <v>687</v>
      </c>
      <c r="AD1199" t="str">
        <f t="shared" si="38"/>
        <v>CP</v>
      </c>
      <c r="AE1199" t="str">
        <f>_xlfn.XLOOKUP(D1199,Mapping!A:A,Mapping!D:D,0,0)</f>
        <v>Bin</v>
      </c>
      <c r="AF1199" t="str">
        <f t="shared" si="39"/>
        <v>OLD</v>
      </c>
    </row>
    <row r="1200" spans="1:32" x14ac:dyDescent="0.2">
      <c r="A1200" t="s">
        <v>1119</v>
      </c>
      <c r="B1200" t="s">
        <v>39</v>
      </c>
      <c r="C1200">
        <v>1011858422</v>
      </c>
      <c r="D1200" t="s">
        <v>208</v>
      </c>
      <c r="E1200" t="s">
        <v>31</v>
      </c>
      <c r="F1200" s="1">
        <v>0.38611111111111113</v>
      </c>
      <c r="G1200" t="s">
        <v>32</v>
      </c>
      <c r="H1200" t="s">
        <v>33</v>
      </c>
      <c r="I1200" t="s">
        <v>41</v>
      </c>
      <c r="J1200" t="s">
        <v>58</v>
      </c>
      <c r="K1200">
        <v>2</v>
      </c>
      <c r="L1200">
        <v>0</v>
      </c>
      <c r="M1200" t="s">
        <v>36</v>
      </c>
      <c r="N1200" t="s">
        <v>37</v>
      </c>
      <c r="O1200">
        <v>0</v>
      </c>
      <c r="P1200">
        <v>0</v>
      </c>
      <c r="Q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 t="s">
        <v>36</v>
      </c>
      <c r="AC1200" t="s">
        <v>687</v>
      </c>
      <c r="AD1200" t="str">
        <f t="shared" si="38"/>
        <v>CP</v>
      </c>
      <c r="AE1200" t="str">
        <f>_xlfn.XLOOKUP(D1200,Mapping!A:A,Mapping!D:D,0,0)</f>
        <v>Bin</v>
      </c>
      <c r="AF1200" t="str">
        <f t="shared" si="39"/>
        <v>OLD</v>
      </c>
    </row>
    <row r="1201" spans="1:32" x14ac:dyDescent="0.2">
      <c r="A1201" t="s">
        <v>1119</v>
      </c>
      <c r="B1201" t="s">
        <v>39</v>
      </c>
      <c r="C1201">
        <v>1011858432</v>
      </c>
      <c r="D1201" t="s">
        <v>209</v>
      </c>
      <c r="E1201" t="s">
        <v>31</v>
      </c>
      <c r="F1201" s="1">
        <v>0.38611111111111113</v>
      </c>
      <c r="G1201" t="s">
        <v>32</v>
      </c>
      <c r="H1201" t="s">
        <v>33</v>
      </c>
      <c r="I1201" t="s">
        <v>41</v>
      </c>
      <c r="J1201" t="s">
        <v>58</v>
      </c>
      <c r="K1201">
        <v>8</v>
      </c>
      <c r="L1201">
        <v>0</v>
      </c>
      <c r="M1201" t="s">
        <v>36</v>
      </c>
      <c r="N1201" t="s">
        <v>37</v>
      </c>
      <c r="O1201">
        <v>0</v>
      </c>
      <c r="P1201">
        <v>0</v>
      </c>
      <c r="Q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 t="s">
        <v>36</v>
      </c>
      <c r="AC1201" t="s">
        <v>687</v>
      </c>
      <c r="AD1201" t="str">
        <f t="shared" si="38"/>
        <v>CP</v>
      </c>
      <c r="AE1201" t="str">
        <f>_xlfn.XLOOKUP(D1201,Mapping!A:A,Mapping!D:D,0,0)</f>
        <v>Bin</v>
      </c>
      <c r="AF1201" t="str">
        <f t="shared" si="39"/>
        <v>OLD</v>
      </c>
    </row>
    <row r="1202" spans="1:32" x14ac:dyDescent="0.2">
      <c r="A1202" t="s">
        <v>1119</v>
      </c>
      <c r="B1202" t="s">
        <v>39</v>
      </c>
      <c r="C1202">
        <v>1011858442</v>
      </c>
      <c r="D1202" t="s">
        <v>210</v>
      </c>
      <c r="E1202" t="s">
        <v>31</v>
      </c>
      <c r="F1202" s="1">
        <v>0.38611111111111113</v>
      </c>
      <c r="G1202" t="s">
        <v>32</v>
      </c>
      <c r="H1202" t="s">
        <v>33</v>
      </c>
      <c r="I1202" t="s">
        <v>41</v>
      </c>
      <c r="J1202" t="s">
        <v>58</v>
      </c>
      <c r="K1202">
        <v>11</v>
      </c>
      <c r="L1202">
        <v>0</v>
      </c>
      <c r="M1202" t="s">
        <v>36</v>
      </c>
      <c r="N1202" t="s">
        <v>37</v>
      </c>
      <c r="O1202">
        <v>0</v>
      </c>
      <c r="P1202">
        <v>0</v>
      </c>
      <c r="Q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 t="s">
        <v>36</v>
      </c>
      <c r="AC1202" t="s">
        <v>687</v>
      </c>
      <c r="AD1202" t="str">
        <f t="shared" si="38"/>
        <v>CP</v>
      </c>
      <c r="AE1202" t="str">
        <f>_xlfn.XLOOKUP(D1202,Mapping!A:A,Mapping!D:D,0,0)</f>
        <v>Bin</v>
      </c>
      <c r="AF1202" t="str">
        <f t="shared" si="39"/>
        <v>OLD</v>
      </c>
    </row>
    <row r="1203" spans="1:32" x14ac:dyDescent="0.2">
      <c r="A1203" t="s">
        <v>1119</v>
      </c>
      <c r="B1203" t="s">
        <v>39</v>
      </c>
      <c r="C1203">
        <v>1011858452</v>
      </c>
      <c r="D1203" t="s">
        <v>211</v>
      </c>
      <c r="E1203" t="s">
        <v>31</v>
      </c>
      <c r="F1203" s="1">
        <v>0.38611111111111113</v>
      </c>
      <c r="G1203" t="s">
        <v>32</v>
      </c>
      <c r="H1203" t="s">
        <v>33</v>
      </c>
      <c r="I1203" t="s">
        <v>41</v>
      </c>
      <c r="J1203" t="s">
        <v>58</v>
      </c>
      <c r="K1203">
        <v>2</v>
      </c>
      <c r="L1203">
        <v>0</v>
      </c>
      <c r="M1203" t="s">
        <v>36</v>
      </c>
      <c r="N1203" t="s">
        <v>37</v>
      </c>
      <c r="O1203">
        <v>0</v>
      </c>
      <c r="P1203">
        <v>0</v>
      </c>
      <c r="Q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 t="s">
        <v>36</v>
      </c>
      <c r="AC1203" t="s">
        <v>687</v>
      </c>
      <c r="AD1203" t="str">
        <f t="shared" si="38"/>
        <v>CP</v>
      </c>
      <c r="AE1203" t="str">
        <f>_xlfn.XLOOKUP(D1203,Mapping!A:A,Mapping!D:D,0,0)</f>
        <v>Bin</v>
      </c>
      <c r="AF1203" t="str">
        <f t="shared" si="39"/>
        <v>OLD</v>
      </c>
    </row>
    <row r="1204" spans="1:32" x14ac:dyDescent="0.2">
      <c r="A1204" t="s">
        <v>1119</v>
      </c>
      <c r="B1204" t="s">
        <v>39</v>
      </c>
      <c r="C1204">
        <v>1011858462</v>
      </c>
      <c r="D1204" t="s">
        <v>212</v>
      </c>
      <c r="E1204" t="s">
        <v>31</v>
      </c>
      <c r="F1204" s="1">
        <v>0.38611111111111113</v>
      </c>
      <c r="G1204" t="s">
        <v>32</v>
      </c>
      <c r="H1204" t="s">
        <v>33</v>
      </c>
      <c r="I1204" t="s">
        <v>41</v>
      </c>
      <c r="J1204" t="s">
        <v>58</v>
      </c>
      <c r="K1204">
        <v>8</v>
      </c>
      <c r="L1204">
        <v>0</v>
      </c>
      <c r="M1204" t="s">
        <v>36</v>
      </c>
      <c r="N1204" t="s">
        <v>37</v>
      </c>
      <c r="O1204">
        <v>0</v>
      </c>
      <c r="P1204">
        <v>0</v>
      </c>
      <c r="Q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 t="s">
        <v>36</v>
      </c>
      <c r="AC1204" t="s">
        <v>687</v>
      </c>
      <c r="AD1204" t="str">
        <f t="shared" si="38"/>
        <v>CP</v>
      </c>
      <c r="AE1204" t="str">
        <f>_xlfn.XLOOKUP(D1204,Mapping!A:A,Mapping!D:D,0,0)</f>
        <v>Bin</v>
      </c>
      <c r="AF1204" t="str">
        <f t="shared" si="39"/>
        <v>OLD</v>
      </c>
    </row>
    <row r="1205" spans="1:32" x14ac:dyDescent="0.2">
      <c r="A1205" t="s">
        <v>1119</v>
      </c>
      <c r="B1205" t="s">
        <v>39</v>
      </c>
      <c r="C1205">
        <v>1011859612</v>
      </c>
      <c r="D1205" t="s">
        <v>213</v>
      </c>
      <c r="E1205" t="s">
        <v>31</v>
      </c>
      <c r="F1205" s="1">
        <v>0.67291666666666672</v>
      </c>
      <c r="G1205" t="s">
        <v>32</v>
      </c>
      <c r="H1205" t="s">
        <v>33</v>
      </c>
      <c r="I1205" t="s">
        <v>41</v>
      </c>
      <c r="J1205" t="s">
        <v>62</v>
      </c>
      <c r="K1205">
        <v>220</v>
      </c>
      <c r="L1205">
        <v>0</v>
      </c>
      <c r="M1205" t="s">
        <v>63</v>
      </c>
      <c r="N1205">
        <v>250</v>
      </c>
      <c r="O1205">
        <v>0</v>
      </c>
      <c r="P1205">
        <v>0</v>
      </c>
      <c r="Q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 t="s">
        <v>36</v>
      </c>
      <c r="AC1205" t="s">
        <v>687</v>
      </c>
      <c r="AD1205" t="str">
        <f t="shared" si="38"/>
        <v>CP</v>
      </c>
      <c r="AE1205" t="str">
        <f>_xlfn.XLOOKUP(D1205,Mapping!A:A,Mapping!D:D,0,0)</f>
        <v>Bin</v>
      </c>
      <c r="AF1205" t="str">
        <f t="shared" si="39"/>
        <v>OLD</v>
      </c>
    </row>
    <row r="1206" spans="1:32" x14ac:dyDescent="0.2">
      <c r="A1206" t="s">
        <v>1119</v>
      </c>
      <c r="B1206" t="s">
        <v>39</v>
      </c>
      <c r="C1206">
        <v>1011859622</v>
      </c>
      <c r="D1206" t="s">
        <v>214</v>
      </c>
      <c r="E1206" t="s">
        <v>31</v>
      </c>
      <c r="F1206" s="1">
        <v>0.67291666666666672</v>
      </c>
      <c r="G1206" t="s">
        <v>32</v>
      </c>
      <c r="H1206" t="s">
        <v>33</v>
      </c>
      <c r="I1206" t="s">
        <v>41</v>
      </c>
      <c r="J1206" t="s">
        <v>62</v>
      </c>
      <c r="K1206">
        <v>616</v>
      </c>
      <c r="L1206">
        <v>0</v>
      </c>
      <c r="M1206" t="s">
        <v>36</v>
      </c>
      <c r="N1206" t="s">
        <v>37</v>
      </c>
      <c r="O1206">
        <v>0</v>
      </c>
      <c r="P1206">
        <v>0</v>
      </c>
      <c r="Q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 t="s">
        <v>36</v>
      </c>
      <c r="AC1206" t="s">
        <v>687</v>
      </c>
      <c r="AD1206" t="str">
        <f t="shared" si="38"/>
        <v>CP</v>
      </c>
      <c r="AE1206" t="str">
        <f>_xlfn.XLOOKUP(D1206,Mapping!A:A,Mapping!D:D,0,0)</f>
        <v>Bin</v>
      </c>
      <c r="AF1206" t="str">
        <f t="shared" si="39"/>
        <v>OLD</v>
      </c>
    </row>
    <row r="1207" spans="1:32" x14ac:dyDescent="0.2">
      <c r="A1207" t="s">
        <v>1119</v>
      </c>
      <c r="B1207" t="s">
        <v>39</v>
      </c>
      <c r="C1207">
        <v>1011859632</v>
      </c>
      <c r="D1207" t="s">
        <v>215</v>
      </c>
      <c r="E1207" t="s">
        <v>31</v>
      </c>
      <c r="F1207" s="1">
        <v>0.67291666666666672</v>
      </c>
      <c r="G1207" t="s">
        <v>32</v>
      </c>
      <c r="H1207" t="s">
        <v>33</v>
      </c>
      <c r="I1207" t="s">
        <v>41</v>
      </c>
      <c r="J1207" t="s">
        <v>62</v>
      </c>
      <c r="K1207">
        <v>220</v>
      </c>
      <c r="L1207">
        <v>0</v>
      </c>
      <c r="M1207" t="s">
        <v>36</v>
      </c>
      <c r="N1207" t="s">
        <v>37</v>
      </c>
      <c r="O1207">
        <v>0</v>
      </c>
      <c r="P1207">
        <v>0</v>
      </c>
      <c r="Q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 t="s">
        <v>36</v>
      </c>
      <c r="AC1207" t="s">
        <v>687</v>
      </c>
      <c r="AD1207" t="str">
        <f t="shared" si="38"/>
        <v>CP</v>
      </c>
      <c r="AE1207" t="str">
        <f>_xlfn.XLOOKUP(D1207,Mapping!A:A,Mapping!D:D,0,0)</f>
        <v>Bin</v>
      </c>
      <c r="AF1207" t="str">
        <f t="shared" si="39"/>
        <v>OLD</v>
      </c>
    </row>
    <row r="1208" spans="1:32" x14ac:dyDescent="0.2">
      <c r="A1208" t="s">
        <v>1119</v>
      </c>
      <c r="B1208" t="s">
        <v>39</v>
      </c>
      <c r="C1208">
        <v>1011859642</v>
      </c>
      <c r="D1208" t="s">
        <v>216</v>
      </c>
      <c r="E1208" t="s">
        <v>31</v>
      </c>
      <c r="F1208" s="1">
        <v>0.67291666666666672</v>
      </c>
      <c r="G1208" t="s">
        <v>32</v>
      </c>
      <c r="H1208" t="s">
        <v>33</v>
      </c>
      <c r="I1208" t="s">
        <v>41</v>
      </c>
      <c r="J1208" t="s">
        <v>62</v>
      </c>
      <c r="K1208">
        <v>220</v>
      </c>
      <c r="L1208">
        <v>0</v>
      </c>
      <c r="M1208" t="s">
        <v>36</v>
      </c>
      <c r="N1208" t="s">
        <v>37</v>
      </c>
      <c r="O1208">
        <v>0</v>
      </c>
      <c r="P1208">
        <v>0</v>
      </c>
      <c r="Q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 t="s">
        <v>36</v>
      </c>
      <c r="AC1208" t="s">
        <v>687</v>
      </c>
      <c r="AD1208" t="str">
        <f t="shared" si="38"/>
        <v>CP</v>
      </c>
      <c r="AE1208" t="str">
        <f>_xlfn.XLOOKUP(D1208,Mapping!A:A,Mapping!D:D,0,0)</f>
        <v>Bin</v>
      </c>
      <c r="AF1208" t="str">
        <f t="shared" si="39"/>
        <v>OLD</v>
      </c>
    </row>
    <row r="1209" spans="1:32" x14ac:dyDescent="0.2">
      <c r="A1209" t="s">
        <v>1119</v>
      </c>
      <c r="B1209" t="s">
        <v>39</v>
      </c>
      <c r="C1209">
        <v>1011859652</v>
      </c>
      <c r="D1209" t="s">
        <v>217</v>
      </c>
      <c r="E1209" t="s">
        <v>31</v>
      </c>
      <c r="F1209" s="1">
        <v>0.67291666666666672</v>
      </c>
      <c r="G1209" t="s">
        <v>32</v>
      </c>
      <c r="H1209" t="s">
        <v>33</v>
      </c>
      <c r="I1209" t="s">
        <v>41</v>
      </c>
      <c r="J1209" t="s">
        <v>62</v>
      </c>
      <c r="K1209">
        <v>220</v>
      </c>
      <c r="L1209">
        <v>0</v>
      </c>
      <c r="M1209" t="s">
        <v>36</v>
      </c>
      <c r="N1209" t="s">
        <v>37</v>
      </c>
      <c r="O1209">
        <v>0</v>
      </c>
      <c r="P1209">
        <v>0</v>
      </c>
      <c r="Q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 t="s">
        <v>36</v>
      </c>
      <c r="AC1209" t="s">
        <v>687</v>
      </c>
      <c r="AD1209" t="str">
        <f t="shared" si="38"/>
        <v>CP</v>
      </c>
      <c r="AE1209" t="str">
        <f>_xlfn.XLOOKUP(D1209,Mapping!A:A,Mapping!D:D,0,0)</f>
        <v>Bin</v>
      </c>
      <c r="AF1209" t="str">
        <f t="shared" si="39"/>
        <v>OLD</v>
      </c>
    </row>
    <row r="1210" spans="1:32" x14ac:dyDescent="0.2">
      <c r="A1210" t="s">
        <v>1119</v>
      </c>
      <c r="B1210" t="s">
        <v>39</v>
      </c>
      <c r="C1210">
        <v>1011859662</v>
      </c>
      <c r="D1210" t="s">
        <v>218</v>
      </c>
      <c r="E1210" t="s">
        <v>31</v>
      </c>
      <c r="F1210" s="1">
        <v>0.67291666666666672</v>
      </c>
      <c r="G1210" t="s">
        <v>32</v>
      </c>
      <c r="H1210" t="s">
        <v>33</v>
      </c>
      <c r="I1210" t="s">
        <v>41</v>
      </c>
      <c r="J1210" t="s">
        <v>62</v>
      </c>
      <c r="K1210">
        <v>616</v>
      </c>
      <c r="L1210">
        <v>0</v>
      </c>
      <c r="M1210" t="s">
        <v>63</v>
      </c>
      <c r="N1210">
        <v>150</v>
      </c>
      <c r="O1210">
        <v>0</v>
      </c>
      <c r="P1210">
        <v>0</v>
      </c>
      <c r="Q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 t="s">
        <v>36</v>
      </c>
      <c r="AC1210" t="s">
        <v>687</v>
      </c>
      <c r="AD1210" t="str">
        <f t="shared" si="38"/>
        <v>CP</v>
      </c>
      <c r="AE1210" t="str">
        <f>_xlfn.XLOOKUP(D1210,Mapping!A:A,Mapping!D:D,0,0)</f>
        <v>Bin</v>
      </c>
      <c r="AF1210" t="str">
        <f t="shared" si="39"/>
        <v>OLD</v>
      </c>
    </row>
    <row r="1211" spans="1:32" x14ac:dyDescent="0.2">
      <c r="A1211" t="s">
        <v>1119</v>
      </c>
      <c r="B1211" t="s">
        <v>39</v>
      </c>
      <c r="C1211">
        <v>1011859672</v>
      </c>
      <c r="D1211" t="s">
        <v>219</v>
      </c>
      <c r="E1211" t="s">
        <v>31</v>
      </c>
      <c r="F1211" s="1">
        <v>0.67291666666666672</v>
      </c>
      <c r="G1211" t="s">
        <v>32</v>
      </c>
      <c r="H1211" t="s">
        <v>33</v>
      </c>
      <c r="I1211" t="s">
        <v>41</v>
      </c>
      <c r="J1211" t="s">
        <v>62</v>
      </c>
      <c r="K1211">
        <v>220</v>
      </c>
      <c r="L1211">
        <v>0</v>
      </c>
      <c r="M1211" t="s">
        <v>36</v>
      </c>
      <c r="N1211" t="s">
        <v>37</v>
      </c>
      <c r="O1211">
        <v>0</v>
      </c>
      <c r="P1211">
        <v>0</v>
      </c>
      <c r="Q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 t="s">
        <v>36</v>
      </c>
      <c r="AC1211" t="s">
        <v>687</v>
      </c>
      <c r="AD1211" t="str">
        <f t="shared" si="38"/>
        <v>CP</v>
      </c>
      <c r="AE1211" t="str">
        <f>_xlfn.XLOOKUP(D1211,Mapping!A:A,Mapping!D:D,0,0)</f>
        <v>Bin</v>
      </c>
      <c r="AF1211" t="str">
        <f t="shared" si="39"/>
        <v>OLD</v>
      </c>
    </row>
    <row r="1212" spans="1:32" x14ac:dyDescent="0.2">
      <c r="A1212" t="s">
        <v>1119</v>
      </c>
      <c r="B1212" t="s">
        <v>39</v>
      </c>
      <c r="C1212">
        <v>1011860812</v>
      </c>
      <c r="D1212" t="s">
        <v>220</v>
      </c>
      <c r="E1212" t="s">
        <v>31</v>
      </c>
      <c r="F1212" s="1">
        <v>0.67291666666666672</v>
      </c>
      <c r="G1212" t="s">
        <v>32</v>
      </c>
      <c r="H1212" t="s">
        <v>33</v>
      </c>
      <c r="I1212" t="s">
        <v>41</v>
      </c>
      <c r="J1212" t="s">
        <v>84</v>
      </c>
      <c r="K1212">
        <v>220</v>
      </c>
      <c r="L1212">
        <v>0</v>
      </c>
      <c r="M1212" t="s">
        <v>63</v>
      </c>
      <c r="N1212">
        <v>250</v>
      </c>
      <c r="O1212">
        <v>0</v>
      </c>
      <c r="P1212">
        <v>0</v>
      </c>
      <c r="Q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 t="s">
        <v>36</v>
      </c>
      <c r="AC1212" t="s">
        <v>687</v>
      </c>
      <c r="AD1212" t="str">
        <f t="shared" si="38"/>
        <v>CP</v>
      </c>
      <c r="AE1212" t="str">
        <f>_xlfn.XLOOKUP(D1212,Mapping!A:A,Mapping!D:D,0,0)</f>
        <v>Bin</v>
      </c>
      <c r="AF1212" t="str">
        <f t="shared" si="39"/>
        <v>OLD</v>
      </c>
    </row>
    <row r="1213" spans="1:32" x14ac:dyDescent="0.2">
      <c r="A1213" t="s">
        <v>1119</v>
      </c>
      <c r="B1213" t="s">
        <v>39</v>
      </c>
      <c r="C1213">
        <v>1011860822</v>
      </c>
      <c r="D1213" t="s">
        <v>221</v>
      </c>
      <c r="E1213" t="s">
        <v>31</v>
      </c>
      <c r="F1213" s="1">
        <v>0.67291666666666672</v>
      </c>
      <c r="G1213" t="s">
        <v>32</v>
      </c>
      <c r="H1213" t="s">
        <v>33</v>
      </c>
      <c r="I1213" t="s">
        <v>41</v>
      </c>
      <c r="J1213" t="s">
        <v>84</v>
      </c>
      <c r="K1213">
        <v>220</v>
      </c>
      <c r="L1213">
        <v>0</v>
      </c>
      <c r="M1213" t="s">
        <v>63</v>
      </c>
      <c r="N1213">
        <v>150</v>
      </c>
      <c r="O1213">
        <v>0</v>
      </c>
      <c r="P1213">
        <v>0</v>
      </c>
      <c r="Q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 t="s">
        <v>36</v>
      </c>
      <c r="AC1213" t="s">
        <v>687</v>
      </c>
      <c r="AD1213" t="str">
        <f t="shared" si="38"/>
        <v>CP</v>
      </c>
      <c r="AE1213" t="str">
        <f>_xlfn.XLOOKUP(D1213,Mapping!A:A,Mapping!D:D,0,0)</f>
        <v>Bin</v>
      </c>
      <c r="AF1213" t="str">
        <f t="shared" si="39"/>
        <v>OLD</v>
      </c>
    </row>
    <row r="1214" spans="1:32" x14ac:dyDescent="0.2">
      <c r="A1214" t="s">
        <v>1119</v>
      </c>
      <c r="B1214" t="s">
        <v>39</v>
      </c>
      <c r="C1214">
        <v>1011860832</v>
      </c>
      <c r="D1214" t="s">
        <v>222</v>
      </c>
      <c r="E1214" t="s">
        <v>31</v>
      </c>
      <c r="F1214" s="1">
        <v>0.67291666666666672</v>
      </c>
      <c r="G1214" t="s">
        <v>32</v>
      </c>
      <c r="H1214" t="s">
        <v>33</v>
      </c>
      <c r="I1214" t="s">
        <v>41</v>
      </c>
      <c r="J1214" t="s">
        <v>84</v>
      </c>
      <c r="K1214">
        <v>616</v>
      </c>
      <c r="L1214">
        <v>0</v>
      </c>
      <c r="M1214" t="s">
        <v>63</v>
      </c>
      <c r="N1214">
        <v>250</v>
      </c>
      <c r="O1214">
        <v>0</v>
      </c>
      <c r="P1214">
        <v>0</v>
      </c>
      <c r="Q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 t="s">
        <v>36</v>
      </c>
      <c r="AC1214" t="s">
        <v>687</v>
      </c>
      <c r="AD1214" t="str">
        <f t="shared" si="38"/>
        <v>CP</v>
      </c>
      <c r="AE1214" t="str">
        <f>_xlfn.XLOOKUP(D1214,Mapping!A:A,Mapping!D:D,0,0)</f>
        <v>Bin</v>
      </c>
      <c r="AF1214" t="str">
        <f t="shared" si="39"/>
        <v>OLD</v>
      </c>
    </row>
    <row r="1215" spans="1:32" x14ac:dyDescent="0.2">
      <c r="A1215" t="s">
        <v>1119</v>
      </c>
      <c r="B1215" t="s">
        <v>39</v>
      </c>
      <c r="C1215">
        <v>1011860842</v>
      </c>
      <c r="D1215" t="s">
        <v>223</v>
      </c>
      <c r="E1215" t="s">
        <v>31</v>
      </c>
      <c r="F1215" s="1">
        <v>0.67291666666666672</v>
      </c>
      <c r="G1215" t="s">
        <v>32</v>
      </c>
      <c r="H1215" t="s">
        <v>33</v>
      </c>
      <c r="I1215" t="s">
        <v>41</v>
      </c>
      <c r="J1215" t="s">
        <v>84</v>
      </c>
      <c r="K1215">
        <v>220</v>
      </c>
      <c r="L1215">
        <v>0</v>
      </c>
      <c r="M1215" t="s">
        <v>36</v>
      </c>
      <c r="N1215" t="s">
        <v>37</v>
      </c>
      <c r="O1215">
        <v>0</v>
      </c>
      <c r="P1215">
        <v>0</v>
      </c>
      <c r="Q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 t="s">
        <v>36</v>
      </c>
      <c r="AC1215" t="s">
        <v>687</v>
      </c>
      <c r="AD1215" t="str">
        <f t="shared" si="38"/>
        <v>CP</v>
      </c>
      <c r="AE1215" t="str">
        <f>_xlfn.XLOOKUP(D1215,Mapping!A:A,Mapping!D:D,0,0)</f>
        <v>Bin</v>
      </c>
      <c r="AF1215" t="str">
        <f t="shared" si="39"/>
        <v>OLD</v>
      </c>
    </row>
    <row r="1216" spans="1:32" x14ac:dyDescent="0.2">
      <c r="A1216" t="s">
        <v>1119</v>
      </c>
      <c r="B1216" t="s">
        <v>39</v>
      </c>
      <c r="C1216">
        <v>1011860852</v>
      </c>
      <c r="D1216" t="s">
        <v>224</v>
      </c>
      <c r="E1216" t="s">
        <v>31</v>
      </c>
      <c r="F1216" s="1">
        <v>0.67291666666666672</v>
      </c>
      <c r="G1216" t="s">
        <v>32</v>
      </c>
      <c r="H1216" t="s">
        <v>33</v>
      </c>
      <c r="I1216" t="s">
        <v>41</v>
      </c>
      <c r="J1216" t="s">
        <v>84</v>
      </c>
      <c r="K1216">
        <v>220</v>
      </c>
      <c r="L1216">
        <v>0</v>
      </c>
      <c r="M1216" t="s">
        <v>36</v>
      </c>
      <c r="N1216" t="s">
        <v>37</v>
      </c>
      <c r="O1216">
        <v>0</v>
      </c>
      <c r="P1216">
        <v>0</v>
      </c>
      <c r="Q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 t="s">
        <v>36</v>
      </c>
      <c r="AC1216" t="s">
        <v>687</v>
      </c>
      <c r="AD1216" t="str">
        <f t="shared" si="38"/>
        <v>CP</v>
      </c>
      <c r="AE1216" t="str">
        <f>_xlfn.XLOOKUP(D1216,Mapping!A:A,Mapping!D:D,0,0)</f>
        <v>Bin</v>
      </c>
      <c r="AF1216" t="str">
        <f t="shared" si="39"/>
        <v>OLD</v>
      </c>
    </row>
    <row r="1217" spans="1:32" x14ac:dyDescent="0.2">
      <c r="A1217" t="s">
        <v>1119</v>
      </c>
      <c r="B1217" t="s">
        <v>39</v>
      </c>
      <c r="C1217">
        <v>1011860862</v>
      </c>
      <c r="D1217" t="s">
        <v>225</v>
      </c>
      <c r="E1217" t="s">
        <v>31</v>
      </c>
      <c r="F1217" s="1">
        <v>0.67291666666666672</v>
      </c>
      <c r="G1217" t="s">
        <v>32</v>
      </c>
      <c r="H1217" t="s">
        <v>33</v>
      </c>
      <c r="I1217" t="s">
        <v>41</v>
      </c>
      <c r="J1217" t="s">
        <v>84</v>
      </c>
      <c r="K1217">
        <v>220</v>
      </c>
      <c r="L1217">
        <v>0</v>
      </c>
      <c r="M1217" t="s">
        <v>63</v>
      </c>
      <c r="N1217">
        <v>250</v>
      </c>
      <c r="O1217">
        <v>0</v>
      </c>
      <c r="P1217">
        <v>0</v>
      </c>
      <c r="Q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 t="s">
        <v>36</v>
      </c>
      <c r="AC1217" t="s">
        <v>687</v>
      </c>
      <c r="AD1217" t="str">
        <f t="shared" si="38"/>
        <v>CP</v>
      </c>
      <c r="AE1217" t="str">
        <f>_xlfn.XLOOKUP(D1217,Mapping!A:A,Mapping!D:D,0,0)</f>
        <v>Bin</v>
      </c>
      <c r="AF1217" t="str">
        <f t="shared" si="39"/>
        <v>OLD</v>
      </c>
    </row>
    <row r="1218" spans="1:32" x14ac:dyDescent="0.2">
      <c r="A1218" t="s">
        <v>1119</v>
      </c>
      <c r="B1218" t="s">
        <v>39</v>
      </c>
      <c r="C1218">
        <v>1011860872</v>
      </c>
      <c r="D1218" t="s">
        <v>226</v>
      </c>
      <c r="E1218" t="s">
        <v>31</v>
      </c>
      <c r="F1218" s="1">
        <v>0.67291666666666672</v>
      </c>
      <c r="G1218" t="s">
        <v>32</v>
      </c>
      <c r="H1218" t="s">
        <v>33</v>
      </c>
      <c r="I1218" t="s">
        <v>41</v>
      </c>
      <c r="J1218" t="s">
        <v>84</v>
      </c>
      <c r="K1218">
        <v>220</v>
      </c>
      <c r="L1218">
        <v>0</v>
      </c>
      <c r="M1218" t="s">
        <v>36</v>
      </c>
      <c r="N1218" t="s">
        <v>37</v>
      </c>
      <c r="O1218">
        <v>0</v>
      </c>
      <c r="P1218">
        <v>0</v>
      </c>
      <c r="Q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 t="s">
        <v>36</v>
      </c>
      <c r="AC1218" t="s">
        <v>687</v>
      </c>
      <c r="AD1218" t="str">
        <f t="shared" si="38"/>
        <v>CP</v>
      </c>
      <c r="AE1218" t="str">
        <f>_xlfn.XLOOKUP(D1218,Mapping!A:A,Mapping!D:D,0,0)</f>
        <v>Bin</v>
      </c>
      <c r="AF1218" t="str">
        <f t="shared" si="39"/>
        <v>OLD</v>
      </c>
    </row>
    <row r="1219" spans="1:32" x14ac:dyDescent="0.2">
      <c r="A1219" t="s">
        <v>1119</v>
      </c>
      <c r="B1219" t="s">
        <v>39</v>
      </c>
      <c r="C1219">
        <v>1011860882</v>
      </c>
      <c r="D1219" t="s">
        <v>227</v>
      </c>
      <c r="E1219" t="s">
        <v>31</v>
      </c>
      <c r="F1219" s="1">
        <v>0.67291666666666672</v>
      </c>
      <c r="G1219" t="s">
        <v>32</v>
      </c>
      <c r="H1219" t="s">
        <v>33</v>
      </c>
      <c r="I1219" t="s">
        <v>41</v>
      </c>
      <c r="J1219" t="s">
        <v>84</v>
      </c>
      <c r="K1219">
        <v>220</v>
      </c>
      <c r="L1219">
        <v>0</v>
      </c>
      <c r="M1219" t="s">
        <v>36</v>
      </c>
      <c r="N1219" t="s">
        <v>37</v>
      </c>
      <c r="O1219">
        <v>0</v>
      </c>
      <c r="P1219">
        <v>0</v>
      </c>
      <c r="Q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 t="s">
        <v>36</v>
      </c>
      <c r="AC1219" t="s">
        <v>687</v>
      </c>
      <c r="AD1219" t="str">
        <f t="shared" si="38"/>
        <v>CP</v>
      </c>
      <c r="AE1219" t="str">
        <f>_xlfn.XLOOKUP(D1219,Mapping!A:A,Mapping!D:D,0,0)</f>
        <v>Bin</v>
      </c>
      <c r="AF1219" t="str">
        <f t="shared" si="39"/>
        <v>OLD</v>
      </c>
    </row>
    <row r="1220" spans="1:32" x14ac:dyDescent="0.2">
      <c r="A1220" t="s">
        <v>1119</v>
      </c>
      <c r="B1220" t="s">
        <v>39</v>
      </c>
      <c r="C1220">
        <v>1011860892</v>
      </c>
      <c r="D1220" t="s">
        <v>228</v>
      </c>
      <c r="E1220" t="s">
        <v>31</v>
      </c>
      <c r="F1220" s="1">
        <v>0.67291666666666672</v>
      </c>
      <c r="G1220" t="s">
        <v>32</v>
      </c>
      <c r="H1220" t="s">
        <v>33</v>
      </c>
      <c r="I1220" t="s">
        <v>41</v>
      </c>
      <c r="J1220" t="s">
        <v>84</v>
      </c>
      <c r="K1220">
        <v>616</v>
      </c>
      <c r="L1220">
        <v>0</v>
      </c>
      <c r="M1220" t="s">
        <v>63</v>
      </c>
      <c r="N1220">
        <v>250</v>
      </c>
      <c r="O1220">
        <v>0</v>
      </c>
      <c r="P1220">
        <v>0</v>
      </c>
      <c r="Q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 t="s">
        <v>36</v>
      </c>
      <c r="AC1220" t="s">
        <v>687</v>
      </c>
      <c r="AD1220" t="str">
        <f t="shared" si="38"/>
        <v>CP</v>
      </c>
      <c r="AE1220" t="str">
        <f>_xlfn.XLOOKUP(D1220,Mapping!A:A,Mapping!D:D,0,0)</f>
        <v>Bin</v>
      </c>
      <c r="AF1220" t="str">
        <f t="shared" si="39"/>
        <v>OLD</v>
      </c>
    </row>
    <row r="1221" spans="1:32" x14ac:dyDescent="0.2">
      <c r="A1221" t="s">
        <v>1119</v>
      </c>
      <c r="B1221" t="s">
        <v>39</v>
      </c>
      <c r="C1221">
        <v>1011860902</v>
      </c>
      <c r="D1221" t="s">
        <v>229</v>
      </c>
      <c r="E1221" t="s">
        <v>31</v>
      </c>
      <c r="F1221" s="1">
        <v>0.67291666666666672</v>
      </c>
      <c r="G1221" t="s">
        <v>32</v>
      </c>
      <c r="H1221" t="s">
        <v>33</v>
      </c>
      <c r="I1221" t="s">
        <v>41</v>
      </c>
      <c r="J1221" t="s">
        <v>84</v>
      </c>
      <c r="K1221">
        <v>220</v>
      </c>
      <c r="L1221">
        <v>0</v>
      </c>
      <c r="M1221" t="s">
        <v>36</v>
      </c>
      <c r="N1221" t="s">
        <v>37</v>
      </c>
      <c r="O1221">
        <v>0</v>
      </c>
      <c r="P1221">
        <v>0</v>
      </c>
      <c r="Q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 t="s">
        <v>36</v>
      </c>
      <c r="AC1221" t="s">
        <v>687</v>
      </c>
      <c r="AD1221" t="str">
        <f t="shared" si="38"/>
        <v>CP</v>
      </c>
      <c r="AE1221" t="str">
        <f>_xlfn.XLOOKUP(D1221,Mapping!A:A,Mapping!D:D,0,0)</f>
        <v>Bin</v>
      </c>
      <c r="AF1221" t="str">
        <f t="shared" si="39"/>
        <v>OLD</v>
      </c>
    </row>
    <row r="1222" spans="1:32" x14ac:dyDescent="0.2">
      <c r="A1222" t="s">
        <v>1119</v>
      </c>
      <c r="B1222" t="s">
        <v>39</v>
      </c>
      <c r="C1222">
        <v>1011860912</v>
      </c>
      <c r="D1222" t="s">
        <v>230</v>
      </c>
      <c r="E1222" t="s">
        <v>31</v>
      </c>
      <c r="F1222" s="1">
        <v>0.67291666666666672</v>
      </c>
      <c r="G1222" t="s">
        <v>32</v>
      </c>
      <c r="H1222" t="s">
        <v>33</v>
      </c>
      <c r="I1222" t="s">
        <v>41</v>
      </c>
      <c r="J1222" t="s">
        <v>84</v>
      </c>
      <c r="K1222">
        <v>220</v>
      </c>
      <c r="L1222">
        <v>0</v>
      </c>
      <c r="M1222" t="s">
        <v>36</v>
      </c>
      <c r="N1222" t="s">
        <v>37</v>
      </c>
      <c r="O1222">
        <v>0</v>
      </c>
      <c r="P1222">
        <v>0</v>
      </c>
      <c r="Q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 t="s">
        <v>36</v>
      </c>
      <c r="AC1222" t="s">
        <v>687</v>
      </c>
      <c r="AD1222" t="str">
        <f t="shared" si="38"/>
        <v>CP</v>
      </c>
      <c r="AE1222" t="str">
        <f>_xlfn.XLOOKUP(D1222,Mapping!A:A,Mapping!D:D,0,0)</f>
        <v>Bin</v>
      </c>
      <c r="AF1222" t="str">
        <f t="shared" si="39"/>
        <v>OLD</v>
      </c>
    </row>
    <row r="1223" spans="1:32" x14ac:dyDescent="0.2">
      <c r="A1223" t="s">
        <v>1119</v>
      </c>
      <c r="B1223" t="s">
        <v>39</v>
      </c>
      <c r="C1223">
        <v>1011860922</v>
      </c>
      <c r="D1223" t="s">
        <v>231</v>
      </c>
      <c r="E1223" t="s">
        <v>31</v>
      </c>
      <c r="F1223" s="1">
        <v>0.67291666666666672</v>
      </c>
      <c r="G1223" t="s">
        <v>32</v>
      </c>
      <c r="H1223" t="s">
        <v>33</v>
      </c>
      <c r="I1223" t="s">
        <v>41</v>
      </c>
      <c r="J1223" t="s">
        <v>84</v>
      </c>
      <c r="K1223">
        <v>220</v>
      </c>
      <c r="L1223">
        <v>0</v>
      </c>
      <c r="M1223" t="s">
        <v>36</v>
      </c>
      <c r="N1223" t="s">
        <v>37</v>
      </c>
      <c r="O1223">
        <v>0</v>
      </c>
      <c r="P1223">
        <v>0</v>
      </c>
      <c r="Q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 t="s">
        <v>36</v>
      </c>
      <c r="AC1223" t="s">
        <v>687</v>
      </c>
      <c r="AD1223" t="str">
        <f t="shared" si="38"/>
        <v>CP</v>
      </c>
      <c r="AE1223" t="str">
        <f>_xlfn.XLOOKUP(D1223,Mapping!A:A,Mapping!D:D,0,0)</f>
        <v>Bin</v>
      </c>
      <c r="AF1223" t="str">
        <f t="shared" si="39"/>
        <v>OLD</v>
      </c>
    </row>
    <row r="1224" spans="1:32" x14ac:dyDescent="0.2">
      <c r="A1224" t="s">
        <v>1119</v>
      </c>
      <c r="B1224" t="s">
        <v>39</v>
      </c>
      <c r="C1224">
        <v>1011860932</v>
      </c>
      <c r="D1224" t="s">
        <v>232</v>
      </c>
      <c r="E1224" t="s">
        <v>31</v>
      </c>
      <c r="F1224" s="1">
        <v>0.67291666666666672</v>
      </c>
      <c r="G1224" t="s">
        <v>32</v>
      </c>
      <c r="H1224" t="s">
        <v>33</v>
      </c>
      <c r="I1224" t="s">
        <v>41</v>
      </c>
      <c r="J1224" t="s">
        <v>84</v>
      </c>
      <c r="K1224">
        <v>220</v>
      </c>
      <c r="L1224">
        <v>0</v>
      </c>
      <c r="M1224" t="s">
        <v>36</v>
      </c>
      <c r="N1224" t="s">
        <v>37</v>
      </c>
      <c r="O1224">
        <v>0</v>
      </c>
      <c r="P1224">
        <v>0</v>
      </c>
      <c r="Q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 t="s">
        <v>36</v>
      </c>
      <c r="AC1224" t="s">
        <v>687</v>
      </c>
      <c r="AD1224" t="str">
        <f t="shared" si="38"/>
        <v>CP</v>
      </c>
      <c r="AE1224" t="str">
        <f>_xlfn.XLOOKUP(D1224,Mapping!A:A,Mapping!D:D,0,0)</f>
        <v>Bin</v>
      </c>
      <c r="AF1224" t="str">
        <f t="shared" si="39"/>
        <v>OLD</v>
      </c>
    </row>
    <row r="1225" spans="1:32" x14ac:dyDescent="0.2">
      <c r="A1225" t="s">
        <v>1119</v>
      </c>
      <c r="B1225" t="s">
        <v>39</v>
      </c>
      <c r="C1225">
        <v>1011860942</v>
      </c>
      <c r="D1225" t="s">
        <v>233</v>
      </c>
      <c r="E1225" t="s">
        <v>31</v>
      </c>
      <c r="F1225" s="1">
        <v>0.67291666666666672</v>
      </c>
      <c r="G1225" t="s">
        <v>32</v>
      </c>
      <c r="H1225" t="s">
        <v>33</v>
      </c>
      <c r="I1225" t="s">
        <v>41</v>
      </c>
      <c r="J1225" t="s">
        <v>84</v>
      </c>
      <c r="K1225">
        <v>220</v>
      </c>
      <c r="L1225">
        <v>0</v>
      </c>
      <c r="M1225" t="s">
        <v>36</v>
      </c>
      <c r="N1225" t="s">
        <v>37</v>
      </c>
      <c r="O1225">
        <v>0</v>
      </c>
      <c r="P1225">
        <v>0</v>
      </c>
      <c r="Q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 t="s">
        <v>36</v>
      </c>
      <c r="AC1225" t="s">
        <v>687</v>
      </c>
      <c r="AD1225" t="str">
        <f t="shared" si="38"/>
        <v>CP</v>
      </c>
      <c r="AE1225" t="str">
        <f>_xlfn.XLOOKUP(D1225,Mapping!A:A,Mapping!D:D,0,0)</f>
        <v>Bin</v>
      </c>
      <c r="AF1225" t="str">
        <f t="shared" si="39"/>
        <v>OLD</v>
      </c>
    </row>
    <row r="1226" spans="1:32" x14ac:dyDescent="0.2">
      <c r="A1226" t="s">
        <v>1119</v>
      </c>
      <c r="B1226" t="s">
        <v>39</v>
      </c>
      <c r="C1226">
        <v>1011860952</v>
      </c>
      <c r="D1226" t="s">
        <v>234</v>
      </c>
      <c r="E1226" t="s">
        <v>31</v>
      </c>
      <c r="F1226" s="1">
        <v>0.67291666666666672</v>
      </c>
      <c r="G1226" t="s">
        <v>32</v>
      </c>
      <c r="H1226" t="s">
        <v>33</v>
      </c>
      <c r="I1226" t="s">
        <v>41</v>
      </c>
      <c r="J1226" t="s">
        <v>84</v>
      </c>
      <c r="K1226">
        <v>220</v>
      </c>
      <c r="L1226">
        <v>0</v>
      </c>
      <c r="M1226" t="s">
        <v>63</v>
      </c>
      <c r="N1226">
        <v>250</v>
      </c>
      <c r="O1226">
        <v>0</v>
      </c>
      <c r="P1226">
        <v>0</v>
      </c>
      <c r="Q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 t="s">
        <v>36</v>
      </c>
      <c r="AC1226" t="s">
        <v>687</v>
      </c>
      <c r="AD1226" t="str">
        <f t="shared" si="38"/>
        <v>CP</v>
      </c>
      <c r="AE1226" t="str">
        <f>_xlfn.XLOOKUP(D1226,Mapping!A:A,Mapping!D:D,0,0)</f>
        <v>Bin</v>
      </c>
      <c r="AF1226" t="str">
        <f t="shared" si="39"/>
        <v>OLD</v>
      </c>
    </row>
    <row r="1227" spans="1:32" x14ac:dyDescent="0.2">
      <c r="A1227" t="s">
        <v>1119</v>
      </c>
      <c r="B1227" t="s">
        <v>39</v>
      </c>
      <c r="C1227">
        <v>1011860962</v>
      </c>
      <c r="D1227" t="s">
        <v>235</v>
      </c>
      <c r="E1227" t="s">
        <v>31</v>
      </c>
      <c r="F1227" s="1">
        <v>0.67291666666666672</v>
      </c>
      <c r="G1227" t="s">
        <v>32</v>
      </c>
      <c r="H1227" t="s">
        <v>33</v>
      </c>
      <c r="I1227" t="s">
        <v>41</v>
      </c>
      <c r="J1227" t="s">
        <v>84</v>
      </c>
      <c r="K1227">
        <v>220</v>
      </c>
      <c r="L1227">
        <v>0</v>
      </c>
      <c r="M1227" t="s">
        <v>63</v>
      </c>
      <c r="N1227">
        <v>250</v>
      </c>
      <c r="O1227">
        <v>0</v>
      </c>
      <c r="P1227">
        <v>0</v>
      </c>
      <c r="Q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 t="s">
        <v>36</v>
      </c>
      <c r="AC1227" t="s">
        <v>687</v>
      </c>
      <c r="AD1227" t="str">
        <f t="shared" si="38"/>
        <v>CP</v>
      </c>
      <c r="AE1227" t="str">
        <f>_xlfn.XLOOKUP(D1227,Mapping!A:A,Mapping!D:D,0,0)</f>
        <v>Bin</v>
      </c>
      <c r="AF1227" t="str">
        <f t="shared" si="39"/>
        <v>OLD</v>
      </c>
    </row>
    <row r="1228" spans="1:32" x14ac:dyDescent="0.2">
      <c r="A1228" t="s">
        <v>1119</v>
      </c>
      <c r="B1228" t="s">
        <v>39</v>
      </c>
      <c r="C1228">
        <v>1011860972</v>
      </c>
      <c r="D1228" t="s">
        <v>236</v>
      </c>
      <c r="E1228" t="s">
        <v>31</v>
      </c>
      <c r="F1228" s="1">
        <v>0.67291666666666672</v>
      </c>
      <c r="G1228" t="s">
        <v>32</v>
      </c>
      <c r="H1228" t="s">
        <v>33</v>
      </c>
      <c r="I1228" t="s">
        <v>41</v>
      </c>
      <c r="J1228" t="s">
        <v>84</v>
      </c>
      <c r="K1228">
        <v>220</v>
      </c>
      <c r="L1228">
        <v>0</v>
      </c>
      <c r="M1228" t="s">
        <v>36</v>
      </c>
      <c r="N1228" t="s">
        <v>37</v>
      </c>
      <c r="O1228">
        <v>0</v>
      </c>
      <c r="P1228">
        <v>0</v>
      </c>
      <c r="Q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 t="s">
        <v>36</v>
      </c>
      <c r="AC1228" t="s">
        <v>687</v>
      </c>
      <c r="AD1228" t="str">
        <f t="shared" si="38"/>
        <v>CP</v>
      </c>
      <c r="AE1228" t="str">
        <f>_xlfn.XLOOKUP(D1228,Mapping!A:A,Mapping!D:D,0,0)</f>
        <v>Bin</v>
      </c>
      <c r="AF1228" t="str">
        <f t="shared" si="39"/>
        <v>OLD</v>
      </c>
    </row>
    <row r="1229" spans="1:32" x14ac:dyDescent="0.2">
      <c r="A1229" t="s">
        <v>1119</v>
      </c>
      <c r="B1229" t="s">
        <v>39</v>
      </c>
      <c r="C1229">
        <v>1011860982</v>
      </c>
      <c r="D1229" t="s">
        <v>237</v>
      </c>
      <c r="E1229" t="s">
        <v>31</v>
      </c>
      <c r="F1229" s="1">
        <v>0.67291666666666672</v>
      </c>
      <c r="G1229" t="s">
        <v>32</v>
      </c>
      <c r="H1229" t="s">
        <v>33</v>
      </c>
      <c r="I1229" t="s">
        <v>41</v>
      </c>
      <c r="J1229" t="s">
        <v>84</v>
      </c>
      <c r="K1229">
        <v>616</v>
      </c>
      <c r="L1229">
        <v>0</v>
      </c>
      <c r="M1229" t="s">
        <v>63</v>
      </c>
      <c r="N1229">
        <v>250</v>
      </c>
      <c r="O1229">
        <v>0</v>
      </c>
      <c r="P1229">
        <v>0</v>
      </c>
      <c r="Q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 t="s">
        <v>36</v>
      </c>
      <c r="AC1229" t="s">
        <v>687</v>
      </c>
      <c r="AD1229" t="str">
        <f t="shared" si="38"/>
        <v>CP</v>
      </c>
      <c r="AE1229" t="str">
        <f>_xlfn.XLOOKUP(D1229,Mapping!A:A,Mapping!D:D,0,0)</f>
        <v>Bin</v>
      </c>
      <c r="AF1229" t="str">
        <f t="shared" si="39"/>
        <v>OLD</v>
      </c>
    </row>
    <row r="1230" spans="1:32" x14ac:dyDescent="0.2">
      <c r="A1230" t="s">
        <v>1119</v>
      </c>
      <c r="B1230" t="s">
        <v>39</v>
      </c>
      <c r="C1230">
        <v>1011860992</v>
      </c>
      <c r="D1230" t="s">
        <v>238</v>
      </c>
      <c r="E1230" t="s">
        <v>31</v>
      </c>
      <c r="F1230" s="1">
        <v>0.67291666666666672</v>
      </c>
      <c r="G1230" t="s">
        <v>32</v>
      </c>
      <c r="H1230" t="s">
        <v>33</v>
      </c>
      <c r="I1230" t="s">
        <v>41</v>
      </c>
      <c r="J1230" t="s">
        <v>84</v>
      </c>
      <c r="K1230">
        <v>616</v>
      </c>
      <c r="L1230">
        <v>0</v>
      </c>
      <c r="M1230" t="s">
        <v>63</v>
      </c>
      <c r="N1230">
        <v>250</v>
      </c>
      <c r="O1230">
        <v>0</v>
      </c>
      <c r="P1230">
        <v>0</v>
      </c>
      <c r="Q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 t="s">
        <v>36</v>
      </c>
      <c r="AC1230" t="s">
        <v>687</v>
      </c>
      <c r="AD1230" t="str">
        <f t="shared" si="38"/>
        <v>CP</v>
      </c>
      <c r="AE1230" t="str">
        <f>_xlfn.XLOOKUP(D1230,Mapping!A:A,Mapping!D:D,0,0)</f>
        <v>Bin</v>
      </c>
      <c r="AF1230" t="str">
        <f t="shared" si="39"/>
        <v>OLD</v>
      </c>
    </row>
    <row r="1231" spans="1:32" x14ac:dyDescent="0.2">
      <c r="A1231" t="s">
        <v>1119</v>
      </c>
      <c r="B1231" t="s">
        <v>39</v>
      </c>
      <c r="C1231">
        <v>1011861002</v>
      </c>
      <c r="D1231" t="s">
        <v>239</v>
      </c>
      <c r="E1231" t="s">
        <v>31</v>
      </c>
      <c r="F1231" s="1">
        <v>0.67291666666666672</v>
      </c>
      <c r="G1231" t="s">
        <v>32</v>
      </c>
      <c r="H1231" t="s">
        <v>33</v>
      </c>
      <c r="I1231" t="s">
        <v>41</v>
      </c>
      <c r="J1231" t="s">
        <v>35</v>
      </c>
      <c r="K1231">
        <v>616</v>
      </c>
      <c r="L1231">
        <v>0</v>
      </c>
      <c r="M1231" t="s">
        <v>63</v>
      </c>
      <c r="N1231">
        <v>250</v>
      </c>
      <c r="O1231">
        <v>0</v>
      </c>
      <c r="P1231">
        <v>0</v>
      </c>
      <c r="Q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 t="s">
        <v>36</v>
      </c>
      <c r="AC1231" t="s">
        <v>687</v>
      </c>
      <c r="AD1231" t="str">
        <f t="shared" si="38"/>
        <v>CP</v>
      </c>
      <c r="AE1231" t="str">
        <f>_xlfn.XLOOKUP(D1231,Mapping!A:A,Mapping!D:D,0,0)</f>
        <v>Bin</v>
      </c>
      <c r="AF1231" t="str">
        <f t="shared" si="39"/>
        <v>OLD</v>
      </c>
    </row>
    <row r="1232" spans="1:32" x14ac:dyDescent="0.2">
      <c r="A1232" t="s">
        <v>1119</v>
      </c>
      <c r="B1232" t="s">
        <v>39</v>
      </c>
      <c r="C1232">
        <v>1011861012</v>
      </c>
      <c r="D1232" t="s">
        <v>240</v>
      </c>
      <c r="E1232" t="s">
        <v>31</v>
      </c>
      <c r="F1232" s="1">
        <v>0.67291666666666672</v>
      </c>
      <c r="G1232" t="s">
        <v>32</v>
      </c>
      <c r="H1232" t="s">
        <v>33</v>
      </c>
      <c r="I1232" t="s">
        <v>41</v>
      </c>
      <c r="J1232" t="s">
        <v>35</v>
      </c>
      <c r="K1232">
        <v>220</v>
      </c>
      <c r="L1232">
        <v>0</v>
      </c>
      <c r="M1232" t="s">
        <v>36</v>
      </c>
      <c r="N1232" t="s">
        <v>37</v>
      </c>
      <c r="O1232">
        <v>0</v>
      </c>
      <c r="P1232">
        <v>0</v>
      </c>
      <c r="Q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 t="s">
        <v>36</v>
      </c>
      <c r="AC1232" t="s">
        <v>687</v>
      </c>
      <c r="AD1232" t="str">
        <f t="shared" si="38"/>
        <v>CP</v>
      </c>
      <c r="AE1232" t="str">
        <f>_xlfn.XLOOKUP(D1232,Mapping!A:A,Mapping!D:D,0,0)</f>
        <v>Bin</v>
      </c>
      <c r="AF1232" t="str">
        <f t="shared" si="39"/>
        <v>OLD</v>
      </c>
    </row>
    <row r="1233" spans="1:32" x14ac:dyDescent="0.2">
      <c r="A1233" t="s">
        <v>1119</v>
      </c>
      <c r="B1233" t="s">
        <v>39</v>
      </c>
      <c r="C1233">
        <v>1011861022</v>
      </c>
      <c r="D1233" t="s">
        <v>241</v>
      </c>
      <c r="E1233" t="s">
        <v>31</v>
      </c>
      <c r="F1233" s="1">
        <v>0.67291666666666672</v>
      </c>
      <c r="G1233" t="s">
        <v>32</v>
      </c>
      <c r="H1233" t="s">
        <v>33</v>
      </c>
      <c r="I1233" t="s">
        <v>41</v>
      </c>
      <c r="J1233" t="s">
        <v>35</v>
      </c>
      <c r="K1233">
        <v>220</v>
      </c>
      <c r="L1233">
        <v>0</v>
      </c>
      <c r="M1233" t="s">
        <v>36</v>
      </c>
      <c r="N1233" t="s">
        <v>37</v>
      </c>
      <c r="O1233">
        <v>0</v>
      </c>
      <c r="P1233">
        <v>0</v>
      </c>
      <c r="Q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 t="s">
        <v>36</v>
      </c>
      <c r="AC1233" t="s">
        <v>687</v>
      </c>
      <c r="AD1233" t="str">
        <f t="shared" si="38"/>
        <v>CP</v>
      </c>
      <c r="AE1233" t="str">
        <f>_xlfn.XLOOKUP(D1233,Mapping!A:A,Mapping!D:D,0,0)</f>
        <v>Bin</v>
      </c>
      <c r="AF1233" t="str">
        <f t="shared" si="39"/>
        <v>OLD</v>
      </c>
    </row>
    <row r="1234" spans="1:32" x14ac:dyDescent="0.2">
      <c r="A1234" t="s">
        <v>1119</v>
      </c>
      <c r="B1234" t="s">
        <v>39</v>
      </c>
      <c r="C1234">
        <v>1011861032</v>
      </c>
      <c r="D1234" t="s">
        <v>242</v>
      </c>
      <c r="E1234" t="s">
        <v>31</v>
      </c>
      <c r="F1234" s="1">
        <v>0.67291666666666672</v>
      </c>
      <c r="G1234" t="s">
        <v>32</v>
      </c>
      <c r="H1234" t="s">
        <v>33</v>
      </c>
      <c r="I1234" t="s">
        <v>41</v>
      </c>
      <c r="J1234" t="s">
        <v>84</v>
      </c>
      <c r="K1234">
        <v>616</v>
      </c>
      <c r="L1234">
        <v>0</v>
      </c>
      <c r="M1234" t="s">
        <v>63</v>
      </c>
      <c r="N1234">
        <v>250</v>
      </c>
      <c r="O1234">
        <v>0</v>
      </c>
      <c r="P1234">
        <v>0</v>
      </c>
      <c r="Q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 t="s">
        <v>36</v>
      </c>
      <c r="AC1234" t="s">
        <v>687</v>
      </c>
      <c r="AD1234" t="str">
        <f t="shared" si="38"/>
        <v>CP</v>
      </c>
      <c r="AE1234" t="str">
        <f>_xlfn.XLOOKUP(D1234,Mapping!A:A,Mapping!D:D,0,0)</f>
        <v>Bin</v>
      </c>
      <c r="AF1234" t="str">
        <f t="shared" si="39"/>
        <v>OLD</v>
      </c>
    </row>
    <row r="1235" spans="1:32" x14ac:dyDescent="0.2">
      <c r="A1235" t="s">
        <v>1119</v>
      </c>
      <c r="B1235" t="s">
        <v>39</v>
      </c>
      <c r="C1235">
        <v>1011861382</v>
      </c>
      <c r="D1235" t="s">
        <v>243</v>
      </c>
      <c r="E1235" t="s">
        <v>31</v>
      </c>
      <c r="F1235" s="1">
        <v>0.67291666666666672</v>
      </c>
      <c r="G1235" t="s">
        <v>32</v>
      </c>
      <c r="H1235" t="s">
        <v>33</v>
      </c>
      <c r="I1235" t="s">
        <v>41</v>
      </c>
      <c r="J1235" t="s">
        <v>84</v>
      </c>
      <c r="K1235">
        <v>308</v>
      </c>
      <c r="L1235">
        <v>0</v>
      </c>
      <c r="M1235" t="s">
        <v>36</v>
      </c>
      <c r="N1235" t="s">
        <v>37</v>
      </c>
      <c r="O1235">
        <v>0</v>
      </c>
      <c r="P1235">
        <v>0</v>
      </c>
      <c r="Q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 t="s">
        <v>36</v>
      </c>
      <c r="AC1235" t="s">
        <v>687</v>
      </c>
      <c r="AD1235" t="str">
        <f t="shared" si="38"/>
        <v>CP</v>
      </c>
      <c r="AE1235" t="str">
        <f>_xlfn.XLOOKUP(D1235,Mapping!A:A,Mapping!D:D,0,0)</f>
        <v>Bin</v>
      </c>
      <c r="AF1235" t="str">
        <f t="shared" si="39"/>
        <v>OLD</v>
      </c>
    </row>
    <row r="1236" spans="1:32" x14ac:dyDescent="0.2">
      <c r="A1236" t="s">
        <v>1119</v>
      </c>
      <c r="B1236" t="s">
        <v>39</v>
      </c>
      <c r="C1236">
        <v>1011861402</v>
      </c>
      <c r="D1236" t="s">
        <v>244</v>
      </c>
      <c r="E1236" t="s">
        <v>31</v>
      </c>
      <c r="F1236" s="1">
        <v>0.67291666666666672</v>
      </c>
      <c r="G1236" t="s">
        <v>32</v>
      </c>
      <c r="H1236" t="s">
        <v>33</v>
      </c>
      <c r="I1236" t="s">
        <v>41</v>
      </c>
      <c r="J1236" t="s">
        <v>84</v>
      </c>
      <c r="K1236">
        <v>242</v>
      </c>
      <c r="L1236">
        <v>0</v>
      </c>
      <c r="M1236" t="s">
        <v>36</v>
      </c>
      <c r="N1236" t="s">
        <v>37</v>
      </c>
      <c r="O1236">
        <v>0</v>
      </c>
      <c r="P1236">
        <v>0</v>
      </c>
      <c r="Q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 t="s">
        <v>36</v>
      </c>
      <c r="AC1236" t="s">
        <v>687</v>
      </c>
      <c r="AD1236" t="str">
        <f t="shared" si="38"/>
        <v>CP</v>
      </c>
      <c r="AE1236" t="str">
        <f>_xlfn.XLOOKUP(D1236,Mapping!A:A,Mapping!D:D,0,0)</f>
        <v>Bin</v>
      </c>
      <c r="AF1236" t="str">
        <f t="shared" si="39"/>
        <v>OLD</v>
      </c>
    </row>
    <row r="1237" spans="1:32" x14ac:dyDescent="0.2">
      <c r="A1237" t="s">
        <v>1119</v>
      </c>
      <c r="B1237" t="s">
        <v>39</v>
      </c>
      <c r="C1237">
        <v>1011883592</v>
      </c>
      <c r="D1237" t="s">
        <v>245</v>
      </c>
      <c r="E1237" t="s">
        <v>31</v>
      </c>
      <c r="F1237" t="s">
        <v>246</v>
      </c>
      <c r="G1237" t="s">
        <v>247</v>
      </c>
      <c r="H1237" t="s">
        <v>33</v>
      </c>
      <c r="I1237" t="s">
        <v>41</v>
      </c>
      <c r="J1237" t="s">
        <v>84</v>
      </c>
      <c r="K1237">
        <v>448</v>
      </c>
      <c r="L1237">
        <v>0</v>
      </c>
      <c r="M1237" t="s">
        <v>36</v>
      </c>
      <c r="N1237" t="s">
        <v>37</v>
      </c>
      <c r="O1237">
        <v>0</v>
      </c>
      <c r="P1237">
        <v>0</v>
      </c>
      <c r="Q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 t="s">
        <v>36</v>
      </c>
      <c r="AC1237" t="s">
        <v>687</v>
      </c>
      <c r="AD1237" t="str">
        <f t="shared" ref="AD1237:AD1300" si="40">LEFT(D1237,2)</f>
        <v>CP</v>
      </c>
      <c r="AE1237" t="str">
        <f>_xlfn.XLOOKUP(D1237,Mapping!A:A,Mapping!D:D,0,0)</f>
        <v>Bin</v>
      </c>
      <c r="AF1237" t="str">
        <f t="shared" ref="AF1237:AF1300" si="41">IFERROR(IF(SEARCH("_TJ",D1237)&gt;0,"TJ",NA()),IFERROR(IF(SEARCH("_JB",D1237)&gt;0,"JB",NA()),"OLD"))</f>
        <v>OLD</v>
      </c>
    </row>
    <row r="1238" spans="1:32" x14ac:dyDescent="0.2">
      <c r="A1238" t="s">
        <v>1119</v>
      </c>
      <c r="B1238" t="s">
        <v>39</v>
      </c>
      <c r="C1238">
        <v>1011884752</v>
      </c>
      <c r="D1238" t="s">
        <v>248</v>
      </c>
      <c r="E1238" t="s">
        <v>31</v>
      </c>
      <c r="F1238" s="1">
        <v>0.67291666666666672</v>
      </c>
      <c r="G1238" t="s">
        <v>32</v>
      </c>
      <c r="H1238" t="s">
        <v>33</v>
      </c>
      <c r="I1238" t="s">
        <v>41</v>
      </c>
      <c r="J1238" t="s">
        <v>124</v>
      </c>
      <c r="K1238">
        <v>99</v>
      </c>
      <c r="L1238">
        <v>0</v>
      </c>
      <c r="M1238" t="s">
        <v>36</v>
      </c>
      <c r="N1238" t="s">
        <v>37</v>
      </c>
      <c r="O1238">
        <v>0</v>
      </c>
      <c r="P1238">
        <v>0</v>
      </c>
      <c r="Q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 t="s">
        <v>36</v>
      </c>
      <c r="AC1238" t="s">
        <v>687</v>
      </c>
      <c r="AD1238" t="str">
        <f t="shared" si="40"/>
        <v>CP</v>
      </c>
      <c r="AE1238" t="str">
        <f>_xlfn.XLOOKUP(D1238,Mapping!A:A,Mapping!D:D,0,0)</f>
        <v>Bin</v>
      </c>
      <c r="AF1238" t="str">
        <f t="shared" si="41"/>
        <v>OLD</v>
      </c>
    </row>
    <row r="1239" spans="1:32" x14ac:dyDescent="0.2">
      <c r="A1239" t="s">
        <v>1119</v>
      </c>
      <c r="B1239" t="s">
        <v>39</v>
      </c>
      <c r="C1239">
        <v>1012374472</v>
      </c>
      <c r="D1239" t="s">
        <v>249</v>
      </c>
      <c r="E1239" t="s">
        <v>31</v>
      </c>
      <c r="F1239" s="1">
        <v>0.67291666666666672</v>
      </c>
      <c r="G1239" t="s">
        <v>32</v>
      </c>
      <c r="H1239" t="s">
        <v>33</v>
      </c>
      <c r="I1239" t="s">
        <v>41</v>
      </c>
      <c r="J1239" t="s">
        <v>84</v>
      </c>
      <c r="K1239">
        <v>330</v>
      </c>
      <c r="L1239">
        <v>0</v>
      </c>
      <c r="M1239" t="s">
        <v>63</v>
      </c>
      <c r="N1239">
        <v>250</v>
      </c>
      <c r="O1239">
        <v>0</v>
      </c>
      <c r="P1239">
        <v>0</v>
      </c>
      <c r="Q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 t="s">
        <v>36</v>
      </c>
      <c r="AC1239" t="s">
        <v>687</v>
      </c>
      <c r="AD1239" t="str">
        <f t="shared" si="40"/>
        <v>CP</v>
      </c>
      <c r="AE1239" t="str">
        <f>_xlfn.XLOOKUP(D1239,Mapping!A:A,Mapping!D:D,0,0)</f>
        <v>Bin</v>
      </c>
      <c r="AF1239" t="str">
        <f t="shared" si="41"/>
        <v>OLD</v>
      </c>
    </row>
    <row r="1240" spans="1:32" x14ac:dyDescent="0.2">
      <c r="A1240" t="s">
        <v>1119</v>
      </c>
      <c r="B1240" t="s">
        <v>39</v>
      </c>
      <c r="C1240">
        <v>1012374482</v>
      </c>
      <c r="D1240" t="s">
        <v>250</v>
      </c>
      <c r="E1240" t="s">
        <v>31</v>
      </c>
      <c r="F1240" s="1">
        <v>0.67291666666666672</v>
      </c>
      <c r="G1240" t="s">
        <v>32</v>
      </c>
      <c r="H1240" t="s">
        <v>33</v>
      </c>
      <c r="I1240" t="s">
        <v>41</v>
      </c>
      <c r="J1240" t="s">
        <v>84</v>
      </c>
      <c r="K1240">
        <v>330</v>
      </c>
      <c r="L1240">
        <v>0</v>
      </c>
      <c r="M1240" t="s">
        <v>63</v>
      </c>
      <c r="N1240">
        <v>250</v>
      </c>
      <c r="O1240">
        <v>0</v>
      </c>
      <c r="P1240">
        <v>0</v>
      </c>
      <c r="Q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 t="s">
        <v>36</v>
      </c>
      <c r="AC1240" t="s">
        <v>687</v>
      </c>
      <c r="AD1240" t="str">
        <f t="shared" si="40"/>
        <v>CP</v>
      </c>
      <c r="AE1240" t="str">
        <f>_xlfn.XLOOKUP(D1240,Mapping!A:A,Mapping!D:D,0,0)</f>
        <v>Bin</v>
      </c>
      <c r="AF1240" t="str">
        <f t="shared" si="41"/>
        <v>OLD</v>
      </c>
    </row>
    <row r="1241" spans="1:32" x14ac:dyDescent="0.2">
      <c r="A1241" t="s">
        <v>1119</v>
      </c>
      <c r="B1241" t="s">
        <v>39</v>
      </c>
      <c r="C1241">
        <v>1012374492</v>
      </c>
      <c r="D1241" t="s">
        <v>251</v>
      </c>
      <c r="E1241" t="s">
        <v>31</v>
      </c>
      <c r="F1241" s="1">
        <v>0.67291666666666672</v>
      </c>
      <c r="G1241" t="s">
        <v>32</v>
      </c>
      <c r="H1241" t="s">
        <v>33</v>
      </c>
      <c r="I1241" t="s">
        <v>41</v>
      </c>
      <c r="J1241" t="s">
        <v>84</v>
      </c>
      <c r="K1241">
        <v>330</v>
      </c>
      <c r="L1241">
        <v>0</v>
      </c>
      <c r="M1241" t="s">
        <v>63</v>
      </c>
      <c r="N1241">
        <v>250</v>
      </c>
      <c r="O1241">
        <v>0</v>
      </c>
      <c r="P1241">
        <v>0</v>
      </c>
      <c r="Q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 t="s">
        <v>36</v>
      </c>
      <c r="AC1241" t="s">
        <v>687</v>
      </c>
      <c r="AD1241" t="str">
        <f t="shared" si="40"/>
        <v>CP</v>
      </c>
      <c r="AE1241" t="str">
        <f>_xlfn.XLOOKUP(D1241,Mapping!A:A,Mapping!D:D,0,0)</f>
        <v>Bin</v>
      </c>
      <c r="AF1241" t="str">
        <f t="shared" si="41"/>
        <v>OLD</v>
      </c>
    </row>
    <row r="1242" spans="1:32" x14ac:dyDescent="0.2">
      <c r="A1242" t="s">
        <v>1119</v>
      </c>
      <c r="B1242" t="s">
        <v>39</v>
      </c>
      <c r="C1242">
        <v>1012374502</v>
      </c>
      <c r="D1242" t="s">
        <v>252</v>
      </c>
      <c r="E1242" t="s">
        <v>31</v>
      </c>
      <c r="F1242" s="1">
        <v>0.67291666666666672</v>
      </c>
      <c r="G1242" t="s">
        <v>32</v>
      </c>
      <c r="H1242" t="s">
        <v>33</v>
      </c>
      <c r="I1242" t="s">
        <v>41</v>
      </c>
      <c r="J1242" t="s">
        <v>84</v>
      </c>
      <c r="K1242">
        <v>330</v>
      </c>
      <c r="L1242">
        <v>0</v>
      </c>
      <c r="M1242" t="s">
        <v>63</v>
      </c>
      <c r="N1242">
        <v>250</v>
      </c>
      <c r="O1242">
        <v>0</v>
      </c>
      <c r="P1242">
        <v>0</v>
      </c>
      <c r="Q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 t="s">
        <v>36</v>
      </c>
      <c r="AC1242" t="s">
        <v>687</v>
      </c>
      <c r="AD1242" t="str">
        <f t="shared" si="40"/>
        <v>CP</v>
      </c>
      <c r="AE1242" t="str">
        <f>_xlfn.XLOOKUP(D1242,Mapping!A:A,Mapping!D:D,0,0)</f>
        <v>Bin</v>
      </c>
      <c r="AF1242" t="str">
        <f t="shared" si="41"/>
        <v>OLD</v>
      </c>
    </row>
    <row r="1243" spans="1:32" x14ac:dyDescent="0.2">
      <c r="A1243" t="s">
        <v>1119</v>
      </c>
      <c r="B1243" t="s">
        <v>39</v>
      </c>
      <c r="C1243">
        <v>1012374512</v>
      </c>
      <c r="D1243" t="s">
        <v>253</v>
      </c>
      <c r="E1243" t="s">
        <v>31</v>
      </c>
      <c r="F1243" s="1">
        <v>0.67291666666666672</v>
      </c>
      <c r="G1243" t="s">
        <v>32</v>
      </c>
      <c r="H1243" t="s">
        <v>33</v>
      </c>
      <c r="I1243" t="s">
        <v>41</v>
      </c>
      <c r="J1243" t="s">
        <v>84</v>
      </c>
      <c r="K1243">
        <v>330</v>
      </c>
      <c r="L1243">
        <v>0</v>
      </c>
      <c r="M1243" t="s">
        <v>63</v>
      </c>
      <c r="N1243">
        <v>150</v>
      </c>
      <c r="O1243">
        <v>0</v>
      </c>
      <c r="P1243">
        <v>0</v>
      </c>
      <c r="Q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 t="s">
        <v>36</v>
      </c>
      <c r="AC1243" t="s">
        <v>687</v>
      </c>
      <c r="AD1243" t="str">
        <f t="shared" si="40"/>
        <v>CP</v>
      </c>
      <c r="AE1243" t="str">
        <f>_xlfn.XLOOKUP(D1243,Mapping!A:A,Mapping!D:D,0,0)</f>
        <v>Bin</v>
      </c>
      <c r="AF1243" t="str">
        <f t="shared" si="41"/>
        <v>OLD</v>
      </c>
    </row>
    <row r="1244" spans="1:32" x14ac:dyDescent="0.2">
      <c r="A1244" t="s">
        <v>1119</v>
      </c>
      <c r="B1244" t="s">
        <v>39</v>
      </c>
      <c r="C1244">
        <v>1012374522</v>
      </c>
      <c r="D1244" t="s">
        <v>254</v>
      </c>
      <c r="E1244" t="s">
        <v>31</v>
      </c>
      <c r="F1244" s="1">
        <v>0.67291666666666672</v>
      </c>
      <c r="G1244" t="s">
        <v>32</v>
      </c>
      <c r="H1244" t="s">
        <v>33</v>
      </c>
      <c r="I1244" t="s">
        <v>41</v>
      </c>
      <c r="J1244" t="s">
        <v>255</v>
      </c>
      <c r="K1244">
        <v>33</v>
      </c>
      <c r="L1244">
        <v>0</v>
      </c>
      <c r="M1244" t="s">
        <v>36</v>
      </c>
      <c r="N1244" t="s">
        <v>37</v>
      </c>
      <c r="O1244">
        <v>0</v>
      </c>
      <c r="P1244">
        <v>0</v>
      </c>
      <c r="Q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 t="s">
        <v>36</v>
      </c>
      <c r="AC1244" t="s">
        <v>687</v>
      </c>
      <c r="AD1244" t="str">
        <f t="shared" si="40"/>
        <v>CP</v>
      </c>
      <c r="AE1244" t="str">
        <f>_xlfn.XLOOKUP(D1244,Mapping!A:A,Mapping!D:D,0,0)</f>
        <v>Bin</v>
      </c>
      <c r="AF1244" t="str">
        <f t="shared" si="41"/>
        <v>OLD</v>
      </c>
    </row>
    <row r="1245" spans="1:32" x14ac:dyDescent="0.2">
      <c r="A1245" t="s">
        <v>1119</v>
      </c>
      <c r="B1245" t="s">
        <v>39</v>
      </c>
      <c r="C1245">
        <v>1012702572</v>
      </c>
      <c r="D1245" t="s">
        <v>256</v>
      </c>
      <c r="E1245" t="s">
        <v>31</v>
      </c>
      <c r="F1245" s="1">
        <v>0.67291666666666672</v>
      </c>
      <c r="G1245" t="s">
        <v>32</v>
      </c>
      <c r="H1245" t="s">
        <v>33</v>
      </c>
      <c r="I1245" t="s">
        <v>41</v>
      </c>
      <c r="J1245" t="s">
        <v>62</v>
      </c>
      <c r="K1245">
        <v>280</v>
      </c>
      <c r="L1245">
        <v>0</v>
      </c>
      <c r="M1245" t="s">
        <v>36</v>
      </c>
      <c r="N1245" t="s">
        <v>37</v>
      </c>
      <c r="O1245">
        <v>0</v>
      </c>
      <c r="P1245">
        <v>0</v>
      </c>
      <c r="Q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 t="s">
        <v>36</v>
      </c>
      <c r="AC1245" t="s">
        <v>687</v>
      </c>
      <c r="AD1245" t="str">
        <f t="shared" si="40"/>
        <v>CP</v>
      </c>
      <c r="AE1245" t="str">
        <f>_xlfn.XLOOKUP(D1245,Mapping!A:A,Mapping!D:D,0,0)</f>
        <v>Bin</v>
      </c>
      <c r="AF1245" t="str">
        <f t="shared" si="41"/>
        <v>OLD</v>
      </c>
    </row>
    <row r="1246" spans="1:32" x14ac:dyDescent="0.2">
      <c r="A1246" t="s">
        <v>1119</v>
      </c>
      <c r="B1246" t="s">
        <v>39</v>
      </c>
      <c r="C1246">
        <v>1012702582</v>
      </c>
      <c r="D1246" t="s">
        <v>257</v>
      </c>
      <c r="E1246" t="s">
        <v>31</v>
      </c>
      <c r="F1246" s="1">
        <v>0.67291666666666672</v>
      </c>
      <c r="G1246" t="s">
        <v>32</v>
      </c>
      <c r="H1246" t="s">
        <v>33</v>
      </c>
      <c r="I1246" t="s">
        <v>34</v>
      </c>
      <c r="J1246" t="s">
        <v>84</v>
      </c>
      <c r="K1246">
        <v>212</v>
      </c>
      <c r="L1246">
        <v>0</v>
      </c>
      <c r="M1246" t="s">
        <v>36</v>
      </c>
      <c r="N1246" t="s">
        <v>37</v>
      </c>
      <c r="O1246">
        <v>0</v>
      </c>
      <c r="P1246">
        <v>0</v>
      </c>
      <c r="Q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 t="s">
        <v>36</v>
      </c>
      <c r="AC1246" t="s">
        <v>687</v>
      </c>
      <c r="AD1246" t="str">
        <f t="shared" si="40"/>
        <v>CP</v>
      </c>
      <c r="AE1246" t="str">
        <f>_xlfn.XLOOKUP(D1246,Mapping!A:A,Mapping!D:D,0,0)</f>
        <v>Bin</v>
      </c>
      <c r="AF1246" t="str">
        <f t="shared" si="41"/>
        <v>OLD</v>
      </c>
    </row>
    <row r="1247" spans="1:32" x14ac:dyDescent="0.2">
      <c r="A1247" t="s">
        <v>1119</v>
      </c>
      <c r="B1247" t="s">
        <v>39</v>
      </c>
      <c r="C1247">
        <v>1012702602</v>
      </c>
      <c r="D1247" t="s">
        <v>258</v>
      </c>
      <c r="E1247" t="s">
        <v>31</v>
      </c>
      <c r="F1247" s="1">
        <v>0.67291666666666672</v>
      </c>
      <c r="G1247" t="s">
        <v>32</v>
      </c>
      <c r="H1247" t="s">
        <v>33</v>
      </c>
      <c r="I1247" t="s">
        <v>41</v>
      </c>
      <c r="J1247" t="s">
        <v>62</v>
      </c>
      <c r="K1247">
        <v>530</v>
      </c>
      <c r="L1247">
        <v>0</v>
      </c>
      <c r="M1247" t="s">
        <v>36</v>
      </c>
      <c r="N1247" t="s">
        <v>37</v>
      </c>
      <c r="O1247">
        <v>0</v>
      </c>
      <c r="P1247">
        <v>0</v>
      </c>
      <c r="Q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 t="s">
        <v>36</v>
      </c>
      <c r="AC1247" t="s">
        <v>687</v>
      </c>
      <c r="AD1247" t="str">
        <f t="shared" si="40"/>
        <v>CP</v>
      </c>
      <c r="AE1247" t="str">
        <f>_xlfn.XLOOKUP(D1247,Mapping!A:A,Mapping!D:D,0,0)</f>
        <v>Bin</v>
      </c>
      <c r="AF1247" t="str">
        <f t="shared" si="41"/>
        <v>OLD</v>
      </c>
    </row>
    <row r="1248" spans="1:32" x14ac:dyDescent="0.2">
      <c r="A1248" t="s">
        <v>1119</v>
      </c>
      <c r="B1248" t="s">
        <v>39</v>
      </c>
      <c r="C1248">
        <v>1012702612</v>
      </c>
      <c r="D1248" t="s">
        <v>259</v>
      </c>
      <c r="E1248" t="s">
        <v>31</v>
      </c>
      <c r="F1248" s="1">
        <v>0.67291666666666672</v>
      </c>
      <c r="G1248" t="s">
        <v>32</v>
      </c>
      <c r="H1248" t="s">
        <v>33</v>
      </c>
      <c r="I1248" t="s">
        <v>41</v>
      </c>
      <c r="J1248" t="s">
        <v>62</v>
      </c>
      <c r="K1248">
        <v>530</v>
      </c>
      <c r="L1248">
        <v>0</v>
      </c>
      <c r="M1248" t="s">
        <v>36</v>
      </c>
      <c r="N1248" t="s">
        <v>37</v>
      </c>
      <c r="O1248">
        <v>0</v>
      </c>
      <c r="P1248">
        <v>0</v>
      </c>
      <c r="Q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 t="s">
        <v>36</v>
      </c>
      <c r="AC1248" t="s">
        <v>687</v>
      </c>
      <c r="AD1248" t="str">
        <f t="shared" si="40"/>
        <v>CP</v>
      </c>
      <c r="AE1248" t="str">
        <f>_xlfn.XLOOKUP(D1248,Mapping!A:A,Mapping!D:D,0,0)</f>
        <v>Bin</v>
      </c>
      <c r="AF1248" t="str">
        <f t="shared" si="41"/>
        <v>OLD</v>
      </c>
    </row>
    <row r="1249" spans="1:32" x14ac:dyDescent="0.2">
      <c r="A1249" t="s">
        <v>1119</v>
      </c>
      <c r="B1249" t="s">
        <v>39</v>
      </c>
      <c r="C1249">
        <v>1012702622</v>
      </c>
      <c r="D1249" t="s">
        <v>260</v>
      </c>
      <c r="E1249" t="s">
        <v>31</v>
      </c>
      <c r="F1249" s="1">
        <v>0.67291666666666672</v>
      </c>
      <c r="G1249" t="s">
        <v>32</v>
      </c>
      <c r="H1249" t="s">
        <v>33</v>
      </c>
      <c r="I1249" t="s">
        <v>34</v>
      </c>
      <c r="J1249" t="s">
        <v>84</v>
      </c>
      <c r="K1249">
        <v>212</v>
      </c>
      <c r="L1249">
        <v>0</v>
      </c>
      <c r="M1249" t="s">
        <v>36</v>
      </c>
      <c r="N1249" t="s">
        <v>37</v>
      </c>
      <c r="O1249">
        <v>0</v>
      </c>
      <c r="P1249">
        <v>0</v>
      </c>
      <c r="Q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 t="s">
        <v>36</v>
      </c>
      <c r="AC1249" t="s">
        <v>687</v>
      </c>
      <c r="AD1249" t="str">
        <f t="shared" si="40"/>
        <v>CP</v>
      </c>
      <c r="AE1249" t="str">
        <f>_xlfn.XLOOKUP(D1249,Mapping!A:A,Mapping!D:D,0,0)</f>
        <v>Bin</v>
      </c>
      <c r="AF1249" t="str">
        <f t="shared" si="41"/>
        <v>OLD</v>
      </c>
    </row>
    <row r="1250" spans="1:32" x14ac:dyDescent="0.2">
      <c r="A1250" t="s">
        <v>1119</v>
      </c>
      <c r="B1250" t="s">
        <v>39</v>
      </c>
      <c r="C1250">
        <v>1012702632</v>
      </c>
      <c r="D1250" t="s">
        <v>261</v>
      </c>
      <c r="E1250" t="s">
        <v>31</v>
      </c>
      <c r="F1250" s="1">
        <v>0.67291666666666672</v>
      </c>
      <c r="G1250" t="s">
        <v>32</v>
      </c>
      <c r="H1250" t="s">
        <v>33</v>
      </c>
      <c r="I1250" t="s">
        <v>41</v>
      </c>
      <c r="J1250" t="s">
        <v>62</v>
      </c>
      <c r="K1250">
        <v>530</v>
      </c>
      <c r="L1250">
        <v>0</v>
      </c>
      <c r="M1250" t="s">
        <v>36</v>
      </c>
      <c r="N1250" t="s">
        <v>37</v>
      </c>
      <c r="O1250">
        <v>0</v>
      </c>
      <c r="P1250">
        <v>0</v>
      </c>
      <c r="Q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 t="s">
        <v>36</v>
      </c>
      <c r="AC1250" t="s">
        <v>687</v>
      </c>
      <c r="AD1250" t="str">
        <f t="shared" si="40"/>
        <v>CP</v>
      </c>
      <c r="AE1250" t="str">
        <f>_xlfn.XLOOKUP(D1250,Mapping!A:A,Mapping!D:D,0,0)</f>
        <v>Bin</v>
      </c>
      <c r="AF1250" t="str">
        <f t="shared" si="41"/>
        <v>OLD</v>
      </c>
    </row>
    <row r="1251" spans="1:32" x14ac:dyDescent="0.2">
      <c r="A1251" t="s">
        <v>1119</v>
      </c>
      <c r="B1251" t="s">
        <v>39</v>
      </c>
      <c r="C1251">
        <v>1012702652</v>
      </c>
      <c r="D1251" t="s">
        <v>262</v>
      </c>
      <c r="E1251" t="s">
        <v>31</v>
      </c>
      <c r="F1251" s="1">
        <v>0.67291666666666672</v>
      </c>
      <c r="G1251" t="s">
        <v>32</v>
      </c>
      <c r="H1251" t="s">
        <v>33</v>
      </c>
      <c r="I1251" t="s">
        <v>41</v>
      </c>
      <c r="J1251" t="s">
        <v>62</v>
      </c>
      <c r="K1251">
        <v>530</v>
      </c>
      <c r="L1251">
        <v>0</v>
      </c>
      <c r="M1251" t="s">
        <v>36</v>
      </c>
      <c r="N1251" t="s">
        <v>37</v>
      </c>
      <c r="O1251">
        <v>0</v>
      </c>
      <c r="P1251">
        <v>0</v>
      </c>
      <c r="Q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 t="s">
        <v>36</v>
      </c>
      <c r="AC1251" t="s">
        <v>687</v>
      </c>
      <c r="AD1251" t="str">
        <f t="shared" si="40"/>
        <v>CP</v>
      </c>
      <c r="AE1251" t="str">
        <f>_xlfn.XLOOKUP(D1251,Mapping!A:A,Mapping!D:D,0,0)</f>
        <v>Bin</v>
      </c>
      <c r="AF1251" t="str">
        <f t="shared" si="41"/>
        <v>OLD</v>
      </c>
    </row>
    <row r="1252" spans="1:32" x14ac:dyDescent="0.2">
      <c r="A1252" t="s">
        <v>1119</v>
      </c>
      <c r="B1252" t="s">
        <v>39</v>
      </c>
      <c r="C1252">
        <v>1012702662</v>
      </c>
      <c r="D1252" t="s">
        <v>263</v>
      </c>
      <c r="E1252" t="s">
        <v>31</v>
      </c>
      <c r="F1252" s="1">
        <v>0.67291666666666672</v>
      </c>
      <c r="G1252" t="s">
        <v>32</v>
      </c>
      <c r="H1252" t="s">
        <v>33</v>
      </c>
      <c r="I1252" t="s">
        <v>34</v>
      </c>
      <c r="J1252" t="s">
        <v>84</v>
      </c>
      <c r="K1252">
        <v>404</v>
      </c>
      <c r="L1252">
        <v>0</v>
      </c>
      <c r="M1252" t="s">
        <v>36</v>
      </c>
      <c r="N1252" t="s">
        <v>37</v>
      </c>
      <c r="O1252">
        <v>0</v>
      </c>
      <c r="P1252">
        <v>0</v>
      </c>
      <c r="Q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 t="s">
        <v>36</v>
      </c>
      <c r="AC1252" t="s">
        <v>687</v>
      </c>
      <c r="AD1252" t="str">
        <f t="shared" si="40"/>
        <v>CP</v>
      </c>
      <c r="AE1252" t="str">
        <f>_xlfn.XLOOKUP(D1252,Mapping!A:A,Mapping!D:D,0,0)</f>
        <v>Bin</v>
      </c>
      <c r="AF1252" t="str">
        <f t="shared" si="41"/>
        <v>OLD</v>
      </c>
    </row>
    <row r="1253" spans="1:32" x14ac:dyDescent="0.2">
      <c r="A1253" t="s">
        <v>1119</v>
      </c>
      <c r="B1253" t="s">
        <v>39</v>
      </c>
      <c r="C1253">
        <v>1012702672</v>
      </c>
      <c r="D1253" t="s">
        <v>264</v>
      </c>
      <c r="E1253" t="s">
        <v>31</v>
      </c>
      <c r="F1253" s="1">
        <v>0.67291666666666672</v>
      </c>
      <c r="G1253" t="s">
        <v>32</v>
      </c>
      <c r="H1253" t="s">
        <v>33</v>
      </c>
      <c r="I1253" t="s">
        <v>41</v>
      </c>
      <c r="J1253" t="s">
        <v>62</v>
      </c>
      <c r="K1253">
        <v>280</v>
      </c>
      <c r="L1253">
        <v>0</v>
      </c>
      <c r="M1253" t="s">
        <v>36</v>
      </c>
      <c r="N1253" t="s">
        <v>37</v>
      </c>
      <c r="O1253">
        <v>0</v>
      </c>
      <c r="P1253">
        <v>0</v>
      </c>
      <c r="Q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 t="s">
        <v>36</v>
      </c>
      <c r="AC1253" t="s">
        <v>687</v>
      </c>
      <c r="AD1253" t="str">
        <f t="shared" si="40"/>
        <v>CP</v>
      </c>
      <c r="AE1253" t="str">
        <f>_xlfn.XLOOKUP(D1253,Mapping!A:A,Mapping!D:D,0,0)</f>
        <v>Bin</v>
      </c>
      <c r="AF1253" t="str">
        <f t="shared" si="41"/>
        <v>OLD</v>
      </c>
    </row>
    <row r="1254" spans="1:32" x14ac:dyDescent="0.2">
      <c r="A1254" t="s">
        <v>1119</v>
      </c>
      <c r="B1254" t="s">
        <v>39</v>
      </c>
      <c r="C1254">
        <v>1012702682</v>
      </c>
      <c r="D1254" t="s">
        <v>265</v>
      </c>
      <c r="E1254" t="s">
        <v>31</v>
      </c>
      <c r="F1254" s="1">
        <v>0.67291666666666672</v>
      </c>
      <c r="G1254" t="s">
        <v>32</v>
      </c>
      <c r="H1254" t="s">
        <v>33</v>
      </c>
      <c r="I1254" t="s">
        <v>41</v>
      </c>
      <c r="J1254" t="s">
        <v>62</v>
      </c>
      <c r="K1254">
        <v>530</v>
      </c>
      <c r="L1254">
        <v>0</v>
      </c>
      <c r="M1254" t="s">
        <v>36</v>
      </c>
      <c r="N1254" t="s">
        <v>37</v>
      </c>
      <c r="O1254">
        <v>0</v>
      </c>
      <c r="P1254">
        <v>0</v>
      </c>
      <c r="Q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 t="s">
        <v>36</v>
      </c>
      <c r="AC1254" t="s">
        <v>687</v>
      </c>
      <c r="AD1254" t="str">
        <f t="shared" si="40"/>
        <v>CP</v>
      </c>
      <c r="AE1254" t="str">
        <f>_xlfn.XLOOKUP(D1254,Mapping!A:A,Mapping!D:D,0,0)</f>
        <v>Bin</v>
      </c>
      <c r="AF1254" t="str">
        <f t="shared" si="41"/>
        <v>OLD</v>
      </c>
    </row>
    <row r="1255" spans="1:32" x14ac:dyDescent="0.2">
      <c r="A1255" t="s">
        <v>1119</v>
      </c>
      <c r="B1255" t="s">
        <v>39</v>
      </c>
      <c r="C1255">
        <v>1012702702</v>
      </c>
      <c r="D1255" t="s">
        <v>266</v>
      </c>
      <c r="E1255" t="s">
        <v>31</v>
      </c>
      <c r="F1255" s="1">
        <v>0.67291666666666672</v>
      </c>
      <c r="G1255" t="s">
        <v>32</v>
      </c>
      <c r="H1255" t="s">
        <v>33</v>
      </c>
      <c r="I1255" t="s">
        <v>41</v>
      </c>
      <c r="J1255" t="s">
        <v>62</v>
      </c>
      <c r="K1255">
        <v>530</v>
      </c>
      <c r="L1255">
        <v>0</v>
      </c>
      <c r="M1255" t="s">
        <v>63</v>
      </c>
      <c r="N1255">
        <v>150</v>
      </c>
      <c r="O1255">
        <v>0</v>
      </c>
      <c r="P1255">
        <v>0</v>
      </c>
      <c r="Q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 t="s">
        <v>36</v>
      </c>
      <c r="AC1255" t="s">
        <v>687</v>
      </c>
      <c r="AD1255" t="str">
        <f t="shared" si="40"/>
        <v>CP</v>
      </c>
      <c r="AE1255" t="str">
        <f>_xlfn.XLOOKUP(D1255,Mapping!A:A,Mapping!D:D,0,0)</f>
        <v>Bin</v>
      </c>
      <c r="AF1255" t="str">
        <f t="shared" si="41"/>
        <v>OLD</v>
      </c>
    </row>
    <row r="1256" spans="1:32" x14ac:dyDescent="0.2">
      <c r="A1256" t="s">
        <v>1119</v>
      </c>
      <c r="B1256" t="s">
        <v>39</v>
      </c>
      <c r="C1256">
        <v>1012702712</v>
      </c>
      <c r="D1256" t="s">
        <v>267</v>
      </c>
      <c r="E1256" t="s">
        <v>31</v>
      </c>
      <c r="F1256" s="1">
        <v>0.67291666666666672</v>
      </c>
      <c r="G1256" t="s">
        <v>32</v>
      </c>
      <c r="H1256" t="s">
        <v>33</v>
      </c>
      <c r="I1256" t="s">
        <v>34</v>
      </c>
      <c r="J1256" t="s">
        <v>84</v>
      </c>
      <c r="K1256">
        <v>212</v>
      </c>
      <c r="L1256">
        <v>0</v>
      </c>
      <c r="M1256" t="s">
        <v>36</v>
      </c>
      <c r="N1256" t="s">
        <v>37</v>
      </c>
      <c r="O1256">
        <v>0</v>
      </c>
      <c r="P1256">
        <v>0</v>
      </c>
      <c r="Q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 t="s">
        <v>36</v>
      </c>
      <c r="AC1256" t="s">
        <v>687</v>
      </c>
      <c r="AD1256" t="str">
        <f t="shared" si="40"/>
        <v>CP</v>
      </c>
      <c r="AE1256" t="str">
        <f>_xlfn.XLOOKUP(D1256,Mapping!A:A,Mapping!D:D,0,0)</f>
        <v>Bin</v>
      </c>
      <c r="AF1256" t="str">
        <f t="shared" si="41"/>
        <v>OLD</v>
      </c>
    </row>
    <row r="1257" spans="1:32" x14ac:dyDescent="0.2">
      <c r="A1257" t="s">
        <v>1119</v>
      </c>
      <c r="B1257" t="s">
        <v>39</v>
      </c>
      <c r="C1257">
        <v>1012702722</v>
      </c>
      <c r="D1257" t="s">
        <v>268</v>
      </c>
      <c r="E1257" t="s">
        <v>31</v>
      </c>
      <c r="F1257" s="1">
        <v>0.67291666666666672</v>
      </c>
      <c r="G1257" t="s">
        <v>32</v>
      </c>
      <c r="H1257" t="s">
        <v>33</v>
      </c>
      <c r="I1257" t="s">
        <v>41</v>
      </c>
      <c r="J1257" t="s">
        <v>62</v>
      </c>
      <c r="K1257">
        <v>530</v>
      </c>
      <c r="L1257">
        <v>0</v>
      </c>
      <c r="M1257" t="s">
        <v>63</v>
      </c>
      <c r="N1257">
        <v>150</v>
      </c>
      <c r="O1257">
        <v>0</v>
      </c>
      <c r="P1257">
        <v>0</v>
      </c>
      <c r="Q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 t="s">
        <v>36</v>
      </c>
      <c r="AC1257" t="s">
        <v>687</v>
      </c>
      <c r="AD1257" t="str">
        <f t="shared" si="40"/>
        <v>CP</v>
      </c>
      <c r="AE1257" t="str">
        <f>_xlfn.XLOOKUP(D1257,Mapping!A:A,Mapping!D:D,0,0)</f>
        <v>Bin</v>
      </c>
      <c r="AF1257" t="str">
        <f t="shared" si="41"/>
        <v>OLD</v>
      </c>
    </row>
    <row r="1258" spans="1:32" x14ac:dyDescent="0.2">
      <c r="A1258" t="s">
        <v>1119</v>
      </c>
      <c r="B1258" t="s">
        <v>39</v>
      </c>
      <c r="C1258">
        <v>1012702732</v>
      </c>
      <c r="D1258" t="s">
        <v>269</v>
      </c>
      <c r="E1258" t="s">
        <v>31</v>
      </c>
      <c r="F1258" s="1">
        <v>0.67291666666666672</v>
      </c>
      <c r="G1258" t="s">
        <v>32</v>
      </c>
      <c r="H1258" t="s">
        <v>33</v>
      </c>
      <c r="I1258" t="s">
        <v>41</v>
      </c>
      <c r="J1258" t="s">
        <v>62</v>
      </c>
      <c r="K1258">
        <v>1010</v>
      </c>
      <c r="L1258">
        <v>0</v>
      </c>
      <c r="M1258" t="s">
        <v>36</v>
      </c>
      <c r="N1258" t="s">
        <v>37</v>
      </c>
      <c r="O1258">
        <v>0</v>
      </c>
      <c r="P1258">
        <v>0</v>
      </c>
      <c r="Q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 t="s">
        <v>36</v>
      </c>
      <c r="AC1258" t="s">
        <v>687</v>
      </c>
      <c r="AD1258" t="str">
        <f t="shared" si="40"/>
        <v>CP</v>
      </c>
      <c r="AE1258" t="str">
        <f>_xlfn.XLOOKUP(D1258,Mapping!A:A,Mapping!D:D,0,0)</f>
        <v>Archive</v>
      </c>
      <c r="AF1258" t="str">
        <f t="shared" si="41"/>
        <v>OLD</v>
      </c>
    </row>
    <row r="1259" spans="1:32" x14ac:dyDescent="0.2">
      <c r="A1259" t="s">
        <v>1119</v>
      </c>
      <c r="B1259" t="s">
        <v>39</v>
      </c>
      <c r="C1259">
        <v>1012702742</v>
      </c>
      <c r="D1259" t="s">
        <v>270</v>
      </c>
      <c r="E1259" t="s">
        <v>31</v>
      </c>
      <c r="F1259" s="1">
        <v>0.67291666666666672</v>
      </c>
      <c r="G1259" t="s">
        <v>32</v>
      </c>
      <c r="H1259" t="s">
        <v>33</v>
      </c>
      <c r="I1259" t="s">
        <v>34</v>
      </c>
      <c r="J1259" t="s">
        <v>84</v>
      </c>
      <c r="K1259">
        <v>356</v>
      </c>
      <c r="L1259">
        <v>0</v>
      </c>
      <c r="M1259" t="s">
        <v>36</v>
      </c>
      <c r="N1259" t="s">
        <v>37</v>
      </c>
      <c r="O1259">
        <v>0</v>
      </c>
      <c r="P1259">
        <v>0</v>
      </c>
      <c r="Q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 t="s">
        <v>36</v>
      </c>
      <c r="AC1259" t="s">
        <v>687</v>
      </c>
      <c r="AD1259" t="str">
        <f t="shared" si="40"/>
        <v>CP</v>
      </c>
      <c r="AE1259" t="str">
        <f>_xlfn.XLOOKUP(D1259,Mapping!A:A,Mapping!D:D,0,0)</f>
        <v>Bin</v>
      </c>
      <c r="AF1259" t="str">
        <f t="shared" si="41"/>
        <v>OLD</v>
      </c>
    </row>
    <row r="1260" spans="1:32" x14ac:dyDescent="0.2">
      <c r="A1260" t="s">
        <v>1119</v>
      </c>
      <c r="B1260" t="s">
        <v>39</v>
      </c>
      <c r="C1260">
        <v>1012702752</v>
      </c>
      <c r="D1260" t="s">
        <v>271</v>
      </c>
      <c r="E1260" t="s">
        <v>31</v>
      </c>
      <c r="F1260" s="1">
        <v>0.67291666666666672</v>
      </c>
      <c r="G1260" t="s">
        <v>32</v>
      </c>
      <c r="H1260" t="s">
        <v>33</v>
      </c>
      <c r="I1260" t="s">
        <v>41</v>
      </c>
      <c r="J1260" t="s">
        <v>62</v>
      </c>
      <c r="K1260">
        <v>530</v>
      </c>
      <c r="L1260">
        <v>0</v>
      </c>
      <c r="M1260" t="s">
        <v>36</v>
      </c>
      <c r="N1260" t="s">
        <v>37</v>
      </c>
      <c r="O1260">
        <v>0</v>
      </c>
      <c r="P1260">
        <v>0</v>
      </c>
      <c r="Q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 t="s">
        <v>36</v>
      </c>
      <c r="AC1260" t="s">
        <v>687</v>
      </c>
      <c r="AD1260" t="str">
        <f t="shared" si="40"/>
        <v>CP</v>
      </c>
      <c r="AE1260" t="str">
        <f>_xlfn.XLOOKUP(D1260,Mapping!A:A,Mapping!D:D,0,0)</f>
        <v>Bin</v>
      </c>
      <c r="AF1260" t="str">
        <f t="shared" si="41"/>
        <v>OLD</v>
      </c>
    </row>
    <row r="1261" spans="1:32" x14ac:dyDescent="0.2">
      <c r="A1261" t="s">
        <v>1119</v>
      </c>
      <c r="B1261" t="s">
        <v>39</v>
      </c>
      <c r="C1261">
        <v>1012702762</v>
      </c>
      <c r="D1261" t="s">
        <v>272</v>
      </c>
      <c r="E1261" t="s">
        <v>31</v>
      </c>
      <c r="F1261" s="1">
        <v>0.67291666666666672</v>
      </c>
      <c r="G1261" t="s">
        <v>32</v>
      </c>
      <c r="H1261" t="s">
        <v>33</v>
      </c>
      <c r="I1261" t="s">
        <v>41</v>
      </c>
      <c r="J1261" t="s">
        <v>62</v>
      </c>
      <c r="K1261">
        <v>280</v>
      </c>
      <c r="L1261">
        <v>0</v>
      </c>
      <c r="M1261" t="s">
        <v>36</v>
      </c>
      <c r="N1261" t="s">
        <v>37</v>
      </c>
      <c r="O1261">
        <v>0</v>
      </c>
      <c r="P1261">
        <v>0</v>
      </c>
      <c r="Q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 t="s">
        <v>36</v>
      </c>
      <c r="AC1261" t="s">
        <v>687</v>
      </c>
      <c r="AD1261" t="str">
        <f t="shared" si="40"/>
        <v>CP</v>
      </c>
      <c r="AE1261" t="str">
        <f>_xlfn.XLOOKUP(D1261,Mapping!A:A,Mapping!D:D,0,0)</f>
        <v>Bin</v>
      </c>
      <c r="AF1261" t="str">
        <f t="shared" si="41"/>
        <v>OLD</v>
      </c>
    </row>
    <row r="1262" spans="1:32" x14ac:dyDescent="0.2">
      <c r="A1262" t="s">
        <v>1119</v>
      </c>
      <c r="B1262" t="s">
        <v>39</v>
      </c>
      <c r="C1262">
        <v>1012702772</v>
      </c>
      <c r="D1262" t="s">
        <v>273</v>
      </c>
      <c r="E1262" t="s">
        <v>31</v>
      </c>
      <c r="F1262" s="1">
        <v>0.67291666666666672</v>
      </c>
      <c r="G1262" t="s">
        <v>32</v>
      </c>
      <c r="H1262" t="s">
        <v>33</v>
      </c>
      <c r="I1262" t="s">
        <v>34</v>
      </c>
      <c r="J1262" t="s">
        <v>84</v>
      </c>
      <c r="K1262">
        <v>356</v>
      </c>
      <c r="L1262">
        <v>0</v>
      </c>
      <c r="M1262" t="s">
        <v>36</v>
      </c>
      <c r="N1262" t="s">
        <v>37</v>
      </c>
      <c r="O1262">
        <v>0</v>
      </c>
      <c r="P1262">
        <v>0</v>
      </c>
      <c r="Q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 t="s">
        <v>36</v>
      </c>
      <c r="AC1262" t="s">
        <v>687</v>
      </c>
      <c r="AD1262" t="str">
        <f t="shared" si="40"/>
        <v>CP</v>
      </c>
      <c r="AE1262" t="str">
        <f>_xlfn.XLOOKUP(D1262,Mapping!A:A,Mapping!D:D,0,0)</f>
        <v>Bin</v>
      </c>
      <c r="AF1262" t="str">
        <f t="shared" si="41"/>
        <v>OLD</v>
      </c>
    </row>
    <row r="1263" spans="1:32" x14ac:dyDescent="0.2">
      <c r="A1263" t="s">
        <v>1119</v>
      </c>
      <c r="B1263" t="s">
        <v>39</v>
      </c>
      <c r="C1263">
        <v>1012702792</v>
      </c>
      <c r="D1263" t="s">
        <v>274</v>
      </c>
      <c r="E1263" t="s">
        <v>31</v>
      </c>
      <c r="F1263" s="1">
        <v>0.67291666666666672</v>
      </c>
      <c r="G1263" t="s">
        <v>32</v>
      </c>
      <c r="H1263" t="s">
        <v>33</v>
      </c>
      <c r="I1263" t="s">
        <v>41</v>
      </c>
      <c r="J1263" t="s">
        <v>62</v>
      </c>
      <c r="K1263">
        <v>530</v>
      </c>
      <c r="L1263">
        <v>0</v>
      </c>
      <c r="M1263" t="s">
        <v>36</v>
      </c>
      <c r="N1263" t="s">
        <v>37</v>
      </c>
      <c r="O1263">
        <v>0</v>
      </c>
      <c r="P1263">
        <v>0</v>
      </c>
      <c r="Q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 t="s">
        <v>36</v>
      </c>
      <c r="AC1263" t="s">
        <v>687</v>
      </c>
      <c r="AD1263" t="str">
        <f t="shared" si="40"/>
        <v>CP</v>
      </c>
      <c r="AE1263" t="str">
        <f>_xlfn.XLOOKUP(D1263,Mapping!A:A,Mapping!D:D,0,0)</f>
        <v>Bin</v>
      </c>
      <c r="AF1263" t="str">
        <f t="shared" si="41"/>
        <v>OLD</v>
      </c>
    </row>
    <row r="1264" spans="1:32" x14ac:dyDescent="0.2">
      <c r="A1264" t="s">
        <v>1119</v>
      </c>
      <c r="B1264" t="s">
        <v>39</v>
      </c>
      <c r="C1264">
        <v>1012702802</v>
      </c>
      <c r="D1264" t="s">
        <v>275</v>
      </c>
      <c r="E1264" t="s">
        <v>31</v>
      </c>
      <c r="F1264" s="1">
        <v>0.67291666666666672</v>
      </c>
      <c r="G1264" t="s">
        <v>32</v>
      </c>
      <c r="H1264" t="s">
        <v>33</v>
      </c>
      <c r="I1264" t="s">
        <v>34</v>
      </c>
      <c r="J1264" t="s">
        <v>84</v>
      </c>
      <c r="K1264">
        <v>356</v>
      </c>
      <c r="L1264">
        <v>0</v>
      </c>
      <c r="M1264" t="s">
        <v>36</v>
      </c>
      <c r="N1264" t="s">
        <v>37</v>
      </c>
      <c r="O1264">
        <v>0</v>
      </c>
      <c r="P1264">
        <v>0</v>
      </c>
      <c r="Q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 t="s">
        <v>36</v>
      </c>
      <c r="AC1264" t="s">
        <v>687</v>
      </c>
      <c r="AD1264" t="str">
        <f t="shared" si="40"/>
        <v>CP</v>
      </c>
      <c r="AE1264" t="str">
        <f>_xlfn.XLOOKUP(D1264,Mapping!A:A,Mapping!D:D,0,0)</f>
        <v>Bin</v>
      </c>
      <c r="AF1264" t="str">
        <f t="shared" si="41"/>
        <v>OLD</v>
      </c>
    </row>
    <row r="1265" spans="1:32" x14ac:dyDescent="0.2">
      <c r="A1265" t="s">
        <v>1119</v>
      </c>
      <c r="B1265" t="s">
        <v>39</v>
      </c>
      <c r="C1265">
        <v>1012702812</v>
      </c>
      <c r="D1265" t="s">
        <v>276</v>
      </c>
      <c r="E1265" t="s">
        <v>31</v>
      </c>
      <c r="F1265" s="1">
        <v>0.67291666666666672</v>
      </c>
      <c r="G1265" t="s">
        <v>32</v>
      </c>
      <c r="H1265" t="s">
        <v>33</v>
      </c>
      <c r="I1265" t="s">
        <v>41</v>
      </c>
      <c r="J1265" t="s">
        <v>62</v>
      </c>
      <c r="K1265">
        <v>530</v>
      </c>
      <c r="L1265">
        <v>0</v>
      </c>
      <c r="M1265" t="s">
        <v>36</v>
      </c>
      <c r="N1265" t="s">
        <v>37</v>
      </c>
      <c r="O1265">
        <v>0</v>
      </c>
      <c r="P1265">
        <v>0</v>
      </c>
      <c r="Q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 t="s">
        <v>36</v>
      </c>
      <c r="AC1265" t="s">
        <v>687</v>
      </c>
      <c r="AD1265" t="str">
        <f t="shared" si="40"/>
        <v>CP</v>
      </c>
      <c r="AE1265" t="str">
        <f>_xlfn.XLOOKUP(D1265,Mapping!A:A,Mapping!D:D,0,0)</f>
        <v>Bin</v>
      </c>
      <c r="AF1265" t="str">
        <f t="shared" si="41"/>
        <v>OLD</v>
      </c>
    </row>
    <row r="1266" spans="1:32" x14ac:dyDescent="0.2">
      <c r="A1266" t="s">
        <v>1119</v>
      </c>
      <c r="B1266" t="s">
        <v>39</v>
      </c>
      <c r="C1266">
        <v>1012702822</v>
      </c>
      <c r="D1266" t="s">
        <v>277</v>
      </c>
      <c r="E1266" t="s">
        <v>31</v>
      </c>
      <c r="F1266" s="1">
        <v>0.67291666666666672</v>
      </c>
      <c r="G1266" t="s">
        <v>32</v>
      </c>
      <c r="H1266" t="s">
        <v>33</v>
      </c>
      <c r="I1266" t="s">
        <v>41</v>
      </c>
      <c r="J1266" t="s">
        <v>62</v>
      </c>
      <c r="K1266">
        <v>530</v>
      </c>
      <c r="L1266">
        <v>0</v>
      </c>
      <c r="M1266" t="s">
        <v>36</v>
      </c>
      <c r="N1266" t="s">
        <v>37</v>
      </c>
      <c r="O1266">
        <v>0</v>
      </c>
      <c r="P1266">
        <v>0</v>
      </c>
      <c r="Q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 t="s">
        <v>36</v>
      </c>
      <c r="AC1266" t="s">
        <v>687</v>
      </c>
      <c r="AD1266" t="str">
        <f t="shared" si="40"/>
        <v>CP</v>
      </c>
      <c r="AE1266" t="str">
        <f>_xlfn.XLOOKUP(D1266,Mapping!A:A,Mapping!D:D,0,0)</f>
        <v>Bin</v>
      </c>
      <c r="AF1266" t="str">
        <f t="shared" si="41"/>
        <v>OLD</v>
      </c>
    </row>
    <row r="1267" spans="1:32" x14ac:dyDescent="0.2">
      <c r="A1267" t="s">
        <v>1119</v>
      </c>
      <c r="B1267" t="s">
        <v>39</v>
      </c>
      <c r="C1267">
        <v>1012702832</v>
      </c>
      <c r="D1267" t="s">
        <v>278</v>
      </c>
      <c r="E1267" t="s">
        <v>31</v>
      </c>
      <c r="F1267" s="1">
        <v>0.67291666666666672</v>
      </c>
      <c r="G1267" t="s">
        <v>32</v>
      </c>
      <c r="H1267" t="s">
        <v>33</v>
      </c>
      <c r="I1267" t="s">
        <v>34</v>
      </c>
      <c r="J1267" t="s">
        <v>84</v>
      </c>
      <c r="K1267">
        <v>356</v>
      </c>
      <c r="L1267">
        <v>0</v>
      </c>
      <c r="M1267" t="s">
        <v>63</v>
      </c>
      <c r="N1267">
        <v>150</v>
      </c>
      <c r="O1267">
        <v>0</v>
      </c>
      <c r="P1267">
        <v>0</v>
      </c>
      <c r="Q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 t="s">
        <v>36</v>
      </c>
      <c r="AC1267" t="s">
        <v>687</v>
      </c>
      <c r="AD1267" t="str">
        <f t="shared" si="40"/>
        <v>CP</v>
      </c>
      <c r="AE1267" t="str">
        <f>_xlfn.XLOOKUP(D1267,Mapping!A:A,Mapping!D:D,0,0)</f>
        <v>Bin</v>
      </c>
      <c r="AF1267" t="str">
        <f t="shared" si="41"/>
        <v>OLD</v>
      </c>
    </row>
    <row r="1268" spans="1:32" x14ac:dyDescent="0.2">
      <c r="A1268" t="s">
        <v>1119</v>
      </c>
      <c r="B1268" t="s">
        <v>39</v>
      </c>
      <c r="C1268">
        <v>1012702842</v>
      </c>
      <c r="D1268" t="s">
        <v>279</v>
      </c>
      <c r="E1268" t="s">
        <v>31</v>
      </c>
      <c r="F1268" s="1">
        <v>0.67291666666666672</v>
      </c>
      <c r="G1268" t="s">
        <v>32</v>
      </c>
      <c r="H1268" t="s">
        <v>33</v>
      </c>
      <c r="I1268" t="s">
        <v>41</v>
      </c>
      <c r="J1268" t="s">
        <v>62</v>
      </c>
      <c r="K1268">
        <v>280</v>
      </c>
      <c r="L1268">
        <v>0</v>
      </c>
      <c r="M1268" t="s">
        <v>36</v>
      </c>
      <c r="N1268" t="s">
        <v>37</v>
      </c>
      <c r="O1268">
        <v>0</v>
      </c>
      <c r="P1268">
        <v>0</v>
      </c>
      <c r="Q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 t="s">
        <v>36</v>
      </c>
      <c r="AC1268" t="s">
        <v>687</v>
      </c>
      <c r="AD1268" t="str">
        <f t="shared" si="40"/>
        <v>CP</v>
      </c>
      <c r="AE1268" t="str">
        <f>_xlfn.XLOOKUP(D1268,Mapping!A:A,Mapping!D:D,0,0)</f>
        <v>Bin</v>
      </c>
      <c r="AF1268" t="str">
        <f t="shared" si="41"/>
        <v>OLD</v>
      </c>
    </row>
    <row r="1269" spans="1:32" x14ac:dyDescent="0.2">
      <c r="A1269" t="s">
        <v>1119</v>
      </c>
      <c r="B1269" t="s">
        <v>39</v>
      </c>
      <c r="C1269">
        <v>1012702872</v>
      </c>
      <c r="D1269" t="s">
        <v>280</v>
      </c>
      <c r="E1269" t="s">
        <v>31</v>
      </c>
      <c r="F1269" s="1">
        <v>0.67291666666666672</v>
      </c>
      <c r="G1269" t="s">
        <v>32</v>
      </c>
      <c r="H1269" t="s">
        <v>33</v>
      </c>
      <c r="I1269" t="s">
        <v>41</v>
      </c>
      <c r="J1269" t="s">
        <v>58</v>
      </c>
      <c r="K1269">
        <v>40</v>
      </c>
      <c r="L1269">
        <v>0</v>
      </c>
      <c r="M1269" t="s">
        <v>36</v>
      </c>
      <c r="N1269" t="s">
        <v>37</v>
      </c>
      <c r="O1269">
        <v>0</v>
      </c>
      <c r="P1269">
        <v>0</v>
      </c>
      <c r="Q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 t="s">
        <v>36</v>
      </c>
      <c r="AC1269" t="s">
        <v>687</v>
      </c>
      <c r="AD1269" t="str">
        <f t="shared" si="40"/>
        <v>CP</v>
      </c>
      <c r="AE1269" t="str">
        <f>_xlfn.XLOOKUP(D1269,Mapping!A:A,Mapping!D:D,0,0)</f>
        <v>Bin</v>
      </c>
      <c r="AF1269" t="str">
        <f t="shared" si="41"/>
        <v>OLD</v>
      </c>
    </row>
    <row r="1270" spans="1:32" x14ac:dyDescent="0.2">
      <c r="A1270" t="s">
        <v>1119</v>
      </c>
      <c r="B1270" t="s">
        <v>39</v>
      </c>
      <c r="C1270">
        <v>1012703162</v>
      </c>
      <c r="D1270" t="s">
        <v>281</v>
      </c>
      <c r="E1270" t="s">
        <v>31</v>
      </c>
      <c r="F1270" s="1">
        <v>0.67291666666666672</v>
      </c>
      <c r="G1270" t="s">
        <v>32</v>
      </c>
      <c r="H1270" t="s">
        <v>33</v>
      </c>
      <c r="I1270" t="s">
        <v>41</v>
      </c>
      <c r="J1270" t="s">
        <v>58</v>
      </c>
      <c r="K1270">
        <v>40</v>
      </c>
      <c r="L1270">
        <v>0</v>
      </c>
      <c r="M1270" t="s">
        <v>36</v>
      </c>
      <c r="N1270" t="s">
        <v>37</v>
      </c>
      <c r="O1270">
        <v>0</v>
      </c>
      <c r="P1270">
        <v>0</v>
      </c>
      <c r="Q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 t="s">
        <v>36</v>
      </c>
      <c r="AC1270" t="s">
        <v>687</v>
      </c>
      <c r="AD1270" t="str">
        <f t="shared" si="40"/>
        <v>CP</v>
      </c>
      <c r="AE1270" t="str">
        <f>_xlfn.XLOOKUP(D1270,Mapping!A:A,Mapping!D:D,0,0)</f>
        <v>Bin</v>
      </c>
      <c r="AF1270" t="str">
        <f t="shared" si="41"/>
        <v>OLD</v>
      </c>
    </row>
    <row r="1271" spans="1:32" x14ac:dyDescent="0.2">
      <c r="A1271" t="s">
        <v>1119</v>
      </c>
      <c r="B1271" t="s">
        <v>39</v>
      </c>
      <c r="C1271">
        <v>1012703182</v>
      </c>
      <c r="D1271" t="s">
        <v>282</v>
      </c>
      <c r="E1271" t="s">
        <v>31</v>
      </c>
      <c r="F1271" s="1">
        <v>0.67291666666666672</v>
      </c>
      <c r="G1271" t="s">
        <v>32</v>
      </c>
      <c r="H1271" t="s">
        <v>33</v>
      </c>
      <c r="I1271" t="s">
        <v>34</v>
      </c>
      <c r="J1271" t="s">
        <v>124</v>
      </c>
      <c r="K1271">
        <v>16</v>
      </c>
      <c r="L1271">
        <v>0</v>
      </c>
      <c r="M1271" t="s">
        <v>36</v>
      </c>
      <c r="N1271" t="s">
        <v>37</v>
      </c>
      <c r="O1271">
        <v>0</v>
      </c>
      <c r="P1271">
        <v>0</v>
      </c>
      <c r="Q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 t="s">
        <v>36</v>
      </c>
      <c r="AC1271" t="s">
        <v>687</v>
      </c>
      <c r="AD1271" t="str">
        <f t="shared" si="40"/>
        <v>CP</v>
      </c>
      <c r="AE1271" t="str">
        <f>_xlfn.XLOOKUP(D1271,Mapping!A:A,Mapping!D:D,0,0)</f>
        <v>Bin</v>
      </c>
      <c r="AF1271" t="str">
        <f t="shared" si="41"/>
        <v>OLD</v>
      </c>
    </row>
    <row r="1272" spans="1:32" x14ac:dyDescent="0.2">
      <c r="A1272" t="s">
        <v>1119</v>
      </c>
      <c r="B1272" t="s">
        <v>39</v>
      </c>
      <c r="C1272">
        <v>1012703202</v>
      </c>
      <c r="D1272" t="s">
        <v>283</v>
      </c>
      <c r="E1272" t="s">
        <v>31</v>
      </c>
      <c r="F1272" s="1">
        <v>0.67291666666666672</v>
      </c>
      <c r="G1272" t="s">
        <v>32</v>
      </c>
      <c r="H1272" t="s">
        <v>33</v>
      </c>
      <c r="I1272" t="s">
        <v>41</v>
      </c>
      <c r="J1272" t="s">
        <v>58</v>
      </c>
      <c r="K1272">
        <v>40</v>
      </c>
      <c r="L1272">
        <v>0</v>
      </c>
      <c r="M1272" t="s">
        <v>36</v>
      </c>
      <c r="N1272" t="s">
        <v>37</v>
      </c>
      <c r="O1272">
        <v>0</v>
      </c>
      <c r="P1272">
        <v>0</v>
      </c>
      <c r="Q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 t="s">
        <v>36</v>
      </c>
      <c r="AC1272" t="s">
        <v>687</v>
      </c>
      <c r="AD1272" t="str">
        <f t="shared" si="40"/>
        <v>CP</v>
      </c>
      <c r="AE1272" t="str">
        <f>_xlfn.XLOOKUP(D1272,Mapping!A:A,Mapping!D:D,0,0)</f>
        <v>Bin</v>
      </c>
      <c r="AF1272" t="str">
        <f t="shared" si="41"/>
        <v>OLD</v>
      </c>
    </row>
    <row r="1273" spans="1:32" x14ac:dyDescent="0.2">
      <c r="A1273" t="s">
        <v>1119</v>
      </c>
      <c r="B1273" t="s">
        <v>39</v>
      </c>
      <c r="C1273">
        <v>1012703212</v>
      </c>
      <c r="D1273" t="s">
        <v>284</v>
      </c>
      <c r="E1273" t="s">
        <v>31</v>
      </c>
      <c r="F1273" s="1">
        <v>0.67291666666666672</v>
      </c>
      <c r="G1273" t="s">
        <v>32</v>
      </c>
      <c r="H1273" t="s">
        <v>33</v>
      </c>
      <c r="I1273" t="s">
        <v>41</v>
      </c>
      <c r="J1273" t="s">
        <v>58</v>
      </c>
      <c r="K1273">
        <v>40</v>
      </c>
      <c r="L1273">
        <v>0</v>
      </c>
      <c r="M1273" t="s">
        <v>63</v>
      </c>
      <c r="N1273">
        <v>150</v>
      </c>
      <c r="O1273">
        <v>0</v>
      </c>
      <c r="P1273">
        <v>0</v>
      </c>
      <c r="Q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 t="s">
        <v>36</v>
      </c>
      <c r="AC1273" t="s">
        <v>687</v>
      </c>
      <c r="AD1273" t="str">
        <f t="shared" si="40"/>
        <v>CP</v>
      </c>
      <c r="AE1273" t="str">
        <f>_xlfn.XLOOKUP(D1273,Mapping!A:A,Mapping!D:D,0,0)</f>
        <v>Bin</v>
      </c>
      <c r="AF1273" t="str">
        <f t="shared" si="41"/>
        <v>OLD</v>
      </c>
    </row>
    <row r="1274" spans="1:32" x14ac:dyDescent="0.2">
      <c r="A1274" t="s">
        <v>1119</v>
      </c>
      <c r="B1274" t="s">
        <v>39</v>
      </c>
      <c r="C1274">
        <v>1012703222</v>
      </c>
      <c r="D1274" t="s">
        <v>285</v>
      </c>
      <c r="E1274" t="s">
        <v>31</v>
      </c>
      <c r="F1274" s="1">
        <v>0.67291666666666672</v>
      </c>
      <c r="G1274" t="s">
        <v>32</v>
      </c>
      <c r="H1274" t="s">
        <v>33</v>
      </c>
      <c r="I1274" t="s">
        <v>34</v>
      </c>
      <c r="J1274" t="s">
        <v>124</v>
      </c>
      <c r="K1274">
        <v>16</v>
      </c>
      <c r="L1274">
        <v>0</v>
      </c>
      <c r="M1274" t="s">
        <v>36</v>
      </c>
      <c r="N1274" t="s">
        <v>37</v>
      </c>
      <c r="O1274">
        <v>0</v>
      </c>
      <c r="P1274">
        <v>0</v>
      </c>
      <c r="Q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 t="s">
        <v>36</v>
      </c>
      <c r="AC1274" t="s">
        <v>687</v>
      </c>
      <c r="AD1274" t="str">
        <f t="shared" si="40"/>
        <v>CP</v>
      </c>
      <c r="AE1274" t="str">
        <f>_xlfn.XLOOKUP(D1274,Mapping!A:A,Mapping!D:D,0,0)</f>
        <v>Bin</v>
      </c>
      <c r="AF1274" t="str">
        <f t="shared" si="41"/>
        <v>OLD</v>
      </c>
    </row>
    <row r="1275" spans="1:32" x14ac:dyDescent="0.2">
      <c r="A1275" t="s">
        <v>1119</v>
      </c>
      <c r="B1275" t="s">
        <v>39</v>
      </c>
      <c r="C1275">
        <v>1012703242</v>
      </c>
      <c r="D1275" t="s">
        <v>286</v>
      </c>
      <c r="E1275" t="s">
        <v>31</v>
      </c>
      <c r="F1275" s="1">
        <v>0.67291666666666672</v>
      </c>
      <c r="G1275" t="s">
        <v>32</v>
      </c>
      <c r="H1275" t="s">
        <v>33</v>
      </c>
      <c r="I1275" t="s">
        <v>34</v>
      </c>
      <c r="J1275" t="s">
        <v>124</v>
      </c>
      <c r="K1275">
        <v>16</v>
      </c>
      <c r="L1275">
        <v>0</v>
      </c>
      <c r="M1275" t="s">
        <v>36</v>
      </c>
      <c r="N1275" t="s">
        <v>37</v>
      </c>
      <c r="O1275">
        <v>0</v>
      </c>
      <c r="P1275">
        <v>0</v>
      </c>
      <c r="Q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 t="s">
        <v>36</v>
      </c>
      <c r="AC1275" t="s">
        <v>687</v>
      </c>
      <c r="AD1275" t="str">
        <f t="shared" si="40"/>
        <v>CP</v>
      </c>
      <c r="AE1275" t="str">
        <f>_xlfn.XLOOKUP(D1275,Mapping!A:A,Mapping!D:D,0,0)</f>
        <v>Bin</v>
      </c>
      <c r="AF1275" t="str">
        <f t="shared" si="41"/>
        <v>OLD</v>
      </c>
    </row>
    <row r="1276" spans="1:32" x14ac:dyDescent="0.2">
      <c r="A1276" t="s">
        <v>1119</v>
      </c>
      <c r="B1276" t="s">
        <v>39</v>
      </c>
      <c r="C1276">
        <v>1012703252</v>
      </c>
      <c r="D1276" t="s">
        <v>287</v>
      </c>
      <c r="E1276" t="s">
        <v>31</v>
      </c>
      <c r="F1276" s="1">
        <v>0.67291666666666672</v>
      </c>
      <c r="G1276" t="s">
        <v>32</v>
      </c>
      <c r="H1276" t="s">
        <v>33</v>
      </c>
      <c r="I1276" t="s">
        <v>41</v>
      </c>
      <c r="J1276" t="s">
        <v>58</v>
      </c>
      <c r="K1276">
        <v>40</v>
      </c>
      <c r="L1276">
        <v>0</v>
      </c>
      <c r="M1276" t="s">
        <v>36</v>
      </c>
      <c r="N1276" t="s">
        <v>37</v>
      </c>
      <c r="O1276">
        <v>0</v>
      </c>
      <c r="P1276">
        <v>0</v>
      </c>
      <c r="Q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 t="s">
        <v>36</v>
      </c>
      <c r="AC1276" t="s">
        <v>687</v>
      </c>
      <c r="AD1276" t="str">
        <f t="shared" si="40"/>
        <v>CP</v>
      </c>
      <c r="AE1276" t="str">
        <f>_xlfn.XLOOKUP(D1276,Mapping!A:A,Mapping!D:D,0,0)</f>
        <v>Bin</v>
      </c>
      <c r="AF1276" t="str">
        <f t="shared" si="41"/>
        <v>OLD</v>
      </c>
    </row>
    <row r="1277" spans="1:32" x14ac:dyDescent="0.2">
      <c r="A1277" t="s">
        <v>1119</v>
      </c>
      <c r="B1277" t="s">
        <v>39</v>
      </c>
      <c r="C1277">
        <v>1012703262</v>
      </c>
      <c r="D1277" t="s">
        <v>288</v>
      </c>
      <c r="E1277" t="s">
        <v>31</v>
      </c>
      <c r="F1277" s="1">
        <v>0.67291666666666672</v>
      </c>
      <c r="G1277" t="s">
        <v>32</v>
      </c>
      <c r="H1277" t="s">
        <v>33</v>
      </c>
      <c r="I1277" t="s">
        <v>41</v>
      </c>
      <c r="J1277" t="s">
        <v>58</v>
      </c>
      <c r="K1277">
        <v>40</v>
      </c>
      <c r="L1277">
        <v>0</v>
      </c>
      <c r="M1277" t="s">
        <v>36</v>
      </c>
      <c r="N1277" t="s">
        <v>37</v>
      </c>
      <c r="O1277">
        <v>0</v>
      </c>
      <c r="P1277">
        <v>0</v>
      </c>
      <c r="Q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 t="s">
        <v>36</v>
      </c>
      <c r="AC1277" t="s">
        <v>687</v>
      </c>
      <c r="AD1277" t="str">
        <f t="shared" si="40"/>
        <v>CP</v>
      </c>
      <c r="AE1277" t="str">
        <f>_xlfn.XLOOKUP(D1277,Mapping!A:A,Mapping!D:D,0,0)</f>
        <v>Bin</v>
      </c>
      <c r="AF1277" t="str">
        <f t="shared" si="41"/>
        <v>OLD</v>
      </c>
    </row>
    <row r="1278" spans="1:32" x14ac:dyDescent="0.2">
      <c r="A1278" t="s">
        <v>1119</v>
      </c>
      <c r="B1278" t="s">
        <v>39</v>
      </c>
      <c r="C1278">
        <v>1012703292</v>
      </c>
      <c r="D1278" t="s">
        <v>289</v>
      </c>
      <c r="E1278" t="s">
        <v>31</v>
      </c>
      <c r="F1278" s="1">
        <v>0.67291666666666672</v>
      </c>
      <c r="G1278" t="s">
        <v>32</v>
      </c>
      <c r="H1278" t="s">
        <v>33</v>
      </c>
      <c r="I1278" t="s">
        <v>41</v>
      </c>
      <c r="J1278" t="s">
        <v>58</v>
      </c>
      <c r="K1278">
        <v>40</v>
      </c>
      <c r="L1278">
        <v>0</v>
      </c>
      <c r="M1278" t="s">
        <v>36</v>
      </c>
      <c r="N1278" t="s">
        <v>37</v>
      </c>
      <c r="O1278">
        <v>0</v>
      </c>
      <c r="P1278">
        <v>0</v>
      </c>
      <c r="Q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 t="s">
        <v>36</v>
      </c>
      <c r="AC1278" t="s">
        <v>687</v>
      </c>
      <c r="AD1278" t="str">
        <f t="shared" si="40"/>
        <v>CP</v>
      </c>
      <c r="AE1278" t="str">
        <f>_xlfn.XLOOKUP(D1278,Mapping!A:A,Mapping!D:D,0,0)</f>
        <v>Bin</v>
      </c>
      <c r="AF1278" t="str">
        <f t="shared" si="41"/>
        <v>OLD</v>
      </c>
    </row>
    <row r="1279" spans="1:32" x14ac:dyDescent="0.2">
      <c r="A1279" t="s">
        <v>1119</v>
      </c>
      <c r="B1279" t="s">
        <v>39</v>
      </c>
      <c r="C1279">
        <v>1012703302</v>
      </c>
      <c r="D1279" t="s">
        <v>290</v>
      </c>
      <c r="E1279" t="s">
        <v>31</v>
      </c>
      <c r="F1279" s="1">
        <v>0.67291666666666672</v>
      </c>
      <c r="G1279" t="s">
        <v>32</v>
      </c>
      <c r="H1279" t="s">
        <v>33</v>
      </c>
      <c r="I1279" t="s">
        <v>41</v>
      </c>
      <c r="J1279" t="s">
        <v>58</v>
      </c>
      <c r="K1279">
        <v>40</v>
      </c>
      <c r="L1279">
        <v>0</v>
      </c>
      <c r="M1279" t="s">
        <v>63</v>
      </c>
      <c r="N1279">
        <v>150</v>
      </c>
      <c r="O1279">
        <v>0</v>
      </c>
      <c r="P1279">
        <v>0</v>
      </c>
      <c r="Q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 t="s">
        <v>36</v>
      </c>
      <c r="AC1279" t="s">
        <v>687</v>
      </c>
      <c r="AD1279" t="str">
        <f t="shared" si="40"/>
        <v>CP</v>
      </c>
      <c r="AE1279" t="str">
        <f>_xlfn.XLOOKUP(D1279,Mapping!A:A,Mapping!D:D,0,0)</f>
        <v>Bin</v>
      </c>
      <c r="AF1279" t="str">
        <f t="shared" si="41"/>
        <v>OLD</v>
      </c>
    </row>
    <row r="1280" spans="1:32" x14ac:dyDescent="0.2">
      <c r="A1280" t="s">
        <v>1119</v>
      </c>
      <c r="B1280" t="s">
        <v>39</v>
      </c>
      <c r="C1280">
        <v>1012703312</v>
      </c>
      <c r="D1280" t="s">
        <v>291</v>
      </c>
      <c r="E1280" t="s">
        <v>31</v>
      </c>
      <c r="F1280" s="1">
        <v>0.67291666666666672</v>
      </c>
      <c r="G1280" t="s">
        <v>32</v>
      </c>
      <c r="H1280" t="s">
        <v>33</v>
      </c>
      <c r="I1280" t="s">
        <v>34</v>
      </c>
      <c r="J1280" t="s">
        <v>124</v>
      </c>
      <c r="K1280">
        <v>16</v>
      </c>
      <c r="L1280">
        <v>0</v>
      </c>
      <c r="M1280" t="s">
        <v>36</v>
      </c>
      <c r="N1280" t="s">
        <v>37</v>
      </c>
      <c r="O1280">
        <v>0</v>
      </c>
      <c r="P1280">
        <v>0</v>
      </c>
      <c r="Q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 t="s">
        <v>36</v>
      </c>
      <c r="AC1280" t="s">
        <v>687</v>
      </c>
      <c r="AD1280" t="str">
        <f t="shared" si="40"/>
        <v>CP</v>
      </c>
      <c r="AE1280" t="str">
        <f>_xlfn.XLOOKUP(D1280,Mapping!A:A,Mapping!D:D,0,0)</f>
        <v>Archive</v>
      </c>
      <c r="AF1280" t="str">
        <f t="shared" si="41"/>
        <v>OLD</v>
      </c>
    </row>
    <row r="1281" spans="1:32" x14ac:dyDescent="0.2">
      <c r="A1281" t="s">
        <v>1119</v>
      </c>
      <c r="B1281" t="s">
        <v>39</v>
      </c>
      <c r="C1281">
        <v>1012703332</v>
      </c>
      <c r="D1281" t="s">
        <v>292</v>
      </c>
      <c r="E1281" t="s">
        <v>31</v>
      </c>
      <c r="F1281" s="1">
        <v>0.67291666666666672</v>
      </c>
      <c r="G1281" t="s">
        <v>32</v>
      </c>
      <c r="H1281" t="s">
        <v>33</v>
      </c>
      <c r="I1281" t="s">
        <v>41</v>
      </c>
      <c r="J1281" t="s">
        <v>62</v>
      </c>
      <c r="K1281">
        <v>530</v>
      </c>
      <c r="L1281">
        <v>0</v>
      </c>
      <c r="M1281" t="s">
        <v>36</v>
      </c>
      <c r="N1281" t="s">
        <v>37</v>
      </c>
      <c r="O1281">
        <v>0</v>
      </c>
      <c r="P1281">
        <v>0</v>
      </c>
      <c r="Q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 t="s">
        <v>36</v>
      </c>
      <c r="AC1281" t="s">
        <v>687</v>
      </c>
      <c r="AD1281" t="str">
        <f t="shared" si="40"/>
        <v>CP</v>
      </c>
      <c r="AE1281" t="str">
        <f>_xlfn.XLOOKUP(D1281,Mapping!A:A,Mapping!D:D,0,0)</f>
        <v>Bin</v>
      </c>
      <c r="AF1281" t="str">
        <f t="shared" si="41"/>
        <v>OLD</v>
      </c>
    </row>
    <row r="1282" spans="1:32" x14ac:dyDescent="0.2">
      <c r="A1282" t="s">
        <v>1119</v>
      </c>
      <c r="B1282" t="s">
        <v>39</v>
      </c>
      <c r="C1282">
        <v>1012703342</v>
      </c>
      <c r="D1282" t="s">
        <v>293</v>
      </c>
      <c r="E1282" t="s">
        <v>31</v>
      </c>
      <c r="F1282" s="1">
        <v>0.67291666666666672</v>
      </c>
      <c r="G1282" t="s">
        <v>32</v>
      </c>
      <c r="H1282" t="s">
        <v>33</v>
      </c>
      <c r="I1282" t="s">
        <v>41</v>
      </c>
      <c r="J1282" t="s">
        <v>62</v>
      </c>
      <c r="K1282">
        <v>530</v>
      </c>
      <c r="L1282">
        <v>0</v>
      </c>
      <c r="M1282" t="s">
        <v>36</v>
      </c>
      <c r="N1282" t="s">
        <v>37</v>
      </c>
      <c r="O1282">
        <v>0</v>
      </c>
      <c r="P1282">
        <v>0</v>
      </c>
      <c r="Q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 t="s">
        <v>36</v>
      </c>
      <c r="AC1282" t="s">
        <v>687</v>
      </c>
      <c r="AD1282" t="str">
        <f t="shared" si="40"/>
        <v>CP</v>
      </c>
      <c r="AE1282" t="str">
        <f>_xlfn.XLOOKUP(D1282,Mapping!A:A,Mapping!D:D,0,0)</f>
        <v>Bin</v>
      </c>
      <c r="AF1282" t="str">
        <f t="shared" si="41"/>
        <v>OLD</v>
      </c>
    </row>
    <row r="1283" spans="1:32" x14ac:dyDescent="0.2">
      <c r="A1283" t="s">
        <v>1119</v>
      </c>
      <c r="B1283" t="s">
        <v>39</v>
      </c>
      <c r="C1283">
        <v>1012703352</v>
      </c>
      <c r="D1283" t="s">
        <v>294</v>
      </c>
      <c r="E1283" t="s">
        <v>31</v>
      </c>
      <c r="F1283" s="1">
        <v>0.67291666666666672</v>
      </c>
      <c r="G1283" t="s">
        <v>32</v>
      </c>
      <c r="H1283" t="s">
        <v>33</v>
      </c>
      <c r="I1283" t="s">
        <v>34</v>
      </c>
      <c r="J1283" t="s">
        <v>84</v>
      </c>
      <c r="K1283">
        <v>212</v>
      </c>
      <c r="L1283">
        <v>0</v>
      </c>
      <c r="M1283" t="s">
        <v>36</v>
      </c>
      <c r="N1283" t="s">
        <v>37</v>
      </c>
      <c r="O1283">
        <v>0</v>
      </c>
      <c r="P1283">
        <v>0</v>
      </c>
      <c r="Q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 t="s">
        <v>36</v>
      </c>
      <c r="AC1283" t="s">
        <v>687</v>
      </c>
      <c r="AD1283" t="str">
        <f t="shared" si="40"/>
        <v>CP</v>
      </c>
      <c r="AE1283" t="str">
        <f>_xlfn.XLOOKUP(D1283,Mapping!A:A,Mapping!D:D,0,0)</f>
        <v>Bin</v>
      </c>
      <c r="AF1283" t="str">
        <f t="shared" si="41"/>
        <v>OLD</v>
      </c>
    </row>
    <row r="1284" spans="1:32" x14ac:dyDescent="0.2">
      <c r="A1284" t="s">
        <v>1119</v>
      </c>
      <c r="B1284" t="s">
        <v>39</v>
      </c>
      <c r="C1284">
        <v>1012703362</v>
      </c>
      <c r="D1284" t="s">
        <v>295</v>
      </c>
      <c r="E1284" t="s">
        <v>31</v>
      </c>
      <c r="F1284" s="1">
        <v>0.67291666666666672</v>
      </c>
      <c r="G1284" t="s">
        <v>32</v>
      </c>
      <c r="H1284" t="s">
        <v>33</v>
      </c>
      <c r="I1284" t="s">
        <v>41</v>
      </c>
      <c r="J1284" t="s">
        <v>62</v>
      </c>
      <c r="K1284">
        <v>530</v>
      </c>
      <c r="L1284">
        <v>0</v>
      </c>
      <c r="M1284" t="s">
        <v>36</v>
      </c>
      <c r="N1284" t="s">
        <v>37</v>
      </c>
      <c r="O1284">
        <v>0</v>
      </c>
      <c r="P1284">
        <v>0</v>
      </c>
      <c r="Q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 t="s">
        <v>36</v>
      </c>
      <c r="AC1284" t="s">
        <v>687</v>
      </c>
      <c r="AD1284" t="str">
        <f t="shared" si="40"/>
        <v>CP</v>
      </c>
      <c r="AE1284" t="str">
        <f>_xlfn.XLOOKUP(D1284,Mapping!A:A,Mapping!D:D,0,0)</f>
        <v>Bin</v>
      </c>
      <c r="AF1284" t="str">
        <f t="shared" si="41"/>
        <v>OLD</v>
      </c>
    </row>
    <row r="1285" spans="1:32" x14ac:dyDescent="0.2">
      <c r="A1285" t="s">
        <v>1119</v>
      </c>
      <c r="B1285" t="s">
        <v>39</v>
      </c>
      <c r="C1285">
        <v>1012703372</v>
      </c>
      <c r="D1285" t="s">
        <v>296</v>
      </c>
      <c r="E1285" t="s">
        <v>31</v>
      </c>
      <c r="F1285" s="1">
        <v>0.67291666666666672</v>
      </c>
      <c r="G1285" t="s">
        <v>32</v>
      </c>
      <c r="H1285" t="s">
        <v>33</v>
      </c>
      <c r="I1285" t="s">
        <v>34</v>
      </c>
      <c r="J1285" t="s">
        <v>84</v>
      </c>
      <c r="K1285">
        <v>212</v>
      </c>
      <c r="L1285">
        <v>0</v>
      </c>
      <c r="M1285" t="s">
        <v>36</v>
      </c>
      <c r="N1285" t="s">
        <v>37</v>
      </c>
      <c r="O1285">
        <v>0</v>
      </c>
      <c r="P1285">
        <v>0</v>
      </c>
      <c r="Q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 t="s">
        <v>36</v>
      </c>
      <c r="AC1285" t="s">
        <v>687</v>
      </c>
      <c r="AD1285" t="str">
        <f t="shared" si="40"/>
        <v>CP</v>
      </c>
      <c r="AE1285" t="str">
        <f>_xlfn.XLOOKUP(D1285,Mapping!A:A,Mapping!D:D,0,0)</f>
        <v>Bin</v>
      </c>
      <c r="AF1285" t="str">
        <f t="shared" si="41"/>
        <v>OLD</v>
      </c>
    </row>
    <row r="1286" spans="1:32" x14ac:dyDescent="0.2">
      <c r="A1286" t="s">
        <v>1119</v>
      </c>
      <c r="B1286" t="s">
        <v>39</v>
      </c>
      <c r="C1286">
        <v>1012703382</v>
      </c>
      <c r="D1286" t="s">
        <v>297</v>
      </c>
      <c r="E1286" t="s">
        <v>31</v>
      </c>
      <c r="F1286" s="1">
        <v>0.67291666666666672</v>
      </c>
      <c r="G1286" t="s">
        <v>32</v>
      </c>
      <c r="H1286" t="s">
        <v>33</v>
      </c>
      <c r="I1286" t="s">
        <v>41</v>
      </c>
      <c r="J1286" t="s">
        <v>62</v>
      </c>
      <c r="K1286">
        <v>530</v>
      </c>
      <c r="L1286">
        <v>0</v>
      </c>
      <c r="M1286" t="s">
        <v>36</v>
      </c>
      <c r="N1286" t="s">
        <v>37</v>
      </c>
      <c r="O1286">
        <v>0</v>
      </c>
      <c r="P1286">
        <v>0</v>
      </c>
      <c r="Q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 t="s">
        <v>36</v>
      </c>
      <c r="AC1286" t="s">
        <v>687</v>
      </c>
      <c r="AD1286" t="str">
        <f t="shared" si="40"/>
        <v>CP</v>
      </c>
      <c r="AE1286" t="str">
        <f>_xlfn.XLOOKUP(D1286,Mapping!A:A,Mapping!D:D,0,0)</f>
        <v>Bin</v>
      </c>
      <c r="AF1286" t="str">
        <f t="shared" si="41"/>
        <v>OLD</v>
      </c>
    </row>
    <row r="1287" spans="1:32" x14ac:dyDescent="0.2">
      <c r="A1287" t="s">
        <v>1119</v>
      </c>
      <c r="B1287" t="s">
        <v>39</v>
      </c>
      <c r="C1287">
        <v>1012703392</v>
      </c>
      <c r="D1287" t="s">
        <v>298</v>
      </c>
      <c r="E1287" t="s">
        <v>31</v>
      </c>
      <c r="F1287" s="1">
        <v>0.67291666666666672</v>
      </c>
      <c r="G1287" t="s">
        <v>32</v>
      </c>
      <c r="H1287" t="s">
        <v>33</v>
      </c>
      <c r="I1287" t="s">
        <v>41</v>
      </c>
      <c r="J1287" t="s">
        <v>62</v>
      </c>
      <c r="K1287">
        <v>530</v>
      </c>
      <c r="L1287">
        <v>0</v>
      </c>
      <c r="M1287" t="s">
        <v>63</v>
      </c>
      <c r="N1287">
        <v>150</v>
      </c>
      <c r="O1287">
        <v>0</v>
      </c>
      <c r="P1287">
        <v>0</v>
      </c>
      <c r="Q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 t="s">
        <v>36</v>
      </c>
      <c r="AC1287" t="s">
        <v>687</v>
      </c>
      <c r="AD1287" t="str">
        <f t="shared" si="40"/>
        <v>CP</v>
      </c>
      <c r="AE1287" t="str">
        <f>_xlfn.XLOOKUP(D1287,Mapping!A:A,Mapping!D:D,0,0)</f>
        <v>Bin</v>
      </c>
      <c r="AF1287" t="str">
        <f t="shared" si="41"/>
        <v>OLD</v>
      </c>
    </row>
    <row r="1288" spans="1:32" x14ac:dyDescent="0.2">
      <c r="A1288" t="s">
        <v>1119</v>
      </c>
      <c r="B1288" t="s">
        <v>39</v>
      </c>
      <c r="C1288">
        <v>1012703402</v>
      </c>
      <c r="D1288" t="s">
        <v>299</v>
      </c>
      <c r="E1288" t="s">
        <v>31</v>
      </c>
      <c r="F1288" s="1">
        <v>0.67291666666666672</v>
      </c>
      <c r="G1288" t="s">
        <v>32</v>
      </c>
      <c r="H1288" t="s">
        <v>33</v>
      </c>
      <c r="I1288" t="s">
        <v>34</v>
      </c>
      <c r="J1288" t="s">
        <v>84</v>
      </c>
      <c r="K1288">
        <v>212</v>
      </c>
      <c r="L1288">
        <v>0</v>
      </c>
      <c r="M1288" t="s">
        <v>36</v>
      </c>
      <c r="N1288" t="s">
        <v>37</v>
      </c>
      <c r="O1288">
        <v>0</v>
      </c>
      <c r="P1288">
        <v>0</v>
      </c>
      <c r="Q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 t="s">
        <v>36</v>
      </c>
      <c r="AC1288" t="s">
        <v>687</v>
      </c>
      <c r="AD1288" t="str">
        <f t="shared" si="40"/>
        <v>CP</v>
      </c>
      <c r="AE1288" t="str">
        <f>_xlfn.XLOOKUP(D1288,Mapping!A:A,Mapping!D:D,0,0)</f>
        <v>Bin</v>
      </c>
      <c r="AF1288" t="str">
        <f t="shared" si="41"/>
        <v>OLD</v>
      </c>
    </row>
    <row r="1289" spans="1:32" x14ac:dyDescent="0.2">
      <c r="A1289" t="s">
        <v>1119</v>
      </c>
      <c r="B1289" t="s">
        <v>39</v>
      </c>
      <c r="C1289">
        <v>1012703412</v>
      </c>
      <c r="D1289" t="s">
        <v>300</v>
      </c>
      <c r="E1289" t="s">
        <v>31</v>
      </c>
      <c r="F1289" s="1">
        <v>0.67291666666666672</v>
      </c>
      <c r="G1289" t="s">
        <v>32</v>
      </c>
      <c r="H1289" t="s">
        <v>33</v>
      </c>
      <c r="I1289" t="s">
        <v>41</v>
      </c>
      <c r="J1289" t="s">
        <v>62</v>
      </c>
      <c r="K1289">
        <v>530</v>
      </c>
      <c r="L1289">
        <v>0</v>
      </c>
      <c r="M1289" t="s">
        <v>36</v>
      </c>
      <c r="N1289" t="s">
        <v>37</v>
      </c>
      <c r="O1289">
        <v>0</v>
      </c>
      <c r="P1289">
        <v>0</v>
      </c>
      <c r="Q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 t="s">
        <v>36</v>
      </c>
      <c r="AC1289" t="s">
        <v>687</v>
      </c>
      <c r="AD1289" t="str">
        <f t="shared" si="40"/>
        <v>CP</v>
      </c>
      <c r="AE1289" t="str">
        <f>_xlfn.XLOOKUP(D1289,Mapping!A:A,Mapping!D:D,0,0)</f>
        <v>Bin</v>
      </c>
      <c r="AF1289" t="str">
        <f t="shared" si="41"/>
        <v>OLD</v>
      </c>
    </row>
    <row r="1290" spans="1:32" x14ac:dyDescent="0.2">
      <c r="A1290" t="s">
        <v>1119</v>
      </c>
      <c r="B1290" t="s">
        <v>39</v>
      </c>
      <c r="C1290">
        <v>1012703422</v>
      </c>
      <c r="D1290" t="s">
        <v>301</v>
      </c>
      <c r="E1290" t="s">
        <v>31</v>
      </c>
      <c r="F1290" s="1">
        <v>0.67291666666666672</v>
      </c>
      <c r="G1290" t="s">
        <v>32</v>
      </c>
      <c r="H1290" t="s">
        <v>33</v>
      </c>
      <c r="I1290" t="s">
        <v>41</v>
      </c>
      <c r="J1290" t="s">
        <v>62</v>
      </c>
      <c r="K1290">
        <v>280</v>
      </c>
      <c r="L1290">
        <v>0</v>
      </c>
      <c r="M1290" t="s">
        <v>63</v>
      </c>
      <c r="N1290">
        <v>150</v>
      </c>
      <c r="O1290">
        <v>0</v>
      </c>
      <c r="P1290">
        <v>0</v>
      </c>
      <c r="Q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 t="s">
        <v>36</v>
      </c>
      <c r="AC1290" t="s">
        <v>687</v>
      </c>
      <c r="AD1290" t="str">
        <f t="shared" si="40"/>
        <v>CP</v>
      </c>
      <c r="AE1290" t="str">
        <f>_xlfn.XLOOKUP(D1290,Mapping!A:A,Mapping!D:D,0,0)</f>
        <v>Bin</v>
      </c>
      <c r="AF1290" t="str">
        <f t="shared" si="41"/>
        <v>OLD</v>
      </c>
    </row>
    <row r="1291" spans="1:32" x14ac:dyDescent="0.2">
      <c r="A1291" t="s">
        <v>1119</v>
      </c>
      <c r="B1291" t="s">
        <v>39</v>
      </c>
      <c r="C1291">
        <v>1012703432</v>
      </c>
      <c r="D1291" t="s">
        <v>302</v>
      </c>
      <c r="E1291" t="s">
        <v>31</v>
      </c>
      <c r="F1291" s="1">
        <v>0.67291666666666672</v>
      </c>
      <c r="G1291" t="s">
        <v>32</v>
      </c>
      <c r="H1291" t="s">
        <v>33</v>
      </c>
      <c r="I1291" t="s">
        <v>34</v>
      </c>
      <c r="J1291" t="s">
        <v>84</v>
      </c>
      <c r="K1291">
        <v>404</v>
      </c>
      <c r="L1291">
        <v>0</v>
      </c>
      <c r="M1291" t="s">
        <v>36</v>
      </c>
      <c r="N1291" t="s">
        <v>37</v>
      </c>
      <c r="O1291">
        <v>0</v>
      </c>
      <c r="P1291">
        <v>0</v>
      </c>
      <c r="Q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 t="s">
        <v>36</v>
      </c>
      <c r="AC1291" t="s">
        <v>687</v>
      </c>
      <c r="AD1291" t="str">
        <f t="shared" si="40"/>
        <v>CP</v>
      </c>
      <c r="AE1291" t="str">
        <f>_xlfn.XLOOKUP(D1291,Mapping!A:A,Mapping!D:D,0,0)</f>
        <v>Tests</v>
      </c>
      <c r="AF1291" t="str">
        <f t="shared" si="41"/>
        <v>OLD</v>
      </c>
    </row>
    <row r="1292" spans="1:32" x14ac:dyDescent="0.2">
      <c r="A1292" t="s">
        <v>1119</v>
      </c>
      <c r="B1292" t="s">
        <v>39</v>
      </c>
      <c r="C1292">
        <v>1012703442</v>
      </c>
      <c r="D1292" t="s">
        <v>304</v>
      </c>
      <c r="E1292" t="s">
        <v>31</v>
      </c>
      <c r="F1292" s="1">
        <v>0.67291666666666672</v>
      </c>
      <c r="G1292" t="s">
        <v>32</v>
      </c>
      <c r="H1292" t="s">
        <v>33</v>
      </c>
      <c r="I1292" t="s">
        <v>41</v>
      </c>
      <c r="J1292" t="s">
        <v>62</v>
      </c>
      <c r="K1292">
        <v>530</v>
      </c>
      <c r="L1292">
        <v>0</v>
      </c>
      <c r="M1292" t="s">
        <v>63</v>
      </c>
      <c r="N1292">
        <v>150</v>
      </c>
      <c r="O1292">
        <v>0</v>
      </c>
      <c r="P1292">
        <v>0</v>
      </c>
      <c r="Q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 t="s">
        <v>36</v>
      </c>
      <c r="AC1292" t="s">
        <v>687</v>
      </c>
      <c r="AD1292" t="str">
        <f t="shared" si="40"/>
        <v>CP</v>
      </c>
      <c r="AE1292" t="str">
        <f>_xlfn.XLOOKUP(D1292,Mapping!A:A,Mapping!D:D,0,0)</f>
        <v>Bin</v>
      </c>
      <c r="AF1292" t="str">
        <f t="shared" si="41"/>
        <v>OLD</v>
      </c>
    </row>
    <row r="1293" spans="1:32" x14ac:dyDescent="0.2">
      <c r="A1293" t="s">
        <v>1119</v>
      </c>
      <c r="B1293" t="s">
        <v>39</v>
      </c>
      <c r="C1293">
        <v>1012703452</v>
      </c>
      <c r="D1293" t="s">
        <v>305</v>
      </c>
      <c r="E1293" t="s">
        <v>31</v>
      </c>
      <c r="F1293" s="1">
        <v>0.67291666666666672</v>
      </c>
      <c r="G1293" t="s">
        <v>32</v>
      </c>
      <c r="H1293" t="s">
        <v>33</v>
      </c>
      <c r="I1293" t="s">
        <v>41</v>
      </c>
      <c r="J1293" t="s">
        <v>62</v>
      </c>
      <c r="K1293">
        <v>530</v>
      </c>
      <c r="L1293">
        <v>0</v>
      </c>
      <c r="M1293" t="s">
        <v>63</v>
      </c>
      <c r="N1293">
        <v>150</v>
      </c>
      <c r="O1293">
        <v>0</v>
      </c>
      <c r="P1293">
        <v>0</v>
      </c>
      <c r="Q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 t="s">
        <v>36</v>
      </c>
      <c r="AC1293" t="s">
        <v>687</v>
      </c>
      <c r="AD1293" t="str">
        <f t="shared" si="40"/>
        <v>CP</v>
      </c>
      <c r="AE1293" t="str">
        <f>_xlfn.XLOOKUP(D1293,Mapping!A:A,Mapping!D:D,0,0)</f>
        <v>Bin</v>
      </c>
      <c r="AF1293" t="str">
        <f t="shared" si="41"/>
        <v>OLD</v>
      </c>
    </row>
    <row r="1294" spans="1:32" x14ac:dyDescent="0.2">
      <c r="A1294" t="s">
        <v>1119</v>
      </c>
      <c r="B1294" t="s">
        <v>39</v>
      </c>
      <c r="C1294">
        <v>1012703462</v>
      </c>
      <c r="D1294" t="s">
        <v>306</v>
      </c>
      <c r="E1294" t="s">
        <v>31</v>
      </c>
      <c r="F1294" s="1">
        <v>0.67291666666666672</v>
      </c>
      <c r="G1294" t="s">
        <v>32</v>
      </c>
      <c r="H1294" t="s">
        <v>33</v>
      </c>
      <c r="I1294" t="s">
        <v>34</v>
      </c>
      <c r="J1294" t="s">
        <v>84</v>
      </c>
      <c r="K1294">
        <v>212</v>
      </c>
      <c r="L1294">
        <v>0</v>
      </c>
      <c r="M1294" t="s">
        <v>36</v>
      </c>
      <c r="N1294" t="s">
        <v>37</v>
      </c>
      <c r="O1294">
        <v>0</v>
      </c>
      <c r="P1294">
        <v>0</v>
      </c>
      <c r="Q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 t="s">
        <v>36</v>
      </c>
      <c r="AC1294" t="s">
        <v>687</v>
      </c>
      <c r="AD1294" t="str">
        <f t="shared" si="40"/>
        <v>CP</v>
      </c>
      <c r="AE1294" t="str">
        <f>_xlfn.XLOOKUP(D1294,Mapping!A:A,Mapping!D:D,0,0)</f>
        <v>Archive</v>
      </c>
      <c r="AF1294" t="str">
        <f t="shared" si="41"/>
        <v>OLD</v>
      </c>
    </row>
    <row r="1295" spans="1:32" x14ac:dyDescent="0.2">
      <c r="A1295" t="s">
        <v>1119</v>
      </c>
      <c r="B1295" t="s">
        <v>39</v>
      </c>
      <c r="C1295">
        <v>1012703472</v>
      </c>
      <c r="D1295" t="s">
        <v>307</v>
      </c>
      <c r="E1295" t="s">
        <v>31</v>
      </c>
      <c r="F1295" s="1">
        <v>0.67291666666666672</v>
      </c>
      <c r="G1295" t="s">
        <v>32</v>
      </c>
      <c r="H1295" t="s">
        <v>33</v>
      </c>
      <c r="I1295" t="s">
        <v>41</v>
      </c>
      <c r="J1295" t="s">
        <v>62</v>
      </c>
      <c r="K1295">
        <v>280</v>
      </c>
      <c r="L1295">
        <v>0</v>
      </c>
      <c r="M1295" t="s">
        <v>63</v>
      </c>
      <c r="N1295">
        <v>150</v>
      </c>
      <c r="O1295">
        <v>0</v>
      </c>
      <c r="P1295">
        <v>0</v>
      </c>
      <c r="Q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 t="s">
        <v>36</v>
      </c>
      <c r="AC1295" t="s">
        <v>687</v>
      </c>
      <c r="AD1295" t="str">
        <f t="shared" si="40"/>
        <v>CP</v>
      </c>
      <c r="AE1295" t="str">
        <f>_xlfn.XLOOKUP(D1295,Mapping!A:A,Mapping!D:D,0,0)</f>
        <v>Bin</v>
      </c>
      <c r="AF1295" t="str">
        <f t="shared" si="41"/>
        <v>OLD</v>
      </c>
    </row>
    <row r="1296" spans="1:32" x14ac:dyDescent="0.2">
      <c r="A1296" t="s">
        <v>1119</v>
      </c>
      <c r="B1296" t="s">
        <v>39</v>
      </c>
      <c r="C1296">
        <v>1012703482</v>
      </c>
      <c r="D1296" t="s">
        <v>308</v>
      </c>
      <c r="E1296" t="s">
        <v>31</v>
      </c>
      <c r="F1296" s="1">
        <v>0.67291666666666672</v>
      </c>
      <c r="G1296" t="s">
        <v>32</v>
      </c>
      <c r="H1296" t="s">
        <v>33</v>
      </c>
      <c r="I1296" t="s">
        <v>41</v>
      </c>
      <c r="J1296" t="s">
        <v>62</v>
      </c>
      <c r="K1296">
        <v>530</v>
      </c>
      <c r="L1296">
        <v>0</v>
      </c>
      <c r="M1296" t="s">
        <v>36</v>
      </c>
      <c r="N1296" t="s">
        <v>37</v>
      </c>
      <c r="O1296">
        <v>0</v>
      </c>
      <c r="P1296">
        <v>0</v>
      </c>
      <c r="Q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 t="s">
        <v>36</v>
      </c>
      <c r="AC1296" t="s">
        <v>687</v>
      </c>
      <c r="AD1296" t="str">
        <f t="shared" si="40"/>
        <v>CP</v>
      </c>
      <c r="AE1296" t="str">
        <f>_xlfn.XLOOKUP(D1296,Mapping!A:A,Mapping!D:D,0,0)</f>
        <v>Bin</v>
      </c>
      <c r="AF1296" t="str">
        <f t="shared" si="41"/>
        <v>OLD</v>
      </c>
    </row>
    <row r="1297" spans="1:32" x14ac:dyDescent="0.2">
      <c r="A1297" t="s">
        <v>1119</v>
      </c>
      <c r="B1297" t="s">
        <v>39</v>
      </c>
      <c r="C1297">
        <v>1012703492</v>
      </c>
      <c r="D1297" t="s">
        <v>309</v>
      </c>
      <c r="E1297" t="s">
        <v>31</v>
      </c>
      <c r="F1297" s="1">
        <v>0.67291666666666672</v>
      </c>
      <c r="G1297" t="s">
        <v>32</v>
      </c>
      <c r="H1297" t="s">
        <v>33</v>
      </c>
      <c r="I1297" t="s">
        <v>34</v>
      </c>
      <c r="J1297" t="s">
        <v>84</v>
      </c>
      <c r="K1297">
        <v>112</v>
      </c>
      <c r="L1297">
        <v>0</v>
      </c>
      <c r="M1297" t="s">
        <v>36</v>
      </c>
      <c r="N1297" t="s">
        <v>37</v>
      </c>
      <c r="O1297">
        <v>0</v>
      </c>
      <c r="P1297">
        <v>0</v>
      </c>
      <c r="Q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 t="s">
        <v>36</v>
      </c>
      <c r="AC1297" t="s">
        <v>687</v>
      </c>
      <c r="AD1297" t="str">
        <f t="shared" si="40"/>
        <v>CP</v>
      </c>
      <c r="AE1297" t="str">
        <f>_xlfn.XLOOKUP(D1297,Mapping!A:A,Mapping!D:D,0,0)</f>
        <v>Bin</v>
      </c>
      <c r="AF1297" t="str">
        <f t="shared" si="41"/>
        <v>OLD</v>
      </c>
    </row>
    <row r="1298" spans="1:32" x14ac:dyDescent="0.2">
      <c r="A1298" t="s">
        <v>1119</v>
      </c>
      <c r="B1298" t="s">
        <v>39</v>
      </c>
      <c r="C1298">
        <v>1012703502</v>
      </c>
      <c r="D1298" t="s">
        <v>310</v>
      </c>
      <c r="E1298" t="s">
        <v>31</v>
      </c>
      <c r="F1298" s="1">
        <v>0.67291666666666672</v>
      </c>
      <c r="G1298" t="s">
        <v>32</v>
      </c>
      <c r="H1298" t="s">
        <v>33</v>
      </c>
      <c r="I1298" t="s">
        <v>41</v>
      </c>
      <c r="J1298" t="s">
        <v>62</v>
      </c>
      <c r="K1298">
        <v>530</v>
      </c>
      <c r="L1298">
        <v>0</v>
      </c>
      <c r="M1298" t="s">
        <v>63</v>
      </c>
      <c r="N1298">
        <v>150</v>
      </c>
      <c r="O1298">
        <v>0</v>
      </c>
      <c r="P1298">
        <v>0</v>
      </c>
      <c r="Q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 t="s">
        <v>36</v>
      </c>
      <c r="AC1298" t="s">
        <v>687</v>
      </c>
      <c r="AD1298" t="str">
        <f t="shared" si="40"/>
        <v>CP</v>
      </c>
      <c r="AE1298" t="str">
        <f>_xlfn.XLOOKUP(D1298,Mapping!A:A,Mapping!D:D,0,0)</f>
        <v>Bin</v>
      </c>
      <c r="AF1298" t="str">
        <f t="shared" si="41"/>
        <v>OLD</v>
      </c>
    </row>
    <row r="1299" spans="1:32" x14ac:dyDescent="0.2">
      <c r="A1299" t="s">
        <v>1119</v>
      </c>
      <c r="B1299" t="s">
        <v>39</v>
      </c>
      <c r="C1299">
        <v>1012703512</v>
      </c>
      <c r="D1299" t="s">
        <v>311</v>
      </c>
      <c r="E1299" t="s">
        <v>31</v>
      </c>
      <c r="F1299" s="1">
        <v>0.67291666666666672</v>
      </c>
      <c r="G1299" t="s">
        <v>32</v>
      </c>
      <c r="H1299" t="s">
        <v>33</v>
      </c>
      <c r="I1299" t="s">
        <v>41</v>
      </c>
      <c r="J1299" t="s">
        <v>62</v>
      </c>
      <c r="K1299">
        <v>530</v>
      </c>
      <c r="L1299">
        <v>0</v>
      </c>
      <c r="M1299" t="s">
        <v>36</v>
      </c>
      <c r="N1299" t="s">
        <v>37</v>
      </c>
      <c r="O1299">
        <v>0</v>
      </c>
      <c r="P1299">
        <v>0</v>
      </c>
      <c r="Q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 t="s">
        <v>36</v>
      </c>
      <c r="AC1299" t="s">
        <v>687</v>
      </c>
      <c r="AD1299" t="str">
        <f t="shared" si="40"/>
        <v>CP</v>
      </c>
      <c r="AE1299" t="str">
        <f>_xlfn.XLOOKUP(D1299,Mapping!A:A,Mapping!D:D,0,0)</f>
        <v>Bin</v>
      </c>
      <c r="AF1299" t="str">
        <f t="shared" si="41"/>
        <v>OLD</v>
      </c>
    </row>
    <row r="1300" spans="1:32" x14ac:dyDescent="0.2">
      <c r="A1300" t="s">
        <v>1119</v>
      </c>
      <c r="B1300" t="s">
        <v>39</v>
      </c>
      <c r="C1300">
        <v>1012703522</v>
      </c>
      <c r="D1300" t="s">
        <v>312</v>
      </c>
      <c r="E1300" t="s">
        <v>31</v>
      </c>
      <c r="F1300" s="1">
        <v>0.67291666666666672</v>
      </c>
      <c r="G1300" t="s">
        <v>32</v>
      </c>
      <c r="H1300" t="s">
        <v>33</v>
      </c>
      <c r="I1300" t="s">
        <v>34</v>
      </c>
      <c r="J1300" t="s">
        <v>84</v>
      </c>
      <c r="K1300">
        <v>404</v>
      </c>
      <c r="L1300">
        <v>0</v>
      </c>
      <c r="M1300" t="s">
        <v>36</v>
      </c>
      <c r="N1300" t="s">
        <v>37</v>
      </c>
      <c r="O1300">
        <v>0</v>
      </c>
      <c r="P1300">
        <v>0</v>
      </c>
      <c r="Q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 t="s">
        <v>36</v>
      </c>
      <c r="AC1300" t="s">
        <v>687</v>
      </c>
      <c r="AD1300" t="str">
        <f t="shared" si="40"/>
        <v>CP</v>
      </c>
      <c r="AE1300" t="str">
        <f>_xlfn.XLOOKUP(D1300,Mapping!A:A,Mapping!D:D,0,0)</f>
        <v>Bin</v>
      </c>
      <c r="AF1300" t="str">
        <f t="shared" si="41"/>
        <v>OLD</v>
      </c>
    </row>
    <row r="1301" spans="1:32" x14ac:dyDescent="0.2">
      <c r="A1301" t="s">
        <v>1119</v>
      </c>
      <c r="B1301" t="s">
        <v>39</v>
      </c>
      <c r="C1301">
        <v>1012703532</v>
      </c>
      <c r="D1301" t="s">
        <v>313</v>
      </c>
      <c r="E1301" t="s">
        <v>31</v>
      </c>
      <c r="F1301" s="1">
        <v>0.67291666666666672</v>
      </c>
      <c r="G1301" t="s">
        <v>32</v>
      </c>
      <c r="H1301" t="s">
        <v>33</v>
      </c>
      <c r="I1301" t="s">
        <v>41</v>
      </c>
      <c r="J1301" t="s">
        <v>62</v>
      </c>
      <c r="K1301">
        <v>530</v>
      </c>
      <c r="L1301">
        <v>0</v>
      </c>
      <c r="M1301" t="s">
        <v>36</v>
      </c>
      <c r="N1301" t="s">
        <v>37</v>
      </c>
      <c r="O1301">
        <v>0</v>
      </c>
      <c r="P1301">
        <v>0</v>
      </c>
      <c r="Q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 t="s">
        <v>36</v>
      </c>
      <c r="AC1301" t="s">
        <v>687</v>
      </c>
      <c r="AD1301" t="str">
        <f t="shared" ref="AD1301:AD1364" si="42">LEFT(D1301,2)</f>
        <v>CP</v>
      </c>
      <c r="AE1301" t="str">
        <f>_xlfn.XLOOKUP(D1301,Mapping!A:A,Mapping!D:D,0,0)</f>
        <v>Bin</v>
      </c>
      <c r="AF1301" t="str">
        <f t="shared" ref="AF1301:AF1364" si="43">IFERROR(IF(SEARCH("_TJ",D1301)&gt;0,"TJ",NA()),IFERROR(IF(SEARCH("_JB",D1301)&gt;0,"JB",NA()),"OLD"))</f>
        <v>OLD</v>
      </c>
    </row>
    <row r="1302" spans="1:32" x14ac:dyDescent="0.2">
      <c r="A1302" t="s">
        <v>1119</v>
      </c>
      <c r="B1302" t="s">
        <v>39</v>
      </c>
      <c r="C1302">
        <v>1012703542</v>
      </c>
      <c r="D1302" t="s">
        <v>314</v>
      </c>
      <c r="E1302" t="s">
        <v>31</v>
      </c>
      <c r="F1302" s="1">
        <v>0.67291666666666672</v>
      </c>
      <c r="G1302" t="s">
        <v>32</v>
      </c>
      <c r="H1302" t="s">
        <v>33</v>
      </c>
      <c r="I1302" t="s">
        <v>41</v>
      </c>
      <c r="J1302" t="s">
        <v>62</v>
      </c>
      <c r="K1302">
        <v>530</v>
      </c>
      <c r="L1302">
        <v>0</v>
      </c>
      <c r="M1302" t="s">
        <v>36</v>
      </c>
      <c r="N1302" t="s">
        <v>37</v>
      </c>
      <c r="O1302">
        <v>0</v>
      </c>
      <c r="P1302">
        <v>0</v>
      </c>
      <c r="Q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 t="s">
        <v>36</v>
      </c>
      <c r="AC1302" t="s">
        <v>687</v>
      </c>
      <c r="AD1302" t="str">
        <f t="shared" si="42"/>
        <v>CP</v>
      </c>
      <c r="AE1302" t="str">
        <f>_xlfn.XLOOKUP(D1302,Mapping!A:A,Mapping!D:D,0,0)</f>
        <v>Bin</v>
      </c>
      <c r="AF1302" t="str">
        <f t="shared" si="43"/>
        <v>OLD</v>
      </c>
    </row>
    <row r="1303" spans="1:32" x14ac:dyDescent="0.2">
      <c r="A1303" t="s">
        <v>1119</v>
      </c>
      <c r="B1303" t="s">
        <v>39</v>
      </c>
      <c r="C1303">
        <v>1012703552</v>
      </c>
      <c r="D1303" t="s">
        <v>315</v>
      </c>
      <c r="E1303" t="s">
        <v>31</v>
      </c>
      <c r="F1303" s="1">
        <v>0.67291666666666672</v>
      </c>
      <c r="G1303" t="s">
        <v>32</v>
      </c>
      <c r="H1303" t="s">
        <v>33</v>
      </c>
      <c r="I1303" t="s">
        <v>34</v>
      </c>
      <c r="J1303" t="s">
        <v>84</v>
      </c>
      <c r="K1303">
        <v>112</v>
      </c>
      <c r="L1303">
        <v>0</v>
      </c>
      <c r="M1303" t="s">
        <v>36</v>
      </c>
      <c r="N1303" t="s">
        <v>37</v>
      </c>
      <c r="O1303">
        <v>0</v>
      </c>
      <c r="P1303">
        <v>0</v>
      </c>
      <c r="Q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 t="s">
        <v>36</v>
      </c>
      <c r="AC1303" t="s">
        <v>687</v>
      </c>
      <c r="AD1303" t="str">
        <f t="shared" si="42"/>
        <v>CP</v>
      </c>
      <c r="AE1303" t="str">
        <f>_xlfn.XLOOKUP(D1303,Mapping!A:A,Mapping!D:D,0,0)</f>
        <v>Bin</v>
      </c>
      <c r="AF1303" t="str">
        <f t="shared" si="43"/>
        <v>OLD</v>
      </c>
    </row>
    <row r="1304" spans="1:32" x14ac:dyDescent="0.2">
      <c r="A1304" t="s">
        <v>1119</v>
      </c>
      <c r="B1304" t="s">
        <v>39</v>
      </c>
      <c r="C1304">
        <v>1012703562</v>
      </c>
      <c r="D1304" t="s">
        <v>316</v>
      </c>
      <c r="E1304" t="s">
        <v>31</v>
      </c>
      <c r="F1304" s="1">
        <v>0.67291666666666672</v>
      </c>
      <c r="G1304" t="s">
        <v>32</v>
      </c>
      <c r="H1304" t="s">
        <v>33</v>
      </c>
      <c r="I1304" t="s">
        <v>41</v>
      </c>
      <c r="J1304" t="s">
        <v>62</v>
      </c>
      <c r="K1304">
        <v>530</v>
      </c>
      <c r="L1304">
        <v>0</v>
      </c>
      <c r="M1304" t="s">
        <v>36</v>
      </c>
      <c r="N1304" t="s">
        <v>37</v>
      </c>
      <c r="O1304">
        <v>0</v>
      </c>
      <c r="P1304">
        <v>0</v>
      </c>
      <c r="Q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 t="s">
        <v>36</v>
      </c>
      <c r="AC1304" t="s">
        <v>687</v>
      </c>
      <c r="AD1304" t="str">
        <f t="shared" si="42"/>
        <v>CP</v>
      </c>
      <c r="AE1304" t="str">
        <f>_xlfn.XLOOKUP(D1304,Mapping!A:A,Mapping!D:D,0,0)</f>
        <v>Bin</v>
      </c>
      <c r="AF1304" t="str">
        <f t="shared" si="43"/>
        <v>OLD</v>
      </c>
    </row>
    <row r="1305" spans="1:32" x14ac:dyDescent="0.2">
      <c r="A1305" t="s">
        <v>1119</v>
      </c>
      <c r="B1305" t="s">
        <v>39</v>
      </c>
      <c r="C1305">
        <v>1012703572</v>
      </c>
      <c r="D1305" t="s">
        <v>317</v>
      </c>
      <c r="E1305" t="s">
        <v>31</v>
      </c>
      <c r="F1305" s="1">
        <v>0.67291666666666672</v>
      </c>
      <c r="G1305" t="s">
        <v>32</v>
      </c>
      <c r="H1305" t="s">
        <v>33</v>
      </c>
      <c r="I1305" t="s">
        <v>41</v>
      </c>
      <c r="J1305" t="s">
        <v>62</v>
      </c>
      <c r="K1305">
        <v>530</v>
      </c>
      <c r="L1305">
        <v>0</v>
      </c>
      <c r="M1305" t="s">
        <v>36</v>
      </c>
      <c r="N1305" t="s">
        <v>37</v>
      </c>
      <c r="O1305">
        <v>0</v>
      </c>
      <c r="P1305">
        <v>0</v>
      </c>
      <c r="Q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 t="s">
        <v>36</v>
      </c>
      <c r="AC1305" t="s">
        <v>687</v>
      </c>
      <c r="AD1305" t="str">
        <f t="shared" si="42"/>
        <v>CP</v>
      </c>
      <c r="AE1305" t="str">
        <f>_xlfn.XLOOKUP(D1305,Mapping!A:A,Mapping!D:D,0,0)</f>
        <v>Bin</v>
      </c>
      <c r="AF1305" t="str">
        <f t="shared" si="43"/>
        <v>OLD</v>
      </c>
    </row>
    <row r="1306" spans="1:32" x14ac:dyDescent="0.2">
      <c r="A1306" t="s">
        <v>1119</v>
      </c>
      <c r="B1306" t="s">
        <v>39</v>
      </c>
      <c r="C1306">
        <v>1012703582</v>
      </c>
      <c r="D1306" t="s">
        <v>318</v>
      </c>
      <c r="E1306" t="s">
        <v>31</v>
      </c>
      <c r="F1306" s="1">
        <v>0.67291666666666672</v>
      </c>
      <c r="G1306" t="s">
        <v>32</v>
      </c>
      <c r="H1306" t="s">
        <v>33</v>
      </c>
      <c r="I1306" t="s">
        <v>34</v>
      </c>
      <c r="J1306" t="s">
        <v>84</v>
      </c>
      <c r="K1306">
        <v>212</v>
      </c>
      <c r="L1306">
        <v>0</v>
      </c>
      <c r="M1306" t="s">
        <v>36</v>
      </c>
      <c r="N1306" t="s">
        <v>37</v>
      </c>
      <c r="O1306">
        <v>0</v>
      </c>
      <c r="P1306">
        <v>0</v>
      </c>
      <c r="Q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 t="s">
        <v>36</v>
      </c>
      <c r="AC1306" t="s">
        <v>687</v>
      </c>
      <c r="AD1306" t="str">
        <f t="shared" si="42"/>
        <v>CP</v>
      </c>
      <c r="AE1306" t="str">
        <f>_xlfn.XLOOKUP(D1306,Mapping!A:A,Mapping!D:D,0,0)</f>
        <v>Bin</v>
      </c>
      <c r="AF1306" t="str">
        <f t="shared" si="43"/>
        <v>OLD</v>
      </c>
    </row>
    <row r="1307" spans="1:32" x14ac:dyDescent="0.2">
      <c r="A1307" t="s">
        <v>1119</v>
      </c>
      <c r="B1307" t="s">
        <v>39</v>
      </c>
      <c r="C1307">
        <v>1012703592</v>
      </c>
      <c r="D1307" t="s">
        <v>319</v>
      </c>
      <c r="E1307" t="s">
        <v>31</v>
      </c>
      <c r="F1307" s="1">
        <v>0.67291666666666672</v>
      </c>
      <c r="G1307" t="s">
        <v>32</v>
      </c>
      <c r="H1307" t="s">
        <v>33</v>
      </c>
      <c r="I1307" t="s">
        <v>41</v>
      </c>
      <c r="J1307" t="s">
        <v>62</v>
      </c>
      <c r="K1307">
        <v>530</v>
      </c>
      <c r="L1307">
        <v>0</v>
      </c>
      <c r="M1307" t="s">
        <v>36</v>
      </c>
      <c r="N1307" t="s">
        <v>37</v>
      </c>
      <c r="O1307">
        <v>0</v>
      </c>
      <c r="P1307">
        <v>0</v>
      </c>
      <c r="Q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 t="s">
        <v>36</v>
      </c>
      <c r="AC1307" t="s">
        <v>687</v>
      </c>
      <c r="AD1307" t="str">
        <f t="shared" si="42"/>
        <v>CP</v>
      </c>
      <c r="AE1307" t="str">
        <f>_xlfn.XLOOKUP(D1307,Mapping!A:A,Mapping!D:D,0,0)</f>
        <v>Bin</v>
      </c>
      <c r="AF1307" t="str">
        <f t="shared" si="43"/>
        <v>OLD</v>
      </c>
    </row>
    <row r="1308" spans="1:32" x14ac:dyDescent="0.2">
      <c r="A1308" t="s">
        <v>1119</v>
      </c>
      <c r="B1308" t="s">
        <v>39</v>
      </c>
      <c r="C1308">
        <v>1012703602</v>
      </c>
      <c r="D1308" t="s">
        <v>320</v>
      </c>
      <c r="E1308" t="s">
        <v>31</v>
      </c>
      <c r="F1308" s="1">
        <v>0.67291666666666672</v>
      </c>
      <c r="G1308" t="s">
        <v>32</v>
      </c>
      <c r="H1308" t="s">
        <v>33</v>
      </c>
      <c r="I1308" t="s">
        <v>41</v>
      </c>
      <c r="J1308" t="s">
        <v>62</v>
      </c>
      <c r="K1308">
        <v>530</v>
      </c>
      <c r="L1308">
        <v>0</v>
      </c>
      <c r="M1308" t="s">
        <v>36</v>
      </c>
      <c r="N1308" t="s">
        <v>37</v>
      </c>
      <c r="O1308">
        <v>0</v>
      </c>
      <c r="P1308">
        <v>0</v>
      </c>
      <c r="Q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 t="s">
        <v>36</v>
      </c>
      <c r="AC1308" t="s">
        <v>687</v>
      </c>
      <c r="AD1308" t="str">
        <f t="shared" si="42"/>
        <v>CP</v>
      </c>
      <c r="AE1308" t="str">
        <f>_xlfn.XLOOKUP(D1308,Mapping!A:A,Mapping!D:D,0,0)</f>
        <v>Bin</v>
      </c>
      <c r="AF1308" t="str">
        <f t="shared" si="43"/>
        <v>OLD</v>
      </c>
    </row>
    <row r="1309" spans="1:32" x14ac:dyDescent="0.2">
      <c r="A1309" t="s">
        <v>1119</v>
      </c>
      <c r="B1309" t="s">
        <v>39</v>
      </c>
      <c r="C1309">
        <v>1012703612</v>
      </c>
      <c r="D1309" t="s">
        <v>321</v>
      </c>
      <c r="E1309" t="s">
        <v>31</v>
      </c>
      <c r="F1309" s="1">
        <v>0.67291666666666672</v>
      </c>
      <c r="G1309" t="s">
        <v>32</v>
      </c>
      <c r="H1309" t="s">
        <v>33</v>
      </c>
      <c r="I1309" t="s">
        <v>34</v>
      </c>
      <c r="J1309" t="s">
        <v>84</v>
      </c>
      <c r="K1309">
        <v>212</v>
      </c>
      <c r="L1309">
        <v>0</v>
      </c>
      <c r="M1309" t="s">
        <v>63</v>
      </c>
      <c r="N1309">
        <v>150</v>
      </c>
      <c r="O1309">
        <v>0</v>
      </c>
      <c r="P1309">
        <v>0</v>
      </c>
      <c r="Q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 t="s">
        <v>36</v>
      </c>
      <c r="AC1309" t="s">
        <v>687</v>
      </c>
      <c r="AD1309" t="str">
        <f t="shared" si="42"/>
        <v>CP</v>
      </c>
      <c r="AE1309" t="str">
        <f>_xlfn.XLOOKUP(D1309,Mapping!A:A,Mapping!D:D,0,0)</f>
        <v>Bin</v>
      </c>
      <c r="AF1309" t="str">
        <f t="shared" si="43"/>
        <v>OLD</v>
      </c>
    </row>
    <row r="1310" spans="1:32" x14ac:dyDescent="0.2">
      <c r="A1310" t="s">
        <v>1119</v>
      </c>
      <c r="B1310" t="s">
        <v>39</v>
      </c>
      <c r="C1310">
        <v>1012703622</v>
      </c>
      <c r="D1310" t="s">
        <v>322</v>
      </c>
      <c r="E1310" t="s">
        <v>31</v>
      </c>
      <c r="F1310" s="1">
        <v>0.67291666666666672</v>
      </c>
      <c r="G1310" t="s">
        <v>32</v>
      </c>
      <c r="H1310" t="s">
        <v>33</v>
      </c>
      <c r="I1310" t="s">
        <v>41</v>
      </c>
      <c r="J1310" t="s">
        <v>62</v>
      </c>
      <c r="K1310">
        <v>280</v>
      </c>
      <c r="L1310">
        <v>0</v>
      </c>
      <c r="M1310" t="s">
        <v>36</v>
      </c>
      <c r="N1310" t="s">
        <v>37</v>
      </c>
      <c r="O1310">
        <v>0</v>
      </c>
      <c r="P1310">
        <v>0</v>
      </c>
      <c r="Q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 t="s">
        <v>36</v>
      </c>
      <c r="AC1310" t="s">
        <v>687</v>
      </c>
      <c r="AD1310" t="str">
        <f t="shared" si="42"/>
        <v>CP</v>
      </c>
      <c r="AE1310" t="str">
        <f>_xlfn.XLOOKUP(D1310,Mapping!A:A,Mapping!D:D,0,0)</f>
        <v>Bin</v>
      </c>
      <c r="AF1310" t="str">
        <f t="shared" si="43"/>
        <v>OLD</v>
      </c>
    </row>
    <row r="1311" spans="1:32" x14ac:dyDescent="0.2">
      <c r="A1311" t="s">
        <v>1119</v>
      </c>
      <c r="B1311" t="s">
        <v>39</v>
      </c>
      <c r="C1311">
        <v>1012703632</v>
      </c>
      <c r="D1311" t="s">
        <v>323</v>
      </c>
      <c r="E1311" t="s">
        <v>31</v>
      </c>
      <c r="F1311" s="1">
        <v>0.67291666666666672</v>
      </c>
      <c r="G1311" t="s">
        <v>32</v>
      </c>
      <c r="H1311" t="s">
        <v>33</v>
      </c>
      <c r="I1311" t="s">
        <v>41</v>
      </c>
      <c r="J1311" t="s">
        <v>62</v>
      </c>
      <c r="K1311">
        <v>530</v>
      </c>
      <c r="L1311">
        <v>0</v>
      </c>
      <c r="M1311" t="s">
        <v>36</v>
      </c>
      <c r="N1311" t="s">
        <v>37</v>
      </c>
      <c r="O1311">
        <v>0</v>
      </c>
      <c r="P1311">
        <v>0</v>
      </c>
      <c r="Q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 t="s">
        <v>36</v>
      </c>
      <c r="AC1311" t="s">
        <v>687</v>
      </c>
      <c r="AD1311" t="str">
        <f t="shared" si="42"/>
        <v>CP</v>
      </c>
      <c r="AE1311" t="str">
        <f>_xlfn.XLOOKUP(D1311,Mapping!A:A,Mapping!D:D,0,0)</f>
        <v>Bin</v>
      </c>
      <c r="AF1311" t="str">
        <f t="shared" si="43"/>
        <v>OLD</v>
      </c>
    </row>
    <row r="1312" spans="1:32" x14ac:dyDescent="0.2">
      <c r="A1312" t="s">
        <v>1119</v>
      </c>
      <c r="B1312" t="s">
        <v>39</v>
      </c>
      <c r="C1312">
        <v>1012703642</v>
      </c>
      <c r="D1312" t="s">
        <v>324</v>
      </c>
      <c r="E1312" t="s">
        <v>31</v>
      </c>
      <c r="F1312" s="1">
        <v>0.67291666666666672</v>
      </c>
      <c r="G1312" t="s">
        <v>32</v>
      </c>
      <c r="H1312" t="s">
        <v>33</v>
      </c>
      <c r="I1312" t="s">
        <v>34</v>
      </c>
      <c r="J1312" t="s">
        <v>84</v>
      </c>
      <c r="K1312">
        <v>404</v>
      </c>
      <c r="L1312">
        <v>0</v>
      </c>
      <c r="M1312" t="s">
        <v>36</v>
      </c>
      <c r="N1312" t="s">
        <v>37</v>
      </c>
      <c r="O1312">
        <v>0</v>
      </c>
      <c r="P1312">
        <v>0</v>
      </c>
      <c r="Q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 t="s">
        <v>36</v>
      </c>
      <c r="AC1312" t="s">
        <v>687</v>
      </c>
      <c r="AD1312" t="str">
        <f t="shared" si="42"/>
        <v>CP</v>
      </c>
      <c r="AE1312" t="str">
        <f>_xlfn.XLOOKUP(D1312,Mapping!A:A,Mapping!D:D,0,0)</f>
        <v>Bin</v>
      </c>
      <c r="AF1312" t="str">
        <f t="shared" si="43"/>
        <v>OLD</v>
      </c>
    </row>
    <row r="1313" spans="1:32" x14ac:dyDescent="0.2">
      <c r="A1313" t="s">
        <v>1119</v>
      </c>
      <c r="B1313" t="s">
        <v>39</v>
      </c>
      <c r="C1313">
        <v>1012703652</v>
      </c>
      <c r="D1313" t="s">
        <v>325</v>
      </c>
      <c r="E1313" t="s">
        <v>31</v>
      </c>
      <c r="F1313" s="1">
        <v>0.67291666666666672</v>
      </c>
      <c r="G1313" t="s">
        <v>32</v>
      </c>
      <c r="H1313" t="s">
        <v>33</v>
      </c>
      <c r="I1313" t="s">
        <v>41</v>
      </c>
      <c r="J1313" t="s">
        <v>62</v>
      </c>
      <c r="K1313">
        <v>530</v>
      </c>
      <c r="L1313">
        <v>0</v>
      </c>
      <c r="M1313" t="s">
        <v>36</v>
      </c>
      <c r="N1313" t="s">
        <v>37</v>
      </c>
      <c r="O1313">
        <v>0</v>
      </c>
      <c r="P1313">
        <v>0</v>
      </c>
      <c r="Q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 t="s">
        <v>36</v>
      </c>
      <c r="AC1313" t="s">
        <v>687</v>
      </c>
      <c r="AD1313" t="str">
        <f t="shared" si="42"/>
        <v>CP</v>
      </c>
      <c r="AE1313" t="str">
        <f>_xlfn.XLOOKUP(D1313,Mapping!A:A,Mapping!D:D,0,0)</f>
        <v>Bin</v>
      </c>
      <c r="AF1313" t="str">
        <f t="shared" si="43"/>
        <v>OLD</v>
      </c>
    </row>
    <row r="1314" spans="1:32" x14ac:dyDescent="0.2">
      <c r="A1314" t="s">
        <v>1119</v>
      </c>
      <c r="B1314" t="s">
        <v>39</v>
      </c>
      <c r="C1314">
        <v>1012703662</v>
      </c>
      <c r="D1314" t="s">
        <v>326</v>
      </c>
      <c r="E1314" t="s">
        <v>31</v>
      </c>
      <c r="F1314" s="1">
        <v>0.67291666666666672</v>
      </c>
      <c r="G1314" t="s">
        <v>32</v>
      </c>
      <c r="H1314" t="s">
        <v>33</v>
      </c>
      <c r="I1314" t="s">
        <v>41</v>
      </c>
      <c r="J1314" t="s">
        <v>62</v>
      </c>
      <c r="K1314">
        <v>1010</v>
      </c>
      <c r="L1314">
        <v>0</v>
      </c>
      <c r="M1314" t="s">
        <v>63</v>
      </c>
      <c r="N1314">
        <v>150</v>
      </c>
      <c r="O1314">
        <v>0</v>
      </c>
      <c r="P1314">
        <v>0</v>
      </c>
      <c r="Q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 t="s">
        <v>36</v>
      </c>
      <c r="AC1314" t="s">
        <v>687</v>
      </c>
      <c r="AD1314" t="str">
        <f t="shared" si="42"/>
        <v>CP</v>
      </c>
      <c r="AE1314" t="str">
        <f>_xlfn.XLOOKUP(D1314,Mapping!A:A,Mapping!D:D,0,0)</f>
        <v>Bin</v>
      </c>
      <c r="AF1314" t="str">
        <f t="shared" si="43"/>
        <v>OLD</v>
      </c>
    </row>
    <row r="1315" spans="1:32" x14ac:dyDescent="0.2">
      <c r="A1315" t="s">
        <v>1119</v>
      </c>
      <c r="B1315" t="s">
        <v>39</v>
      </c>
      <c r="C1315">
        <v>1012703672</v>
      </c>
      <c r="D1315" t="s">
        <v>327</v>
      </c>
      <c r="E1315" t="s">
        <v>31</v>
      </c>
      <c r="F1315" s="1">
        <v>0.67291666666666672</v>
      </c>
      <c r="G1315" t="s">
        <v>32</v>
      </c>
      <c r="H1315" t="s">
        <v>33</v>
      </c>
      <c r="I1315" t="s">
        <v>34</v>
      </c>
      <c r="J1315" t="s">
        <v>84</v>
      </c>
      <c r="K1315">
        <v>112</v>
      </c>
      <c r="L1315">
        <v>0</v>
      </c>
      <c r="M1315" t="s">
        <v>36</v>
      </c>
      <c r="N1315" t="s">
        <v>37</v>
      </c>
      <c r="O1315">
        <v>0</v>
      </c>
      <c r="P1315">
        <v>0</v>
      </c>
      <c r="Q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 t="s">
        <v>36</v>
      </c>
      <c r="AC1315" t="s">
        <v>687</v>
      </c>
      <c r="AD1315" t="str">
        <f t="shared" si="42"/>
        <v>CP</v>
      </c>
      <c r="AE1315" t="str">
        <f>_xlfn.XLOOKUP(D1315,Mapping!A:A,Mapping!D:D,0,0)</f>
        <v>Bin</v>
      </c>
      <c r="AF1315" t="str">
        <f t="shared" si="43"/>
        <v>OLD</v>
      </c>
    </row>
    <row r="1316" spans="1:32" x14ac:dyDescent="0.2">
      <c r="A1316" t="s">
        <v>1119</v>
      </c>
      <c r="B1316" t="s">
        <v>39</v>
      </c>
      <c r="C1316">
        <v>1012703682</v>
      </c>
      <c r="D1316" t="s">
        <v>328</v>
      </c>
      <c r="E1316" t="s">
        <v>31</v>
      </c>
      <c r="F1316" s="1">
        <v>0.67291666666666672</v>
      </c>
      <c r="G1316" t="s">
        <v>32</v>
      </c>
      <c r="H1316" t="s">
        <v>33</v>
      </c>
      <c r="I1316" t="s">
        <v>41</v>
      </c>
      <c r="J1316" t="s">
        <v>62</v>
      </c>
      <c r="K1316">
        <v>530</v>
      </c>
      <c r="L1316">
        <v>0</v>
      </c>
      <c r="M1316" t="s">
        <v>63</v>
      </c>
      <c r="N1316">
        <v>150</v>
      </c>
      <c r="O1316">
        <v>0</v>
      </c>
      <c r="P1316">
        <v>0</v>
      </c>
      <c r="Q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 t="s">
        <v>36</v>
      </c>
      <c r="AC1316" t="s">
        <v>687</v>
      </c>
      <c r="AD1316" t="str">
        <f t="shared" si="42"/>
        <v>CP</v>
      </c>
      <c r="AE1316" t="str">
        <f>_xlfn.XLOOKUP(D1316,Mapping!A:A,Mapping!D:D,0,0)</f>
        <v>Bin</v>
      </c>
      <c r="AF1316" t="str">
        <f t="shared" si="43"/>
        <v>OLD</v>
      </c>
    </row>
    <row r="1317" spans="1:32" x14ac:dyDescent="0.2">
      <c r="A1317" t="s">
        <v>1119</v>
      </c>
      <c r="B1317" t="s">
        <v>39</v>
      </c>
      <c r="C1317">
        <v>1012707882</v>
      </c>
      <c r="D1317" t="s">
        <v>254</v>
      </c>
      <c r="E1317" t="s">
        <v>31</v>
      </c>
      <c r="F1317" s="1">
        <v>0.67291666666666672</v>
      </c>
      <c r="G1317" t="s">
        <v>32</v>
      </c>
      <c r="H1317" t="s">
        <v>33</v>
      </c>
      <c r="I1317" t="s">
        <v>41</v>
      </c>
      <c r="J1317" t="s">
        <v>84</v>
      </c>
      <c r="K1317">
        <v>298</v>
      </c>
      <c r="L1317">
        <v>0</v>
      </c>
      <c r="M1317" t="s">
        <v>63</v>
      </c>
      <c r="N1317">
        <v>250</v>
      </c>
      <c r="O1317">
        <v>0</v>
      </c>
      <c r="P1317">
        <v>0</v>
      </c>
      <c r="Q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 t="s">
        <v>36</v>
      </c>
      <c r="AC1317" t="s">
        <v>687</v>
      </c>
      <c r="AD1317" t="str">
        <f t="shared" si="42"/>
        <v>CP</v>
      </c>
      <c r="AE1317" t="str">
        <f>_xlfn.XLOOKUP(D1317,Mapping!A:A,Mapping!D:D,0,0)</f>
        <v>Bin</v>
      </c>
      <c r="AF1317" t="str">
        <f t="shared" si="43"/>
        <v>OLD</v>
      </c>
    </row>
    <row r="1318" spans="1:32" x14ac:dyDescent="0.2">
      <c r="A1318" t="s">
        <v>1119</v>
      </c>
      <c r="B1318" t="s">
        <v>39</v>
      </c>
      <c r="C1318">
        <v>1012707892</v>
      </c>
      <c r="D1318" t="s">
        <v>329</v>
      </c>
      <c r="E1318" t="s">
        <v>31</v>
      </c>
      <c r="F1318" s="1">
        <v>0.67291666666666672</v>
      </c>
      <c r="G1318" t="s">
        <v>32</v>
      </c>
      <c r="H1318" t="s">
        <v>33</v>
      </c>
      <c r="I1318" t="s">
        <v>41</v>
      </c>
      <c r="J1318" t="s">
        <v>84</v>
      </c>
      <c r="K1318">
        <v>280</v>
      </c>
      <c r="L1318">
        <v>0</v>
      </c>
      <c r="M1318" t="s">
        <v>36</v>
      </c>
      <c r="N1318" t="s">
        <v>37</v>
      </c>
      <c r="O1318">
        <v>0</v>
      </c>
      <c r="P1318">
        <v>0</v>
      </c>
      <c r="Q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 t="s">
        <v>36</v>
      </c>
      <c r="AC1318" t="s">
        <v>687</v>
      </c>
      <c r="AD1318" t="str">
        <f t="shared" si="42"/>
        <v>CP</v>
      </c>
      <c r="AE1318" t="str">
        <f>_xlfn.XLOOKUP(D1318,Mapping!A:A,Mapping!D:D,0,0)</f>
        <v>Bin</v>
      </c>
      <c r="AF1318" t="str">
        <f t="shared" si="43"/>
        <v>OLD</v>
      </c>
    </row>
    <row r="1319" spans="1:32" x14ac:dyDescent="0.2">
      <c r="A1319" t="s">
        <v>1119</v>
      </c>
      <c r="B1319" t="s">
        <v>39</v>
      </c>
      <c r="C1319">
        <v>1012707912</v>
      </c>
      <c r="D1319" t="s">
        <v>330</v>
      </c>
      <c r="E1319" t="s">
        <v>31</v>
      </c>
      <c r="F1319" s="1">
        <v>0.67291666666666672</v>
      </c>
      <c r="G1319" t="s">
        <v>32</v>
      </c>
      <c r="H1319" t="s">
        <v>33</v>
      </c>
      <c r="I1319" t="s">
        <v>41</v>
      </c>
      <c r="J1319" t="s">
        <v>84</v>
      </c>
      <c r="K1319">
        <v>280</v>
      </c>
      <c r="L1319">
        <v>0</v>
      </c>
      <c r="M1319" t="s">
        <v>36</v>
      </c>
      <c r="N1319" t="s">
        <v>37</v>
      </c>
      <c r="O1319">
        <v>0</v>
      </c>
      <c r="P1319">
        <v>0</v>
      </c>
      <c r="Q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 t="s">
        <v>36</v>
      </c>
      <c r="AC1319" t="s">
        <v>687</v>
      </c>
      <c r="AD1319" t="str">
        <f t="shared" si="42"/>
        <v>CP</v>
      </c>
      <c r="AE1319" t="str">
        <f>_xlfn.XLOOKUP(D1319,Mapping!A:A,Mapping!D:D,0,0)</f>
        <v>Bin</v>
      </c>
      <c r="AF1319" t="str">
        <f t="shared" si="43"/>
        <v>OLD</v>
      </c>
    </row>
    <row r="1320" spans="1:32" x14ac:dyDescent="0.2">
      <c r="A1320" t="s">
        <v>1119</v>
      </c>
      <c r="B1320" t="s">
        <v>39</v>
      </c>
      <c r="C1320">
        <v>1012707922</v>
      </c>
      <c r="D1320" t="s">
        <v>331</v>
      </c>
      <c r="E1320" t="s">
        <v>31</v>
      </c>
      <c r="F1320" s="1">
        <v>0.67291666666666672</v>
      </c>
      <c r="G1320" t="s">
        <v>32</v>
      </c>
      <c r="H1320" t="s">
        <v>33</v>
      </c>
      <c r="I1320" t="s">
        <v>41</v>
      </c>
      <c r="J1320" t="s">
        <v>84</v>
      </c>
      <c r="K1320">
        <v>598</v>
      </c>
      <c r="L1320">
        <v>0</v>
      </c>
      <c r="M1320" t="s">
        <v>63</v>
      </c>
      <c r="N1320">
        <v>250</v>
      </c>
      <c r="O1320">
        <v>0</v>
      </c>
      <c r="P1320">
        <v>0</v>
      </c>
      <c r="Q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 t="s">
        <v>36</v>
      </c>
      <c r="AC1320" t="s">
        <v>687</v>
      </c>
      <c r="AD1320" t="str">
        <f t="shared" si="42"/>
        <v>CP</v>
      </c>
      <c r="AE1320" t="str">
        <f>_xlfn.XLOOKUP(D1320,Mapping!A:A,Mapping!D:D,0,0)</f>
        <v>Bin</v>
      </c>
      <c r="AF1320" t="str">
        <f t="shared" si="43"/>
        <v>OLD</v>
      </c>
    </row>
    <row r="1321" spans="1:32" x14ac:dyDescent="0.2">
      <c r="A1321" t="s">
        <v>1119</v>
      </c>
      <c r="B1321" t="s">
        <v>39</v>
      </c>
      <c r="C1321">
        <v>1012707932</v>
      </c>
      <c r="D1321" t="s">
        <v>332</v>
      </c>
      <c r="E1321" t="s">
        <v>31</v>
      </c>
      <c r="F1321" s="1">
        <v>0.67291666666666672</v>
      </c>
      <c r="G1321" t="s">
        <v>32</v>
      </c>
      <c r="H1321" t="s">
        <v>33</v>
      </c>
      <c r="I1321" t="s">
        <v>41</v>
      </c>
      <c r="J1321" t="s">
        <v>84</v>
      </c>
      <c r="K1321">
        <v>598</v>
      </c>
      <c r="L1321">
        <v>0</v>
      </c>
      <c r="M1321" t="s">
        <v>63</v>
      </c>
      <c r="N1321">
        <v>250</v>
      </c>
      <c r="O1321">
        <v>0</v>
      </c>
      <c r="P1321">
        <v>0</v>
      </c>
      <c r="Q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 t="s">
        <v>36</v>
      </c>
      <c r="AC1321" t="s">
        <v>687</v>
      </c>
      <c r="AD1321" t="str">
        <f t="shared" si="42"/>
        <v>CP</v>
      </c>
      <c r="AE1321" t="str">
        <f>_xlfn.XLOOKUP(D1321,Mapping!A:A,Mapping!D:D,0,0)</f>
        <v>Bin</v>
      </c>
      <c r="AF1321" t="str">
        <f t="shared" si="43"/>
        <v>OLD</v>
      </c>
    </row>
    <row r="1322" spans="1:32" x14ac:dyDescent="0.2">
      <c r="A1322" t="s">
        <v>1119</v>
      </c>
      <c r="B1322" t="s">
        <v>39</v>
      </c>
      <c r="C1322">
        <v>1012710692</v>
      </c>
      <c r="D1322" t="s">
        <v>333</v>
      </c>
      <c r="E1322" t="s">
        <v>31</v>
      </c>
      <c r="F1322" s="1">
        <v>0.67291666666666672</v>
      </c>
      <c r="G1322" t="s">
        <v>32</v>
      </c>
      <c r="H1322" t="s">
        <v>33</v>
      </c>
      <c r="I1322" t="s">
        <v>41</v>
      </c>
      <c r="J1322" t="s">
        <v>255</v>
      </c>
      <c r="K1322">
        <v>1050</v>
      </c>
      <c r="L1322">
        <v>0</v>
      </c>
      <c r="M1322" t="s">
        <v>36</v>
      </c>
      <c r="N1322" t="s">
        <v>37</v>
      </c>
      <c r="O1322">
        <v>0</v>
      </c>
      <c r="P1322">
        <v>0</v>
      </c>
      <c r="Q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 t="s">
        <v>36</v>
      </c>
      <c r="AC1322" t="s">
        <v>687</v>
      </c>
      <c r="AD1322" t="str">
        <f t="shared" si="42"/>
        <v>CP</v>
      </c>
      <c r="AE1322" t="str">
        <f>_xlfn.XLOOKUP(D1322,Mapping!A:A,Mapping!D:D,0,0)</f>
        <v>Bin</v>
      </c>
      <c r="AF1322" t="str">
        <f t="shared" si="43"/>
        <v>OLD</v>
      </c>
    </row>
    <row r="1323" spans="1:32" x14ac:dyDescent="0.2">
      <c r="A1323" t="s">
        <v>1119</v>
      </c>
      <c r="B1323" t="s">
        <v>39</v>
      </c>
      <c r="C1323">
        <v>1012710702</v>
      </c>
      <c r="D1323" t="s">
        <v>334</v>
      </c>
      <c r="E1323" t="s">
        <v>31</v>
      </c>
      <c r="F1323" s="1">
        <v>0.67291666666666672</v>
      </c>
      <c r="G1323" t="s">
        <v>32</v>
      </c>
      <c r="H1323" t="s">
        <v>33</v>
      </c>
      <c r="I1323" t="s">
        <v>41</v>
      </c>
      <c r="J1323" t="s">
        <v>62</v>
      </c>
      <c r="K1323">
        <v>280</v>
      </c>
      <c r="L1323">
        <v>0</v>
      </c>
      <c r="M1323" t="s">
        <v>36</v>
      </c>
      <c r="N1323" t="s">
        <v>37</v>
      </c>
      <c r="O1323">
        <v>0</v>
      </c>
      <c r="P1323">
        <v>0</v>
      </c>
      <c r="Q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 t="s">
        <v>36</v>
      </c>
      <c r="AC1323" t="s">
        <v>687</v>
      </c>
      <c r="AD1323" t="str">
        <f t="shared" si="42"/>
        <v>CP</v>
      </c>
      <c r="AE1323" t="str">
        <f>_xlfn.XLOOKUP(D1323,Mapping!A:A,Mapping!D:D,0,0)</f>
        <v>Bin</v>
      </c>
      <c r="AF1323" t="str">
        <f t="shared" si="43"/>
        <v>OLD</v>
      </c>
    </row>
    <row r="1324" spans="1:32" x14ac:dyDescent="0.2">
      <c r="A1324" t="s">
        <v>1119</v>
      </c>
      <c r="B1324" t="s">
        <v>39</v>
      </c>
      <c r="C1324">
        <v>1012710722</v>
      </c>
      <c r="D1324" t="s">
        <v>335</v>
      </c>
      <c r="E1324" t="s">
        <v>31</v>
      </c>
      <c r="F1324" s="1">
        <v>0.67291666666666672</v>
      </c>
      <c r="G1324" t="s">
        <v>32</v>
      </c>
      <c r="H1324" t="s">
        <v>33</v>
      </c>
      <c r="I1324" t="s">
        <v>34</v>
      </c>
      <c r="J1324" t="s">
        <v>84</v>
      </c>
      <c r="K1324">
        <v>112</v>
      </c>
      <c r="L1324">
        <v>0</v>
      </c>
      <c r="M1324" t="s">
        <v>36</v>
      </c>
      <c r="N1324" t="s">
        <v>37</v>
      </c>
      <c r="O1324">
        <v>0</v>
      </c>
      <c r="P1324">
        <v>0</v>
      </c>
      <c r="Q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 t="s">
        <v>36</v>
      </c>
      <c r="AC1324" t="s">
        <v>687</v>
      </c>
      <c r="AD1324" t="str">
        <f t="shared" si="42"/>
        <v>CP</v>
      </c>
      <c r="AE1324" t="str">
        <f>_xlfn.XLOOKUP(D1324,Mapping!A:A,Mapping!D:D,0,0)</f>
        <v>Bin</v>
      </c>
      <c r="AF1324" t="str">
        <f t="shared" si="43"/>
        <v>OLD</v>
      </c>
    </row>
    <row r="1325" spans="1:32" x14ac:dyDescent="0.2">
      <c r="A1325" t="s">
        <v>1119</v>
      </c>
      <c r="B1325" t="s">
        <v>39</v>
      </c>
      <c r="C1325">
        <v>1012710732</v>
      </c>
      <c r="D1325" t="s">
        <v>336</v>
      </c>
      <c r="E1325" t="s">
        <v>31</v>
      </c>
      <c r="F1325" s="1">
        <v>0.67291666666666672</v>
      </c>
      <c r="G1325" t="s">
        <v>32</v>
      </c>
      <c r="H1325" t="s">
        <v>33</v>
      </c>
      <c r="I1325" t="s">
        <v>41</v>
      </c>
      <c r="J1325" t="s">
        <v>62</v>
      </c>
      <c r="K1325">
        <v>930</v>
      </c>
      <c r="L1325">
        <v>0</v>
      </c>
      <c r="M1325" t="s">
        <v>36</v>
      </c>
      <c r="N1325" t="s">
        <v>37</v>
      </c>
      <c r="O1325">
        <v>0</v>
      </c>
      <c r="P1325">
        <v>0</v>
      </c>
      <c r="Q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 t="s">
        <v>36</v>
      </c>
      <c r="AC1325" t="s">
        <v>687</v>
      </c>
      <c r="AD1325" t="str">
        <f t="shared" si="42"/>
        <v>CP</v>
      </c>
      <c r="AE1325" t="str">
        <f>_xlfn.XLOOKUP(D1325,Mapping!A:A,Mapping!D:D,0,0)</f>
        <v>Bin</v>
      </c>
      <c r="AF1325" t="str">
        <f t="shared" si="43"/>
        <v>OLD</v>
      </c>
    </row>
    <row r="1326" spans="1:32" x14ac:dyDescent="0.2">
      <c r="A1326" t="s">
        <v>1119</v>
      </c>
      <c r="B1326" t="s">
        <v>39</v>
      </c>
      <c r="C1326">
        <v>1012710742</v>
      </c>
      <c r="D1326" t="s">
        <v>337</v>
      </c>
      <c r="E1326" t="s">
        <v>31</v>
      </c>
      <c r="F1326" s="1">
        <v>0.67291666666666672</v>
      </c>
      <c r="G1326" t="s">
        <v>32</v>
      </c>
      <c r="H1326" t="s">
        <v>33</v>
      </c>
      <c r="I1326" t="s">
        <v>41</v>
      </c>
      <c r="J1326" t="s">
        <v>62</v>
      </c>
      <c r="K1326">
        <v>930</v>
      </c>
      <c r="L1326">
        <v>0</v>
      </c>
      <c r="M1326" t="s">
        <v>36</v>
      </c>
      <c r="N1326" t="s">
        <v>37</v>
      </c>
      <c r="O1326">
        <v>0</v>
      </c>
      <c r="P1326">
        <v>0</v>
      </c>
      <c r="Q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 t="s">
        <v>36</v>
      </c>
      <c r="AC1326" t="s">
        <v>687</v>
      </c>
      <c r="AD1326" t="str">
        <f t="shared" si="42"/>
        <v>CP</v>
      </c>
      <c r="AE1326" t="str">
        <f>_xlfn.XLOOKUP(D1326,Mapping!A:A,Mapping!D:D,0,0)</f>
        <v>Bin</v>
      </c>
      <c r="AF1326" t="str">
        <f t="shared" si="43"/>
        <v>OLD</v>
      </c>
    </row>
    <row r="1327" spans="1:32" x14ac:dyDescent="0.2">
      <c r="A1327" t="s">
        <v>1119</v>
      </c>
      <c r="B1327" t="s">
        <v>39</v>
      </c>
      <c r="C1327">
        <v>1012710752</v>
      </c>
      <c r="D1327" t="s">
        <v>338</v>
      </c>
      <c r="E1327" t="s">
        <v>31</v>
      </c>
      <c r="F1327" s="1">
        <v>0.67291666666666672</v>
      </c>
      <c r="G1327" t="s">
        <v>32</v>
      </c>
      <c r="H1327" t="s">
        <v>33</v>
      </c>
      <c r="I1327" t="s">
        <v>34</v>
      </c>
      <c r="J1327" t="s">
        <v>84</v>
      </c>
      <c r="K1327">
        <v>112</v>
      </c>
      <c r="L1327">
        <v>0</v>
      </c>
      <c r="M1327" t="s">
        <v>36</v>
      </c>
      <c r="N1327" t="s">
        <v>37</v>
      </c>
      <c r="O1327">
        <v>0</v>
      </c>
      <c r="P1327">
        <v>0</v>
      </c>
      <c r="Q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 t="s">
        <v>36</v>
      </c>
      <c r="AC1327" t="s">
        <v>687</v>
      </c>
      <c r="AD1327" t="str">
        <f t="shared" si="42"/>
        <v>CP</v>
      </c>
      <c r="AE1327" t="str">
        <f>_xlfn.XLOOKUP(D1327,Mapping!A:A,Mapping!D:D,0,0)</f>
        <v>Bin</v>
      </c>
      <c r="AF1327" t="str">
        <f t="shared" si="43"/>
        <v>OLD</v>
      </c>
    </row>
    <row r="1328" spans="1:32" x14ac:dyDescent="0.2">
      <c r="A1328" t="s">
        <v>1119</v>
      </c>
      <c r="B1328" t="s">
        <v>39</v>
      </c>
      <c r="C1328">
        <v>1012710762</v>
      </c>
      <c r="D1328" t="s">
        <v>339</v>
      </c>
      <c r="E1328" t="s">
        <v>31</v>
      </c>
      <c r="F1328" s="1">
        <v>0.67291666666666672</v>
      </c>
      <c r="G1328" t="s">
        <v>32</v>
      </c>
      <c r="H1328" t="s">
        <v>33</v>
      </c>
      <c r="I1328" t="s">
        <v>41</v>
      </c>
      <c r="J1328" t="s">
        <v>62</v>
      </c>
      <c r="K1328">
        <v>930</v>
      </c>
      <c r="L1328">
        <v>0</v>
      </c>
      <c r="M1328" t="s">
        <v>36</v>
      </c>
      <c r="N1328" t="s">
        <v>37</v>
      </c>
      <c r="O1328">
        <v>0</v>
      </c>
      <c r="P1328">
        <v>0</v>
      </c>
      <c r="Q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 t="s">
        <v>36</v>
      </c>
      <c r="AC1328" t="s">
        <v>687</v>
      </c>
      <c r="AD1328" t="str">
        <f t="shared" si="42"/>
        <v>CP</v>
      </c>
      <c r="AE1328" t="str">
        <f>_xlfn.XLOOKUP(D1328,Mapping!A:A,Mapping!D:D,0,0)</f>
        <v>Bin</v>
      </c>
      <c r="AF1328" t="str">
        <f t="shared" si="43"/>
        <v>OLD</v>
      </c>
    </row>
    <row r="1329" spans="1:32" x14ac:dyDescent="0.2">
      <c r="A1329" t="s">
        <v>1119</v>
      </c>
      <c r="B1329" t="s">
        <v>39</v>
      </c>
      <c r="C1329">
        <v>1012710772</v>
      </c>
      <c r="D1329" t="s">
        <v>340</v>
      </c>
      <c r="E1329" t="s">
        <v>31</v>
      </c>
      <c r="F1329" s="1">
        <v>0.67291666666666672</v>
      </c>
      <c r="G1329" t="s">
        <v>32</v>
      </c>
      <c r="H1329" t="s">
        <v>33</v>
      </c>
      <c r="I1329" t="s">
        <v>41</v>
      </c>
      <c r="J1329" t="s">
        <v>62</v>
      </c>
      <c r="K1329">
        <v>570</v>
      </c>
      <c r="L1329">
        <v>0</v>
      </c>
      <c r="M1329" t="s">
        <v>36</v>
      </c>
      <c r="N1329" t="s">
        <v>37</v>
      </c>
      <c r="O1329">
        <v>0</v>
      </c>
      <c r="P1329">
        <v>0</v>
      </c>
      <c r="Q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 t="s">
        <v>36</v>
      </c>
      <c r="AC1329" t="s">
        <v>687</v>
      </c>
      <c r="AD1329" t="str">
        <f t="shared" si="42"/>
        <v>CP</v>
      </c>
      <c r="AE1329" t="str">
        <f>_xlfn.XLOOKUP(D1329,Mapping!A:A,Mapping!D:D,0,0)</f>
        <v>Bin</v>
      </c>
      <c r="AF1329" t="str">
        <f t="shared" si="43"/>
        <v>OLD</v>
      </c>
    </row>
    <row r="1330" spans="1:32" x14ac:dyDescent="0.2">
      <c r="A1330" t="s">
        <v>1119</v>
      </c>
      <c r="B1330" t="s">
        <v>39</v>
      </c>
      <c r="C1330">
        <v>1012710782</v>
      </c>
      <c r="D1330" t="s">
        <v>341</v>
      </c>
      <c r="E1330" t="s">
        <v>31</v>
      </c>
      <c r="F1330" s="1">
        <v>0.67291666666666672</v>
      </c>
      <c r="G1330" t="s">
        <v>32</v>
      </c>
      <c r="H1330" t="s">
        <v>33</v>
      </c>
      <c r="I1330" t="s">
        <v>34</v>
      </c>
      <c r="J1330" t="s">
        <v>84</v>
      </c>
      <c r="K1330">
        <v>228</v>
      </c>
      <c r="L1330">
        <v>0</v>
      </c>
      <c r="M1330" t="s">
        <v>36</v>
      </c>
      <c r="N1330" t="s">
        <v>37</v>
      </c>
      <c r="O1330">
        <v>0</v>
      </c>
      <c r="P1330">
        <v>0</v>
      </c>
      <c r="Q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 t="s">
        <v>36</v>
      </c>
      <c r="AC1330" t="s">
        <v>687</v>
      </c>
      <c r="AD1330" t="str">
        <f t="shared" si="42"/>
        <v>CP</v>
      </c>
      <c r="AE1330" t="str">
        <f>_xlfn.XLOOKUP(D1330,Mapping!A:A,Mapping!D:D,0,0)</f>
        <v>Bin</v>
      </c>
      <c r="AF1330" t="str">
        <f t="shared" si="43"/>
        <v>OLD</v>
      </c>
    </row>
    <row r="1331" spans="1:32" x14ac:dyDescent="0.2">
      <c r="A1331" t="s">
        <v>1119</v>
      </c>
      <c r="B1331" t="s">
        <v>39</v>
      </c>
      <c r="C1331">
        <v>1012710792</v>
      </c>
      <c r="D1331" t="s">
        <v>342</v>
      </c>
      <c r="E1331" t="s">
        <v>31</v>
      </c>
      <c r="F1331" s="1">
        <v>0.67291666666666672</v>
      </c>
      <c r="G1331" t="s">
        <v>32</v>
      </c>
      <c r="H1331" t="s">
        <v>33</v>
      </c>
      <c r="I1331" t="s">
        <v>41</v>
      </c>
      <c r="J1331" t="s">
        <v>62</v>
      </c>
      <c r="K1331">
        <v>570</v>
      </c>
      <c r="L1331">
        <v>0</v>
      </c>
      <c r="M1331" t="s">
        <v>36</v>
      </c>
      <c r="N1331" t="s">
        <v>37</v>
      </c>
      <c r="O1331">
        <v>0</v>
      </c>
      <c r="P1331">
        <v>0</v>
      </c>
      <c r="Q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 t="s">
        <v>36</v>
      </c>
      <c r="AC1331" t="s">
        <v>687</v>
      </c>
      <c r="AD1331" t="str">
        <f t="shared" si="42"/>
        <v>CP</v>
      </c>
      <c r="AE1331" t="str">
        <f>_xlfn.XLOOKUP(D1331,Mapping!A:A,Mapping!D:D,0,0)</f>
        <v>Bin</v>
      </c>
      <c r="AF1331" t="str">
        <f t="shared" si="43"/>
        <v>OLD</v>
      </c>
    </row>
    <row r="1332" spans="1:32" x14ac:dyDescent="0.2">
      <c r="A1332" t="s">
        <v>1119</v>
      </c>
      <c r="B1332" t="s">
        <v>39</v>
      </c>
      <c r="C1332">
        <v>1012710802</v>
      </c>
      <c r="D1332" t="s">
        <v>343</v>
      </c>
      <c r="E1332" t="s">
        <v>31</v>
      </c>
      <c r="F1332" s="1">
        <v>0.67291666666666672</v>
      </c>
      <c r="G1332" t="s">
        <v>32</v>
      </c>
      <c r="H1332" t="s">
        <v>33</v>
      </c>
      <c r="I1332" t="s">
        <v>41</v>
      </c>
      <c r="J1332" t="s">
        <v>62</v>
      </c>
      <c r="K1332">
        <v>930</v>
      </c>
      <c r="L1332">
        <v>0</v>
      </c>
      <c r="M1332" t="s">
        <v>36</v>
      </c>
      <c r="N1332" t="s">
        <v>37</v>
      </c>
      <c r="O1332">
        <v>0</v>
      </c>
      <c r="P1332">
        <v>0</v>
      </c>
      <c r="Q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 t="s">
        <v>36</v>
      </c>
      <c r="AC1332" t="s">
        <v>687</v>
      </c>
      <c r="AD1332" t="str">
        <f t="shared" si="42"/>
        <v>CP</v>
      </c>
      <c r="AE1332" t="str">
        <f>_xlfn.XLOOKUP(D1332,Mapping!A:A,Mapping!D:D,0,0)</f>
        <v>Archive</v>
      </c>
      <c r="AF1332" t="str">
        <f t="shared" si="43"/>
        <v>OLD</v>
      </c>
    </row>
    <row r="1333" spans="1:32" x14ac:dyDescent="0.2">
      <c r="A1333" t="s">
        <v>1119</v>
      </c>
      <c r="B1333" t="s">
        <v>39</v>
      </c>
      <c r="C1333">
        <v>1012710812</v>
      </c>
      <c r="D1333" t="s">
        <v>344</v>
      </c>
      <c r="E1333" t="s">
        <v>31</v>
      </c>
      <c r="F1333" s="1">
        <v>0.67291666666666672</v>
      </c>
      <c r="G1333" t="s">
        <v>32</v>
      </c>
      <c r="H1333" t="s">
        <v>33</v>
      </c>
      <c r="I1333" t="s">
        <v>34</v>
      </c>
      <c r="J1333" t="s">
        <v>84</v>
      </c>
      <c r="K1333">
        <v>372</v>
      </c>
      <c r="L1333">
        <v>0</v>
      </c>
      <c r="M1333" t="s">
        <v>63</v>
      </c>
      <c r="N1333">
        <v>150</v>
      </c>
      <c r="O1333">
        <v>0</v>
      </c>
      <c r="P1333">
        <v>0</v>
      </c>
      <c r="Q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 t="s">
        <v>36</v>
      </c>
      <c r="AC1333" t="s">
        <v>687</v>
      </c>
      <c r="AD1333" t="str">
        <f t="shared" si="42"/>
        <v>CP</v>
      </c>
      <c r="AE1333" t="str">
        <f>_xlfn.XLOOKUP(D1333,Mapping!A:A,Mapping!D:D,0,0)</f>
        <v>Bin</v>
      </c>
      <c r="AF1333" t="str">
        <f t="shared" si="43"/>
        <v>OLD</v>
      </c>
    </row>
    <row r="1334" spans="1:32" x14ac:dyDescent="0.2">
      <c r="A1334" t="s">
        <v>1119</v>
      </c>
      <c r="B1334" t="s">
        <v>39</v>
      </c>
      <c r="C1334">
        <v>1012710822</v>
      </c>
      <c r="D1334" t="s">
        <v>345</v>
      </c>
      <c r="E1334" t="s">
        <v>31</v>
      </c>
      <c r="F1334" s="1">
        <v>0.67291666666666672</v>
      </c>
      <c r="G1334" t="s">
        <v>32</v>
      </c>
      <c r="H1334" t="s">
        <v>33</v>
      </c>
      <c r="I1334" t="s">
        <v>41</v>
      </c>
      <c r="J1334" t="s">
        <v>62</v>
      </c>
      <c r="K1334">
        <v>280</v>
      </c>
      <c r="L1334">
        <v>0</v>
      </c>
      <c r="M1334" t="s">
        <v>36</v>
      </c>
      <c r="N1334" t="s">
        <v>37</v>
      </c>
      <c r="O1334">
        <v>0</v>
      </c>
      <c r="P1334">
        <v>0</v>
      </c>
      <c r="Q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 t="s">
        <v>36</v>
      </c>
      <c r="AC1334" t="s">
        <v>687</v>
      </c>
      <c r="AD1334" t="str">
        <f t="shared" si="42"/>
        <v>CP</v>
      </c>
      <c r="AE1334" t="str">
        <f>_xlfn.XLOOKUP(D1334,Mapping!A:A,Mapping!D:D,0,0)</f>
        <v>Bin</v>
      </c>
      <c r="AF1334" t="str">
        <f t="shared" si="43"/>
        <v>OLD</v>
      </c>
    </row>
    <row r="1335" spans="1:32" x14ac:dyDescent="0.2">
      <c r="A1335" t="s">
        <v>1119</v>
      </c>
      <c r="B1335" t="s">
        <v>39</v>
      </c>
      <c r="C1335">
        <v>1012710832</v>
      </c>
      <c r="D1335" t="s">
        <v>346</v>
      </c>
      <c r="E1335" t="s">
        <v>31</v>
      </c>
      <c r="F1335" s="1">
        <v>0.67291666666666672</v>
      </c>
      <c r="G1335" t="s">
        <v>32</v>
      </c>
      <c r="H1335" t="s">
        <v>33</v>
      </c>
      <c r="I1335" t="s">
        <v>41</v>
      </c>
      <c r="J1335" t="s">
        <v>62</v>
      </c>
      <c r="K1335">
        <v>280</v>
      </c>
      <c r="L1335">
        <v>0</v>
      </c>
      <c r="M1335" t="s">
        <v>63</v>
      </c>
      <c r="N1335">
        <v>150</v>
      </c>
      <c r="O1335">
        <v>0</v>
      </c>
      <c r="P1335">
        <v>0</v>
      </c>
      <c r="Q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 t="s">
        <v>36</v>
      </c>
      <c r="AC1335" t="s">
        <v>687</v>
      </c>
      <c r="AD1335" t="str">
        <f t="shared" si="42"/>
        <v>CP</v>
      </c>
      <c r="AE1335" t="str">
        <f>_xlfn.XLOOKUP(D1335,Mapping!A:A,Mapping!D:D,0,0)</f>
        <v>Bin</v>
      </c>
      <c r="AF1335" t="str">
        <f t="shared" si="43"/>
        <v>OLD</v>
      </c>
    </row>
    <row r="1336" spans="1:32" x14ac:dyDescent="0.2">
      <c r="A1336" t="s">
        <v>1119</v>
      </c>
      <c r="B1336" t="s">
        <v>29</v>
      </c>
      <c r="C1336">
        <v>1012710842</v>
      </c>
      <c r="D1336" t="s">
        <v>347</v>
      </c>
      <c r="E1336" t="s">
        <v>31</v>
      </c>
      <c r="F1336" s="1">
        <v>0.67291666666666672</v>
      </c>
      <c r="G1336" t="s">
        <v>32</v>
      </c>
      <c r="H1336" t="s">
        <v>33</v>
      </c>
      <c r="I1336" t="s">
        <v>34</v>
      </c>
      <c r="J1336" t="s">
        <v>84</v>
      </c>
      <c r="K1336">
        <v>36</v>
      </c>
      <c r="L1336">
        <v>0</v>
      </c>
      <c r="M1336" t="s">
        <v>36</v>
      </c>
      <c r="N1336" t="s">
        <v>37</v>
      </c>
      <c r="O1336">
        <v>17116</v>
      </c>
      <c r="P1336">
        <v>707</v>
      </c>
      <c r="Q1336">
        <v>4.13063</v>
      </c>
      <c r="R1336">
        <v>0</v>
      </c>
      <c r="S1336">
        <v>20.75</v>
      </c>
      <c r="T1336">
        <v>1.2130000000000001</v>
      </c>
      <c r="U1336">
        <v>2.9000000000000001E-2</v>
      </c>
      <c r="V1336">
        <v>0</v>
      </c>
      <c r="W1336">
        <v>1</v>
      </c>
      <c r="X1336">
        <v>0</v>
      </c>
      <c r="Y1336" t="s">
        <v>36</v>
      </c>
      <c r="Z1336">
        <v>17116</v>
      </c>
      <c r="AA1336">
        <v>12234</v>
      </c>
      <c r="AB1336">
        <v>2353</v>
      </c>
      <c r="AC1336" t="s">
        <v>687</v>
      </c>
      <c r="AD1336" t="str">
        <f t="shared" si="42"/>
        <v>CP</v>
      </c>
      <c r="AE1336" t="str">
        <f>_xlfn.XLOOKUP(D1336,Mapping!A:A,Mapping!D:D,0,0)</f>
        <v>Keyword - Preroll</v>
      </c>
      <c r="AF1336" t="str">
        <f t="shared" si="43"/>
        <v>OLD</v>
      </c>
    </row>
    <row r="1337" spans="1:32" x14ac:dyDescent="0.2">
      <c r="A1337" t="s">
        <v>1119</v>
      </c>
      <c r="B1337" t="s">
        <v>39</v>
      </c>
      <c r="C1337">
        <v>1012710862</v>
      </c>
      <c r="D1337" t="s">
        <v>349</v>
      </c>
      <c r="E1337" t="s">
        <v>31</v>
      </c>
      <c r="F1337" s="1">
        <v>0.67291666666666672</v>
      </c>
      <c r="G1337" t="s">
        <v>32</v>
      </c>
      <c r="H1337" t="s">
        <v>33</v>
      </c>
      <c r="I1337" t="s">
        <v>41</v>
      </c>
      <c r="J1337" t="s">
        <v>62</v>
      </c>
      <c r="K1337">
        <v>930</v>
      </c>
      <c r="L1337">
        <v>0</v>
      </c>
      <c r="M1337" t="s">
        <v>36</v>
      </c>
      <c r="N1337" t="s">
        <v>37</v>
      </c>
      <c r="O1337">
        <v>0</v>
      </c>
      <c r="P1337">
        <v>0</v>
      </c>
      <c r="Q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 t="s">
        <v>36</v>
      </c>
      <c r="AC1337" t="s">
        <v>687</v>
      </c>
      <c r="AD1337" t="str">
        <f t="shared" si="42"/>
        <v>CP</v>
      </c>
      <c r="AE1337" t="str">
        <f>_xlfn.XLOOKUP(D1337,Mapping!A:A,Mapping!D:D,0,0)</f>
        <v>Bin</v>
      </c>
      <c r="AF1337" t="str">
        <f t="shared" si="43"/>
        <v>OLD</v>
      </c>
    </row>
    <row r="1338" spans="1:32" x14ac:dyDescent="0.2">
      <c r="A1338" t="s">
        <v>1119</v>
      </c>
      <c r="B1338" t="s">
        <v>39</v>
      </c>
      <c r="C1338">
        <v>1012710872</v>
      </c>
      <c r="D1338" t="s">
        <v>350</v>
      </c>
      <c r="E1338" t="s">
        <v>31</v>
      </c>
      <c r="F1338" s="1">
        <v>0.67291666666666672</v>
      </c>
      <c r="G1338" t="s">
        <v>32</v>
      </c>
      <c r="H1338" t="s">
        <v>33</v>
      </c>
      <c r="I1338" t="s">
        <v>41</v>
      </c>
      <c r="J1338" t="s">
        <v>62</v>
      </c>
      <c r="K1338">
        <v>930</v>
      </c>
      <c r="L1338">
        <v>0</v>
      </c>
      <c r="M1338" t="s">
        <v>36</v>
      </c>
      <c r="N1338" t="s">
        <v>37</v>
      </c>
      <c r="O1338">
        <v>0</v>
      </c>
      <c r="P1338">
        <v>0</v>
      </c>
      <c r="Q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 t="s">
        <v>36</v>
      </c>
      <c r="AC1338" t="s">
        <v>687</v>
      </c>
      <c r="AD1338" t="str">
        <f t="shared" si="42"/>
        <v>CP</v>
      </c>
      <c r="AE1338" t="str">
        <f>_xlfn.XLOOKUP(D1338,Mapping!A:A,Mapping!D:D,0,0)</f>
        <v>Bin</v>
      </c>
      <c r="AF1338" t="str">
        <f t="shared" si="43"/>
        <v>OLD</v>
      </c>
    </row>
    <row r="1339" spans="1:32" x14ac:dyDescent="0.2">
      <c r="A1339" t="s">
        <v>1119</v>
      </c>
      <c r="B1339" t="s">
        <v>39</v>
      </c>
      <c r="C1339">
        <v>1012710882</v>
      </c>
      <c r="D1339" t="s">
        <v>351</v>
      </c>
      <c r="E1339" t="s">
        <v>31</v>
      </c>
      <c r="F1339" s="1">
        <v>0.67291666666666672</v>
      </c>
      <c r="G1339" t="s">
        <v>32</v>
      </c>
      <c r="H1339" t="s">
        <v>33</v>
      </c>
      <c r="I1339" t="s">
        <v>34</v>
      </c>
      <c r="J1339" t="s">
        <v>84</v>
      </c>
      <c r="K1339">
        <v>228</v>
      </c>
      <c r="L1339">
        <v>0</v>
      </c>
      <c r="M1339" t="s">
        <v>36</v>
      </c>
      <c r="N1339" t="s">
        <v>37</v>
      </c>
      <c r="O1339">
        <v>0</v>
      </c>
      <c r="P1339">
        <v>0</v>
      </c>
      <c r="Q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 t="s">
        <v>36</v>
      </c>
      <c r="AC1339" t="s">
        <v>687</v>
      </c>
      <c r="AD1339" t="str">
        <f t="shared" si="42"/>
        <v>CP</v>
      </c>
      <c r="AE1339" t="str">
        <f>_xlfn.XLOOKUP(D1339,Mapping!A:A,Mapping!D:D,0,0)</f>
        <v>Keyword - Preroll</v>
      </c>
      <c r="AF1339" t="str">
        <f t="shared" si="43"/>
        <v>OLD</v>
      </c>
    </row>
    <row r="1340" spans="1:32" x14ac:dyDescent="0.2">
      <c r="A1340" t="s">
        <v>1119</v>
      </c>
      <c r="B1340" t="s">
        <v>39</v>
      </c>
      <c r="C1340">
        <v>1012710892</v>
      </c>
      <c r="D1340" t="s">
        <v>352</v>
      </c>
      <c r="E1340" t="s">
        <v>31</v>
      </c>
      <c r="F1340" s="1">
        <v>0.67291666666666672</v>
      </c>
      <c r="G1340" t="s">
        <v>32</v>
      </c>
      <c r="H1340" t="s">
        <v>33</v>
      </c>
      <c r="I1340" t="s">
        <v>41</v>
      </c>
      <c r="J1340" t="s">
        <v>62</v>
      </c>
      <c r="K1340">
        <v>930</v>
      </c>
      <c r="L1340">
        <v>0</v>
      </c>
      <c r="M1340" t="s">
        <v>36</v>
      </c>
      <c r="N1340" t="s">
        <v>37</v>
      </c>
      <c r="O1340">
        <v>0</v>
      </c>
      <c r="P1340">
        <v>0</v>
      </c>
      <c r="Q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 t="s">
        <v>36</v>
      </c>
      <c r="AC1340" t="s">
        <v>687</v>
      </c>
      <c r="AD1340" t="str">
        <f t="shared" si="42"/>
        <v>CP</v>
      </c>
      <c r="AE1340" t="str">
        <f>_xlfn.XLOOKUP(D1340,Mapping!A:A,Mapping!D:D,0,0)</f>
        <v>Bin</v>
      </c>
      <c r="AF1340" t="str">
        <f t="shared" si="43"/>
        <v>OLD</v>
      </c>
    </row>
    <row r="1341" spans="1:32" x14ac:dyDescent="0.2">
      <c r="A1341" t="s">
        <v>1119</v>
      </c>
      <c r="B1341" t="s">
        <v>39</v>
      </c>
      <c r="C1341">
        <v>1012710902</v>
      </c>
      <c r="D1341" t="s">
        <v>353</v>
      </c>
      <c r="E1341" t="s">
        <v>31</v>
      </c>
      <c r="F1341" s="1">
        <v>0.67291666666666672</v>
      </c>
      <c r="G1341" t="s">
        <v>32</v>
      </c>
      <c r="H1341" t="s">
        <v>33</v>
      </c>
      <c r="I1341" t="s">
        <v>41</v>
      </c>
      <c r="J1341" t="s">
        <v>62</v>
      </c>
      <c r="K1341">
        <v>570</v>
      </c>
      <c r="L1341">
        <v>0</v>
      </c>
      <c r="M1341" t="s">
        <v>36</v>
      </c>
      <c r="N1341" t="s">
        <v>37</v>
      </c>
      <c r="O1341">
        <v>0</v>
      </c>
      <c r="P1341">
        <v>0</v>
      </c>
      <c r="Q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 t="s">
        <v>36</v>
      </c>
      <c r="AC1341" t="s">
        <v>687</v>
      </c>
      <c r="AD1341" t="str">
        <f t="shared" si="42"/>
        <v>CP</v>
      </c>
      <c r="AE1341" t="str">
        <f>_xlfn.XLOOKUP(D1341,Mapping!A:A,Mapping!D:D,0,0)</f>
        <v>Bin</v>
      </c>
      <c r="AF1341" t="str">
        <f t="shared" si="43"/>
        <v>OLD</v>
      </c>
    </row>
    <row r="1342" spans="1:32" x14ac:dyDescent="0.2">
      <c r="A1342" t="s">
        <v>1119</v>
      </c>
      <c r="B1342" t="s">
        <v>39</v>
      </c>
      <c r="C1342">
        <v>1012710912</v>
      </c>
      <c r="D1342" t="s">
        <v>354</v>
      </c>
      <c r="E1342" t="s">
        <v>31</v>
      </c>
      <c r="F1342" s="1">
        <v>0.67291666666666672</v>
      </c>
      <c r="G1342" t="s">
        <v>32</v>
      </c>
      <c r="H1342" t="s">
        <v>33</v>
      </c>
      <c r="I1342" t="s">
        <v>34</v>
      </c>
      <c r="J1342" t="s">
        <v>84</v>
      </c>
      <c r="K1342">
        <v>228</v>
      </c>
      <c r="L1342">
        <v>0</v>
      </c>
      <c r="M1342" t="s">
        <v>36</v>
      </c>
      <c r="N1342" t="s">
        <v>37</v>
      </c>
      <c r="O1342">
        <v>0</v>
      </c>
      <c r="P1342">
        <v>0</v>
      </c>
      <c r="Q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 t="s">
        <v>36</v>
      </c>
      <c r="AC1342" t="s">
        <v>687</v>
      </c>
      <c r="AD1342" t="str">
        <f t="shared" si="42"/>
        <v>CP</v>
      </c>
      <c r="AE1342" t="str">
        <f>_xlfn.XLOOKUP(D1342,Mapping!A:A,Mapping!D:D,0,0)</f>
        <v>Keyword - Preroll</v>
      </c>
      <c r="AF1342" t="str">
        <f t="shared" si="43"/>
        <v>OLD</v>
      </c>
    </row>
    <row r="1343" spans="1:32" x14ac:dyDescent="0.2">
      <c r="A1343" t="s">
        <v>1119</v>
      </c>
      <c r="B1343" t="s">
        <v>39</v>
      </c>
      <c r="C1343">
        <v>1012710922</v>
      </c>
      <c r="D1343" t="s">
        <v>355</v>
      </c>
      <c r="E1343" t="s">
        <v>31</v>
      </c>
      <c r="F1343" s="1">
        <v>0.67291666666666672</v>
      </c>
      <c r="G1343" t="s">
        <v>32</v>
      </c>
      <c r="H1343" t="s">
        <v>33</v>
      </c>
      <c r="I1343" t="s">
        <v>41</v>
      </c>
      <c r="J1343" t="s">
        <v>62</v>
      </c>
      <c r="K1343">
        <v>570</v>
      </c>
      <c r="L1343">
        <v>0</v>
      </c>
      <c r="M1343" t="s">
        <v>36</v>
      </c>
      <c r="N1343" t="s">
        <v>37</v>
      </c>
      <c r="O1343">
        <v>0</v>
      </c>
      <c r="P1343">
        <v>0</v>
      </c>
      <c r="Q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 t="s">
        <v>36</v>
      </c>
      <c r="AC1343" t="s">
        <v>687</v>
      </c>
      <c r="AD1343" t="str">
        <f t="shared" si="42"/>
        <v>CP</v>
      </c>
      <c r="AE1343" t="str">
        <f>_xlfn.XLOOKUP(D1343,Mapping!A:A,Mapping!D:D,0,0)</f>
        <v>Bin</v>
      </c>
      <c r="AF1343" t="str">
        <f t="shared" si="43"/>
        <v>OLD</v>
      </c>
    </row>
    <row r="1344" spans="1:32" x14ac:dyDescent="0.2">
      <c r="A1344" t="s">
        <v>1119</v>
      </c>
      <c r="B1344" t="s">
        <v>39</v>
      </c>
      <c r="C1344">
        <v>1012710932</v>
      </c>
      <c r="D1344" t="s">
        <v>356</v>
      </c>
      <c r="E1344" t="s">
        <v>31</v>
      </c>
      <c r="F1344" s="1">
        <v>0.67291666666666672</v>
      </c>
      <c r="G1344" t="s">
        <v>32</v>
      </c>
      <c r="H1344" t="s">
        <v>33</v>
      </c>
      <c r="I1344" t="s">
        <v>41</v>
      </c>
      <c r="J1344" t="s">
        <v>62</v>
      </c>
      <c r="K1344">
        <v>90</v>
      </c>
      <c r="L1344">
        <v>0</v>
      </c>
      <c r="M1344" t="s">
        <v>36</v>
      </c>
      <c r="N1344" t="s">
        <v>37</v>
      </c>
      <c r="O1344">
        <v>0</v>
      </c>
      <c r="P1344">
        <v>0</v>
      </c>
      <c r="Q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 t="s">
        <v>36</v>
      </c>
      <c r="AC1344" t="s">
        <v>687</v>
      </c>
      <c r="AD1344" t="str">
        <f t="shared" si="42"/>
        <v>CP</v>
      </c>
      <c r="AE1344" t="str">
        <f>_xlfn.XLOOKUP(D1344,Mapping!A:A,Mapping!D:D,0,0)</f>
        <v>Missionary</v>
      </c>
      <c r="AF1344" t="str">
        <f t="shared" si="43"/>
        <v>OLD</v>
      </c>
    </row>
    <row r="1345" spans="1:32" x14ac:dyDescent="0.2">
      <c r="A1345" t="s">
        <v>1119</v>
      </c>
      <c r="B1345" t="s">
        <v>39</v>
      </c>
      <c r="C1345">
        <v>1012710942</v>
      </c>
      <c r="D1345" t="s">
        <v>357</v>
      </c>
      <c r="E1345" t="s">
        <v>31</v>
      </c>
      <c r="F1345" s="1">
        <v>0.67291666666666672</v>
      </c>
      <c r="G1345" t="s">
        <v>32</v>
      </c>
      <c r="H1345" t="s">
        <v>33</v>
      </c>
      <c r="I1345" t="s">
        <v>34</v>
      </c>
      <c r="J1345" t="s">
        <v>84</v>
      </c>
      <c r="K1345">
        <v>112</v>
      </c>
      <c r="L1345">
        <v>0</v>
      </c>
      <c r="M1345" t="s">
        <v>36</v>
      </c>
      <c r="N1345" t="s">
        <v>37</v>
      </c>
      <c r="O1345">
        <v>0</v>
      </c>
      <c r="P1345">
        <v>0</v>
      </c>
      <c r="Q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 t="s">
        <v>36</v>
      </c>
      <c r="AC1345" t="s">
        <v>687</v>
      </c>
      <c r="AD1345" t="str">
        <f t="shared" si="42"/>
        <v>CP</v>
      </c>
      <c r="AE1345" t="str">
        <f>_xlfn.XLOOKUP(D1345,Mapping!A:A,Mapping!D:D,0,0)</f>
        <v>Bin</v>
      </c>
      <c r="AF1345" t="str">
        <f t="shared" si="43"/>
        <v>OLD</v>
      </c>
    </row>
    <row r="1346" spans="1:32" x14ac:dyDescent="0.2">
      <c r="A1346" t="s">
        <v>1119</v>
      </c>
      <c r="B1346" t="s">
        <v>39</v>
      </c>
      <c r="C1346">
        <v>1012710962</v>
      </c>
      <c r="D1346" t="s">
        <v>358</v>
      </c>
      <c r="E1346" t="s">
        <v>31</v>
      </c>
      <c r="F1346" s="1">
        <v>0.67291666666666672</v>
      </c>
      <c r="G1346" t="s">
        <v>32</v>
      </c>
      <c r="H1346" t="s">
        <v>33</v>
      </c>
      <c r="I1346" t="s">
        <v>34</v>
      </c>
      <c r="J1346" t="s">
        <v>84</v>
      </c>
      <c r="K1346">
        <v>372</v>
      </c>
      <c r="L1346">
        <v>0</v>
      </c>
      <c r="M1346" t="s">
        <v>63</v>
      </c>
      <c r="N1346">
        <v>150</v>
      </c>
      <c r="O1346">
        <v>0</v>
      </c>
      <c r="P1346">
        <v>0</v>
      </c>
      <c r="Q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 t="s">
        <v>36</v>
      </c>
      <c r="AC1346" t="s">
        <v>687</v>
      </c>
      <c r="AD1346" t="str">
        <f t="shared" si="42"/>
        <v>CP</v>
      </c>
      <c r="AE1346" t="str">
        <f>_xlfn.XLOOKUP(D1346,Mapping!A:A,Mapping!D:D,0,0)</f>
        <v>Bin</v>
      </c>
      <c r="AF1346" t="str">
        <f t="shared" si="43"/>
        <v>OLD</v>
      </c>
    </row>
    <row r="1347" spans="1:32" x14ac:dyDescent="0.2">
      <c r="A1347" t="s">
        <v>1119</v>
      </c>
      <c r="B1347" t="s">
        <v>39</v>
      </c>
      <c r="C1347">
        <v>1012710972</v>
      </c>
      <c r="D1347" t="s">
        <v>359</v>
      </c>
      <c r="E1347" t="s">
        <v>31</v>
      </c>
      <c r="F1347" s="1">
        <v>0.67291666666666672</v>
      </c>
      <c r="G1347" t="s">
        <v>32</v>
      </c>
      <c r="H1347" t="s">
        <v>33</v>
      </c>
      <c r="I1347" t="s">
        <v>41</v>
      </c>
      <c r="J1347" t="s">
        <v>62</v>
      </c>
      <c r="K1347">
        <v>930</v>
      </c>
      <c r="L1347">
        <v>0</v>
      </c>
      <c r="M1347" t="s">
        <v>36</v>
      </c>
      <c r="N1347" t="s">
        <v>37</v>
      </c>
      <c r="O1347">
        <v>0</v>
      </c>
      <c r="P1347">
        <v>0</v>
      </c>
      <c r="Q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 t="s">
        <v>36</v>
      </c>
      <c r="AC1347" t="s">
        <v>687</v>
      </c>
      <c r="AD1347" t="str">
        <f t="shared" si="42"/>
        <v>CP</v>
      </c>
      <c r="AE1347" t="str">
        <f>_xlfn.XLOOKUP(D1347,Mapping!A:A,Mapping!D:D,0,0)</f>
        <v>Bin</v>
      </c>
      <c r="AF1347" t="str">
        <f t="shared" si="43"/>
        <v>OLD</v>
      </c>
    </row>
    <row r="1348" spans="1:32" x14ac:dyDescent="0.2">
      <c r="A1348" t="s">
        <v>1119</v>
      </c>
      <c r="B1348" t="s">
        <v>39</v>
      </c>
      <c r="C1348">
        <v>1012710982</v>
      </c>
      <c r="D1348" t="s">
        <v>360</v>
      </c>
      <c r="E1348" t="s">
        <v>31</v>
      </c>
      <c r="F1348" s="1">
        <v>0.67291666666666672</v>
      </c>
      <c r="G1348" t="s">
        <v>32</v>
      </c>
      <c r="H1348" t="s">
        <v>33</v>
      </c>
      <c r="I1348" t="s">
        <v>41</v>
      </c>
      <c r="J1348" t="s">
        <v>62</v>
      </c>
      <c r="K1348">
        <v>930</v>
      </c>
      <c r="L1348">
        <v>0</v>
      </c>
      <c r="M1348" t="s">
        <v>36</v>
      </c>
      <c r="N1348" t="s">
        <v>37</v>
      </c>
      <c r="O1348">
        <v>0</v>
      </c>
      <c r="P1348">
        <v>0</v>
      </c>
      <c r="Q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 t="s">
        <v>36</v>
      </c>
      <c r="AC1348" t="s">
        <v>687</v>
      </c>
      <c r="AD1348" t="str">
        <f t="shared" si="42"/>
        <v>CP</v>
      </c>
      <c r="AE1348" t="str">
        <f>_xlfn.XLOOKUP(D1348,Mapping!A:A,Mapping!D:D,0,0)</f>
        <v>Ocean</v>
      </c>
      <c r="AF1348" t="str">
        <f t="shared" si="43"/>
        <v>OLD</v>
      </c>
    </row>
    <row r="1349" spans="1:32" x14ac:dyDescent="0.2">
      <c r="A1349" t="s">
        <v>1119</v>
      </c>
      <c r="B1349" t="s">
        <v>39</v>
      </c>
      <c r="C1349">
        <v>1012710992</v>
      </c>
      <c r="D1349" t="s">
        <v>361</v>
      </c>
      <c r="E1349" t="s">
        <v>31</v>
      </c>
      <c r="F1349" s="1">
        <v>0.67291666666666672</v>
      </c>
      <c r="G1349" t="s">
        <v>32</v>
      </c>
      <c r="H1349" t="s">
        <v>33</v>
      </c>
      <c r="I1349" t="s">
        <v>34</v>
      </c>
      <c r="J1349" t="s">
        <v>84</v>
      </c>
      <c r="K1349">
        <v>372</v>
      </c>
      <c r="L1349">
        <v>0</v>
      </c>
      <c r="M1349" t="s">
        <v>36</v>
      </c>
      <c r="N1349" t="s">
        <v>37</v>
      </c>
      <c r="O1349">
        <v>0</v>
      </c>
      <c r="P1349">
        <v>0</v>
      </c>
      <c r="Q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 t="s">
        <v>36</v>
      </c>
      <c r="AC1349" t="s">
        <v>687</v>
      </c>
      <c r="AD1349" t="str">
        <f t="shared" si="42"/>
        <v>CP</v>
      </c>
      <c r="AE1349" t="str">
        <f>_xlfn.XLOOKUP(D1349,Mapping!A:A,Mapping!D:D,0,0)</f>
        <v>Bin</v>
      </c>
      <c r="AF1349" t="str">
        <f t="shared" si="43"/>
        <v>OLD</v>
      </c>
    </row>
    <row r="1350" spans="1:32" x14ac:dyDescent="0.2">
      <c r="A1350" t="s">
        <v>1119</v>
      </c>
      <c r="B1350" t="s">
        <v>39</v>
      </c>
      <c r="C1350">
        <v>1012711002</v>
      </c>
      <c r="D1350" t="s">
        <v>362</v>
      </c>
      <c r="E1350" t="s">
        <v>31</v>
      </c>
      <c r="F1350" s="1">
        <v>0.67291666666666672</v>
      </c>
      <c r="G1350" t="s">
        <v>32</v>
      </c>
      <c r="H1350" t="s">
        <v>33</v>
      </c>
      <c r="I1350" t="s">
        <v>41</v>
      </c>
      <c r="J1350" t="s">
        <v>62</v>
      </c>
      <c r="K1350">
        <v>930</v>
      </c>
      <c r="L1350">
        <v>0</v>
      </c>
      <c r="M1350" t="s">
        <v>36</v>
      </c>
      <c r="N1350" t="s">
        <v>37</v>
      </c>
      <c r="O1350">
        <v>0</v>
      </c>
      <c r="P1350">
        <v>0</v>
      </c>
      <c r="Q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 t="s">
        <v>36</v>
      </c>
      <c r="AC1350" t="s">
        <v>687</v>
      </c>
      <c r="AD1350" t="str">
        <f t="shared" si="42"/>
        <v>CP</v>
      </c>
      <c r="AE1350" t="str">
        <f>_xlfn.XLOOKUP(D1350,Mapping!A:A,Mapping!D:D,0,0)</f>
        <v>Bin</v>
      </c>
      <c r="AF1350" t="str">
        <f t="shared" si="43"/>
        <v>OLD</v>
      </c>
    </row>
    <row r="1351" spans="1:32" x14ac:dyDescent="0.2">
      <c r="A1351" t="s">
        <v>1119</v>
      </c>
      <c r="B1351" t="s">
        <v>29</v>
      </c>
      <c r="C1351">
        <v>1012711012</v>
      </c>
      <c r="D1351" t="s">
        <v>363</v>
      </c>
      <c r="E1351" t="s">
        <v>31</v>
      </c>
      <c r="F1351" s="1">
        <v>0.67291666666666672</v>
      </c>
      <c r="G1351" t="s">
        <v>32</v>
      </c>
      <c r="H1351" t="s">
        <v>33</v>
      </c>
      <c r="I1351" t="s">
        <v>41</v>
      </c>
      <c r="J1351" t="s">
        <v>62</v>
      </c>
      <c r="K1351">
        <v>810</v>
      </c>
      <c r="L1351">
        <v>0</v>
      </c>
      <c r="M1351" t="s">
        <v>36</v>
      </c>
      <c r="N1351" t="s">
        <v>37</v>
      </c>
      <c r="O1351">
        <v>1372</v>
      </c>
      <c r="P1351">
        <v>97</v>
      </c>
      <c r="Q1351">
        <v>7.0699699999999996</v>
      </c>
      <c r="R1351">
        <v>0</v>
      </c>
      <c r="S1351">
        <v>1.92</v>
      </c>
      <c r="T1351">
        <v>1.3979999999999999</v>
      </c>
      <c r="U1351">
        <v>0.02</v>
      </c>
      <c r="V1351">
        <v>0</v>
      </c>
      <c r="W1351">
        <v>1</v>
      </c>
      <c r="X1351">
        <v>0</v>
      </c>
      <c r="Y1351" t="s">
        <v>36</v>
      </c>
      <c r="Z1351">
        <v>1372</v>
      </c>
      <c r="AA1351">
        <v>1204</v>
      </c>
      <c r="AB1351">
        <v>124</v>
      </c>
      <c r="AC1351" t="s">
        <v>687</v>
      </c>
      <c r="AD1351" t="str">
        <f t="shared" si="42"/>
        <v>CP</v>
      </c>
      <c r="AE1351" t="str">
        <f>_xlfn.XLOOKUP(D1351,Mapping!A:A,Mapping!D:D,0,0)</f>
        <v>Ocean</v>
      </c>
      <c r="AF1351" t="str">
        <f t="shared" si="43"/>
        <v>OLD</v>
      </c>
    </row>
    <row r="1352" spans="1:32" x14ac:dyDescent="0.2">
      <c r="A1352" t="s">
        <v>1119</v>
      </c>
      <c r="B1352" t="s">
        <v>39</v>
      </c>
      <c r="C1352">
        <v>1012711022</v>
      </c>
      <c r="D1352" t="s">
        <v>364</v>
      </c>
      <c r="E1352" t="s">
        <v>31</v>
      </c>
      <c r="F1352" s="1">
        <v>0.67291666666666672</v>
      </c>
      <c r="G1352" t="s">
        <v>32</v>
      </c>
      <c r="H1352" t="s">
        <v>33</v>
      </c>
      <c r="I1352" t="s">
        <v>41</v>
      </c>
      <c r="J1352" t="s">
        <v>62</v>
      </c>
      <c r="K1352">
        <v>930</v>
      </c>
      <c r="L1352">
        <v>0</v>
      </c>
      <c r="M1352" t="s">
        <v>36</v>
      </c>
      <c r="N1352" t="s">
        <v>37</v>
      </c>
      <c r="O1352">
        <v>0</v>
      </c>
      <c r="P1352">
        <v>0</v>
      </c>
      <c r="Q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 t="s">
        <v>36</v>
      </c>
      <c r="AC1352" t="s">
        <v>687</v>
      </c>
      <c r="AD1352" t="str">
        <f t="shared" si="42"/>
        <v>CP</v>
      </c>
      <c r="AE1352" t="str">
        <f>_xlfn.XLOOKUP(D1352,Mapping!A:A,Mapping!D:D,0,0)</f>
        <v>Bin</v>
      </c>
      <c r="AF1352" t="str">
        <f t="shared" si="43"/>
        <v>OLD</v>
      </c>
    </row>
    <row r="1353" spans="1:32" x14ac:dyDescent="0.2">
      <c r="A1353" t="s">
        <v>1119</v>
      </c>
      <c r="B1353" t="s">
        <v>29</v>
      </c>
      <c r="C1353">
        <v>1012711032</v>
      </c>
      <c r="D1353" t="s">
        <v>365</v>
      </c>
      <c r="E1353" t="s">
        <v>31</v>
      </c>
      <c r="F1353" s="1">
        <v>0.67291666666666672</v>
      </c>
      <c r="G1353" t="s">
        <v>32</v>
      </c>
      <c r="H1353" t="s">
        <v>33</v>
      </c>
      <c r="I1353" t="s">
        <v>34</v>
      </c>
      <c r="J1353" t="s">
        <v>84</v>
      </c>
      <c r="K1353">
        <v>372</v>
      </c>
      <c r="L1353">
        <v>0</v>
      </c>
      <c r="M1353" t="s">
        <v>36</v>
      </c>
      <c r="N1353" t="s">
        <v>37</v>
      </c>
      <c r="O1353">
        <v>2403</v>
      </c>
      <c r="P1353">
        <v>79</v>
      </c>
      <c r="Q1353">
        <v>3.28756</v>
      </c>
      <c r="R1353">
        <v>0</v>
      </c>
      <c r="S1353">
        <v>7.35</v>
      </c>
      <c r="T1353">
        <v>3.0609999999999999</v>
      </c>
      <c r="U1353">
        <v>9.2999999999999999E-2</v>
      </c>
      <c r="V1353">
        <v>0</v>
      </c>
      <c r="W1353">
        <v>1</v>
      </c>
      <c r="X1353">
        <v>0</v>
      </c>
      <c r="Y1353" t="s">
        <v>36</v>
      </c>
      <c r="Z1353">
        <v>2403</v>
      </c>
      <c r="AA1353">
        <v>1977</v>
      </c>
      <c r="AB1353">
        <v>226</v>
      </c>
      <c r="AC1353" t="s">
        <v>687</v>
      </c>
      <c r="AD1353" t="str">
        <f t="shared" si="42"/>
        <v>CP</v>
      </c>
      <c r="AE1353" t="str">
        <f>_xlfn.XLOOKUP(D1353,Mapping!A:A,Mapping!D:D,0,0)</f>
        <v>Keyword - Preroll</v>
      </c>
      <c r="AF1353" t="str">
        <f t="shared" si="43"/>
        <v>OLD</v>
      </c>
    </row>
    <row r="1354" spans="1:32" x14ac:dyDescent="0.2">
      <c r="A1354" t="s">
        <v>1119</v>
      </c>
      <c r="B1354" t="s">
        <v>39</v>
      </c>
      <c r="C1354">
        <v>1012711042</v>
      </c>
      <c r="D1354" t="s">
        <v>366</v>
      </c>
      <c r="E1354" t="s">
        <v>31</v>
      </c>
      <c r="F1354" s="1">
        <v>0.67291666666666672</v>
      </c>
      <c r="G1354" t="s">
        <v>32</v>
      </c>
      <c r="H1354" t="s">
        <v>33</v>
      </c>
      <c r="I1354" t="s">
        <v>41</v>
      </c>
      <c r="J1354" t="s">
        <v>62</v>
      </c>
      <c r="K1354">
        <v>930</v>
      </c>
      <c r="L1354">
        <v>0</v>
      </c>
      <c r="M1354" t="s">
        <v>36</v>
      </c>
      <c r="N1354" t="s">
        <v>37</v>
      </c>
      <c r="O1354">
        <v>0</v>
      </c>
      <c r="P1354">
        <v>0</v>
      </c>
      <c r="Q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 t="s">
        <v>36</v>
      </c>
      <c r="AC1354" t="s">
        <v>687</v>
      </c>
      <c r="AD1354" t="str">
        <f t="shared" si="42"/>
        <v>CP</v>
      </c>
      <c r="AE1354" t="str">
        <f>_xlfn.XLOOKUP(D1354,Mapping!A:A,Mapping!D:D,0,0)</f>
        <v>Bin</v>
      </c>
      <c r="AF1354" t="str">
        <f t="shared" si="43"/>
        <v>OLD</v>
      </c>
    </row>
    <row r="1355" spans="1:32" x14ac:dyDescent="0.2">
      <c r="A1355" t="s">
        <v>1119</v>
      </c>
      <c r="B1355" t="s">
        <v>39</v>
      </c>
      <c r="C1355">
        <v>1012711052</v>
      </c>
      <c r="D1355" t="s">
        <v>367</v>
      </c>
      <c r="E1355" t="s">
        <v>31</v>
      </c>
      <c r="F1355" s="1">
        <v>0.67291666666666672</v>
      </c>
      <c r="G1355" t="s">
        <v>32</v>
      </c>
      <c r="H1355" t="s">
        <v>33</v>
      </c>
      <c r="I1355" t="s">
        <v>41</v>
      </c>
      <c r="J1355" t="s">
        <v>62</v>
      </c>
      <c r="K1355">
        <v>930</v>
      </c>
      <c r="L1355">
        <v>0</v>
      </c>
      <c r="M1355" t="s">
        <v>36</v>
      </c>
      <c r="N1355" t="s">
        <v>37</v>
      </c>
      <c r="O1355">
        <v>0</v>
      </c>
      <c r="P1355">
        <v>0</v>
      </c>
      <c r="Q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 t="s">
        <v>36</v>
      </c>
      <c r="AC1355" t="s">
        <v>687</v>
      </c>
      <c r="AD1355" t="str">
        <f t="shared" si="42"/>
        <v>CP</v>
      </c>
      <c r="AE1355" t="str">
        <f>_xlfn.XLOOKUP(D1355,Mapping!A:A,Mapping!D:D,0,0)</f>
        <v>Bin</v>
      </c>
      <c r="AF1355" t="str">
        <f t="shared" si="43"/>
        <v>OLD</v>
      </c>
    </row>
    <row r="1356" spans="1:32" x14ac:dyDescent="0.2">
      <c r="A1356" t="s">
        <v>1119</v>
      </c>
      <c r="B1356" t="s">
        <v>39</v>
      </c>
      <c r="C1356">
        <v>1012711062</v>
      </c>
      <c r="D1356" t="s">
        <v>368</v>
      </c>
      <c r="E1356" t="s">
        <v>31</v>
      </c>
      <c r="F1356" s="1">
        <v>0.67291666666666672</v>
      </c>
      <c r="G1356" t="s">
        <v>32</v>
      </c>
      <c r="H1356" t="s">
        <v>33</v>
      </c>
      <c r="I1356" t="s">
        <v>34</v>
      </c>
      <c r="J1356" t="s">
        <v>84</v>
      </c>
      <c r="K1356">
        <v>372</v>
      </c>
      <c r="L1356">
        <v>0</v>
      </c>
      <c r="M1356" t="s">
        <v>36</v>
      </c>
      <c r="N1356" t="s">
        <v>37</v>
      </c>
      <c r="O1356">
        <v>0</v>
      </c>
      <c r="P1356">
        <v>0</v>
      </c>
      <c r="Q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 t="s">
        <v>36</v>
      </c>
      <c r="AC1356" t="s">
        <v>687</v>
      </c>
      <c r="AD1356" t="str">
        <f t="shared" si="42"/>
        <v>CP</v>
      </c>
      <c r="AE1356" t="str">
        <f>_xlfn.XLOOKUP(D1356,Mapping!A:A,Mapping!D:D,0,0)</f>
        <v>Bin</v>
      </c>
      <c r="AF1356" t="str">
        <f t="shared" si="43"/>
        <v>OLD</v>
      </c>
    </row>
    <row r="1357" spans="1:32" x14ac:dyDescent="0.2">
      <c r="A1357" t="s">
        <v>1119</v>
      </c>
      <c r="B1357" t="s">
        <v>39</v>
      </c>
      <c r="C1357">
        <v>1012711072</v>
      </c>
      <c r="D1357" t="s">
        <v>369</v>
      </c>
      <c r="E1357" t="s">
        <v>31</v>
      </c>
      <c r="F1357" s="1">
        <v>0.67291666666666672</v>
      </c>
      <c r="G1357" t="s">
        <v>32</v>
      </c>
      <c r="H1357" t="s">
        <v>33</v>
      </c>
      <c r="I1357" t="s">
        <v>41</v>
      </c>
      <c r="J1357" t="s">
        <v>62</v>
      </c>
      <c r="K1357">
        <v>930</v>
      </c>
      <c r="L1357">
        <v>0</v>
      </c>
      <c r="M1357" t="s">
        <v>36</v>
      </c>
      <c r="N1357" t="s">
        <v>37</v>
      </c>
      <c r="O1357">
        <v>0</v>
      </c>
      <c r="P1357">
        <v>0</v>
      </c>
      <c r="Q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 t="s">
        <v>36</v>
      </c>
      <c r="AC1357" t="s">
        <v>687</v>
      </c>
      <c r="AD1357" t="str">
        <f t="shared" si="42"/>
        <v>CP</v>
      </c>
      <c r="AE1357" t="str">
        <f>_xlfn.XLOOKUP(D1357,Mapping!A:A,Mapping!D:D,0,0)</f>
        <v>Bin</v>
      </c>
      <c r="AF1357" t="str">
        <f t="shared" si="43"/>
        <v>OLD</v>
      </c>
    </row>
    <row r="1358" spans="1:32" x14ac:dyDescent="0.2">
      <c r="A1358" t="s">
        <v>1119</v>
      </c>
      <c r="B1358" t="s">
        <v>39</v>
      </c>
      <c r="C1358">
        <v>1012711082</v>
      </c>
      <c r="D1358" t="s">
        <v>370</v>
      </c>
      <c r="E1358" t="s">
        <v>31</v>
      </c>
      <c r="F1358" s="1">
        <v>0.67291666666666672</v>
      </c>
      <c r="G1358" t="s">
        <v>32</v>
      </c>
      <c r="H1358" t="s">
        <v>33</v>
      </c>
      <c r="I1358" t="s">
        <v>41</v>
      </c>
      <c r="J1358" t="s">
        <v>84</v>
      </c>
      <c r="K1358">
        <v>558</v>
      </c>
      <c r="L1358">
        <v>0</v>
      </c>
      <c r="M1358" t="s">
        <v>63</v>
      </c>
      <c r="N1358">
        <v>250</v>
      </c>
      <c r="O1358">
        <v>0</v>
      </c>
      <c r="P1358">
        <v>0</v>
      </c>
      <c r="Q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 t="s">
        <v>36</v>
      </c>
      <c r="AC1358" t="s">
        <v>687</v>
      </c>
      <c r="AD1358" t="str">
        <f t="shared" si="42"/>
        <v>CP</v>
      </c>
      <c r="AE1358" t="str">
        <f>_xlfn.XLOOKUP(D1358,Mapping!A:A,Mapping!D:D,0,0)</f>
        <v>Bin</v>
      </c>
      <c r="AF1358" t="str">
        <f t="shared" si="43"/>
        <v>OLD</v>
      </c>
    </row>
    <row r="1359" spans="1:32" x14ac:dyDescent="0.2">
      <c r="A1359" t="s">
        <v>1119</v>
      </c>
      <c r="B1359" t="s">
        <v>39</v>
      </c>
      <c r="C1359">
        <v>1012718322</v>
      </c>
      <c r="D1359" t="s">
        <v>371</v>
      </c>
      <c r="E1359" t="s">
        <v>31</v>
      </c>
      <c r="F1359" s="1">
        <v>0.67291666666666672</v>
      </c>
      <c r="G1359" t="s">
        <v>32</v>
      </c>
      <c r="H1359" t="s">
        <v>33</v>
      </c>
      <c r="I1359" t="s">
        <v>41</v>
      </c>
      <c r="J1359" t="s">
        <v>84</v>
      </c>
      <c r="K1359">
        <v>614</v>
      </c>
      <c r="L1359">
        <v>0</v>
      </c>
      <c r="M1359" t="s">
        <v>63</v>
      </c>
      <c r="N1359">
        <v>250</v>
      </c>
      <c r="O1359">
        <v>0</v>
      </c>
      <c r="P1359">
        <v>0</v>
      </c>
      <c r="Q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 t="s">
        <v>36</v>
      </c>
      <c r="AC1359" t="s">
        <v>687</v>
      </c>
      <c r="AD1359" t="str">
        <f t="shared" si="42"/>
        <v>CP</v>
      </c>
      <c r="AE1359" t="str">
        <f>_xlfn.XLOOKUP(D1359,Mapping!A:A,Mapping!D:D,0,0)</f>
        <v>Bin</v>
      </c>
      <c r="AF1359" t="str">
        <f t="shared" si="43"/>
        <v>OLD</v>
      </c>
    </row>
    <row r="1360" spans="1:32" x14ac:dyDescent="0.2">
      <c r="A1360" t="s">
        <v>1119</v>
      </c>
      <c r="B1360" t="s">
        <v>39</v>
      </c>
      <c r="C1360">
        <v>1012718332</v>
      </c>
      <c r="D1360" t="s">
        <v>372</v>
      </c>
      <c r="E1360" t="s">
        <v>31</v>
      </c>
      <c r="F1360" s="1">
        <v>0.67291666666666672</v>
      </c>
      <c r="G1360" t="s">
        <v>32</v>
      </c>
      <c r="H1360" t="s">
        <v>33</v>
      </c>
      <c r="I1360" t="s">
        <v>41</v>
      </c>
      <c r="J1360" t="s">
        <v>84</v>
      </c>
      <c r="K1360">
        <v>614</v>
      </c>
      <c r="L1360">
        <v>0</v>
      </c>
      <c r="M1360" t="s">
        <v>36</v>
      </c>
      <c r="N1360" t="s">
        <v>37</v>
      </c>
      <c r="O1360">
        <v>0</v>
      </c>
      <c r="P1360">
        <v>0</v>
      </c>
      <c r="Q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 t="s">
        <v>36</v>
      </c>
      <c r="AC1360" t="s">
        <v>687</v>
      </c>
      <c r="AD1360" t="str">
        <f t="shared" si="42"/>
        <v>CP</v>
      </c>
      <c r="AE1360" t="str">
        <f>_xlfn.XLOOKUP(D1360,Mapping!A:A,Mapping!D:D,0,0)</f>
        <v>Bin</v>
      </c>
      <c r="AF1360" t="str">
        <f t="shared" si="43"/>
        <v>OLD</v>
      </c>
    </row>
    <row r="1361" spans="1:32" x14ac:dyDescent="0.2">
      <c r="A1361" t="s">
        <v>1119</v>
      </c>
      <c r="B1361" t="s">
        <v>39</v>
      </c>
      <c r="C1361">
        <v>1012718342</v>
      </c>
      <c r="D1361" t="s">
        <v>373</v>
      </c>
      <c r="E1361" t="s">
        <v>31</v>
      </c>
      <c r="F1361" s="1">
        <v>0.67291666666666672</v>
      </c>
      <c r="G1361" t="s">
        <v>32</v>
      </c>
      <c r="H1361" t="s">
        <v>33</v>
      </c>
      <c r="I1361" t="s">
        <v>41</v>
      </c>
      <c r="J1361" t="s">
        <v>84</v>
      </c>
      <c r="K1361">
        <v>254</v>
      </c>
      <c r="L1361">
        <v>0</v>
      </c>
      <c r="M1361" t="s">
        <v>36</v>
      </c>
      <c r="N1361" t="s">
        <v>37</v>
      </c>
      <c r="O1361">
        <v>0</v>
      </c>
      <c r="P1361">
        <v>0</v>
      </c>
      <c r="Q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 t="s">
        <v>36</v>
      </c>
      <c r="AC1361" t="s">
        <v>687</v>
      </c>
      <c r="AD1361" t="str">
        <f t="shared" si="42"/>
        <v>CP</v>
      </c>
      <c r="AE1361" t="str">
        <f>_xlfn.XLOOKUP(D1361,Mapping!A:A,Mapping!D:D,0,0)</f>
        <v>Bin</v>
      </c>
      <c r="AF1361" t="str">
        <f t="shared" si="43"/>
        <v>OLD</v>
      </c>
    </row>
    <row r="1362" spans="1:32" x14ac:dyDescent="0.2">
      <c r="A1362" t="s">
        <v>1119</v>
      </c>
      <c r="B1362" t="s">
        <v>39</v>
      </c>
      <c r="C1362">
        <v>1012718362</v>
      </c>
      <c r="D1362" t="s">
        <v>374</v>
      </c>
      <c r="E1362" t="s">
        <v>31</v>
      </c>
      <c r="F1362" s="1">
        <v>0.67291666666666672</v>
      </c>
      <c r="G1362" t="s">
        <v>32</v>
      </c>
      <c r="H1362" t="s">
        <v>33</v>
      </c>
      <c r="I1362" t="s">
        <v>41</v>
      </c>
      <c r="J1362" t="s">
        <v>84</v>
      </c>
      <c r="K1362">
        <v>254</v>
      </c>
      <c r="L1362">
        <v>0</v>
      </c>
      <c r="M1362" t="s">
        <v>63</v>
      </c>
      <c r="N1362">
        <v>250</v>
      </c>
      <c r="O1362">
        <v>0</v>
      </c>
      <c r="P1362">
        <v>0</v>
      </c>
      <c r="Q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 t="s">
        <v>36</v>
      </c>
      <c r="AC1362" t="s">
        <v>687</v>
      </c>
      <c r="AD1362" t="str">
        <f t="shared" si="42"/>
        <v>CP</v>
      </c>
      <c r="AE1362" t="str">
        <f>_xlfn.XLOOKUP(D1362,Mapping!A:A,Mapping!D:D,0,0)</f>
        <v>Bin</v>
      </c>
      <c r="AF1362" t="str">
        <f t="shared" si="43"/>
        <v>OLD</v>
      </c>
    </row>
    <row r="1363" spans="1:32" x14ac:dyDescent="0.2">
      <c r="A1363" t="s">
        <v>1119</v>
      </c>
      <c r="B1363" t="s">
        <v>39</v>
      </c>
      <c r="C1363">
        <v>1012718372</v>
      </c>
      <c r="D1363" t="s">
        <v>375</v>
      </c>
      <c r="E1363" t="s">
        <v>31</v>
      </c>
      <c r="F1363" s="1">
        <v>0.67291666666666672</v>
      </c>
      <c r="G1363" t="s">
        <v>32</v>
      </c>
      <c r="H1363" t="s">
        <v>33</v>
      </c>
      <c r="I1363" t="s">
        <v>41</v>
      </c>
      <c r="J1363" t="s">
        <v>84</v>
      </c>
      <c r="K1363">
        <v>120</v>
      </c>
      <c r="L1363">
        <v>0</v>
      </c>
      <c r="M1363" t="s">
        <v>36</v>
      </c>
      <c r="N1363" t="s">
        <v>37</v>
      </c>
      <c r="O1363">
        <v>0</v>
      </c>
      <c r="P1363">
        <v>0</v>
      </c>
      <c r="Q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 t="s">
        <v>36</v>
      </c>
      <c r="AC1363" t="s">
        <v>687</v>
      </c>
      <c r="AD1363" t="str">
        <f t="shared" si="42"/>
        <v>CP</v>
      </c>
      <c r="AE1363" t="str">
        <f>_xlfn.XLOOKUP(D1363,Mapping!A:A,Mapping!D:D,0,0)</f>
        <v>Bin</v>
      </c>
      <c r="AF1363" t="str">
        <f t="shared" si="43"/>
        <v>OLD</v>
      </c>
    </row>
    <row r="1364" spans="1:32" x14ac:dyDescent="0.2">
      <c r="A1364" t="s">
        <v>1119</v>
      </c>
      <c r="B1364" t="s">
        <v>39</v>
      </c>
      <c r="C1364">
        <v>1012718382</v>
      </c>
      <c r="D1364" t="s">
        <v>376</v>
      </c>
      <c r="E1364" t="s">
        <v>31</v>
      </c>
      <c r="F1364" s="1">
        <v>0.67291666666666672</v>
      </c>
      <c r="G1364" t="s">
        <v>32</v>
      </c>
      <c r="H1364" t="s">
        <v>33</v>
      </c>
      <c r="I1364" t="s">
        <v>41</v>
      </c>
      <c r="J1364" t="s">
        <v>84</v>
      </c>
      <c r="K1364">
        <v>254</v>
      </c>
      <c r="L1364">
        <v>0</v>
      </c>
      <c r="M1364" t="s">
        <v>63</v>
      </c>
      <c r="N1364">
        <v>250</v>
      </c>
      <c r="O1364">
        <v>0</v>
      </c>
      <c r="P1364">
        <v>0</v>
      </c>
      <c r="Q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 t="s">
        <v>36</v>
      </c>
      <c r="AC1364" t="s">
        <v>687</v>
      </c>
      <c r="AD1364" t="str">
        <f t="shared" si="42"/>
        <v>CP</v>
      </c>
      <c r="AE1364" t="str">
        <f>_xlfn.XLOOKUP(D1364,Mapping!A:A,Mapping!D:D,0,0)</f>
        <v>Bin</v>
      </c>
      <c r="AF1364" t="str">
        <f t="shared" si="43"/>
        <v>OLD</v>
      </c>
    </row>
    <row r="1365" spans="1:32" x14ac:dyDescent="0.2">
      <c r="A1365" t="s">
        <v>1119</v>
      </c>
      <c r="B1365" t="s">
        <v>39</v>
      </c>
      <c r="C1365">
        <v>1012718502</v>
      </c>
      <c r="D1365" t="s">
        <v>377</v>
      </c>
      <c r="E1365" t="s">
        <v>31</v>
      </c>
      <c r="F1365" s="1">
        <v>0.67291666666666672</v>
      </c>
      <c r="G1365" t="s">
        <v>32</v>
      </c>
      <c r="H1365" t="s">
        <v>33</v>
      </c>
      <c r="I1365" t="s">
        <v>41</v>
      </c>
      <c r="J1365" t="s">
        <v>84</v>
      </c>
      <c r="K1365">
        <v>280</v>
      </c>
      <c r="L1365">
        <v>0</v>
      </c>
      <c r="M1365" t="s">
        <v>36</v>
      </c>
      <c r="N1365" t="s">
        <v>37</v>
      </c>
      <c r="O1365">
        <v>0</v>
      </c>
      <c r="P1365">
        <v>0</v>
      </c>
      <c r="Q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 t="s">
        <v>36</v>
      </c>
      <c r="AC1365" t="s">
        <v>687</v>
      </c>
      <c r="AD1365" t="str">
        <f t="shared" ref="AD1365:AD1428" si="44">LEFT(D1365,2)</f>
        <v>CP</v>
      </c>
      <c r="AE1365" t="str">
        <f>_xlfn.XLOOKUP(D1365,Mapping!A:A,Mapping!D:D,0,0)</f>
        <v>Bin</v>
      </c>
      <c r="AF1365" t="str">
        <f t="shared" ref="AF1365:AF1428" si="45">IFERROR(IF(SEARCH("_TJ",D1365)&gt;0,"TJ",NA()),IFERROR(IF(SEARCH("_JB",D1365)&gt;0,"JB",NA()),"OLD"))</f>
        <v>OLD</v>
      </c>
    </row>
    <row r="1366" spans="1:32" x14ac:dyDescent="0.2">
      <c r="A1366" t="s">
        <v>1119</v>
      </c>
      <c r="B1366" t="s">
        <v>39</v>
      </c>
      <c r="C1366">
        <v>1012718512</v>
      </c>
      <c r="D1366" t="s">
        <v>378</v>
      </c>
      <c r="E1366" t="s">
        <v>31</v>
      </c>
      <c r="F1366" s="1">
        <v>0.67291666666666672</v>
      </c>
      <c r="G1366" t="s">
        <v>32</v>
      </c>
      <c r="H1366" t="s">
        <v>33</v>
      </c>
      <c r="I1366" t="s">
        <v>41</v>
      </c>
      <c r="J1366" t="s">
        <v>84</v>
      </c>
      <c r="K1366">
        <v>254</v>
      </c>
      <c r="L1366">
        <v>0</v>
      </c>
      <c r="M1366" t="s">
        <v>63</v>
      </c>
      <c r="N1366">
        <v>250</v>
      </c>
      <c r="O1366">
        <v>0</v>
      </c>
      <c r="P1366">
        <v>0</v>
      </c>
      <c r="Q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 t="s">
        <v>36</v>
      </c>
      <c r="AC1366" t="s">
        <v>687</v>
      </c>
      <c r="AD1366" t="str">
        <f t="shared" si="44"/>
        <v>CP</v>
      </c>
      <c r="AE1366" t="str">
        <f>_xlfn.XLOOKUP(D1366,Mapping!A:A,Mapping!D:D,0,0)</f>
        <v>Bin</v>
      </c>
      <c r="AF1366" t="str">
        <f t="shared" si="45"/>
        <v>OLD</v>
      </c>
    </row>
    <row r="1367" spans="1:32" x14ac:dyDescent="0.2">
      <c r="A1367" t="s">
        <v>1119</v>
      </c>
      <c r="B1367" t="s">
        <v>39</v>
      </c>
      <c r="C1367">
        <v>1012719952</v>
      </c>
      <c r="D1367" t="s">
        <v>379</v>
      </c>
      <c r="E1367" t="s">
        <v>31</v>
      </c>
      <c r="F1367" s="1">
        <v>0.67291666666666672</v>
      </c>
      <c r="G1367" t="s">
        <v>32</v>
      </c>
      <c r="H1367" t="s">
        <v>33</v>
      </c>
      <c r="I1367" t="s">
        <v>41</v>
      </c>
      <c r="J1367" t="s">
        <v>84</v>
      </c>
      <c r="K1367">
        <v>280</v>
      </c>
      <c r="L1367">
        <v>0</v>
      </c>
      <c r="M1367" t="s">
        <v>36</v>
      </c>
      <c r="N1367" t="s">
        <v>37</v>
      </c>
      <c r="O1367">
        <v>0</v>
      </c>
      <c r="P1367">
        <v>0</v>
      </c>
      <c r="Q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 t="s">
        <v>36</v>
      </c>
      <c r="AC1367" t="s">
        <v>687</v>
      </c>
      <c r="AD1367" t="str">
        <f t="shared" si="44"/>
        <v>CP</v>
      </c>
      <c r="AE1367" t="str">
        <f>_xlfn.XLOOKUP(D1367,Mapping!A:A,Mapping!D:D,0,0)</f>
        <v>Bin</v>
      </c>
      <c r="AF1367" t="str">
        <f t="shared" si="45"/>
        <v>OLD</v>
      </c>
    </row>
    <row r="1368" spans="1:32" x14ac:dyDescent="0.2">
      <c r="A1368" t="s">
        <v>1119</v>
      </c>
      <c r="B1368" t="s">
        <v>39</v>
      </c>
      <c r="C1368">
        <v>1012719972</v>
      </c>
      <c r="D1368" t="s">
        <v>380</v>
      </c>
      <c r="E1368" t="s">
        <v>31</v>
      </c>
      <c r="F1368" s="1">
        <v>0.67291666666666672</v>
      </c>
      <c r="G1368" t="s">
        <v>32</v>
      </c>
      <c r="H1368" t="s">
        <v>33</v>
      </c>
      <c r="I1368" t="s">
        <v>41</v>
      </c>
      <c r="J1368" t="s">
        <v>84</v>
      </c>
      <c r="K1368">
        <v>644</v>
      </c>
      <c r="L1368">
        <v>0</v>
      </c>
      <c r="M1368" t="s">
        <v>63</v>
      </c>
      <c r="N1368">
        <v>150</v>
      </c>
      <c r="O1368">
        <v>0</v>
      </c>
      <c r="P1368">
        <v>0</v>
      </c>
      <c r="Q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 t="s">
        <v>36</v>
      </c>
      <c r="AC1368" t="s">
        <v>687</v>
      </c>
      <c r="AD1368" t="str">
        <f t="shared" si="44"/>
        <v>CP</v>
      </c>
      <c r="AE1368" t="str">
        <f>_xlfn.XLOOKUP(D1368,Mapping!A:A,Mapping!D:D,0,0)</f>
        <v>Bin</v>
      </c>
      <c r="AF1368" t="str">
        <f t="shared" si="45"/>
        <v>OLD</v>
      </c>
    </row>
    <row r="1369" spans="1:32" x14ac:dyDescent="0.2">
      <c r="A1369" t="s">
        <v>1119</v>
      </c>
      <c r="B1369" t="s">
        <v>39</v>
      </c>
      <c r="C1369">
        <v>1012719982</v>
      </c>
      <c r="D1369" t="s">
        <v>381</v>
      </c>
      <c r="E1369" t="s">
        <v>31</v>
      </c>
      <c r="F1369" s="1">
        <v>0.67291666666666672</v>
      </c>
      <c r="G1369" t="s">
        <v>32</v>
      </c>
      <c r="H1369" t="s">
        <v>33</v>
      </c>
      <c r="I1369" t="s">
        <v>41</v>
      </c>
      <c r="J1369" t="s">
        <v>84</v>
      </c>
      <c r="K1369">
        <v>644</v>
      </c>
      <c r="L1369">
        <v>0</v>
      </c>
      <c r="M1369" t="s">
        <v>63</v>
      </c>
      <c r="N1369">
        <v>250</v>
      </c>
      <c r="O1369">
        <v>0</v>
      </c>
      <c r="P1369">
        <v>0</v>
      </c>
      <c r="Q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 t="s">
        <v>36</v>
      </c>
      <c r="AC1369" t="s">
        <v>687</v>
      </c>
      <c r="AD1369" t="str">
        <f t="shared" si="44"/>
        <v>CP</v>
      </c>
      <c r="AE1369" t="str">
        <f>_xlfn.XLOOKUP(D1369,Mapping!A:A,Mapping!D:D,0,0)</f>
        <v>Bin</v>
      </c>
      <c r="AF1369" t="str">
        <f t="shared" si="45"/>
        <v>OLD</v>
      </c>
    </row>
    <row r="1370" spans="1:32" x14ac:dyDescent="0.2">
      <c r="A1370" t="s">
        <v>1119</v>
      </c>
      <c r="B1370" t="s">
        <v>39</v>
      </c>
      <c r="C1370">
        <v>1012726522</v>
      </c>
      <c r="D1370" t="s">
        <v>382</v>
      </c>
      <c r="E1370" t="s">
        <v>31</v>
      </c>
      <c r="F1370" s="1">
        <v>0.67291666666666672</v>
      </c>
      <c r="G1370" t="s">
        <v>32</v>
      </c>
      <c r="H1370" t="s">
        <v>33</v>
      </c>
      <c r="I1370" t="s">
        <v>41</v>
      </c>
      <c r="J1370" t="s">
        <v>62</v>
      </c>
      <c r="K1370">
        <v>280</v>
      </c>
      <c r="L1370">
        <v>0</v>
      </c>
      <c r="M1370" t="s">
        <v>36</v>
      </c>
      <c r="N1370" t="s">
        <v>37</v>
      </c>
      <c r="O1370">
        <v>0</v>
      </c>
      <c r="P1370">
        <v>0</v>
      </c>
      <c r="Q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 t="s">
        <v>36</v>
      </c>
      <c r="AC1370" t="s">
        <v>687</v>
      </c>
      <c r="AD1370" t="str">
        <f t="shared" si="44"/>
        <v>CP</v>
      </c>
      <c r="AE1370" t="str">
        <f>_xlfn.XLOOKUP(D1370,Mapping!A:A,Mapping!D:D,0,0)</f>
        <v>Bin</v>
      </c>
      <c r="AF1370" t="str">
        <f t="shared" si="45"/>
        <v>OLD</v>
      </c>
    </row>
    <row r="1371" spans="1:32" x14ac:dyDescent="0.2">
      <c r="A1371" t="s">
        <v>1119</v>
      </c>
      <c r="B1371" t="s">
        <v>39</v>
      </c>
      <c r="C1371">
        <v>1012726532</v>
      </c>
      <c r="D1371" t="s">
        <v>383</v>
      </c>
      <c r="E1371" t="s">
        <v>31</v>
      </c>
      <c r="F1371" s="1">
        <v>0.67291666666666672</v>
      </c>
      <c r="G1371" t="s">
        <v>32</v>
      </c>
      <c r="H1371" t="s">
        <v>33</v>
      </c>
      <c r="I1371" t="s">
        <v>34</v>
      </c>
      <c r="J1371" t="s">
        <v>84</v>
      </c>
      <c r="K1371">
        <v>112</v>
      </c>
      <c r="L1371">
        <v>0</v>
      </c>
      <c r="M1371" t="s">
        <v>36</v>
      </c>
      <c r="N1371" t="s">
        <v>37</v>
      </c>
      <c r="O1371">
        <v>0</v>
      </c>
      <c r="P1371">
        <v>0</v>
      </c>
      <c r="Q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 t="s">
        <v>36</v>
      </c>
      <c r="AC1371" t="s">
        <v>687</v>
      </c>
      <c r="AD1371" t="str">
        <f t="shared" si="44"/>
        <v>CP</v>
      </c>
      <c r="AE1371" t="str">
        <f>_xlfn.XLOOKUP(D1371,Mapping!A:A,Mapping!D:D,0,0)</f>
        <v>Bin</v>
      </c>
      <c r="AF1371" t="str">
        <f t="shared" si="45"/>
        <v>OLD</v>
      </c>
    </row>
    <row r="1372" spans="1:32" x14ac:dyDescent="0.2">
      <c r="A1372" t="s">
        <v>1119</v>
      </c>
      <c r="B1372" t="s">
        <v>39</v>
      </c>
      <c r="C1372">
        <v>1012726582</v>
      </c>
      <c r="D1372" t="s">
        <v>384</v>
      </c>
      <c r="E1372" t="s">
        <v>31</v>
      </c>
      <c r="F1372" s="1">
        <v>0.67291666666666672</v>
      </c>
      <c r="G1372" t="s">
        <v>32</v>
      </c>
      <c r="H1372" t="s">
        <v>33</v>
      </c>
      <c r="I1372" t="s">
        <v>41</v>
      </c>
      <c r="J1372" t="s">
        <v>62</v>
      </c>
      <c r="K1372">
        <v>280</v>
      </c>
      <c r="L1372">
        <v>0</v>
      </c>
      <c r="M1372" t="s">
        <v>63</v>
      </c>
      <c r="N1372">
        <v>150</v>
      </c>
      <c r="O1372">
        <v>0</v>
      </c>
      <c r="P1372">
        <v>0</v>
      </c>
      <c r="Q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 t="s">
        <v>36</v>
      </c>
      <c r="AC1372" t="s">
        <v>687</v>
      </c>
      <c r="AD1372" t="str">
        <f t="shared" si="44"/>
        <v>CP</v>
      </c>
      <c r="AE1372" t="str">
        <f>_xlfn.XLOOKUP(D1372,Mapping!A:A,Mapping!D:D,0,0)</f>
        <v>Bin</v>
      </c>
      <c r="AF1372" t="str">
        <f t="shared" si="45"/>
        <v>OLD</v>
      </c>
    </row>
    <row r="1373" spans="1:32" x14ac:dyDescent="0.2">
      <c r="A1373" t="s">
        <v>1119</v>
      </c>
      <c r="B1373" t="s">
        <v>39</v>
      </c>
      <c r="C1373">
        <v>1012726592</v>
      </c>
      <c r="D1373" t="s">
        <v>385</v>
      </c>
      <c r="E1373" t="s">
        <v>31</v>
      </c>
      <c r="F1373" s="1">
        <v>0.67291666666666672</v>
      </c>
      <c r="G1373" t="s">
        <v>32</v>
      </c>
      <c r="H1373" t="s">
        <v>33</v>
      </c>
      <c r="I1373" t="s">
        <v>41</v>
      </c>
      <c r="J1373" t="s">
        <v>62</v>
      </c>
      <c r="K1373">
        <v>280</v>
      </c>
      <c r="L1373">
        <v>0</v>
      </c>
      <c r="M1373" t="s">
        <v>36</v>
      </c>
      <c r="N1373" t="s">
        <v>37</v>
      </c>
      <c r="O1373">
        <v>0</v>
      </c>
      <c r="P1373">
        <v>0</v>
      </c>
      <c r="Q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 t="s">
        <v>36</v>
      </c>
      <c r="AC1373" t="s">
        <v>687</v>
      </c>
      <c r="AD1373" t="str">
        <f t="shared" si="44"/>
        <v>(c</v>
      </c>
      <c r="AE1373" t="str">
        <f>_xlfn.XLOOKUP(D1373,Mapping!A:A,Mapping!D:D,0,0)</f>
        <v>Bin</v>
      </c>
      <c r="AF1373" t="str">
        <f t="shared" si="45"/>
        <v>OLD</v>
      </c>
    </row>
    <row r="1374" spans="1:32" x14ac:dyDescent="0.2">
      <c r="A1374" t="s">
        <v>1119</v>
      </c>
      <c r="B1374" t="s">
        <v>39</v>
      </c>
      <c r="C1374">
        <v>1012726602</v>
      </c>
      <c r="D1374" t="s">
        <v>386</v>
      </c>
      <c r="E1374" t="s">
        <v>31</v>
      </c>
      <c r="F1374" s="1">
        <v>0.67291666666666672</v>
      </c>
      <c r="G1374" t="s">
        <v>32</v>
      </c>
      <c r="H1374" t="s">
        <v>33</v>
      </c>
      <c r="I1374" t="s">
        <v>41</v>
      </c>
      <c r="J1374" t="s">
        <v>62</v>
      </c>
      <c r="K1374">
        <v>280</v>
      </c>
      <c r="L1374">
        <v>0</v>
      </c>
      <c r="M1374" t="s">
        <v>36</v>
      </c>
      <c r="N1374" t="s">
        <v>37</v>
      </c>
      <c r="O1374">
        <v>0</v>
      </c>
      <c r="P1374">
        <v>0</v>
      </c>
      <c r="Q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 t="s">
        <v>36</v>
      </c>
      <c r="AC1374" t="s">
        <v>687</v>
      </c>
      <c r="AD1374" t="str">
        <f t="shared" si="44"/>
        <v>CP</v>
      </c>
      <c r="AE1374" t="str">
        <f>_xlfn.XLOOKUP(D1374,Mapping!A:A,Mapping!D:D,0,0)</f>
        <v>Bin</v>
      </c>
      <c r="AF1374" t="str">
        <f t="shared" si="45"/>
        <v>OLD</v>
      </c>
    </row>
    <row r="1375" spans="1:32" x14ac:dyDescent="0.2">
      <c r="A1375" t="s">
        <v>1119</v>
      </c>
      <c r="B1375" t="s">
        <v>39</v>
      </c>
      <c r="C1375">
        <v>1012726612</v>
      </c>
      <c r="D1375" t="s">
        <v>387</v>
      </c>
      <c r="E1375" t="s">
        <v>31</v>
      </c>
      <c r="F1375" s="1">
        <v>0.67291666666666672</v>
      </c>
      <c r="G1375" t="s">
        <v>32</v>
      </c>
      <c r="H1375" t="s">
        <v>33</v>
      </c>
      <c r="I1375" t="s">
        <v>41</v>
      </c>
      <c r="J1375" t="s">
        <v>62</v>
      </c>
      <c r="K1375">
        <v>280</v>
      </c>
      <c r="L1375">
        <v>0</v>
      </c>
      <c r="M1375" t="s">
        <v>36</v>
      </c>
      <c r="N1375" t="s">
        <v>37</v>
      </c>
      <c r="O1375">
        <v>0</v>
      </c>
      <c r="P1375">
        <v>0</v>
      </c>
      <c r="Q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 t="s">
        <v>36</v>
      </c>
      <c r="AC1375" t="s">
        <v>687</v>
      </c>
      <c r="AD1375" t="str">
        <f t="shared" si="44"/>
        <v>CP</v>
      </c>
      <c r="AE1375" t="str">
        <f>_xlfn.XLOOKUP(D1375,Mapping!A:A,Mapping!D:D,0,0)</f>
        <v>Bin</v>
      </c>
      <c r="AF1375" t="str">
        <f t="shared" si="45"/>
        <v>OLD</v>
      </c>
    </row>
    <row r="1376" spans="1:32" x14ac:dyDescent="0.2">
      <c r="A1376" t="s">
        <v>1119</v>
      </c>
      <c r="B1376" t="s">
        <v>39</v>
      </c>
      <c r="C1376">
        <v>1012726622</v>
      </c>
      <c r="D1376" t="s">
        <v>388</v>
      </c>
      <c r="E1376" t="s">
        <v>31</v>
      </c>
      <c r="F1376" s="1">
        <v>0.67291666666666672</v>
      </c>
      <c r="G1376" t="s">
        <v>32</v>
      </c>
      <c r="H1376" t="s">
        <v>33</v>
      </c>
      <c r="I1376" t="s">
        <v>34</v>
      </c>
      <c r="J1376" t="s">
        <v>84</v>
      </c>
      <c r="K1376">
        <v>112</v>
      </c>
      <c r="L1376">
        <v>0</v>
      </c>
      <c r="M1376" t="s">
        <v>36</v>
      </c>
      <c r="N1376" t="s">
        <v>37</v>
      </c>
      <c r="O1376">
        <v>0</v>
      </c>
      <c r="P1376">
        <v>0</v>
      </c>
      <c r="Q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 t="s">
        <v>36</v>
      </c>
      <c r="AC1376" t="s">
        <v>687</v>
      </c>
      <c r="AD1376" t="str">
        <f t="shared" si="44"/>
        <v>CP</v>
      </c>
      <c r="AE1376" t="str">
        <f>_xlfn.XLOOKUP(D1376,Mapping!A:A,Mapping!D:D,0,0)</f>
        <v>Bin</v>
      </c>
      <c r="AF1376" t="str">
        <f t="shared" si="45"/>
        <v>OLD</v>
      </c>
    </row>
    <row r="1377" spans="1:32" x14ac:dyDescent="0.2">
      <c r="A1377" t="s">
        <v>1119</v>
      </c>
      <c r="B1377" t="s">
        <v>39</v>
      </c>
      <c r="C1377">
        <v>1012726642</v>
      </c>
      <c r="D1377" t="s">
        <v>389</v>
      </c>
      <c r="E1377" t="s">
        <v>31</v>
      </c>
      <c r="F1377" s="1">
        <v>0.67291666666666672</v>
      </c>
      <c r="G1377" t="s">
        <v>32</v>
      </c>
      <c r="H1377" t="s">
        <v>33</v>
      </c>
      <c r="I1377" t="s">
        <v>41</v>
      </c>
      <c r="J1377" t="s">
        <v>62</v>
      </c>
      <c r="K1377">
        <v>280</v>
      </c>
      <c r="L1377">
        <v>0</v>
      </c>
      <c r="M1377" t="s">
        <v>36</v>
      </c>
      <c r="N1377" t="s">
        <v>37</v>
      </c>
      <c r="O1377">
        <v>0</v>
      </c>
      <c r="P1377">
        <v>0</v>
      </c>
      <c r="Q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 t="s">
        <v>36</v>
      </c>
      <c r="AC1377" t="s">
        <v>687</v>
      </c>
      <c r="AD1377" t="str">
        <f t="shared" si="44"/>
        <v>CP</v>
      </c>
      <c r="AE1377" t="str">
        <f>_xlfn.XLOOKUP(D1377,Mapping!A:A,Mapping!D:D,0,0)</f>
        <v>Bin</v>
      </c>
      <c r="AF1377" t="str">
        <f t="shared" si="45"/>
        <v>OLD</v>
      </c>
    </row>
    <row r="1378" spans="1:32" x14ac:dyDescent="0.2">
      <c r="A1378" t="s">
        <v>1119</v>
      </c>
      <c r="B1378" t="s">
        <v>39</v>
      </c>
      <c r="C1378">
        <v>1012726652</v>
      </c>
      <c r="D1378" t="s">
        <v>390</v>
      </c>
      <c r="E1378" t="s">
        <v>31</v>
      </c>
      <c r="F1378" s="1">
        <v>0.67291666666666672</v>
      </c>
      <c r="G1378" t="s">
        <v>32</v>
      </c>
      <c r="H1378" t="s">
        <v>33</v>
      </c>
      <c r="I1378" t="s">
        <v>41</v>
      </c>
      <c r="J1378" t="s">
        <v>62</v>
      </c>
      <c r="K1378">
        <v>280</v>
      </c>
      <c r="L1378">
        <v>0</v>
      </c>
      <c r="M1378" t="s">
        <v>36</v>
      </c>
      <c r="N1378" t="s">
        <v>37</v>
      </c>
      <c r="O1378">
        <v>0</v>
      </c>
      <c r="P1378">
        <v>0</v>
      </c>
      <c r="Q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 t="s">
        <v>36</v>
      </c>
      <c r="AC1378" t="s">
        <v>687</v>
      </c>
      <c r="AD1378" t="str">
        <f t="shared" si="44"/>
        <v>CP</v>
      </c>
      <c r="AE1378" t="str">
        <f>_xlfn.XLOOKUP(D1378,Mapping!A:A,Mapping!D:D,0,0)</f>
        <v>Bin</v>
      </c>
      <c r="AF1378" t="str">
        <f t="shared" si="45"/>
        <v>OLD</v>
      </c>
    </row>
    <row r="1379" spans="1:32" x14ac:dyDescent="0.2">
      <c r="A1379" t="s">
        <v>1119</v>
      </c>
      <c r="B1379" t="s">
        <v>39</v>
      </c>
      <c r="C1379">
        <v>1012726662</v>
      </c>
      <c r="D1379" t="s">
        <v>391</v>
      </c>
      <c r="E1379" t="s">
        <v>31</v>
      </c>
      <c r="F1379" s="1">
        <v>0.67291666666666672</v>
      </c>
      <c r="G1379" t="s">
        <v>32</v>
      </c>
      <c r="H1379" t="s">
        <v>33</v>
      </c>
      <c r="I1379" t="s">
        <v>34</v>
      </c>
      <c r="J1379" t="s">
        <v>84</v>
      </c>
      <c r="K1379">
        <v>112</v>
      </c>
      <c r="L1379">
        <v>0</v>
      </c>
      <c r="M1379" t="s">
        <v>36</v>
      </c>
      <c r="N1379" t="s">
        <v>37</v>
      </c>
      <c r="O1379">
        <v>0</v>
      </c>
      <c r="P1379">
        <v>0</v>
      </c>
      <c r="Q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 t="s">
        <v>36</v>
      </c>
      <c r="AC1379" t="s">
        <v>687</v>
      </c>
      <c r="AD1379" t="str">
        <f t="shared" si="44"/>
        <v>CP</v>
      </c>
      <c r="AE1379" t="str">
        <f>_xlfn.XLOOKUP(D1379,Mapping!A:A,Mapping!D:D,0,0)</f>
        <v>Bin</v>
      </c>
      <c r="AF1379" t="str">
        <f t="shared" si="45"/>
        <v>OLD</v>
      </c>
    </row>
    <row r="1380" spans="1:32" x14ac:dyDescent="0.2">
      <c r="A1380" t="s">
        <v>1119</v>
      </c>
      <c r="B1380" t="s">
        <v>39</v>
      </c>
      <c r="C1380">
        <v>1012726672</v>
      </c>
      <c r="D1380" t="s">
        <v>392</v>
      </c>
      <c r="E1380" t="s">
        <v>31</v>
      </c>
      <c r="F1380" s="1">
        <v>0.67291666666666672</v>
      </c>
      <c r="G1380" t="s">
        <v>32</v>
      </c>
      <c r="H1380" t="s">
        <v>33</v>
      </c>
      <c r="I1380" t="s">
        <v>41</v>
      </c>
      <c r="J1380" t="s">
        <v>62</v>
      </c>
      <c r="K1380">
        <v>280</v>
      </c>
      <c r="L1380">
        <v>0</v>
      </c>
      <c r="M1380" t="s">
        <v>36</v>
      </c>
      <c r="N1380" t="s">
        <v>37</v>
      </c>
      <c r="O1380">
        <v>0</v>
      </c>
      <c r="P1380">
        <v>0</v>
      </c>
      <c r="Q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 t="s">
        <v>36</v>
      </c>
      <c r="AC1380" t="s">
        <v>687</v>
      </c>
      <c r="AD1380" t="str">
        <f t="shared" si="44"/>
        <v>CP</v>
      </c>
      <c r="AE1380" t="str">
        <f>_xlfn.XLOOKUP(D1380,Mapping!A:A,Mapping!D:D,0,0)</f>
        <v>Bin</v>
      </c>
      <c r="AF1380" t="str">
        <f t="shared" si="45"/>
        <v>OLD</v>
      </c>
    </row>
    <row r="1381" spans="1:32" x14ac:dyDescent="0.2">
      <c r="A1381" t="s">
        <v>1119</v>
      </c>
      <c r="B1381" t="s">
        <v>39</v>
      </c>
      <c r="C1381">
        <v>1012726682</v>
      </c>
      <c r="D1381" t="s">
        <v>393</v>
      </c>
      <c r="E1381" t="s">
        <v>31</v>
      </c>
      <c r="F1381" s="1">
        <v>0.67291666666666672</v>
      </c>
      <c r="G1381" t="s">
        <v>32</v>
      </c>
      <c r="H1381" t="s">
        <v>33</v>
      </c>
      <c r="I1381" t="s">
        <v>41</v>
      </c>
      <c r="J1381" t="s">
        <v>62</v>
      </c>
      <c r="K1381">
        <v>280</v>
      </c>
      <c r="L1381">
        <v>0</v>
      </c>
      <c r="M1381" t="s">
        <v>36</v>
      </c>
      <c r="N1381" t="s">
        <v>37</v>
      </c>
      <c r="O1381">
        <v>0</v>
      </c>
      <c r="P1381">
        <v>0</v>
      </c>
      <c r="Q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 t="s">
        <v>36</v>
      </c>
      <c r="AC1381" t="s">
        <v>687</v>
      </c>
      <c r="AD1381" t="str">
        <f t="shared" si="44"/>
        <v>CP</v>
      </c>
      <c r="AE1381" t="str">
        <f>_xlfn.XLOOKUP(D1381,Mapping!A:A,Mapping!D:D,0,0)</f>
        <v>Bin</v>
      </c>
      <c r="AF1381" t="str">
        <f t="shared" si="45"/>
        <v>OLD</v>
      </c>
    </row>
    <row r="1382" spans="1:32" x14ac:dyDescent="0.2">
      <c r="A1382" t="s">
        <v>1119</v>
      </c>
      <c r="B1382" t="s">
        <v>39</v>
      </c>
      <c r="C1382">
        <v>1012726692</v>
      </c>
      <c r="D1382" t="s">
        <v>394</v>
      </c>
      <c r="E1382" t="s">
        <v>31</v>
      </c>
      <c r="F1382" s="1">
        <v>0.67291666666666672</v>
      </c>
      <c r="G1382" t="s">
        <v>32</v>
      </c>
      <c r="H1382" t="s">
        <v>33</v>
      </c>
      <c r="I1382" t="s">
        <v>34</v>
      </c>
      <c r="J1382" t="s">
        <v>84</v>
      </c>
      <c r="K1382">
        <v>112</v>
      </c>
      <c r="L1382">
        <v>0</v>
      </c>
      <c r="M1382" t="s">
        <v>63</v>
      </c>
      <c r="N1382">
        <v>150</v>
      </c>
      <c r="O1382">
        <v>0</v>
      </c>
      <c r="P1382">
        <v>0</v>
      </c>
      <c r="Q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 t="s">
        <v>36</v>
      </c>
      <c r="AC1382" t="s">
        <v>687</v>
      </c>
      <c r="AD1382" t="str">
        <f t="shared" si="44"/>
        <v>CP</v>
      </c>
      <c r="AE1382" t="str">
        <f>_xlfn.XLOOKUP(D1382,Mapping!A:A,Mapping!D:D,0,0)</f>
        <v>Bin</v>
      </c>
      <c r="AF1382" t="str">
        <f t="shared" si="45"/>
        <v>OLD</v>
      </c>
    </row>
    <row r="1383" spans="1:32" x14ac:dyDescent="0.2">
      <c r="A1383" t="s">
        <v>1119</v>
      </c>
      <c r="B1383" t="s">
        <v>39</v>
      </c>
      <c r="C1383">
        <v>1012726702</v>
      </c>
      <c r="D1383" t="s">
        <v>395</v>
      </c>
      <c r="E1383" t="s">
        <v>31</v>
      </c>
      <c r="F1383" s="1">
        <v>0.67291666666666672</v>
      </c>
      <c r="G1383" t="s">
        <v>32</v>
      </c>
      <c r="H1383" t="s">
        <v>33</v>
      </c>
      <c r="I1383" t="s">
        <v>41</v>
      </c>
      <c r="J1383" t="s">
        <v>62</v>
      </c>
      <c r="K1383">
        <v>280</v>
      </c>
      <c r="L1383">
        <v>0</v>
      </c>
      <c r="M1383" t="s">
        <v>36</v>
      </c>
      <c r="N1383" t="s">
        <v>37</v>
      </c>
      <c r="O1383">
        <v>0</v>
      </c>
      <c r="P1383">
        <v>0</v>
      </c>
      <c r="Q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 t="s">
        <v>36</v>
      </c>
      <c r="AC1383" t="s">
        <v>687</v>
      </c>
      <c r="AD1383" t="str">
        <f t="shared" si="44"/>
        <v>CP</v>
      </c>
      <c r="AE1383" t="str">
        <f>_xlfn.XLOOKUP(D1383,Mapping!A:A,Mapping!D:D,0,0)</f>
        <v>Bin</v>
      </c>
      <c r="AF1383" t="str">
        <f t="shared" si="45"/>
        <v>OLD</v>
      </c>
    </row>
    <row r="1384" spans="1:32" x14ac:dyDescent="0.2">
      <c r="A1384" t="s">
        <v>1119</v>
      </c>
      <c r="B1384" t="s">
        <v>39</v>
      </c>
      <c r="C1384">
        <v>1012726712</v>
      </c>
      <c r="D1384" t="s">
        <v>396</v>
      </c>
      <c r="E1384" t="s">
        <v>31</v>
      </c>
      <c r="F1384" s="1">
        <v>0.67291666666666672</v>
      </c>
      <c r="G1384" t="s">
        <v>32</v>
      </c>
      <c r="H1384" t="s">
        <v>33</v>
      </c>
      <c r="I1384" t="s">
        <v>41</v>
      </c>
      <c r="J1384" t="s">
        <v>62</v>
      </c>
      <c r="K1384">
        <v>280</v>
      </c>
      <c r="L1384">
        <v>0</v>
      </c>
      <c r="M1384" t="s">
        <v>36</v>
      </c>
      <c r="N1384" t="s">
        <v>37</v>
      </c>
      <c r="O1384">
        <v>0</v>
      </c>
      <c r="P1384">
        <v>0</v>
      </c>
      <c r="Q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 t="s">
        <v>36</v>
      </c>
      <c r="AC1384" t="s">
        <v>687</v>
      </c>
      <c r="AD1384" t="str">
        <f t="shared" si="44"/>
        <v>CP</v>
      </c>
      <c r="AE1384" t="str">
        <f>_xlfn.XLOOKUP(D1384,Mapping!A:A,Mapping!D:D,0,0)</f>
        <v>Bin</v>
      </c>
      <c r="AF1384" t="str">
        <f t="shared" si="45"/>
        <v>OLD</v>
      </c>
    </row>
    <row r="1385" spans="1:32" x14ac:dyDescent="0.2">
      <c r="A1385" t="s">
        <v>1119</v>
      </c>
      <c r="B1385" t="s">
        <v>39</v>
      </c>
      <c r="C1385">
        <v>1012726722</v>
      </c>
      <c r="D1385" t="s">
        <v>397</v>
      </c>
      <c r="E1385" t="s">
        <v>31</v>
      </c>
      <c r="F1385" s="1">
        <v>0.67291666666666672</v>
      </c>
      <c r="G1385" t="s">
        <v>32</v>
      </c>
      <c r="H1385" t="s">
        <v>33</v>
      </c>
      <c r="I1385" t="s">
        <v>34</v>
      </c>
      <c r="J1385" t="s">
        <v>84</v>
      </c>
      <c r="K1385">
        <v>112</v>
      </c>
      <c r="L1385">
        <v>0</v>
      </c>
      <c r="M1385" t="s">
        <v>36</v>
      </c>
      <c r="N1385" t="s">
        <v>37</v>
      </c>
      <c r="O1385">
        <v>0</v>
      </c>
      <c r="P1385">
        <v>0</v>
      </c>
      <c r="Q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 t="s">
        <v>36</v>
      </c>
      <c r="AC1385" t="s">
        <v>687</v>
      </c>
      <c r="AD1385" t="str">
        <f t="shared" si="44"/>
        <v>CP</v>
      </c>
      <c r="AE1385" t="str">
        <f>_xlfn.XLOOKUP(D1385,Mapping!A:A,Mapping!D:D,0,0)</f>
        <v>Keyword - Preroll</v>
      </c>
      <c r="AF1385" t="str">
        <f t="shared" si="45"/>
        <v>OLD</v>
      </c>
    </row>
    <row r="1386" spans="1:32" x14ac:dyDescent="0.2">
      <c r="A1386" t="s">
        <v>1119</v>
      </c>
      <c r="B1386" t="s">
        <v>39</v>
      </c>
      <c r="C1386">
        <v>1012726732</v>
      </c>
      <c r="D1386" t="s">
        <v>398</v>
      </c>
      <c r="E1386" t="s">
        <v>31</v>
      </c>
      <c r="F1386" s="1">
        <v>0.67291666666666672</v>
      </c>
      <c r="G1386" t="s">
        <v>32</v>
      </c>
      <c r="H1386" t="s">
        <v>33</v>
      </c>
      <c r="I1386" t="s">
        <v>41</v>
      </c>
      <c r="J1386" t="s">
        <v>62</v>
      </c>
      <c r="K1386">
        <v>280</v>
      </c>
      <c r="L1386">
        <v>0</v>
      </c>
      <c r="M1386" t="s">
        <v>36</v>
      </c>
      <c r="N1386" t="s">
        <v>37</v>
      </c>
      <c r="O1386">
        <v>0</v>
      </c>
      <c r="P1386">
        <v>0</v>
      </c>
      <c r="Q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 t="s">
        <v>36</v>
      </c>
      <c r="AC1386" t="s">
        <v>687</v>
      </c>
      <c r="AD1386" t="str">
        <f t="shared" si="44"/>
        <v>CP</v>
      </c>
      <c r="AE1386" t="str">
        <f>_xlfn.XLOOKUP(D1386,Mapping!A:A,Mapping!D:D,0,0)</f>
        <v>Bin</v>
      </c>
      <c r="AF1386" t="str">
        <f t="shared" si="45"/>
        <v>OLD</v>
      </c>
    </row>
    <row r="1387" spans="1:32" x14ac:dyDescent="0.2">
      <c r="A1387" t="s">
        <v>1119</v>
      </c>
      <c r="B1387" t="s">
        <v>39</v>
      </c>
      <c r="C1387">
        <v>1012726742</v>
      </c>
      <c r="D1387" t="s">
        <v>399</v>
      </c>
      <c r="E1387" t="s">
        <v>31</v>
      </c>
      <c r="F1387" s="1">
        <v>0.67291666666666672</v>
      </c>
      <c r="G1387" t="s">
        <v>32</v>
      </c>
      <c r="H1387" t="s">
        <v>33</v>
      </c>
      <c r="I1387" t="s">
        <v>41</v>
      </c>
      <c r="J1387" t="s">
        <v>62</v>
      </c>
      <c r="K1387">
        <v>280</v>
      </c>
      <c r="L1387">
        <v>0</v>
      </c>
      <c r="M1387" t="s">
        <v>36</v>
      </c>
      <c r="N1387" t="s">
        <v>37</v>
      </c>
      <c r="O1387">
        <v>0</v>
      </c>
      <c r="P1387">
        <v>0</v>
      </c>
      <c r="Q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 t="s">
        <v>36</v>
      </c>
      <c r="AC1387" t="s">
        <v>687</v>
      </c>
      <c r="AD1387" t="str">
        <f t="shared" si="44"/>
        <v>CP</v>
      </c>
      <c r="AE1387" t="str">
        <f>_xlfn.XLOOKUP(D1387,Mapping!A:A,Mapping!D:D,0,0)</f>
        <v>Bin</v>
      </c>
      <c r="AF1387" t="str">
        <f t="shared" si="45"/>
        <v>OLD</v>
      </c>
    </row>
    <row r="1388" spans="1:32" x14ac:dyDescent="0.2">
      <c r="A1388" t="s">
        <v>1119</v>
      </c>
      <c r="B1388" t="s">
        <v>29</v>
      </c>
      <c r="C1388">
        <v>1012726752</v>
      </c>
      <c r="D1388" t="s">
        <v>400</v>
      </c>
      <c r="E1388" t="s">
        <v>31</v>
      </c>
      <c r="F1388" s="1">
        <v>0.67291666666666672</v>
      </c>
      <c r="G1388" t="s">
        <v>32</v>
      </c>
      <c r="H1388" t="s">
        <v>33</v>
      </c>
      <c r="I1388" t="s">
        <v>34</v>
      </c>
      <c r="J1388" t="s">
        <v>84</v>
      </c>
      <c r="K1388">
        <v>112</v>
      </c>
      <c r="L1388">
        <v>0</v>
      </c>
      <c r="M1388" t="s">
        <v>36</v>
      </c>
      <c r="N1388" t="s">
        <v>37</v>
      </c>
      <c r="O1388">
        <v>12053</v>
      </c>
      <c r="P1388">
        <v>433</v>
      </c>
      <c r="Q1388">
        <v>3.5924700000000001</v>
      </c>
      <c r="R1388">
        <v>0</v>
      </c>
      <c r="S1388">
        <v>17.2</v>
      </c>
      <c r="T1388">
        <v>1.427</v>
      </c>
      <c r="U1388">
        <v>0.04</v>
      </c>
      <c r="V1388">
        <v>0</v>
      </c>
      <c r="W1388">
        <v>1</v>
      </c>
      <c r="X1388">
        <v>0</v>
      </c>
      <c r="Y1388" t="s">
        <v>36</v>
      </c>
      <c r="Z1388">
        <v>12053</v>
      </c>
      <c r="AA1388">
        <v>9179</v>
      </c>
      <c r="AB1388">
        <v>1370</v>
      </c>
      <c r="AC1388" t="s">
        <v>687</v>
      </c>
      <c r="AD1388" t="str">
        <f t="shared" si="44"/>
        <v>CP</v>
      </c>
      <c r="AE1388" t="str">
        <f>_xlfn.XLOOKUP(D1388,Mapping!A:A,Mapping!D:D,0,0)</f>
        <v>Keyword - Preroll</v>
      </c>
      <c r="AF1388" t="str">
        <f t="shared" si="45"/>
        <v>OLD</v>
      </c>
    </row>
    <row r="1389" spans="1:32" x14ac:dyDescent="0.2">
      <c r="A1389" t="s">
        <v>1119</v>
      </c>
      <c r="B1389" t="s">
        <v>39</v>
      </c>
      <c r="C1389">
        <v>1012726762</v>
      </c>
      <c r="D1389" t="s">
        <v>402</v>
      </c>
      <c r="E1389" t="s">
        <v>31</v>
      </c>
      <c r="F1389" s="1">
        <v>0.67291666666666672</v>
      </c>
      <c r="G1389" t="s">
        <v>32</v>
      </c>
      <c r="H1389" t="s">
        <v>33</v>
      </c>
      <c r="I1389" t="s">
        <v>41</v>
      </c>
      <c r="J1389" t="s">
        <v>62</v>
      </c>
      <c r="K1389">
        <v>280</v>
      </c>
      <c r="L1389">
        <v>0</v>
      </c>
      <c r="M1389" t="s">
        <v>36</v>
      </c>
      <c r="N1389" t="s">
        <v>37</v>
      </c>
      <c r="O1389">
        <v>0</v>
      </c>
      <c r="P1389">
        <v>0</v>
      </c>
      <c r="Q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 t="s">
        <v>36</v>
      </c>
      <c r="AC1389" t="s">
        <v>687</v>
      </c>
      <c r="AD1389" t="str">
        <f t="shared" si="44"/>
        <v>CP</v>
      </c>
      <c r="AE1389" t="str">
        <f>_xlfn.XLOOKUP(D1389,Mapping!A:A,Mapping!D:D,0,0)</f>
        <v>Bin</v>
      </c>
      <c r="AF1389" t="str">
        <f t="shared" si="45"/>
        <v>OLD</v>
      </c>
    </row>
    <row r="1390" spans="1:32" x14ac:dyDescent="0.2">
      <c r="A1390" t="s">
        <v>1119</v>
      </c>
      <c r="B1390" t="s">
        <v>39</v>
      </c>
      <c r="C1390">
        <v>1012726802</v>
      </c>
      <c r="D1390" t="s">
        <v>403</v>
      </c>
      <c r="E1390" t="s">
        <v>31</v>
      </c>
      <c r="F1390" s="1">
        <v>0.67291666666666672</v>
      </c>
      <c r="G1390" t="s">
        <v>32</v>
      </c>
      <c r="H1390" t="s">
        <v>33</v>
      </c>
      <c r="I1390" t="s">
        <v>41</v>
      </c>
      <c r="J1390" t="s">
        <v>62</v>
      </c>
      <c r="K1390">
        <v>280</v>
      </c>
      <c r="L1390">
        <v>0</v>
      </c>
      <c r="M1390" t="s">
        <v>36</v>
      </c>
      <c r="N1390" t="s">
        <v>37</v>
      </c>
      <c r="O1390">
        <v>0</v>
      </c>
      <c r="P1390">
        <v>0</v>
      </c>
      <c r="Q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 t="s">
        <v>36</v>
      </c>
      <c r="AC1390" t="s">
        <v>687</v>
      </c>
      <c r="AD1390" t="str">
        <f t="shared" si="44"/>
        <v>CP</v>
      </c>
      <c r="AE1390" t="str">
        <f>_xlfn.XLOOKUP(D1390,Mapping!A:A,Mapping!D:D,0,0)</f>
        <v>Bin</v>
      </c>
      <c r="AF1390" t="str">
        <f t="shared" si="45"/>
        <v>OLD</v>
      </c>
    </row>
    <row r="1391" spans="1:32" x14ac:dyDescent="0.2">
      <c r="A1391" t="s">
        <v>1119</v>
      </c>
      <c r="B1391" t="s">
        <v>39</v>
      </c>
      <c r="C1391">
        <v>1012726812</v>
      </c>
      <c r="D1391" t="s">
        <v>404</v>
      </c>
      <c r="E1391" t="s">
        <v>31</v>
      </c>
      <c r="F1391" s="1">
        <v>0.67291666666666672</v>
      </c>
      <c r="G1391" t="s">
        <v>32</v>
      </c>
      <c r="H1391" t="s">
        <v>33</v>
      </c>
      <c r="I1391" t="s">
        <v>34</v>
      </c>
      <c r="J1391" t="s">
        <v>84</v>
      </c>
      <c r="K1391">
        <v>112</v>
      </c>
      <c r="L1391">
        <v>0</v>
      </c>
      <c r="M1391" t="s">
        <v>36</v>
      </c>
      <c r="N1391" t="s">
        <v>37</v>
      </c>
      <c r="O1391">
        <v>0</v>
      </c>
      <c r="P1391">
        <v>0</v>
      </c>
      <c r="Q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 t="s">
        <v>36</v>
      </c>
      <c r="AC1391" t="s">
        <v>687</v>
      </c>
      <c r="AD1391" t="str">
        <f t="shared" si="44"/>
        <v>CP</v>
      </c>
      <c r="AE1391" t="str">
        <f>_xlfn.XLOOKUP(D1391,Mapping!A:A,Mapping!D:D,0,0)</f>
        <v>Keyword - Preroll</v>
      </c>
      <c r="AF1391" t="str">
        <f t="shared" si="45"/>
        <v>OLD</v>
      </c>
    </row>
    <row r="1392" spans="1:32" x14ac:dyDescent="0.2">
      <c r="A1392" t="s">
        <v>1119</v>
      </c>
      <c r="B1392" t="s">
        <v>39</v>
      </c>
      <c r="C1392">
        <v>1012726822</v>
      </c>
      <c r="D1392" t="s">
        <v>405</v>
      </c>
      <c r="E1392" t="s">
        <v>31</v>
      </c>
      <c r="F1392" s="1">
        <v>0.67291666666666672</v>
      </c>
      <c r="G1392" t="s">
        <v>32</v>
      </c>
      <c r="H1392" t="s">
        <v>33</v>
      </c>
      <c r="I1392" t="s">
        <v>41</v>
      </c>
      <c r="J1392" t="s">
        <v>62</v>
      </c>
      <c r="K1392">
        <v>280</v>
      </c>
      <c r="L1392">
        <v>0</v>
      </c>
      <c r="M1392" t="s">
        <v>36</v>
      </c>
      <c r="N1392" t="s">
        <v>37</v>
      </c>
      <c r="O1392">
        <v>0</v>
      </c>
      <c r="P1392">
        <v>0</v>
      </c>
      <c r="Q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 t="s">
        <v>36</v>
      </c>
      <c r="AC1392" t="s">
        <v>687</v>
      </c>
      <c r="AD1392" t="str">
        <f t="shared" si="44"/>
        <v>CP</v>
      </c>
      <c r="AE1392" t="str">
        <f>_xlfn.XLOOKUP(D1392,Mapping!A:A,Mapping!D:D,0,0)</f>
        <v>Bin</v>
      </c>
      <c r="AF1392" t="str">
        <f t="shared" si="45"/>
        <v>OLD</v>
      </c>
    </row>
    <row r="1393" spans="1:32" x14ac:dyDescent="0.2">
      <c r="A1393" t="s">
        <v>1119</v>
      </c>
      <c r="B1393" t="s">
        <v>39</v>
      </c>
      <c r="C1393">
        <v>1012726842</v>
      </c>
      <c r="D1393" t="s">
        <v>406</v>
      </c>
      <c r="E1393" t="s">
        <v>31</v>
      </c>
      <c r="F1393" s="1">
        <v>0.67291666666666672</v>
      </c>
      <c r="G1393" t="s">
        <v>32</v>
      </c>
      <c r="H1393" t="s">
        <v>33</v>
      </c>
      <c r="I1393" t="s">
        <v>41</v>
      </c>
      <c r="J1393" t="s">
        <v>62</v>
      </c>
      <c r="K1393">
        <v>280</v>
      </c>
      <c r="L1393">
        <v>0</v>
      </c>
      <c r="M1393" t="s">
        <v>36</v>
      </c>
      <c r="N1393" t="s">
        <v>37</v>
      </c>
      <c r="O1393">
        <v>0</v>
      </c>
      <c r="P1393">
        <v>0</v>
      </c>
      <c r="Q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 t="s">
        <v>36</v>
      </c>
      <c r="AC1393" t="s">
        <v>687</v>
      </c>
      <c r="AD1393" t="str">
        <f t="shared" si="44"/>
        <v>CP</v>
      </c>
      <c r="AE1393" t="str">
        <f>_xlfn.XLOOKUP(D1393,Mapping!A:A,Mapping!D:D,0,0)</f>
        <v>Bin</v>
      </c>
      <c r="AF1393" t="str">
        <f t="shared" si="45"/>
        <v>OLD</v>
      </c>
    </row>
    <row r="1394" spans="1:32" x14ac:dyDescent="0.2">
      <c r="A1394" t="s">
        <v>1119</v>
      </c>
      <c r="B1394" t="s">
        <v>39</v>
      </c>
      <c r="C1394">
        <v>1012726852</v>
      </c>
      <c r="D1394" t="s">
        <v>407</v>
      </c>
      <c r="E1394" t="s">
        <v>31</v>
      </c>
      <c r="F1394" s="1">
        <v>0.67291666666666672</v>
      </c>
      <c r="G1394" t="s">
        <v>32</v>
      </c>
      <c r="H1394" t="s">
        <v>33</v>
      </c>
      <c r="I1394" t="s">
        <v>34</v>
      </c>
      <c r="J1394" t="s">
        <v>84</v>
      </c>
      <c r="K1394">
        <v>112</v>
      </c>
      <c r="L1394">
        <v>0</v>
      </c>
      <c r="M1394" t="s">
        <v>36</v>
      </c>
      <c r="N1394" t="s">
        <v>37</v>
      </c>
      <c r="O1394">
        <v>0</v>
      </c>
      <c r="P1394">
        <v>0</v>
      </c>
      <c r="Q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 t="s">
        <v>36</v>
      </c>
      <c r="AC1394" t="s">
        <v>687</v>
      </c>
      <c r="AD1394" t="str">
        <f t="shared" si="44"/>
        <v>CP</v>
      </c>
      <c r="AE1394" t="str">
        <f>_xlfn.XLOOKUP(D1394,Mapping!A:A,Mapping!D:D,0,0)</f>
        <v>Keyword - Preroll</v>
      </c>
      <c r="AF1394" t="str">
        <f t="shared" si="45"/>
        <v>OLD</v>
      </c>
    </row>
    <row r="1395" spans="1:32" x14ac:dyDescent="0.2">
      <c r="A1395" t="s">
        <v>1119</v>
      </c>
      <c r="B1395" t="s">
        <v>39</v>
      </c>
      <c r="C1395">
        <v>1012726862</v>
      </c>
      <c r="D1395" t="s">
        <v>408</v>
      </c>
      <c r="E1395" t="s">
        <v>31</v>
      </c>
      <c r="F1395" s="1">
        <v>0.67291666666666672</v>
      </c>
      <c r="G1395" t="s">
        <v>32</v>
      </c>
      <c r="H1395" t="s">
        <v>33</v>
      </c>
      <c r="I1395" t="s">
        <v>41</v>
      </c>
      <c r="J1395" t="s">
        <v>62</v>
      </c>
      <c r="K1395">
        <v>280</v>
      </c>
      <c r="L1395">
        <v>0</v>
      </c>
      <c r="M1395" t="s">
        <v>36</v>
      </c>
      <c r="N1395" t="s">
        <v>37</v>
      </c>
      <c r="O1395">
        <v>0</v>
      </c>
      <c r="P1395">
        <v>0</v>
      </c>
      <c r="Q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 t="s">
        <v>36</v>
      </c>
      <c r="AC1395" t="s">
        <v>687</v>
      </c>
      <c r="AD1395" t="str">
        <f t="shared" si="44"/>
        <v>CP</v>
      </c>
      <c r="AE1395" t="str">
        <f>_xlfn.XLOOKUP(D1395,Mapping!A:A,Mapping!D:D,0,0)</f>
        <v>Bin</v>
      </c>
      <c r="AF1395" t="str">
        <f t="shared" si="45"/>
        <v>OLD</v>
      </c>
    </row>
    <row r="1396" spans="1:32" x14ac:dyDescent="0.2">
      <c r="A1396" t="s">
        <v>1119</v>
      </c>
      <c r="B1396" t="s">
        <v>39</v>
      </c>
      <c r="C1396">
        <v>1012726882</v>
      </c>
      <c r="D1396" t="s">
        <v>409</v>
      </c>
      <c r="E1396" t="s">
        <v>31</v>
      </c>
      <c r="F1396" s="1">
        <v>0.67291666666666672</v>
      </c>
      <c r="G1396" t="s">
        <v>32</v>
      </c>
      <c r="H1396" t="s">
        <v>33</v>
      </c>
      <c r="I1396" t="s">
        <v>41</v>
      </c>
      <c r="J1396" t="s">
        <v>62</v>
      </c>
      <c r="K1396">
        <v>280</v>
      </c>
      <c r="L1396">
        <v>0</v>
      </c>
      <c r="M1396" t="s">
        <v>63</v>
      </c>
      <c r="N1396">
        <v>150</v>
      </c>
      <c r="O1396">
        <v>0</v>
      </c>
      <c r="P1396">
        <v>0</v>
      </c>
      <c r="Q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 t="s">
        <v>36</v>
      </c>
      <c r="AC1396" t="s">
        <v>687</v>
      </c>
      <c r="AD1396" t="str">
        <f t="shared" si="44"/>
        <v>CP</v>
      </c>
      <c r="AE1396" t="str">
        <f>_xlfn.XLOOKUP(D1396,Mapping!A:A,Mapping!D:D,0,0)</f>
        <v>Bin</v>
      </c>
      <c r="AF1396" t="str">
        <f t="shared" si="45"/>
        <v>OLD</v>
      </c>
    </row>
    <row r="1397" spans="1:32" x14ac:dyDescent="0.2">
      <c r="A1397" t="s">
        <v>1119</v>
      </c>
      <c r="B1397" t="s">
        <v>39</v>
      </c>
      <c r="C1397">
        <v>1012726892</v>
      </c>
      <c r="D1397" t="s">
        <v>410</v>
      </c>
      <c r="E1397" t="s">
        <v>31</v>
      </c>
      <c r="F1397" s="1">
        <v>0.67291666666666672</v>
      </c>
      <c r="G1397" t="s">
        <v>32</v>
      </c>
      <c r="H1397" t="s">
        <v>33</v>
      </c>
      <c r="I1397" t="s">
        <v>34</v>
      </c>
      <c r="J1397" t="s">
        <v>84</v>
      </c>
      <c r="K1397">
        <v>112</v>
      </c>
      <c r="L1397">
        <v>0</v>
      </c>
      <c r="M1397" t="s">
        <v>36</v>
      </c>
      <c r="N1397" t="s">
        <v>37</v>
      </c>
      <c r="O1397">
        <v>0</v>
      </c>
      <c r="P1397">
        <v>0</v>
      </c>
      <c r="Q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 t="s">
        <v>36</v>
      </c>
      <c r="AC1397" t="s">
        <v>687</v>
      </c>
      <c r="AD1397" t="str">
        <f t="shared" si="44"/>
        <v>CP</v>
      </c>
      <c r="AE1397" t="str">
        <f>_xlfn.XLOOKUP(D1397,Mapping!A:A,Mapping!D:D,0,0)</f>
        <v>Bin</v>
      </c>
      <c r="AF1397" t="str">
        <f t="shared" si="45"/>
        <v>OLD</v>
      </c>
    </row>
    <row r="1398" spans="1:32" x14ac:dyDescent="0.2">
      <c r="A1398" t="s">
        <v>1119</v>
      </c>
      <c r="B1398" t="s">
        <v>39</v>
      </c>
      <c r="C1398">
        <v>1012726902</v>
      </c>
      <c r="D1398" t="s">
        <v>411</v>
      </c>
      <c r="E1398" t="s">
        <v>31</v>
      </c>
      <c r="F1398" s="1">
        <v>0.67291666666666672</v>
      </c>
      <c r="G1398" t="s">
        <v>32</v>
      </c>
      <c r="H1398" t="s">
        <v>33</v>
      </c>
      <c r="I1398" t="s">
        <v>41</v>
      </c>
      <c r="J1398" t="s">
        <v>62</v>
      </c>
      <c r="K1398">
        <v>280</v>
      </c>
      <c r="L1398">
        <v>0</v>
      </c>
      <c r="M1398" t="s">
        <v>36</v>
      </c>
      <c r="N1398" t="s">
        <v>37</v>
      </c>
      <c r="O1398">
        <v>0</v>
      </c>
      <c r="P1398">
        <v>0</v>
      </c>
      <c r="Q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 t="s">
        <v>36</v>
      </c>
      <c r="AC1398" t="s">
        <v>687</v>
      </c>
      <c r="AD1398" t="str">
        <f t="shared" si="44"/>
        <v>CP</v>
      </c>
      <c r="AE1398" t="str">
        <f>_xlfn.XLOOKUP(D1398,Mapping!A:A,Mapping!D:D,0,0)</f>
        <v>Bin</v>
      </c>
      <c r="AF1398" t="str">
        <f t="shared" si="45"/>
        <v>OLD</v>
      </c>
    </row>
    <row r="1399" spans="1:32" x14ac:dyDescent="0.2">
      <c r="A1399" t="s">
        <v>1119</v>
      </c>
      <c r="B1399" t="s">
        <v>39</v>
      </c>
      <c r="C1399">
        <v>1012726912</v>
      </c>
      <c r="D1399" t="s">
        <v>412</v>
      </c>
      <c r="E1399" t="s">
        <v>31</v>
      </c>
      <c r="F1399" s="1">
        <v>0.67291666666666672</v>
      </c>
      <c r="G1399" t="s">
        <v>32</v>
      </c>
      <c r="H1399" t="s">
        <v>33</v>
      </c>
      <c r="I1399" t="s">
        <v>41</v>
      </c>
      <c r="J1399" t="s">
        <v>62</v>
      </c>
      <c r="K1399">
        <v>280</v>
      </c>
      <c r="L1399">
        <v>0</v>
      </c>
      <c r="M1399" t="s">
        <v>36</v>
      </c>
      <c r="N1399" t="s">
        <v>37</v>
      </c>
      <c r="O1399">
        <v>0</v>
      </c>
      <c r="P1399">
        <v>0</v>
      </c>
      <c r="Q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 t="s">
        <v>36</v>
      </c>
      <c r="AC1399" t="s">
        <v>687</v>
      </c>
      <c r="AD1399" t="str">
        <f t="shared" si="44"/>
        <v>CP</v>
      </c>
      <c r="AE1399" t="str">
        <f>_xlfn.XLOOKUP(D1399,Mapping!A:A,Mapping!D:D,0,0)</f>
        <v>Bin</v>
      </c>
      <c r="AF1399" t="str">
        <f t="shared" si="45"/>
        <v>OLD</v>
      </c>
    </row>
    <row r="1400" spans="1:32" x14ac:dyDescent="0.2">
      <c r="A1400" t="s">
        <v>1119</v>
      </c>
      <c r="B1400" t="s">
        <v>39</v>
      </c>
      <c r="C1400">
        <v>1012726922</v>
      </c>
      <c r="D1400" t="s">
        <v>413</v>
      </c>
      <c r="E1400" t="s">
        <v>31</v>
      </c>
      <c r="F1400" s="1">
        <v>0.67291666666666672</v>
      </c>
      <c r="G1400" t="s">
        <v>32</v>
      </c>
      <c r="H1400" t="s">
        <v>33</v>
      </c>
      <c r="I1400" t="s">
        <v>34</v>
      </c>
      <c r="J1400" t="s">
        <v>84</v>
      </c>
      <c r="K1400">
        <v>112</v>
      </c>
      <c r="L1400">
        <v>0</v>
      </c>
      <c r="M1400" t="s">
        <v>36</v>
      </c>
      <c r="N1400" t="s">
        <v>37</v>
      </c>
      <c r="O1400">
        <v>0</v>
      </c>
      <c r="P1400">
        <v>0</v>
      </c>
      <c r="Q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 t="s">
        <v>36</v>
      </c>
      <c r="AC1400" t="s">
        <v>687</v>
      </c>
      <c r="AD1400" t="str">
        <f t="shared" si="44"/>
        <v>CP</v>
      </c>
      <c r="AE1400" t="str">
        <f>_xlfn.XLOOKUP(D1400,Mapping!A:A,Mapping!D:D,0,0)</f>
        <v>Bin</v>
      </c>
      <c r="AF1400" t="str">
        <f t="shared" si="45"/>
        <v>OLD</v>
      </c>
    </row>
    <row r="1401" spans="1:32" x14ac:dyDescent="0.2">
      <c r="A1401" t="s">
        <v>1119</v>
      </c>
      <c r="B1401" t="s">
        <v>39</v>
      </c>
      <c r="C1401">
        <v>1012726932</v>
      </c>
      <c r="D1401" t="s">
        <v>414</v>
      </c>
      <c r="E1401" t="s">
        <v>31</v>
      </c>
      <c r="F1401" s="1">
        <v>0.67291666666666672</v>
      </c>
      <c r="G1401" t="s">
        <v>32</v>
      </c>
      <c r="H1401" t="s">
        <v>33</v>
      </c>
      <c r="I1401" t="s">
        <v>41</v>
      </c>
      <c r="J1401" t="s">
        <v>62</v>
      </c>
      <c r="K1401">
        <v>280</v>
      </c>
      <c r="L1401">
        <v>0</v>
      </c>
      <c r="M1401" t="s">
        <v>36</v>
      </c>
      <c r="N1401" t="s">
        <v>37</v>
      </c>
      <c r="O1401">
        <v>0</v>
      </c>
      <c r="P1401">
        <v>0</v>
      </c>
      <c r="Q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 t="s">
        <v>36</v>
      </c>
      <c r="AC1401" t="s">
        <v>687</v>
      </c>
      <c r="AD1401" t="str">
        <f t="shared" si="44"/>
        <v>CP</v>
      </c>
      <c r="AE1401" t="str">
        <f>_xlfn.XLOOKUP(D1401,Mapping!A:A,Mapping!D:D,0,0)</f>
        <v>Bin</v>
      </c>
      <c r="AF1401" t="str">
        <f t="shared" si="45"/>
        <v>OLD</v>
      </c>
    </row>
    <row r="1402" spans="1:32" x14ac:dyDescent="0.2">
      <c r="A1402" t="s">
        <v>1119</v>
      </c>
      <c r="B1402" t="s">
        <v>39</v>
      </c>
      <c r="C1402">
        <v>1012726942</v>
      </c>
      <c r="D1402" t="s">
        <v>415</v>
      </c>
      <c r="E1402" t="s">
        <v>31</v>
      </c>
      <c r="F1402" s="1">
        <v>0.67291666666666672</v>
      </c>
      <c r="G1402" t="s">
        <v>32</v>
      </c>
      <c r="H1402" t="s">
        <v>33</v>
      </c>
      <c r="I1402" t="s">
        <v>41</v>
      </c>
      <c r="J1402" t="s">
        <v>62</v>
      </c>
      <c r="K1402">
        <v>280</v>
      </c>
      <c r="L1402">
        <v>0</v>
      </c>
      <c r="M1402" t="s">
        <v>36</v>
      </c>
      <c r="N1402" t="s">
        <v>37</v>
      </c>
      <c r="O1402">
        <v>0</v>
      </c>
      <c r="P1402">
        <v>0</v>
      </c>
      <c r="Q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 t="s">
        <v>36</v>
      </c>
      <c r="AC1402" t="s">
        <v>687</v>
      </c>
      <c r="AD1402" t="str">
        <f t="shared" si="44"/>
        <v>CP</v>
      </c>
      <c r="AE1402" t="str">
        <f>_xlfn.XLOOKUP(D1402,Mapping!A:A,Mapping!D:D,0,0)</f>
        <v>Bin</v>
      </c>
      <c r="AF1402" t="str">
        <f t="shared" si="45"/>
        <v>OLD</v>
      </c>
    </row>
    <row r="1403" spans="1:32" x14ac:dyDescent="0.2">
      <c r="A1403" t="s">
        <v>1119</v>
      </c>
      <c r="B1403" t="s">
        <v>39</v>
      </c>
      <c r="C1403">
        <v>1012726952</v>
      </c>
      <c r="D1403" t="s">
        <v>416</v>
      </c>
      <c r="E1403" t="s">
        <v>31</v>
      </c>
      <c r="F1403" s="1">
        <v>0.67291666666666672</v>
      </c>
      <c r="G1403" t="s">
        <v>32</v>
      </c>
      <c r="H1403" t="s">
        <v>33</v>
      </c>
      <c r="I1403" t="s">
        <v>34</v>
      </c>
      <c r="J1403" t="s">
        <v>84</v>
      </c>
      <c r="K1403">
        <v>112</v>
      </c>
      <c r="L1403">
        <v>0</v>
      </c>
      <c r="M1403" t="s">
        <v>36</v>
      </c>
      <c r="N1403" t="s">
        <v>37</v>
      </c>
      <c r="O1403">
        <v>0</v>
      </c>
      <c r="P1403">
        <v>0</v>
      </c>
      <c r="Q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 t="s">
        <v>36</v>
      </c>
      <c r="AC1403" t="s">
        <v>687</v>
      </c>
      <c r="AD1403" t="str">
        <f t="shared" si="44"/>
        <v>CP</v>
      </c>
      <c r="AE1403" t="str">
        <f>_xlfn.XLOOKUP(D1403,Mapping!A:A,Mapping!D:D,0,0)</f>
        <v>Bin</v>
      </c>
      <c r="AF1403" t="str">
        <f t="shared" si="45"/>
        <v>OLD</v>
      </c>
    </row>
    <row r="1404" spans="1:32" x14ac:dyDescent="0.2">
      <c r="A1404" t="s">
        <v>1119</v>
      </c>
      <c r="B1404" t="s">
        <v>39</v>
      </c>
      <c r="C1404">
        <v>1012726962</v>
      </c>
      <c r="D1404" t="s">
        <v>417</v>
      </c>
      <c r="E1404" t="s">
        <v>31</v>
      </c>
      <c r="F1404" s="1">
        <v>0.67291666666666672</v>
      </c>
      <c r="G1404" t="s">
        <v>32</v>
      </c>
      <c r="H1404" t="s">
        <v>33</v>
      </c>
      <c r="I1404" t="s">
        <v>41</v>
      </c>
      <c r="J1404" t="s">
        <v>62</v>
      </c>
      <c r="K1404">
        <v>280</v>
      </c>
      <c r="L1404">
        <v>0</v>
      </c>
      <c r="M1404" t="s">
        <v>36</v>
      </c>
      <c r="N1404" t="s">
        <v>37</v>
      </c>
      <c r="O1404">
        <v>0</v>
      </c>
      <c r="P1404">
        <v>0</v>
      </c>
      <c r="Q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 t="s">
        <v>36</v>
      </c>
      <c r="AC1404" t="s">
        <v>687</v>
      </c>
      <c r="AD1404" t="str">
        <f t="shared" si="44"/>
        <v>CP</v>
      </c>
      <c r="AE1404" t="str">
        <f>_xlfn.XLOOKUP(D1404,Mapping!A:A,Mapping!D:D,0,0)</f>
        <v>Bin</v>
      </c>
      <c r="AF1404" t="str">
        <f t="shared" si="45"/>
        <v>OLD</v>
      </c>
    </row>
    <row r="1405" spans="1:32" x14ac:dyDescent="0.2">
      <c r="A1405" t="s">
        <v>1119</v>
      </c>
      <c r="B1405" t="s">
        <v>39</v>
      </c>
      <c r="C1405">
        <v>1012726972</v>
      </c>
      <c r="D1405" t="s">
        <v>418</v>
      </c>
      <c r="E1405" t="s">
        <v>31</v>
      </c>
      <c r="F1405" s="1">
        <v>0.67291666666666672</v>
      </c>
      <c r="G1405" t="s">
        <v>32</v>
      </c>
      <c r="H1405" t="s">
        <v>33</v>
      </c>
      <c r="I1405" t="s">
        <v>41</v>
      </c>
      <c r="J1405" t="s">
        <v>62</v>
      </c>
      <c r="K1405">
        <v>280</v>
      </c>
      <c r="L1405">
        <v>0</v>
      </c>
      <c r="M1405" t="s">
        <v>63</v>
      </c>
      <c r="N1405">
        <v>150</v>
      </c>
      <c r="O1405">
        <v>0</v>
      </c>
      <c r="P1405">
        <v>0</v>
      </c>
      <c r="Q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 t="s">
        <v>36</v>
      </c>
      <c r="AC1405" t="s">
        <v>687</v>
      </c>
      <c r="AD1405" t="str">
        <f t="shared" si="44"/>
        <v>CP</v>
      </c>
      <c r="AE1405" t="str">
        <f>_xlfn.XLOOKUP(D1405,Mapping!A:A,Mapping!D:D,0,0)</f>
        <v>Bin</v>
      </c>
      <c r="AF1405" t="str">
        <f t="shared" si="45"/>
        <v>OLD</v>
      </c>
    </row>
    <row r="1406" spans="1:32" x14ac:dyDescent="0.2">
      <c r="A1406" t="s">
        <v>1119</v>
      </c>
      <c r="B1406" t="s">
        <v>39</v>
      </c>
      <c r="C1406">
        <v>1012726982</v>
      </c>
      <c r="D1406" t="s">
        <v>419</v>
      </c>
      <c r="E1406" t="s">
        <v>31</v>
      </c>
      <c r="F1406" s="1">
        <v>0.67291666666666672</v>
      </c>
      <c r="G1406" t="s">
        <v>32</v>
      </c>
      <c r="H1406" t="s">
        <v>33</v>
      </c>
      <c r="I1406" t="s">
        <v>34</v>
      </c>
      <c r="J1406" t="s">
        <v>84</v>
      </c>
      <c r="K1406">
        <v>112</v>
      </c>
      <c r="L1406">
        <v>0</v>
      </c>
      <c r="M1406" t="s">
        <v>63</v>
      </c>
      <c r="N1406">
        <v>150</v>
      </c>
      <c r="O1406">
        <v>0</v>
      </c>
      <c r="P1406">
        <v>0</v>
      </c>
      <c r="Q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 t="s">
        <v>36</v>
      </c>
      <c r="AC1406" t="s">
        <v>687</v>
      </c>
      <c r="AD1406" t="str">
        <f t="shared" si="44"/>
        <v>CP</v>
      </c>
      <c r="AE1406" t="str">
        <f>_xlfn.XLOOKUP(D1406,Mapping!A:A,Mapping!D:D,0,0)</f>
        <v>Bin</v>
      </c>
      <c r="AF1406" t="str">
        <f t="shared" si="45"/>
        <v>OLD</v>
      </c>
    </row>
    <row r="1407" spans="1:32" x14ac:dyDescent="0.2">
      <c r="A1407" t="s">
        <v>1119</v>
      </c>
      <c r="B1407" t="s">
        <v>39</v>
      </c>
      <c r="C1407">
        <v>1012726992</v>
      </c>
      <c r="D1407" t="s">
        <v>420</v>
      </c>
      <c r="E1407" t="s">
        <v>31</v>
      </c>
      <c r="F1407" s="1">
        <v>0.67291666666666672</v>
      </c>
      <c r="G1407" t="s">
        <v>32</v>
      </c>
      <c r="H1407" t="s">
        <v>33</v>
      </c>
      <c r="I1407" t="s">
        <v>41</v>
      </c>
      <c r="J1407" t="s">
        <v>62</v>
      </c>
      <c r="K1407">
        <v>280</v>
      </c>
      <c r="L1407">
        <v>0</v>
      </c>
      <c r="M1407" t="s">
        <v>36</v>
      </c>
      <c r="N1407" t="s">
        <v>37</v>
      </c>
      <c r="O1407">
        <v>0</v>
      </c>
      <c r="P1407">
        <v>0</v>
      </c>
      <c r="Q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 t="s">
        <v>36</v>
      </c>
      <c r="AC1407" t="s">
        <v>687</v>
      </c>
      <c r="AD1407" t="str">
        <f t="shared" si="44"/>
        <v>CP</v>
      </c>
      <c r="AE1407" t="str">
        <f>_xlfn.XLOOKUP(D1407,Mapping!A:A,Mapping!D:D,0,0)</f>
        <v>Bin</v>
      </c>
      <c r="AF1407" t="str">
        <f t="shared" si="45"/>
        <v>OLD</v>
      </c>
    </row>
    <row r="1408" spans="1:32" x14ac:dyDescent="0.2">
      <c r="A1408" t="s">
        <v>1119</v>
      </c>
      <c r="B1408" t="s">
        <v>39</v>
      </c>
      <c r="C1408">
        <v>1012727002</v>
      </c>
      <c r="D1408" t="s">
        <v>421</v>
      </c>
      <c r="E1408" t="s">
        <v>31</v>
      </c>
      <c r="F1408" s="1">
        <v>0.67291666666666672</v>
      </c>
      <c r="G1408" t="s">
        <v>32</v>
      </c>
      <c r="H1408" t="s">
        <v>33</v>
      </c>
      <c r="I1408" t="s">
        <v>41</v>
      </c>
      <c r="J1408" t="s">
        <v>62</v>
      </c>
      <c r="K1408">
        <v>280</v>
      </c>
      <c r="L1408">
        <v>0</v>
      </c>
      <c r="M1408" t="s">
        <v>36</v>
      </c>
      <c r="N1408" t="s">
        <v>37</v>
      </c>
      <c r="O1408">
        <v>0</v>
      </c>
      <c r="P1408">
        <v>0</v>
      </c>
      <c r="Q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 t="s">
        <v>36</v>
      </c>
      <c r="AC1408" t="s">
        <v>687</v>
      </c>
      <c r="AD1408" t="str">
        <f t="shared" si="44"/>
        <v>CP</v>
      </c>
      <c r="AE1408" t="str">
        <f>_xlfn.XLOOKUP(D1408,Mapping!A:A,Mapping!D:D,0,0)</f>
        <v>Bin</v>
      </c>
      <c r="AF1408" t="str">
        <f t="shared" si="45"/>
        <v>OLD</v>
      </c>
    </row>
    <row r="1409" spans="1:32" x14ac:dyDescent="0.2">
      <c r="A1409" t="s">
        <v>1119</v>
      </c>
      <c r="B1409" t="s">
        <v>29</v>
      </c>
      <c r="C1409">
        <v>1012727012</v>
      </c>
      <c r="D1409" t="s">
        <v>422</v>
      </c>
      <c r="E1409" t="s">
        <v>31</v>
      </c>
      <c r="F1409" s="1">
        <v>0.67291666666666672</v>
      </c>
      <c r="G1409" t="s">
        <v>32</v>
      </c>
      <c r="H1409" t="s">
        <v>33</v>
      </c>
      <c r="I1409" t="s">
        <v>34</v>
      </c>
      <c r="J1409" t="s">
        <v>84</v>
      </c>
      <c r="K1409">
        <v>112</v>
      </c>
      <c r="L1409">
        <v>0</v>
      </c>
      <c r="M1409" t="s">
        <v>63</v>
      </c>
      <c r="N1409">
        <v>150</v>
      </c>
      <c r="O1409">
        <v>2151</v>
      </c>
      <c r="P1409">
        <v>104</v>
      </c>
      <c r="Q1409">
        <v>4.8349500000000001</v>
      </c>
      <c r="R1409">
        <v>0</v>
      </c>
      <c r="S1409">
        <v>4.22</v>
      </c>
      <c r="T1409">
        <v>1.96</v>
      </c>
      <c r="U1409">
        <v>4.1000000000000002E-2</v>
      </c>
      <c r="V1409">
        <v>0</v>
      </c>
      <c r="W1409">
        <v>1</v>
      </c>
      <c r="X1409">
        <v>0</v>
      </c>
      <c r="Y1409" t="s">
        <v>36</v>
      </c>
      <c r="Z1409">
        <v>2151</v>
      </c>
      <c r="AA1409">
        <v>1761</v>
      </c>
      <c r="AB1409">
        <v>249</v>
      </c>
      <c r="AC1409" t="s">
        <v>687</v>
      </c>
      <c r="AD1409" t="str">
        <f t="shared" si="44"/>
        <v>CP</v>
      </c>
      <c r="AE1409" t="str">
        <f>_xlfn.XLOOKUP(D1409,Mapping!A:A,Mapping!D:D,0,0)</f>
        <v>Trans</v>
      </c>
      <c r="AF1409" t="str">
        <f t="shared" si="45"/>
        <v>OLD</v>
      </c>
    </row>
    <row r="1410" spans="1:32" x14ac:dyDescent="0.2">
      <c r="A1410" t="s">
        <v>1119</v>
      </c>
      <c r="B1410" t="s">
        <v>39</v>
      </c>
      <c r="C1410">
        <v>1012727022</v>
      </c>
      <c r="D1410" t="s">
        <v>424</v>
      </c>
      <c r="E1410" t="s">
        <v>31</v>
      </c>
      <c r="F1410" s="1">
        <v>0.67291666666666672</v>
      </c>
      <c r="G1410" t="s">
        <v>32</v>
      </c>
      <c r="H1410" t="s">
        <v>33</v>
      </c>
      <c r="I1410" t="s">
        <v>41</v>
      </c>
      <c r="J1410" t="s">
        <v>62</v>
      </c>
      <c r="K1410">
        <v>280</v>
      </c>
      <c r="L1410">
        <v>0</v>
      </c>
      <c r="M1410" t="s">
        <v>36</v>
      </c>
      <c r="N1410" t="s">
        <v>37</v>
      </c>
      <c r="O1410">
        <v>0</v>
      </c>
      <c r="P1410">
        <v>0</v>
      </c>
      <c r="Q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 t="s">
        <v>36</v>
      </c>
      <c r="AC1410" t="s">
        <v>687</v>
      </c>
      <c r="AD1410" t="str">
        <f t="shared" si="44"/>
        <v>CP</v>
      </c>
      <c r="AE1410" t="str">
        <f>_xlfn.XLOOKUP(D1410,Mapping!A:A,Mapping!D:D,0,0)</f>
        <v>Bin</v>
      </c>
      <c r="AF1410" t="str">
        <f t="shared" si="45"/>
        <v>OLD</v>
      </c>
    </row>
    <row r="1411" spans="1:32" x14ac:dyDescent="0.2">
      <c r="A1411" t="s">
        <v>1119</v>
      </c>
      <c r="B1411" t="s">
        <v>39</v>
      </c>
      <c r="C1411">
        <v>1012727032</v>
      </c>
      <c r="D1411" t="s">
        <v>425</v>
      </c>
      <c r="E1411" t="s">
        <v>31</v>
      </c>
      <c r="F1411" s="1">
        <v>0.67291666666666672</v>
      </c>
      <c r="G1411" t="s">
        <v>32</v>
      </c>
      <c r="H1411" t="s">
        <v>33</v>
      </c>
      <c r="I1411" t="s">
        <v>41</v>
      </c>
      <c r="J1411" t="s">
        <v>62</v>
      </c>
      <c r="K1411">
        <v>280</v>
      </c>
      <c r="L1411">
        <v>0</v>
      </c>
      <c r="M1411" t="s">
        <v>36</v>
      </c>
      <c r="N1411" t="s">
        <v>37</v>
      </c>
      <c r="O1411">
        <v>0</v>
      </c>
      <c r="P1411">
        <v>0</v>
      </c>
      <c r="Q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 t="s">
        <v>36</v>
      </c>
      <c r="AC1411" t="s">
        <v>687</v>
      </c>
      <c r="AD1411" t="str">
        <f t="shared" si="44"/>
        <v>CP</v>
      </c>
      <c r="AE1411" t="str">
        <f>_xlfn.XLOOKUP(D1411,Mapping!A:A,Mapping!D:D,0,0)</f>
        <v>Bin</v>
      </c>
      <c r="AF1411" t="str">
        <f t="shared" si="45"/>
        <v>OLD</v>
      </c>
    </row>
    <row r="1412" spans="1:32" x14ac:dyDescent="0.2">
      <c r="A1412" t="s">
        <v>1119</v>
      </c>
      <c r="B1412" t="s">
        <v>29</v>
      </c>
      <c r="C1412">
        <v>1012727042</v>
      </c>
      <c r="D1412" t="s">
        <v>426</v>
      </c>
      <c r="E1412" t="s">
        <v>31</v>
      </c>
      <c r="F1412" s="1">
        <v>0.67291666666666672</v>
      </c>
      <c r="G1412" t="s">
        <v>32</v>
      </c>
      <c r="H1412" t="s">
        <v>33</v>
      </c>
      <c r="I1412" t="s">
        <v>34</v>
      </c>
      <c r="J1412" t="s">
        <v>84</v>
      </c>
      <c r="K1412">
        <v>160</v>
      </c>
      <c r="L1412">
        <v>0</v>
      </c>
      <c r="M1412" t="s">
        <v>36</v>
      </c>
      <c r="N1412" t="s">
        <v>37</v>
      </c>
      <c r="O1412">
        <v>8307</v>
      </c>
      <c r="P1412">
        <v>275</v>
      </c>
      <c r="Q1412">
        <v>3.31046</v>
      </c>
      <c r="R1412">
        <v>0</v>
      </c>
      <c r="S1412">
        <v>24.84</v>
      </c>
      <c r="T1412">
        <v>2.99</v>
      </c>
      <c r="U1412">
        <v>0.09</v>
      </c>
      <c r="V1412">
        <v>0</v>
      </c>
      <c r="W1412">
        <v>1</v>
      </c>
      <c r="X1412">
        <v>0</v>
      </c>
      <c r="Y1412" t="s">
        <v>36</v>
      </c>
      <c r="Z1412">
        <v>8307</v>
      </c>
      <c r="AA1412">
        <v>6705</v>
      </c>
      <c r="AB1412">
        <v>858</v>
      </c>
      <c r="AC1412" t="s">
        <v>687</v>
      </c>
      <c r="AD1412" t="str">
        <f t="shared" si="44"/>
        <v>CP</v>
      </c>
      <c r="AE1412" t="str">
        <f>_xlfn.XLOOKUP(D1412,Mapping!A:A,Mapping!D:D,0,0)</f>
        <v>Trans</v>
      </c>
      <c r="AF1412" t="str">
        <f t="shared" si="45"/>
        <v>OLD</v>
      </c>
    </row>
    <row r="1413" spans="1:32" x14ac:dyDescent="0.2">
      <c r="A1413" t="s">
        <v>1119</v>
      </c>
      <c r="B1413" t="s">
        <v>39</v>
      </c>
      <c r="C1413">
        <v>1012727052</v>
      </c>
      <c r="D1413" t="s">
        <v>427</v>
      </c>
      <c r="E1413" t="s">
        <v>31</v>
      </c>
      <c r="F1413" s="1">
        <v>0.67291666666666672</v>
      </c>
      <c r="G1413" t="s">
        <v>32</v>
      </c>
      <c r="H1413" t="s">
        <v>33</v>
      </c>
      <c r="I1413" t="s">
        <v>41</v>
      </c>
      <c r="J1413" t="s">
        <v>62</v>
      </c>
      <c r="K1413">
        <v>280</v>
      </c>
      <c r="L1413">
        <v>0</v>
      </c>
      <c r="M1413" t="s">
        <v>36</v>
      </c>
      <c r="N1413" t="s">
        <v>37</v>
      </c>
      <c r="O1413">
        <v>0</v>
      </c>
      <c r="P1413">
        <v>0</v>
      </c>
      <c r="Q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 t="s">
        <v>36</v>
      </c>
      <c r="AC1413" t="s">
        <v>687</v>
      </c>
      <c r="AD1413" t="str">
        <f t="shared" si="44"/>
        <v>CP</v>
      </c>
      <c r="AE1413" t="str">
        <f>_xlfn.XLOOKUP(D1413,Mapping!A:A,Mapping!D:D,0,0)</f>
        <v>Bin</v>
      </c>
      <c r="AF1413" t="str">
        <f t="shared" si="45"/>
        <v>OLD</v>
      </c>
    </row>
    <row r="1414" spans="1:32" x14ac:dyDescent="0.2">
      <c r="A1414" t="s">
        <v>1119</v>
      </c>
      <c r="B1414" t="s">
        <v>39</v>
      </c>
      <c r="C1414">
        <v>1012727062</v>
      </c>
      <c r="D1414" t="s">
        <v>428</v>
      </c>
      <c r="E1414" t="s">
        <v>31</v>
      </c>
      <c r="F1414" s="1">
        <v>0.67291666666666672</v>
      </c>
      <c r="G1414" t="s">
        <v>32</v>
      </c>
      <c r="H1414" t="s">
        <v>33</v>
      </c>
      <c r="I1414" t="s">
        <v>41</v>
      </c>
      <c r="J1414" t="s">
        <v>62</v>
      </c>
      <c r="K1414">
        <v>280</v>
      </c>
      <c r="L1414">
        <v>0</v>
      </c>
      <c r="M1414" t="s">
        <v>36</v>
      </c>
      <c r="N1414" t="s">
        <v>37</v>
      </c>
      <c r="O1414">
        <v>0</v>
      </c>
      <c r="P1414">
        <v>0</v>
      </c>
      <c r="Q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 t="s">
        <v>36</v>
      </c>
      <c r="AC1414" t="s">
        <v>687</v>
      </c>
      <c r="AD1414" t="str">
        <f t="shared" si="44"/>
        <v>CP</v>
      </c>
      <c r="AE1414" t="str">
        <f>_xlfn.XLOOKUP(D1414,Mapping!A:A,Mapping!D:D,0,0)</f>
        <v>Bin</v>
      </c>
      <c r="AF1414" t="str">
        <f t="shared" si="45"/>
        <v>OLD</v>
      </c>
    </row>
    <row r="1415" spans="1:32" x14ac:dyDescent="0.2">
      <c r="A1415" t="s">
        <v>1119</v>
      </c>
      <c r="B1415" t="s">
        <v>39</v>
      </c>
      <c r="C1415">
        <v>1012727072</v>
      </c>
      <c r="D1415" t="s">
        <v>429</v>
      </c>
      <c r="E1415" t="s">
        <v>31</v>
      </c>
      <c r="F1415" s="1">
        <v>0.67291666666666672</v>
      </c>
      <c r="G1415" t="s">
        <v>32</v>
      </c>
      <c r="H1415" t="s">
        <v>33</v>
      </c>
      <c r="I1415" t="s">
        <v>34</v>
      </c>
      <c r="J1415" t="s">
        <v>84</v>
      </c>
      <c r="K1415">
        <v>112</v>
      </c>
      <c r="L1415">
        <v>0</v>
      </c>
      <c r="M1415" t="s">
        <v>36</v>
      </c>
      <c r="N1415" t="s">
        <v>37</v>
      </c>
      <c r="O1415">
        <v>0</v>
      </c>
      <c r="P1415">
        <v>0</v>
      </c>
      <c r="Q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 t="s">
        <v>36</v>
      </c>
      <c r="AC1415" t="s">
        <v>687</v>
      </c>
      <c r="AD1415" t="str">
        <f t="shared" si="44"/>
        <v>CP</v>
      </c>
      <c r="AE1415" t="str">
        <f>_xlfn.XLOOKUP(D1415,Mapping!A:A,Mapping!D:D,0,0)</f>
        <v>Bin</v>
      </c>
      <c r="AF1415" t="str">
        <f t="shared" si="45"/>
        <v>OLD</v>
      </c>
    </row>
    <row r="1416" spans="1:32" x14ac:dyDescent="0.2">
      <c r="A1416" t="s">
        <v>1119</v>
      </c>
      <c r="B1416" t="s">
        <v>39</v>
      </c>
      <c r="C1416">
        <v>1012727082</v>
      </c>
      <c r="D1416" t="s">
        <v>430</v>
      </c>
      <c r="E1416" t="s">
        <v>31</v>
      </c>
      <c r="F1416" s="1">
        <v>0.67291666666666672</v>
      </c>
      <c r="G1416" t="s">
        <v>32</v>
      </c>
      <c r="H1416" t="s">
        <v>33</v>
      </c>
      <c r="I1416" t="s">
        <v>41</v>
      </c>
      <c r="J1416" t="s">
        <v>62</v>
      </c>
      <c r="K1416">
        <v>280</v>
      </c>
      <c r="L1416">
        <v>0</v>
      </c>
      <c r="M1416" t="s">
        <v>36</v>
      </c>
      <c r="N1416" t="s">
        <v>37</v>
      </c>
      <c r="O1416">
        <v>0</v>
      </c>
      <c r="P1416">
        <v>0</v>
      </c>
      <c r="Q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 t="s">
        <v>36</v>
      </c>
      <c r="AC1416" t="s">
        <v>687</v>
      </c>
      <c r="AD1416" t="str">
        <f t="shared" si="44"/>
        <v>CP</v>
      </c>
      <c r="AE1416" t="str">
        <f>_xlfn.XLOOKUP(D1416,Mapping!A:A,Mapping!D:D,0,0)</f>
        <v>Bin</v>
      </c>
      <c r="AF1416" t="str">
        <f t="shared" si="45"/>
        <v>OLD</v>
      </c>
    </row>
    <row r="1417" spans="1:32" x14ac:dyDescent="0.2">
      <c r="A1417" t="s">
        <v>1119</v>
      </c>
      <c r="B1417" t="s">
        <v>39</v>
      </c>
      <c r="C1417">
        <v>1012727092</v>
      </c>
      <c r="D1417" t="s">
        <v>431</v>
      </c>
      <c r="E1417" t="s">
        <v>31</v>
      </c>
      <c r="F1417" s="1">
        <v>0.67291666666666672</v>
      </c>
      <c r="G1417" t="s">
        <v>32</v>
      </c>
      <c r="H1417" t="s">
        <v>33</v>
      </c>
      <c r="I1417" t="s">
        <v>41</v>
      </c>
      <c r="J1417" t="s">
        <v>62</v>
      </c>
      <c r="K1417">
        <v>280</v>
      </c>
      <c r="L1417">
        <v>0</v>
      </c>
      <c r="M1417" t="s">
        <v>36</v>
      </c>
      <c r="N1417" t="s">
        <v>37</v>
      </c>
      <c r="O1417">
        <v>0</v>
      </c>
      <c r="P1417">
        <v>0</v>
      </c>
      <c r="Q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 t="s">
        <v>36</v>
      </c>
      <c r="AC1417" t="s">
        <v>687</v>
      </c>
      <c r="AD1417" t="str">
        <f t="shared" si="44"/>
        <v>CP</v>
      </c>
      <c r="AE1417" t="str">
        <f>_xlfn.XLOOKUP(D1417,Mapping!A:A,Mapping!D:D,0,0)</f>
        <v>Trans</v>
      </c>
      <c r="AF1417" t="str">
        <f t="shared" si="45"/>
        <v>OLD</v>
      </c>
    </row>
    <row r="1418" spans="1:32" x14ac:dyDescent="0.2">
      <c r="A1418" t="s">
        <v>1119</v>
      </c>
      <c r="B1418" t="s">
        <v>29</v>
      </c>
      <c r="C1418">
        <v>1012727102</v>
      </c>
      <c r="D1418" t="s">
        <v>432</v>
      </c>
      <c r="E1418" t="s">
        <v>31</v>
      </c>
      <c r="F1418" s="1">
        <v>0.67291666666666672</v>
      </c>
      <c r="G1418" t="s">
        <v>32</v>
      </c>
      <c r="H1418" t="s">
        <v>33</v>
      </c>
      <c r="I1418" t="s">
        <v>34</v>
      </c>
      <c r="J1418" t="s">
        <v>84</v>
      </c>
      <c r="K1418">
        <v>112</v>
      </c>
      <c r="L1418">
        <v>0</v>
      </c>
      <c r="M1418" t="s">
        <v>36</v>
      </c>
      <c r="N1418" t="s">
        <v>37</v>
      </c>
      <c r="O1418">
        <v>10582</v>
      </c>
      <c r="P1418">
        <v>374</v>
      </c>
      <c r="Q1418">
        <v>3.5343</v>
      </c>
      <c r="R1418">
        <v>0</v>
      </c>
      <c r="S1418">
        <v>22.82</v>
      </c>
      <c r="T1418">
        <v>2.157</v>
      </c>
      <c r="U1418">
        <v>6.0999999999999999E-2</v>
      </c>
      <c r="V1418">
        <v>0</v>
      </c>
      <c r="W1418">
        <v>1</v>
      </c>
      <c r="X1418">
        <v>0</v>
      </c>
      <c r="Y1418" t="s">
        <v>36</v>
      </c>
      <c r="Z1418">
        <v>10582</v>
      </c>
      <c r="AA1418">
        <v>7921</v>
      </c>
      <c r="AB1418">
        <v>1251</v>
      </c>
      <c r="AC1418" t="s">
        <v>687</v>
      </c>
      <c r="AD1418" t="str">
        <f t="shared" si="44"/>
        <v>CP</v>
      </c>
      <c r="AE1418" t="str">
        <f>_xlfn.XLOOKUP(D1418,Mapping!A:A,Mapping!D:D,0,0)</f>
        <v>Trans</v>
      </c>
      <c r="AF1418" t="str">
        <f t="shared" si="45"/>
        <v>OLD</v>
      </c>
    </row>
    <row r="1419" spans="1:32" x14ac:dyDescent="0.2">
      <c r="A1419" t="s">
        <v>1119</v>
      </c>
      <c r="B1419" t="s">
        <v>39</v>
      </c>
      <c r="C1419">
        <v>1012727112</v>
      </c>
      <c r="D1419" t="s">
        <v>433</v>
      </c>
      <c r="E1419" t="s">
        <v>31</v>
      </c>
      <c r="F1419" s="1">
        <v>0.67291666666666672</v>
      </c>
      <c r="G1419" t="s">
        <v>32</v>
      </c>
      <c r="H1419" t="s">
        <v>33</v>
      </c>
      <c r="I1419" t="s">
        <v>41</v>
      </c>
      <c r="J1419" t="s">
        <v>62</v>
      </c>
      <c r="K1419">
        <v>280</v>
      </c>
      <c r="L1419">
        <v>0</v>
      </c>
      <c r="M1419" t="s">
        <v>36</v>
      </c>
      <c r="N1419" t="s">
        <v>37</v>
      </c>
      <c r="O1419">
        <v>0</v>
      </c>
      <c r="P1419">
        <v>0</v>
      </c>
      <c r="Q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 t="s">
        <v>36</v>
      </c>
      <c r="AC1419" t="s">
        <v>687</v>
      </c>
      <c r="AD1419" t="str">
        <f t="shared" si="44"/>
        <v>CP</v>
      </c>
      <c r="AE1419" t="str">
        <f>_xlfn.XLOOKUP(D1419,Mapping!A:A,Mapping!D:D,0,0)</f>
        <v>Bin</v>
      </c>
      <c r="AF1419" t="str">
        <f t="shared" si="45"/>
        <v>OLD</v>
      </c>
    </row>
    <row r="1420" spans="1:32" x14ac:dyDescent="0.2">
      <c r="A1420" t="s">
        <v>1119</v>
      </c>
      <c r="B1420" t="s">
        <v>39</v>
      </c>
      <c r="C1420">
        <v>1012732752</v>
      </c>
      <c r="D1420" t="s">
        <v>434</v>
      </c>
      <c r="E1420" t="s">
        <v>31</v>
      </c>
      <c r="F1420" s="1">
        <v>0.67291666666666672</v>
      </c>
      <c r="G1420" t="s">
        <v>32</v>
      </c>
      <c r="H1420" t="s">
        <v>33</v>
      </c>
      <c r="I1420" t="s">
        <v>41</v>
      </c>
      <c r="J1420" t="s">
        <v>84</v>
      </c>
      <c r="K1420">
        <v>280</v>
      </c>
      <c r="L1420">
        <v>0</v>
      </c>
      <c r="M1420" t="s">
        <v>36</v>
      </c>
      <c r="N1420" t="s">
        <v>37</v>
      </c>
      <c r="O1420">
        <v>0</v>
      </c>
      <c r="P1420">
        <v>0</v>
      </c>
      <c r="Q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 t="s">
        <v>36</v>
      </c>
      <c r="AC1420" t="s">
        <v>687</v>
      </c>
      <c r="AD1420" t="str">
        <f t="shared" si="44"/>
        <v>CP</v>
      </c>
      <c r="AE1420" t="str">
        <f>_xlfn.XLOOKUP(D1420,Mapping!A:A,Mapping!D:D,0,0)</f>
        <v>Bin</v>
      </c>
      <c r="AF1420" t="str">
        <f t="shared" si="45"/>
        <v>OLD</v>
      </c>
    </row>
    <row r="1421" spans="1:32" x14ac:dyDescent="0.2">
      <c r="A1421" t="s">
        <v>1119</v>
      </c>
      <c r="B1421" t="s">
        <v>39</v>
      </c>
      <c r="C1421">
        <v>1012732782</v>
      </c>
      <c r="D1421" t="s">
        <v>435</v>
      </c>
      <c r="E1421" t="s">
        <v>31</v>
      </c>
      <c r="F1421" s="1">
        <v>0.67291666666666672</v>
      </c>
      <c r="G1421" t="s">
        <v>32</v>
      </c>
      <c r="H1421" t="s">
        <v>33</v>
      </c>
      <c r="I1421" t="s">
        <v>41</v>
      </c>
      <c r="J1421" t="s">
        <v>84</v>
      </c>
      <c r="K1421">
        <v>280</v>
      </c>
      <c r="L1421">
        <v>0</v>
      </c>
      <c r="M1421" t="s">
        <v>63</v>
      </c>
      <c r="N1421">
        <v>250</v>
      </c>
      <c r="O1421">
        <v>0</v>
      </c>
      <c r="P1421">
        <v>0</v>
      </c>
      <c r="Q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 t="s">
        <v>36</v>
      </c>
      <c r="AC1421" t="s">
        <v>687</v>
      </c>
      <c r="AD1421" t="str">
        <f t="shared" si="44"/>
        <v>CP</v>
      </c>
      <c r="AE1421" t="str">
        <f>_xlfn.XLOOKUP(D1421,Mapping!A:A,Mapping!D:D,0,0)</f>
        <v>Bin</v>
      </c>
      <c r="AF1421" t="str">
        <f t="shared" si="45"/>
        <v>OLD</v>
      </c>
    </row>
    <row r="1422" spans="1:32" x14ac:dyDescent="0.2">
      <c r="A1422" t="s">
        <v>1119</v>
      </c>
      <c r="B1422" t="s">
        <v>690</v>
      </c>
      <c r="C1422">
        <v>1012732792</v>
      </c>
      <c r="D1422" t="s">
        <v>436</v>
      </c>
      <c r="E1422" t="s">
        <v>31</v>
      </c>
      <c r="F1422" s="1">
        <v>0.67291666666666672</v>
      </c>
      <c r="G1422" t="s">
        <v>32</v>
      </c>
      <c r="H1422" t="s">
        <v>33</v>
      </c>
      <c r="I1422" t="s">
        <v>41</v>
      </c>
      <c r="J1422" t="s">
        <v>84</v>
      </c>
      <c r="K1422">
        <v>280</v>
      </c>
      <c r="L1422">
        <v>0</v>
      </c>
      <c r="M1422" t="s">
        <v>36</v>
      </c>
      <c r="N1422" t="s">
        <v>37</v>
      </c>
      <c r="O1422">
        <v>173</v>
      </c>
      <c r="P1422">
        <v>11</v>
      </c>
      <c r="Q1422">
        <v>6.3583800000000004</v>
      </c>
      <c r="R1422">
        <v>0</v>
      </c>
      <c r="S1422">
        <v>0.31</v>
      </c>
      <c r="T1422">
        <v>1.7829999999999999</v>
      </c>
      <c r="U1422">
        <v>2.8000000000000001E-2</v>
      </c>
      <c r="V1422">
        <v>0</v>
      </c>
      <c r="W1422">
        <v>1</v>
      </c>
      <c r="X1422">
        <v>0</v>
      </c>
      <c r="Y1422" t="s">
        <v>36</v>
      </c>
      <c r="Z1422">
        <v>173</v>
      </c>
      <c r="AA1422">
        <v>151</v>
      </c>
      <c r="AB1422">
        <v>15</v>
      </c>
      <c r="AC1422" t="s">
        <v>687</v>
      </c>
      <c r="AD1422" t="str">
        <f t="shared" si="44"/>
        <v>CP</v>
      </c>
      <c r="AE1422" t="str">
        <f>_xlfn.XLOOKUP(D1422,Mapping!A:A,Mapping!D:D,0,0)</f>
        <v>Keyword - Preroll</v>
      </c>
      <c r="AF1422" t="str">
        <f t="shared" si="45"/>
        <v>OLD</v>
      </c>
    </row>
    <row r="1423" spans="1:32" x14ac:dyDescent="0.2">
      <c r="A1423" t="s">
        <v>1119</v>
      </c>
      <c r="B1423" t="s">
        <v>39</v>
      </c>
      <c r="C1423">
        <v>1012732802</v>
      </c>
      <c r="D1423" t="s">
        <v>437</v>
      </c>
      <c r="E1423" t="s">
        <v>31</v>
      </c>
      <c r="F1423" s="1">
        <v>0.67291666666666672</v>
      </c>
      <c r="G1423" t="s">
        <v>32</v>
      </c>
      <c r="H1423" t="s">
        <v>33</v>
      </c>
      <c r="I1423" t="s">
        <v>41</v>
      </c>
      <c r="J1423" t="s">
        <v>84</v>
      </c>
      <c r="K1423">
        <v>280</v>
      </c>
      <c r="L1423">
        <v>0</v>
      </c>
      <c r="M1423" t="s">
        <v>63</v>
      </c>
      <c r="N1423">
        <v>250</v>
      </c>
      <c r="O1423">
        <v>0</v>
      </c>
      <c r="P1423">
        <v>0</v>
      </c>
      <c r="Q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 t="s">
        <v>36</v>
      </c>
      <c r="AC1423" t="s">
        <v>687</v>
      </c>
      <c r="AD1423" t="str">
        <f t="shared" si="44"/>
        <v>CP</v>
      </c>
      <c r="AE1423" t="str">
        <f>_xlfn.XLOOKUP(D1423,Mapping!A:A,Mapping!D:D,0,0)</f>
        <v>Bin</v>
      </c>
      <c r="AF1423" t="str">
        <f t="shared" si="45"/>
        <v>OLD</v>
      </c>
    </row>
    <row r="1424" spans="1:32" x14ac:dyDescent="0.2">
      <c r="A1424" t="s">
        <v>1119</v>
      </c>
      <c r="B1424" t="s">
        <v>39</v>
      </c>
      <c r="C1424">
        <v>1012732812</v>
      </c>
      <c r="D1424" t="s">
        <v>438</v>
      </c>
      <c r="E1424" t="s">
        <v>31</v>
      </c>
      <c r="F1424" s="1">
        <v>0.67291666666666672</v>
      </c>
      <c r="G1424" t="s">
        <v>32</v>
      </c>
      <c r="H1424" t="s">
        <v>33</v>
      </c>
      <c r="I1424" t="s">
        <v>41</v>
      </c>
      <c r="J1424" t="s">
        <v>84</v>
      </c>
      <c r="K1424">
        <v>280</v>
      </c>
      <c r="L1424">
        <v>0</v>
      </c>
      <c r="M1424" t="s">
        <v>63</v>
      </c>
      <c r="N1424">
        <v>250</v>
      </c>
      <c r="O1424">
        <v>0</v>
      </c>
      <c r="P1424">
        <v>0</v>
      </c>
      <c r="Q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 t="s">
        <v>36</v>
      </c>
      <c r="AC1424" t="s">
        <v>687</v>
      </c>
      <c r="AD1424" t="str">
        <f t="shared" si="44"/>
        <v>CP</v>
      </c>
      <c r="AE1424" t="str">
        <f>_xlfn.XLOOKUP(D1424,Mapping!A:A,Mapping!D:D,0,0)</f>
        <v>Bin</v>
      </c>
      <c r="AF1424" t="str">
        <f t="shared" si="45"/>
        <v>OLD</v>
      </c>
    </row>
    <row r="1425" spans="1:32" x14ac:dyDescent="0.2">
      <c r="A1425" t="s">
        <v>1119</v>
      </c>
      <c r="B1425" t="s">
        <v>39</v>
      </c>
      <c r="C1425">
        <v>1012732822</v>
      </c>
      <c r="D1425" t="s">
        <v>439</v>
      </c>
      <c r="E1425" t="s">
        <v>31</v>
      </c>
      <c r="F1425" s="1">
        <v>0.67291666666666672</v>
      </c>
      <c r="G1425" t="s">
        <v>32</v>
      </c>
      <c r="H1425" t="s">
        <v>33</v>
      </c>
      <c r="I1425" t="s">
        <v>41</v>
      </c>
      <c r="J1425" t="s">
        <v>84</v>
      </c>
      <c r="K1425">
        <v>280</v>
      </c>
      <c r="L1425">
        <v>0</v>
      </c>
      <c r="M1425" t="s">
        <v>63</v>
      </c>
      <c r="N1425">
        <v>250</v>
      </c>
      <c r="O1425">
        <v>0</v>
      </c>
      <c r="P1425">
        <v>0</v>
      </c>
      <c r="Q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 t="s">
        <v>36</v>
      </c>
      <c r="AC1425" t="s">
        <v>687</v>
      </c>
      <c r="AD1425" t="str">
        <f t="shared" si="44"/>
        <v>CP</v>
      </c>
      <c r="AE1425" t="str">
        <f>_xlfn.XLOOKUP(D1425,Mapping!A:A,Mapping!D:D,0,0)</f>
        <v>Bin</v>
      </c>
      <c r="AF1425" t="str">
        <f t="shared" si="45"/>
        <v>OLD</v>
      </c>
    </row>
    <row r="1426" spans="1:32" x14ac:dyDescent="0.2">
      <c r="A1426" t="s">
        <v>1119</v>
      </c>
      <c r="B1426" t="s">
        <v>39</v>
      </c>
      <c r="C1426">
        <v>1012732832</v>
      </c>
      <c r="D1426" t="s">
        <v>440</v>
      </c>
      <c r="E1426" t="s">
        <v>31</v>
      </c>
      <c r="F1426" s="1">
        <v>0.67291666666666672</v>
      </c>
      <c r="G1426" t="s">
        <v>32</v>
      </c>
      <c r="H1426" t="s">
        <v>33</v>
      </c>
      <c r="I1426" t="s">
        <v>41</v>
      </c>
      <c r="J1426" t="s">
        <v>84</v>
      </c>
      <c r="K1426">
        <v>280</v>
      </c>
      <c r="L1426">
        <v>0</v>
      </c>
      <c r="M1426" t="s">
        <v>63</v>
      </c>
      <c r="N1426">
        <v>250</v>
      </c>
      <c r="O1426">
        <v>0</v>
      </c>
      <c r="P1426">
        <v>0</v>
      </c>
      <c r="Q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 t="s">
        <v>36</v>
      </c>
      <c r="AC1426" t="s">
        <v>687</v>
      </c>
      <c r="AD1426" t="str">
        <f t="shared" si="44"/>
        <v>CP</v>
      </c>
      <c r="AE1426" t="str">
        <f>_xlfn.XLOOKUP(D1426,Mapping!A:A,Mapping!D:D,0,0)</f>
        <v>Bin</v>
      </c>
      <c r="AF1426" t="str">
        <f t="shared" si="45"/>
        <v>OLD</v>
      </c>
    </row>
    <row r="1427" spans="1:32" x14ac:dyDescent="0.2">
      <c r="A1427" t="s">
        <v>1119</v>
      </c>
      <c r="B1427" t="s">
        <v>39</v>
      </c>
      <c r="C1427">
        <v>1012732842</v>
      </c>
      <c r="D1427" t="s">
        <v>441</v>
      </c>
      <c r="E1427" t="s">
        <v>31</v>
      </c>
      <c r="F1427" s="1">
        <v>0.67291666666666672</v>
      </c>
      <c r="G1427" t="s">
        <v>32</v>
      </c>
      <c r="H1427" t="s">
        <v>33</v>
      </c>
      <c r="I1427" t="s">
        <v>41</v>
      </c>
      <c r="J1427" t="s">
        <v>84</v>
      </c>
      <c r="K1427">
        <v>280</v>
      </c>
      <c r="L1427">
        <v>0</v>
      </c>
      <c r="M1427" t="s">
        <v>63</v>
      </c>
      <c r="N1427">
        <v>250</v>
      </c>
      <c r="O1427">
        <v>0</v>
      </c>
      <c r="P1427">
        <v>0</v>
      </c>
      <c r="Q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 t="s">
        <v>36</v>
      </c>
      <c r="AC1427" t="s">
        <v>687</v>
      </c>
      <c r="AD1427" t="str">
        <f t="shared" si="44"/>
        <v>CP</v>
      </c>
      <c r="AE1427" t="str">
        <f>_xlfn.XLOOKUP(D1427,Mapping!A:A,Mapping!D:D,0,0)</f>
        <v>Bin</v>
      </c>
      <c r="AF1427" t="str">
        <f t="shared" si="45"/>
        <v>OLD</v>
      </c>
    </row>
    <row r="1428" spans="1:32" x14ac:dyDescent="0.2">
      <c r="A1428" t="s">
        <v>1119</v>
      </c>
      <c r="B1428" t="s">
        <v>39</v>
      </c>
      <c r="C1428">
        <v>1012732852</v>
      </c>
      <c r="D1428" t="s">
        <v>442</v>
      </c>
      <c r="E1428" t="s">
        <v>31</v>
      </c>
      <c r="F1428" s="1">
        <v>0.67291666666666672</v>
      </c>
      <c r="G1428" t="s">
        <v>32</v>
      </c>
      <c r="H1428" t="s">
        <v>33</v>
      </c>
      <c r="I1428" t="s">
        <v>41</v>
      </c>
      <c r="J1428" t="s">
        <v>84</v>
      </c>
      <c r="K1428">
        <v>280</v>
      </c>
      <c r="L1428">
        <v>0</v>
      </c>
      <c r="M1428" t="s">
        <v>63</v>
      </c>
      <c r="N1428">
        <v>250</v>
      </c>
      <c r="O1428">
        <v>0</v>
      </c>
      <c r="P1428">
        <v>0</v>
      </c>
      <c r="Q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 t="s">
        <v>36</v>
      </c>
      <c r="AC1428" t="s">
        <v>687</v>
      </c>
      <c r="AD1428" t="str">
        <f t="shared" si="44"/>
        <v>CP</v>
      </c>
      <c r="AE1428" t="str">
        <f>_xlfn.XLOOKUP(D1428,Mapping!A:A,Mapping!D:D,0,0)</f>
        <v>Bin</v>
      </c>
      <c r="AF1428" t="str">
        <f t="shared" si="45"/>
        <v>OLD</v>
      </c>
    </row>
    <row r="1429" spans="1:32" x14ac:dyDescent="0.2">
      <c r="A1429" t="s">
        <v>1119</v>
      </c>
      <c r="B1429" t="s">
        <v>39</v>
      </c>
      <c r="C1429">
        <v>1012732862</v>
      </c>
      <c r="D1429" t="s">
        <v>443</v>
      </c>
      <c r="E1429" t="s">
        <v>31</v>
      </c>
      <c r="F1429" s="1">
        <v>0.67291666666666672</v>
      </c>
      <c r="G1429" t="s">
        <v>32</v>
      </c>
      <c r="H1429" t="s">
        <v>33</v>
      </c>
      <c r="I1429" t="s">
        <v>41</v>
      </c>
      <c r="J1429" t="s">
        <v>84</v>
      </c>
      <c r="K1429">
        <v>280</v>
      </c>
      <c r="L1429">
        <v>0</v>
      </c>
      <c r="M1429" t="s">
        <v>63</v>
      </c>
      <c r="N1429">
        <v>250</v>
      </c>
      <c r="O1429">
        <v>0</v>
      </c>
      <c r="P1429">
        <v>0</v>
      </c>
      <c r="Q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 t="s">
        <v>36</v>
      </c>
      <c r="AC1429" t="s">
        <v>687</v>
      </c>
      <c r="AD1429" t="str">
        <f t="shared" ref="AD1429:AD1492" si="46">LEFT(D1429,2)</f>
        <v>CP</v>
      </c>
      <c r="AE1429" t="str">
        <f>_xlfn.XLOOKUP(D1429,Mapping!A:A,Mapping!D:D,0,0)</f>
        <v>Bin</v>
      </c>
      <c r="AF1429" t="str">
        <f t="shared" ref="AF1429:AF1492" si="47">IFERROR(IF(SEARCH("_TJ",D1429)&gt;0,"TJ",NA()),IFERROR(IF(SEARCH("_JB",D1429)&gt;0,"JB",NA()),"OLD"))</f>
        <v>OLD</v>
      </c>
    </row>
    <row r="1430" spans="1:32" x14ac:dyDescent="0.2">
      <c r="A1430" t="s">
        <v>1119</v>
      </c>
      <c r="B1430" t="s">
        <v>39</v>
      </c>
      <c r="C1430">
        <v>1012732872</v>
      </c>
      <c r="D1430" t="s">
        <v>444</v>
      </c>
      <c r="E1430" t="s">
        <v>31</v>
      </c>
      <c r="F1430" s="1">
        <v>0.67291666666666672</v>
      </c>
      <c r="G1430" t="s">
        <v>32</v>
      </c>
      <c r="H1430" t="s">
        <v>33</v>
      </c>
      <c r="I1430" t="s">
        <v>41</v>
      </c>
      <c r="J1430" t="s">
        <v>84</v>
      </c>
      <c r="K1430">
        <v>280</v>
      </c>
      <c r="L1430">
        <v>0</v>
      </c>
      <c r="M1430" t="s">
        <v>63</v>
      </c>
      <c r="N1430">
        <v>250</v>
      </c>
      <c r="O1430">
        <v>0</v>
      </c>
      <c r="P1430">
        <v>0</v>
      </c>
      <c r="Q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 t="s">
        <v>36</v>
      </c>
      <c r="AC1430" t="s">
        <v>687</v>
      </c>
      <c r="AD1430" t="str">
        <f t="shared" si="46"/>
        <v>CP</v>
      </c>
      <c r="AE1430" t="str">
        <f>_xlfn.XLOOKUP(D1430,Mapping!A:A,Mapping!D:D,0,0)</f>
        <v>Bin</v>
      </c>
      <c r="AF1430" t="str">
        <f t="shared" si="47"/>
        <v>OLD</v>
      </c>
    </row>
    <row r="1431" spans="1:32" x14ac:dyDescent="0.2">
      <c r="A1431" t="s">
        <v>1119</v>
      </c>
      <c r="B1431" t="s">
        <v>39</v>
      </c>
      <c r="C1431">
        <v>1012732882</v>
      </c>
      <c r="D1431" t="s">
        <v>445</v>
      </c>
      <c r="E1431" t="s">
        <v>31</v>
      </c>
      <c r="F1431" s="1">
        <v>0.67291666666666672</v>
      </c>
      <c r="G1431" t="s">
        <v>32</v>
      </c>
      <c r="H1431" t="s">
        <v>33</v>
      </c>
      <c r="I1431" t="s">
        <v>41</v>
      </c>
      <c r="J1431" t="s">
        <v>84</v>
      </c>
      <c r="K1431">
        <v>280</v>
      </c>
      <c r="L1431">
        <v>0</v>
      </c>
      <c r="M1431" t="s">
        <v>63</v>
      </c>
      <c r="N1431">
        <v>250</v>
      </c>
      <c r="O1431">
        <v>0</v>
      </c>
      <c r="P1431">
        <v>0</v>
      </c>
      <c r="Q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 t="s">
        <v>36</v>
      </c>
      <c r="AC1431" t="s">
        <v>687</v>
      </c>
      <c r="AD1431" t="str">
        <f t="shared" si="46"/>
        <v>CP</v>
      </c>
      <c r="AE1431" t="str">
        <f>_xlfn.XLOOKUP(D1431,Mapping!A:A,Mapping!D:D,0,0)</f>
        <v>Bin</v>
      </c>
      <c r="AF1431" t="str">
        <f t="shared" si="47"/>
        <v>OLD</v>
      </c>
    </row>
    <row r="1432" spans="1:32" x14ac:dyDescent="0.2">
      <c r="A1432" t="s">
        <v>1119</v>
      </c>
      <c r="B1432" t="s">
        <v>39</v>
      </c>
      <c r="C1432">
        <v>1012732892</v>
      </c>
      <c r="D1432" t="s">
        <v>446</v>
      </c>
      <c r="E1432" t="s">
        <v>31</v>
      </c>
      <c r="F1432" s="1">
        <v>0.67291666666666672</v>
      </c>
      <c r="G1432" t="s">
        <v>32</v>
      </c>
      <c r="H1432" t="s">
        <v>33</v>
      </c>
      <c r="I1432" t="s">
        <v>41</v>
      </c>
      <c r="J1432" t="s">
        <v>84</v>
      </c>
      <c r="K1432">
        <v>280</v>
      </c>
      <c r="L1432">
        <v>0</v>
      </c>
      <c r="M1432" t="s">
        <v>63</v>
      </c>
      <c r="N1432">
        <v>250</v>
      </c>
      <c r="O1432">
        <v>0</v>
      </c>
      <c r="P1432">
        <v>0</v>
      </c>
      <c r="Q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 t="s">
        <v>36</v>
      </c>
      <c r="AC1432" t="s">
        <v>687</v>
      </c>
      <c r="AD1432" t="str">
        <f t="shared" si="46"/>
        <v>CP</v>
      </c>
      <c r="AE1432" t="str">
        <f>_xlfn.XLOOKUP(D1432,Mapping!A:A,Mapping!D:D,0,0)</f>
        <v>Bin</v>
      </c>
      <c r="AF1432" t="str">
        <f t="shared" si="47"/>
        <v>OLD</v>
      </c>
    </row>
    <row r="1433" spans="1:32" x14ac:dyDescent="0.2">
      <c r="A1433" t="s">
        <v>1119</v>
      </c>
      <c r="B1433" t="s">
        <v>39</v>
      </c>
      <c r="C1433">
        <v>1012732902</v>
      </c>
      <c r="D1433" t="s">
        <v>447</v>
      </c>
      <c r="E1433" t="s">
        <v>31</v>
      </c>
      <c r="F1433" s="1">
        <v>0.67291666666666672</v>
      </c>
      <c r="G1433" t="s">
        <v>32</v>
      </c>
      <c r="H1433" t="s">
        <v>33</v>
      </c>
      <c r="I1433" t="s">
        <v>41</v>
      </c>
      <c r="J1433" t="s">
        <v>84</v>
      </c>
      <c r="K1433">
        <v>280</v>
      </c>
      <c r="L1433">
        <v>0</v>
      </c>
      <c r="M1433" t="s">
        <v>36</v>
      </c>
      <c r="N1433" t="s">
        <v>37</v>
      </c>
      <c r="O1433">
        <v>0</v>
      </c>
      <c r="P1433">
        <v>0</v>
      </c>
      <c r="Q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 t="s">
        <v>36</v>
      </c>
      <c r="AC1433" t="s">
        <v>687</v>
      </c>
      <c r="AD1433" t="str">
        <f t="shared" si="46"/>
        <v>CP</v>
      </c>
      <c r="AE1433" t="str">
        <f>_xlfn.XLOOKUP(D1433,Mapping!A:A,Mapping!D:D,0,0)</f>
        <v>Bin</v>
      </c>
      <c r="AF1433" t="str">
        <f t="shared" si="47"/>
        <v>OLD</v>
      </c>
    </row>
    <row r="1434" spans="1:32" x14ac:dyDescent="0.2">
      <c r="A1434" t="s">
        <v>1119</v>
      </c>
      <c r="B1434" t="s">
        <v>39</v>
      </c>
      <c r="C1434">
        <v>1012732912</v>
      </c>
      <c r="D1434" t="s">
        <v>448</v>
      </c>
      <c r="E1434" t="s">
        <v>31</v>
      </c>
      <c r="F1434" s="1">
        <v>0.67291666666666672</v>
      </c>
      <c r="G1434" t="s">
        <v>32</v>
      </c>
      <c r="H1434" t="s">
        <v>33</v>
      </c>
      <c r="I1434" t="s">
        <v>41</v>
      </c>
      <c r="J1434" t="s">
        <v>84</v>
      </c>
      <c r="K1434">
        <v>280</v>
      </c>
      <c r="L1434">
        <v>0</v>
      </c>
      <c r="M1434" t="s">
        <v>36</v>
      </c>
      <c r="N1434" t="s">
        <v>37</v>
      </c>
      <c r="O1434">
        <v>0</v>
      </c>
      <c r="P1434">
        <v>0</v>
      </c>
      <c r="Q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 t="s">
        <v>36</v>
      </c>
      <c r="AC1434" t="s">
        <v>687</v>
      </c>
      <c r="AD1434" t="str">
        <f t="shared" si="46"/>
        <v>CP</v>
      </c>
      <c r="AE1434" t="str">
        <f>_xlfn.XLOOKUP(D1434,Mapping!A:A,Mapping!D:D,0,0)</f>
        <v>Bin</v>
      </c>
      <c r="AF1434" t="str">
        <f t="shared" si="47"/>
        <v>OLD</v>
      </c>
    </row>
    <row r="1435" spans="1:32" x14ac:dyDescent="0.2">
      <c r="A1435" t="s">
        <v>1119</v>
      </c>
      <c r="B1435" t="s">
        <v>39</v>
      </c>
      <c r="C1435">
        <v>1012732922</v>
      </c>
      <c r="D1435" t="s">
        <v>449</v>
      </c>
      <c r="E1435" t="s">
        <v>31</v>
      </c>
      <c r="F1435" s="1">
        <v>0.67291666666666672</v>
      </c>
      <c r="G1435" t="s">
        <v>32</v>
      </c>
      <c r="H1435" t="s">
        <v>33</v>
      </c>
      <c r="I1435" t="s">
        <v>41</v>
      </c>
      <c r="J1435" t="s">
        <v>84</v>
      </c>
      <c r="K1435">
        <v>280</v>
      </c>
      <c r="L1435">
        <v>0</v>
      </c>
      <c r="M1435" t="s">
        <v>63</v>
      </c>
      <c r="N1435">
        <v>250</v>
      </c>
      <c r="O1435">
        <v>0</v>
      </c>
      <c r="P1435">
        <v>0</v>
      </c>
      <c r="Q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 t="s">
        <v>36</v>
      </c>
      <c r="AC1435" t="s">
        <v>687</v>
      </c>
      <c r="AD1435" t="str">
        <f t="shared" si="46"/>
        <v>CP</v>
      </c>
      <c r="AE1435" t="str">
        <f>_xlfn.XLOOKUP(D1435,Mapping!A:A,Mapping!D:D,0,0)</f>
        <v>Bin</v>
      </c>
      <c r="AF1435" t="str">
        <f t="shared" si="47"/>
        <v>OLD</v>
      </c>
    </row>
    <row r="1436" spans="1:32" x14ac:dyDescent="0.2">
      <c r="A1436" t="s">
        <v>1119</v>
      </c>
      <c r="B1436" t="s">
        <v>39</v>
      </c>
      <c r="C1436">
        <v>1012732932</v>
      </c>
      <c r="D1436" t="s">
        <v>450</v>
      </c>
      <c r="E1436" t="s">
        <v>31</v>
      </c>
      <c r="F1436" s="1">
        <v>0.67291666666666672</v>
      </c>
      <c r="G1436" t="s">
        <v>32</v>
      </c>
      <c r="H1436" t="s">
        <v>33</v>
      </c>
      <c r="I1436" t="s">
        <v>41</v>
      </c>
      <c r="J1436" t="s">
        <v>84</v>
      </c>
      <c r="K1436">
        <v>280</v>
      </c>
      <c r="L1436">
        <v>0</v>
      </c>
      <c r="M1436" t="s">
        <v>63</v>
      </c>
      <c r="N1436">
        <v>250</v>
      </c>
      <c r="O1436">
        <v>0</v>
      </c>
      <c r="P1436">
        <v>0</v>
      </c>
      <c r="Q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 t="s">
        <v>36</v>
      </c>
      <c r="AC1436" t="s">
        <v>687</v>
      </c>
      <c r="AD1436" t="str">
        <f t="shared" si="46"/>
        <v>CP</v>
      </c>
      <c r="AE1436" t="str">
        <f>_xlfn.XLOOKUP(D1436,Mapping!A:A,Mapping!D:D,0,0)</f>
        <v>Bin</v>
      </c>
      <c r="AF1436" t="str">
        <f t="shared" si="47"/>
        <v>OLD</v>
      </c>
    </row>
    <row r="1437" spans="1:32" x14ac:dyDescent="0.2">
      <c r="A1437" t="s">
        <v>1119</v>
      </c>
      <c r="B1437" t="s">
        <v>39</v>
      </c>
      <c r="C1437">
        <v>1012732942</v>
      </c>
      <c r="D1437" t="s">
        <v>451</v>
      </c>
      <c r="E1437" t="s">
        <v>31</v>
      </c>
      <c r="F1437" s="1">
        <v>0.67291666666666672</v>
      </c>
      <c r="G1437" t="s">
        <v>32</v>
      </c>
      <c r="H1437" t="s">
        <v>33</v>
      </c>
      <c r="I1437" t="s">
        <v>41</v>
      </c>
      <c r="J1437" t="s">
        <v>84</v>
      </c>
      <c r="K1437">
        <v>280</v>
      </c>
      <c r="L1437">
        <v>0</v>
      </c>
      <c r="M1437" t="s">
        <v>63</v>
      </c>
      <c r="N1437">
        <v>250</v>
      </c>
      <c r="O1437">
        <v>0</v>
      </c>
      <c r="P1437">
        <v>0</v>
      </c>
      <c r="Q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 t="s">
        <v>36</v>
      </c>
      <c r="AC1437" t="s">
        <v>687</v>
      </c>
      <c r="AD1437" t="str">
        <f t="shared" si="46"/>
        <v>CP</v>
      </c>
      <c r="AE1437" t="str">
        <f>_xlfn.XLOOKUP(D1437,Mapping!A:A,Mapping!D:D,0,0)</f>
        <v>Bin</v>
      </c>
      <c r="AF1437" t="str">
        <f t="shared" si="47"/>
        <v>OLD</v>
      </c>
    </row>
    <row r="1438" spans="1:32" x14ac:dyDescent="0.2">
      <c r="A1438" t="s">
        <v>1119</v>
      </c>
      <c r="B1438" t="s">
        <v>39</v>
      </c>
      <c r="C1438">
        <v>1012732962</v>
      </c>
      <c r="D1438" t="s">
        <v>452</v>
      </c>
      <c r="E1438" t="s">
        <v>31</v>
      </c>
      <c r="F1438" s="1">
        <v>0.67291666666666672</v>
      </c>
      <c r="G1438" t="s">
        <v>32</v>
      </c>
      <c r="H1438" t="s">
        <v>33</v>
      </c>
      <c r="I1438" t="s">
        <v>41</v>
      </c>
      <c r="J1438" t="s">
        <v>84</v>
      </c>
      <c r="K1438">
        <v>280</v>
      </c>
      <c r="L1438">
        <v>0</v>
      </c>
      <c r="M1438" t="s">
        <v>63</v>
      </c>
      <c r="N1438">
        <v>250</v>
      </c>
      <c r="O1438">
        <v>0</v>
      </c>
      <c r="P1438">
        <v>0</v>
      </c>
      <c r="Q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 t="s">
        <v>36</v>
      </c>
      <c r="AC1438" t="s">
        <v>687</v>
      </c>
      <c r="AD1438" t="str">
        <f t="shared" si="46"/>
        <v>CP</v>
      </c>
      <c r="AE1438" t="str">
        <f>_xlfn.XLOOKUP(D1438,Mapping!A:A,Mapping!D:D,0,0)</f>
        <v>Bin</v>
      </c>
      <c r="AF1438" t="str">
        <f t="shared" si="47"/>
        <v>OLD</v>
      </c>
    </row>
    <row r="1439" spans="1:32" x14ac:dyDescent="0.2">
      <c r="A1439" t="s">
        <v>1119</v>
      </c>
      <c r="B1439" t="s">
        <v>39</v>
      </c>
      <c r="C1439">
        <v>1012732972</v>
      </c>
      <c r="D1439" t="s">
        <v>453</v>
      </c>
      <c r="E1439" t="s">
        <v>31</v>
      </c>
      <c r="F1439" s="1">
        <v>0.67291666666666672</v>
      </c>
      <c r="G1439" t="s">
        <v>32</v>
      </c>
      <c r="H1439" t="s">
        <v>33</v>
      </c>
      <c r="I1439" t="s">
        <v>41</v>
      </c>
      <c r="J1439" t="s">
        <v>84</v>
      </c>
      <c r="K1439">
        <v>280</v>
      </c>
      <c r="L1439">
        <v>0</v>
      </c>
      <c r="M1439" t="s">
        <v>36</v>
      </c>
      <c r="N1439" t="s">
        <v>37</v>
      </c>
      <c r="O1439">
        <v>0</v>
      </c>
      <c r="P1439">
        <v>0</v>
      </c>
      <c r="Q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 t="s">
        <v>36</v>
      </c>
      <c r="AC1439" t="s">
        <v>687</v>
      </c>
      <c r="AD1439" t="str">
        <f t="shared" si="46"/>
        <v>CP</v>
      </c>
      <c r="AE1439" t="str">
        <f>_xlfn.XLOOKUP(D1439,Mapping!A:A,Mapping!D:D,0,0)</f>
        <v>Bin</v>
      </c>
      <c r="AF1439" t="str">
        <f t="shared" si="47"/>
        <v>OLD</v>
      </c>
    </row>
    <row r="1440" spans="1:32" x14ac:dyDescent="0.2">
      <c r="A1440" t="s">
        <v>1119</v>
      </c>
      <c r="B1440" t="s">
        <v>39</v>
      </c>
      <c r="C1440">
        <v>1012732982</v>
      </c>
      <c r="D1440" t="s">
        <v>454</v>
      </c>
      <c r="E1440" t="s">
        <v>31</v>
      </c>
      <c r="F1440" s="1">
        <v>0.67291666666666672</v>
      </c>
      <c r="G1440" t="s">
        <v>32</v>
      </c>
      <c r="H1440" t="s">
        <v>33</v>
      </c>
      <c r="I1440" t="s">
        <v>41</v>
      </c>
      <c r="J1440" t="s">
        <v>84</v>
      </c>
      <c r="K1440">
        <v>280</v>
      </c>
      <c r="L1440">
        <v>0</v>
      </c>
      <c r="M1440" t="s">
        <v>63</v>
      </c>
      <c r="N1440">
        <v>250</v>
      </c>
      <c r="O1440">
        <v>0</v>
      </c>
      <c r="P1440">
        <v>0</v>
      </c>
      <c r="Q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 t="s">
        <v>36</v>
      </c>
      <c r="AC1440" t="s">
        <v>687</v>
      </c>
      <c r="AD1440" t="str">
        <f t="shared" si="46"/>
        <v>CP</v>
      </c>
      <c r="AE1440" t="str">
        <f>_xlfn.XLOOKUP(D1440,Mapping!A:A,Mapping!D:D,0,0)</f>
        <v>Bin</v>
      </c>
      <c r="AF1440" t="str">
        <f t="shared" si="47"/>
        <v>OLD</v>
      </c>
    </row>
    <row r="1441" spans="1:32" x14ac:dyDescent="0.2">
      <c r="A1441" t="s">
        <v>1119</v>
      </c>
      <c r="B1441" t="s">
        <v>39</v>
      </c>
      <c r="C1441">
        <v>1012732992</v>
      </c>
      <c r="D1441" t="s">
        <v>455</v>
      </c>
      <c r="E1441" t="s">
        <v>31</v>
      </c>
      <c r="F1441" s="1">
        <v>0.67291666666666672</v>
      </c>
      <c r="G1441" t="s">
        <v>32</v>
      </c>
      <c r="H1441" t="s">
        <v>33</v>
      </c>
      <c r="I1441" t="s">
        <v>41</v>
      </c>
      <c r="J1441" t="s">
        <v>84</v>
      </c>
      <c r="K1441">
        <v>280</v>
      </c>
      <c r="L1441">
        <v>0</v>
      </c>
      <c r="M1441" t="s">
        <v>36</v>
      </c>
      <c r="N1441" t="s">
        <v>37</v>
      </c>
      <c r="O1441">
        <v>0</v>
      </c>
      <c r="P1441">
        <v>0</v>
      </c>
      <c r="Q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 t="s">
        <v>36</v>
      </c>
      <c r="AC1441" t="s">
        <v>687</v>
      </c>
      <c r="AD1441" t="str">
        <f t="shared" si="46"/>
        <v>CP</v>
      </c>
      <c r="AE1441" t="str">
        <f>_xlfn.XLOOKUP(D1441,Mapping!A:A,Mapping!D:D,0,0)</f>
        <v>Bin</v>
      </c>
      <c r="AF1441" t="str">
        <f t="shared" si="47"/>
        <v>OLD</v>
      </c>
    </row>
    <row r="1442" spans="1:32" x14ac:dyDescent="0.2">
      <c r="A1442" t="s">
        <v>1119</v>
      </c>
      <c r="B1442" t="s">
        <v>39</v>
      </c>
      <c r="C1442">
        <v>1012733002</v>
      </c>
      <c r="D1442" t="s">
        <v>456</v>
      </c>
      <c r="E1442" t="s">
        <v>31</v>
      </c>
      <c r="F1442" s="1">
        <v>0.67291666666666672</v>
      </c>
      <c r="G1442" t="s">
        <v>32</v>
      </c>
      <c r="H1442" t="s">
        <v>33</v>
      </c>
      <c r="I1442" t="s">
        <v>41</v>
      </c>
      <c r="J1442" t="s">
        <v>84</v>
      </c>
      <c r="K1442">
        <v>280</v>
      </c>
      <c r="L1442">
        <v>0</v>
      </c>
      <c r="M1442" t="s">
        <v>63</v>
      </c>
      <c r="N1442">
        <v>250</v>
      </c>
      <c r="O1442">
        <v>0</v>
      </c>
      <c r="P1442">
        <v>0</v>
      </c>
      <c r="Q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 t="s">
        <v>36</v>
      </c>
      <c r="AC1442" t="s">
        <v>687</v>
      </c>
      <c r="AD1442" t="str">
        <f t="shared" si="46"/>
        <v>CP</v>
      </c>
      <c r="AE1442" t="str">
        <f>_xlfn.XLOOKUP(D1442,Mapping!A:A,Mapping!D:D,0,0)</f>
        <v>Bin</v>
      </c>
      <c r="AF1442" t="str">
        <f t="shared" si="47"/>
        <v>OLD</v>
      </c>
    </row>
    <row r="1443" spans="1:32" x14ac:dyDescent="0.2">
      <c r="A1443" t="s">
        <v>1119</v>
      </c>
      <c r="B1443" t="s">
        <v>39</v>
      </c>
      <c r="C1443">
        <v>1012733012</v>
      </c>
      <c r="D1443" t="s">
        <v>457</v>
      </c>
      <c r="E1443" t="s">
        <v>31</v>
      </c>
      <c r="F1443" s="1">
        <v>0.67291666666666672</v>
      </c>
      <c r="G1443" t="s">
        <v>32</v>
      </c>
      <c r="H1443" t="s">
        <v>33</v>
      </c>
      <c r="I1443" t="s">
        <v>41</v>
      </c>
      <c r="J1443" t="s">
        <v>84</v>
      </c>
      <c r="K1443">
        <v>280</v>
      </c>
      <c r="L1443">
        <v>0</v>
      </c>
      <c r="M1443" t="s">
        <v>63</v>
      </c>
      <c r="N1443">
        <v>250</v>
      </c>
      <c r="O1443">
        <v>0</v>
      </c>
      <c r="P1443">
        <v>0</v>
      </c>
      <c r="Q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 t="s">
        <v>36</v>
      </c>
      <c r="AC1443" t="s">
        <v>687</v>
      </c>
      <c r="AD1443" t="str">
        <f t="shared" si="46"/>
        <v>CP</v>
      </c>
      <c r="AE1443" t="str">
        <f>_xlfn.XLOOKUP(D1443,Mapping!A:A,Mapping!D:D,0,0)</f>
        <v>Bin</v>
      </c>
      <c r="AF1443" t="str">
        <f t="shared" si="47"/>
        <v>OLD</v>
      </c>
    </row>
    <row r="1444" spans="1:32" x14ac:dyDescent="0.2">
      <c r="A1444" t="s">
        <v>1119</v>
      </c>
      <c r="B1444" t="s">
        <v>39</v>
      </c>
      <c r="C1444">
        <v>1012733022</v>
      </c>
      <c r="D1444" t="s">
        <v>227</v>
      </c>
      <c r="E1444" t="s">
        <v>31</v>
      </c>
      <c r="F1444" s="1">
        <v>0.67291666666666672</v>
      </c>
      <c r="G1444" t="s">
        <v>32</v>
      </c>
      <c r="H1444" t="s">
        <v>33</v>
      </c>
      <c r="I1444" t="s">
        <v>41</v>
      </c>
      <c r="J1444" t="s">
        <v>84</v>
      </c>
      <c r="K1444">
        <v>280</v>
      </c>
      <c r="L1444">
        <v>0</v>
      </c>
      <c r="M1444" t="s">
        <v>63</v>
      </c>
      <c r="N1444">
        <v>250</v>
      </c>
      <c r="O1444">
        <v>0</v>
      </c>
      <c r="P1444">
        <v>0</v>
      </c>
      <c r="Q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 t="s">
        <v>36</v>
      </c>
      <c r="AC1444" t="s">
        <v>687</v>
      </c>
      <c r="AD1444" t="str">
        <f t="shared" si="46"/>
        <v>CP</v>
      </c>
      <c r="AE1444" t="str">
        <f>_xlfn.XLOOKUP(D1444,Mapping!A:A,Mapping!D:D,0,0)</f>
        <v>Bin</v>
      </c>
      <c r="AF1444" t="str">
        <f t="shared" si="47"/>
        <v>OLD</v>
      </c>
    </row>
    <row r="1445" spans="1:32" x14ac:dyDescent="0.2">
      <c r="A1445" t="s">
        <v>1119</v>
      </c>
      <c r="B1445" t="s">
        <v>39</v>
      </c>
      <c r="C1445">
        <v>1012733032</v>
      </c>
      <c r="D1445" t="s">
        <v>458</v>
      </c>
      <c r="E1445" t="s">
        <v>31</v>
      </c>
      <c r="F1445" s="1">
        <v>0.67291666666666672</v>
      </c>
      <c r="G1445" t="s">
        <v>32</v>
      </c>
      <c r="H1445" t="s">
        <v>33</v>
      </c>
      <c r="I1445" t="s">
        <v>41</v>
      </c>
      <c r="J1445" t="s">
        <v>84</v>
      </c>
      <c r="K1445">
        <v>280</v>
      </c>
      <c r="L1445">
        <v>0</v>
      </c>
      <c r="M1445" t="s">
        <v>63</v>
      </c>
      <c r="N1445">
        <v>250</v>
      </c>
      <c r="O1445">
        <v>0</v>
      </c>
      <c r="P1445">
        <v>0</v>
      </c>
      <c r="Q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 t="s">
        <v>36</v>
      </c>
      <c r="AC1445" t="s">
        <v>687</v>
      </c>
      <c r="AD1445" t="str">
        <f t="shared" si="46"/>
        <v>CP</v>
      </c>
      <c r="AE1445" t="str">
        <f>_xlfn.XLOOKUP(D1445,Mapping!A:A,Mapping!D:D,0,0)</f>
        <v>Bin</v>
      </c>
      <c r="AF1445" t="str">
        <f t="shared" si="47"/>
        <v>OLD</v>
      </c>
    </row>
    <row r="1446" spans="1:32" x14ac:dyDescent="0.2">
      <c r="A1446" t="s">
        <v>1119</v>
      </c>
      <c r="B1446" t="s">
        <v>39</v>
      </c>
      <c r="C1446">
        <v>1012733042</v>
      </c>
      <c r="D1446" t="s">
        <v>459</v>
      </c>
      <c r="E1446" t="s">
        <v>31</v>
      </c>
      <c r="F1446" s="1">
        <v>0.67291666666666672</v>
      </c>
      <c r="G1446" t="s">
        <v>32</v>
      </c>
      <c r="H1446" t="s">
        <v>33</v>
      </c>
      <c r="I1446" t="s">
        <v>41</v>
      </c>
      <c r="J1446" t="s">
        <v>84</v>
      </c>
      <c r="K1446">
        <v>280</v>
      </c>
      <c r="L1446">
        <v>0</v>
      </c>
      <c r="M1446" t="s">
        <v>63</v>
      </c>
      <c r="N1446">
        <v>250</v>
      </c>
      <c r="O1446">
        <v>0</v>
      </c>
      <c r="P1446">
        <v>0</v>
      </c>
      <c r="Q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 t="s">
        <v>36</v>
      </c>
      <c r="AC1446" t="s">
        <v>687</v>
      </c>
      <c r="AD1446" t="str">
        <f t="shared" si="46"/>
        <v>CP</v>
      </c>
      <c r="AE1446" t="str">
        <f>_xlfn.XLOOKUP(D1446,Mapping!A:A,Mapping!D:D,0,0)</f>
        <v>Bin</v>
      </c>
      <c r="AF1446" t="str">
        <f t="shared" si="47"/>
        <v>OLD</v>
      </c>
    </row>
    <row r="1447" spans="1:32" x14ac:dyDescent="0.2">
      <c r="A1447" t="s">
        <v>1119</v>
      </c>
      <c r="B1447" t="s">
        <v>39</v>
      </c>
      <c r="C1447">
        <v>1012733052</v>
      </c>
      <c r="D1447" t="s">
        <v>460</v>
      </c>
      <c r="E1447" t="s">
        <v>31</v>
      </c>
      <c r="F1447" s="1">
        <v>0.67291666666666672</v>
      </c>
      <c r="G1447" t="s">
        <v>32</v>
      </c>
      <c r="H1447" t="s">
        <v>33</v>
      </c>
      <c r="I1447" t="s">
        <v>41</v>
      </c>
      <c r="J1447" t="s">
        <v>84</v>
      </c>
      <c r="K1447">
        <v>280</v>
      </c>
      <c r="L1447">
        <v>0</v>
      </c>
      <c r="M1447" t="s">
        <v>63</v>
      </c>
      <c r="N1447">
        <v>250</v>
      </c>
      <c r="O1447">
        <v>0</v>
      </c>
      <c r="P1447">
        <v>0</v>
      </c>
      <c r="Q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 t="s">
        <v>36</v>
      </c>
      <c r="AC1447" t="s">
        <v>687</v>
      </c>
      <c r="AD1447" t="str">
        <f t="shared" si="46"/>
        <v>CP</v>
      </c>
      <c r="AE1447" t="str">
        <f>_xlfn.XLOOKUP(D1447,Mapping!A:A,Mapping!D:D,0,0)</f>
        <v>Bin</v>
      </c>
      <c r="AF1447" t="str">
        <f t="shared" si="47"/>
        <v>OLD</v>
      </c>
    </row>
    <row r="1448" spans="1:32" x14ac:dyDescent="0.2">
      <c r="A1448" t="s">
        <v>1119</v>
      </c>
      <c r="B1448" t="s">
        <v>39</v>
      </c>
      <c r="C1448">
        <v>1012733062</v>
      </c>
      <c r="D1448" t="s">
        <v>461</v>
      </c>
      <c r="E1448" t="s">
        <v>31</v>
      </c>
      <c r="F1448" s="1">
        <v>0.67291666666666672</v>
      </c>
      <c r="G1448" t="s">
        <v>32</v>
      </c>
      <c r="H1448" t="s">
        <v>33</v>
      </c>
      <c r="I1448" t="s">
        <v>41</v>
      </c>
      <c r="J1448" t="s">
        <v>84</v>
      </c>
      <c r="K1448">
        <v>280</v>
      </c>
      <c r="L1448">
        <v>0</v>
      </c>
      <c r="M1448" t="s">
        <v>36</v>
      </c>
      <c r="N1448" t="s">
        <v>37</v>
      </c>
      <c r="O1448">
        <v>0</v>
      </c>
      <c r="P1448">
        <v>0</v>
      </c>
      <c r="Q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 t="s">
        <v>36</v>
      </c>
      <c r="AC1448" t="s">
        <v>687</v>
      </c>
      <c r="AD1448" t="str">
        <f t="shared" si="46"/>
        <v>CP</v>
      </c>
      <c r="AE1448" t="str">
        <f>_xlfn.XLOOKUP(D1448,Mapping!A:A,Mapping!D:D,0,0)</f>
        <v>Bin</v>
      </c>
      <c r="AF1448" t="str">
        <f t="shared" si="47"/>
        <v>OLD</v>
      </c>
    </row>
    <row r="1449" spans="1:32" x14ac:dyDescent="0.2">
      <c r="A1449" t="s">
        <v>1119</v>
      </c>
      <c r="B1449" t="s">
        <v>39</v>
      </c>
      <c r="C1449">
        <v>1012733072</v>
      </c>
      <c r="D1449" t="s">
        <v>462</v>
      </c>
      <c r="E1449" t="s">
        <v>31</v>
      </c>
      <c r="F1449" s="1">
        <v>0.67291666666666672</v>
      </c>
      <c r="G1449" t="s">
        <v>32</v>
      </c>
      <c r="H1449" t="s">
        <v>33</v>
      </c>
      <c r="I1449" t="s">
        <v>41</v>
      </c>
      <c r="J1449" t="s">
        <v>84</v>
      </c>
      <c r="K1449">
        <v>280</v>
      </c>
      <c r="L1449">
        <v>0</v>
      </c>
      <c r="M1449" t="s">
        <v>63</v>
      </c>
      <c r="N1449">
        <v>250</v>
      </c>
      <c r="O1449">
        <v>0</v>
      </c>
      <c r="P1449">
        <v>0</v>
      </c>
      <c r="Q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 t="s">
        <v>36</v>
      </c>
      <c r="AC1449" t="s">
        <v>687</v>
      </c>
      <c r="AD1449" t="str">
        <f t="shared" si="46"/>
        <v>CP</v>
      </c>
      <c r="AE1449" t="str">
        <f>_xlfn.XLOOKUP(D1449,Mapping!A:A,Mapping!D:D,0,0)</f>
        <v>Bin</v>
      </c>
      <c r="AF1449" t="str">
        <f t="shared" si="47"/>
        <v>OLD</v>
      </c>
    </row>
    <row r="1450" spans="1:32" x14ac:dyDescent="0.2">
      <c r="A1450" t="s">
        <v>1119</v>
      </c>
      <c r="B1450" t="s">
        <v>39</v>
      </c>
      <c r="C1450">
        <v>1012733082</v>
      </c>
      <c r="D1450" t="s">
        <v>463</v>
      </c>
      <c r="E1450" t="s">
        <v>31</v>
      </c>
      <c r="F1450" s="1">
        <v>0.67291666666666672</v>
      </c>
      <c r="G1450" t="s">
        <v>32</v>
      </c>
      <c r="H1450" t="s">
        <v>33</v>
      </c>
      <c r="I1450" t="s">
        <v>41</v>
      </c>
      <c r="J1450" t="s">
        <v>84</v>
      </c>
      <c r="K1450">
        <v>280</v>
      </c>
      <c r="L1450">
        <v>0</v>
      </c>
      <c r="M1450" t="s">
        <v>36</v>
      </c>
      <c r="N1450" t="s">
        <v>37</v>
      </c>
      <c r="O1450">
        <v>0</v>
      </c>
      <c r="P1450">
        <v>0</v>
      </c>
      <c r="Q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 t="s">
        <v>36</v>
      </c>
      <c r="AC1450" t="s">
        <v>687</v>
      </c>
      <c r="AD1450" t="str">
        <f t="shared" si="46"/>
        <v>CP</v>
      </c>
      <c r="AE1450" t="str">
        <f>_xlfn.XLOOKUP(D1450,Mapping!A:A,Mapping!D:D,0,0)</f>
        <v>Tests</v>
      </c>
      <c r="AF1450" t="str">
        <f t="shared" si="47"/>
        <v>OLD</v>
      </c>
    </row>
    <row r="1451" spans="1:32" x14ac:dyDescent="0.2">
      <c r="A1451" t="s">
        <v>1119</v>
      </c>
      <c r="B1451" t="s">
        <v>39</v>
      </c>
      <c r="C1451">
        <v>1012733092</v>
      </c>
      <c r="D1451" t="s">
        <v>464</v>
      </c>
      <c r="E1451" t="s">
        <v>31</v>
      </c>
      <c r="F1451" s="1">
        <v>0.67291666666666672</v>
      </c>
      <c r="G1451" t="s">
        <v>32</v>
      </c>
      <c r="H1451" t="s">
        <v>33</v>
      </c>
      <c r="I1451" t="s">
        <v>41</v>
      </c>
      <c r="J1451" t="s">
        <v>84</v>
      </c>
      <c r="K1451">
        <v>280</v>
      </c>
      <c r="L1451">
        <v>0</v>
      </c>
      <c r="M1451" t="s">
        <v>63</v>
      </c>
      <c r="N1451">
        <v>250</v>
      </c>
      <c r="O1451">
        <v>0</v>
      </c>
      <c r="P1451">
        <v>0</v>
      </c>
      <c r="Q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 t="s">
        <v>36</v>
      </c>
      <c r="AC1451" t="s">
        <v>687</v>
      </c>
      <c r="AD1451" t="str">
        <f t="shared" si="46"/>
        <v>CP</v>
      </c>
      <c r="AE1451" t="str">
        <f>_xlfn.XLOOKUP(D1451,Mapping!A:A,Mapping!D:D,0,0)</f>
        <v>Bin</v>
      </c>
      <c r="AF1451" t="str">
        <f t="shared" si="47"/>
        <v>OLD</v>
      </c>
    </row>
    <row r="1452" spans="1:32" x14ac:dyDescent="0.2">
      <c r="A1452" t="s">
        <v>1119</v>
      </c>
      <c r="B1452" t="s">
        <v>39</v>
      </c>
      <c r="C1452">
        <v>1012733112</v>
      </c>
      <c r="D1452" t="s">
        <v>465</v>
      </c>
      <c r="E1452" t="s">
        <v>31</v>
      </c>
      <c r="F1452" s="1">
        <v>0.67291666666666672</v>
      </c>
      <c r="G1452" t="s">
        <v>32</v>
      </c>
      <c r="H1452" t="s">
        <v>33</v>
      </c>
      <c r="I1452" t="s">
        <v>41</v>
      </c>
      <c r="J1452" t="s">
        <v>84</v>
      </c>
      <c r="K1452">
        <v>280</v>
      </c>
      <c r="L1452">
        <v>0</v>
      </c>
      <c r="M1452" t="s">
        <v>36</v>
      </c>
      <c r="N1452" t="s">
        <v>37</v>
      </c>
      <c r="O1452">
        <v>0</v>
      </c>
      <c r="P1452">
        <v>0</v>
      </c>
      <c r="Q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 t="s">
        <v>36</v>
      </c>
      <c r="AC1452" t="s">
        <v>687</v>
      </c>
      <c r="AD1452" t="str">
        <f t="shared" si="46"/>
        <v>CP</v>
      </c>
      <c r="AE1452" t="str">
        <f>_xlfn.XLOOKUP(D1452,Mapping!A:A,Mapping!D:D,0,0)</f>
        <v>Tests</v>
      </c>
      <c r="AF1452" t="str">
        <f t="shared" si="47"/>
        <v>OLD</v>
      </c>
    </row>
    <row r="1453" spans="1:32" x14ac:dyDescent="0.2">
      <c r="A1453" t="s">
        <v>1119</v>
      </c>
      <c r="B1453" t="s">
        <v>39</v>
      </c>
      <c r="C1453">
        <v>1012733122</v>
      </c>
      <c r="D1453" t="s">
        <v>466</v>
      </c>
      <c r="E1453" t="s">
        <v>31</v>
      </c>
      <c r="F1453" s="1">
        <v>0.67291666666666672</v>
      </c>
      <c r="G1453" t="s">
        <v>32</v>
      </c>
      <c r="H1453" t="s">
        <v>33</v>
      </c>
      <c r="I1453" t="s">
        <v>41</v>
      </c>
      <c r="J1453" t="s">
        <v>84</v>
      </c>
      <c r="K1453">
        <v>280</v>
      </c>
      <c r="L1453">
        <v>0</v>
      </c>
      <c r="M1453" t="s">
        <v>63</v>
      </c>
      <c r="N1453">
        <v>250</v>
      </c>
      <c r="O1453">
        <v>0</v>
      </c>
      <c r="P1453">
        <v>0</v>
      </c>
      <c r="Q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 t="s">
        <v>36</v>
      </c>
      <c r="AC1453" t="s">
        <v>687</v>
      </c>
      <c r="AD1453" t="str">
        <f t="shared" si="46"/>
        <v>CP</v>
      </c>
      <c r="AE1453" t="str">
        <f>_xlfn.XLOOKUP(D1453,Mapping!A:A,Mapping!D:D,0,0)</f>
        <v>Bin</v>
      </c>
      <c r="AF1453" t="str">
        <f t="shared" si="47"/>
        <v>OLD</v>
      </c>
    </row>
    <row r="1454" spans="1:32" x14ac:dyDescent="0.2">
      <c r="A1454" t="s">
        <v>1119</v>
      </c>
      <c r="B1454" t="s">
        <v>39</v>
      </c>
      <c r="C1454">
        <v>1012733132</v>
      </c>
      <c r="D1454" t="s">
        <v>467</v>
      </c>
      <c r="E1454" t="s">
        <v>31</v>
      </c>
      <c r="F1454" s="1">
        <v>0.67291666666666672</v>
      </c>
      <c r="G1454" t="s">
        <v>32</v>
      </c>
      <c r="H1454" t="s">
        <v>33</v>
      </c>
      <c r="I1454" t="s">
        <v>41</v>
      </c>
      <c r="J1454" t="s">
        <v>84</v>
      </c>
      <c r="K1454">
        <v>280</v>
      </c>
      <c r="L1454">
        <v>0</v>
      </c>
      <c r="M1454" t="s">
        <v>63</v>
      </c>
      <c r="N1454">
        <v>250</v>
      </c>
      <c r="O1454">
        <v>0</v>
      </c>
      <c r="P1454">
        <v>0</v>
      </c>
      <c r="Q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 t="s">
        <v>36</v>
      </c>
      <c r="AC1454" t="s">
        <v>687</v>
      </c>
      <c r="AD1454" t="str">
        <f t="shared" si="46"/>
        <v>CP</v>
      </c>
      <c r="AE1454" t="str">
        <f>_xlfn.XLOOKUP(D1454,Mapping!A:A,Mapping!D:D,0,0)</f>
        <v>Bin</v>
      </c>
      <c r="AF1454" t="str">
        <f t="shared" si="47"/>
        <v>OLD</v>
      </c>
    </row>
    <row r="1455" spans="1:32" x14ac:dyDescent="0.2">
      <c r="A1455" t="s">
        <v>1119</v>
      </c>
      <c r="B1455" t="s">
        <v>39</v>
      </c>
      <c r="C1455">
        <v>1012733142</v>
      </c>
      <c r="D1455" t="s">
        <v>468</v>
      </c>
      <c r="E1455" t="s">
        <v>31</v>
      </c>
      <c r="F1455" s="1">
        <v>0.67291666666666672</v>
      </c>
      <c r="G1455" t="s">
        <v>32</v>
      </c>
      <c r="H1455" t="s">
        <v>33</v>
      </c>
      <c r="I1455" t="s">
        <v>41</v>
      </c>
      <c r="J1455" t="s">
        <v>84</v>
      </c>
      <c r="K1455">
        <v>280</v>
      </c>
      <c r="L1455">
        <v>0</v>
      </c>
      <c r="M1455" t="s">
        <v>63</v>
      </c>
      <c r="N1455">
        <v>250</v>
      </c>
      <c r="O1455">
        <v>0</v>
      </c>
      <c r="P1455">
        <v>0</v>
      </c>
      <c r="Q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 t="s">
        <v>36</v>
      </c>
      <c r="AC1455" t="s">
        <v>687</v>
      </c>
      <c r="AD1455" t="str">
        <f t="shared" si="46"/>
        <v>CP</v>
      </c>
      <c r="AE1455" t="str">
        <f>_xlfn.XLOOKUP(D1455,Mapping!A:A,Mapping!D:D,0,0)</f>
        <v>Bin</v>
      </c>
      <c r="AF1455" t="str">
        <f t="shared" si="47"/>
        <v>OLD</v>
      </c>
    </row>
    <row r="1456" spans="1:32" x14ac:dyDescent="0.2">
      <c r="A1456" t="s">
        <v>1119</v>
      </c>
      <c r="B1456" t="s">
        <v>39</v>
      </c>
      <c r="C1456">
        <v>1012733152</v>
      </c>
      <c r="D1456" t="s">
        <v>469</v>
      </c>
      <c r="E1456" t="s">
        <v>31</v>
      </c>
      <c r="F1456" s="1">
        <v>0.67291666666666672</v>
      </c>
      <c r="G1456" t="s">
        <v>32</v>
      </c>
      <c r="H1456" t="s">
        <v>33</v>
      </c>
      <c r="I1456" t="s">
        <v>41</v>
      </c>
      <c r="J1456" t="s">
        <v>84</v>
      </c>
      <c r="K1456">
        <v>280</v>
      </c>
      <c r="L1456">
        <v>0</v>
      </c>
      <c r="M1456" t="s">
        <v>63</v>
      </c>
      <c r="N1456">
        <v>250</v>
      </c>
      <c r="O1456">
        <v>0</v>
      </c>
      <c r="P1456">
        <v>0</v>
      </c>
      <c r="Q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 t="s">
        <v>36</v>
      </c>
      <c r="AC1456" t="s">
        <v>687</v>
      </c>
      <c r="AD1456" t="str">
        <f t="shared" si="46"/>
        <v>CP</v>
      </c>
      <c r="AE1456" t="str">
        <f>_xlfn.XLOOKUP(D1456,Mapping!A:A,Mapping!D:D,0,0)</f>
        <v>Bin</v>
      </c>
      <c r="AF1456" t="str">
        <f t="shared" si="47"/>
        <v>OLD</v>
      </c>
    </row>
    <row r="1457" spans="1:32" x14ac:dyDescent="0.2">
      <c r="A1457" t="s">
        <v>1119</v>
      </c>
      <c r="B1457" t="s">
        <v>39</v>
      </c>
      <c r="C1457">
        <v>1012733172</v>
      </c>
      <c r="D1457" t="s">
        <v>470</v>
      </c>
      <c r="E1457" t="s">
        <v>31</v>
      </c>
      <c r="F1457" s="1">
        <v>0.67291666666666672</v>
      </c>
      <c r="G1457" t="s">
        <v>32</v>
      </c>
      <c r="H1457" t="s">
        <v>33</v>
      </c>
      <c r="I1457" t="s">
        <v>41</v>
      </c>
      <c r="J1457" t="s">
        <v>84</v>
      </c>
      <c r="K1457">
        <v>280</v>
      </c>
      <c r="L1457">
        <v>0</v>
      </c>
      <c r="M1457" t="s">
        <v>63</v>
      </c>
      <c r="N1457">
        <v>250</v>
      </c>
      <c r="O1457">
        <v>0</v>
      </c>
      <c r="P1457">
        <v>0</v>
      </c>
      <c r="Q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 t="s">
        <v>36</v>
      </c>
      <c r="AC1457" t="s">
        <v>687</v>
      </c>
      <c r="AD1457" t="str">
        <f t="shared" si="46"/>
        <v>CP</v>
      </c>
      <c r="AE1457" t="str">
        <f>_xlfn.XLOOKUP(D1457,Mapping!A:A,Mapping!D:D,0,0)</f>
        <v>Bin</v>
      </c>
      <c r="AF1457" t="str">
        <f t="shared" si="47"/>
        <v>OLD</v>
      </c>
    </row>
    <row r="1458" spans="1:32" x14ac:dyDescent="0.2">
      <c r="A1458" t="s">
        <v>1119</v>
      </c>
      <c r="B1458" t="s">
        <v>39</v>
      </c>
      <c r="C1458">
        <v>1012733182</v>
      </c>
      <c r="D1458" t="s">
        <v>471</v>
      </c>
      <c r="E1458" t="s">
        <v>31</v>
      </c>
      <c r="F1458" s="1">
        <v>0.67291666666666672</v>
      </c>
      <c r="G1458" t="s">
        <v>32</v>
      </c>
      <c r="H1458" t="s">
        <v>33</v>
      </c>
      <c r="I1458" t="s">
        <v>41</v>
      </c>
      <c r="J1458" t="s">
        <v>84</v>
      </c>
      <c r="K1458">
        <v>280</v>
      </c>
      <c r="L1458">
        <v>0</v>
      </c>
      <c r="M1458" t="s">
        <v>63</v>
      </c>
      <c r="N1458">
        <v>250</v>
      </c>
      <c r="O1458">
        <v>0</v>
      </c>
      <c r="P1458">
        <v>0</v>
      </c>
      <c r="Q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 t="s">
        <v>36</v>
      </c>
      <c r="AC1458" t="s">
        <v>687</v>
      </c>
      <c r="AD1458" t="str">
        <f t="shared" si="46"/>
        <v>CP</v>
      </c>
      <c r="AE1458" t="str">
        <f>_xlfn.XLOOKUP(D1458,Mapping!A:A,Mapping!D:D,0,0)</f>
        <v>Bin</v>
      </c>
      <c r="AF1458" t="str">
        <f t="shared" si="47"/>
        <v>OLD</v>
      </c>
    </row>
    <row r="1459" spans="1:32" x14ac:dyDescent="0.2">
      <c r="A1459" t="s">
        <v>1119</v>
      </c>
      <c r="B1459" t="s">
        <v>39</v>
      </c>
      <c r="C1459">
        <v>1012733192</v>
      </c>
      <c r="D1459" t="s">
        <v>472</v>
      </c>
      <c r="E1459" t="s">
        <v>31</v>
      </c>
      <c r="F1459" s="1">
        <v>0.67291666666666672</v>
      </c>
      <c r="G1459" t="s">
        <v>32</v>
      </c>
      <c r="H1459" t="s">
        <v>33</v>
      </c>
      <c r="I1459" t="s">
        <v>41</v>
      </c>
      <c r="J1459" t="s">
        <v>84</v>
      </c>
      <c r="K1459">
        <v>280</v>
      </c>
      <c r="L1459">
        <v>0</v>
      </c>
      <c r="M1459" t="s">
        <v>63</v>
      </c>
      <c r="N1459">
        <v>250</v>
      </c>
      <c r="O1459">
        <v>0</v>
      </c>
      <c r="P1459">
        <v>0</v>
      </c>
      <c r="Q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 t="s">
        <v>36</v>
      </c>
      <c r="AC1459" t="s">
        <v>687</v>
      </c>
      <c r="AD1459" t="str">
        <f t="shared" si="46"/>
        <v>CP</v>
      </c>
      <c r="AE1459" t="str">
        <f>_xlfn.XLOOKUP(D1459,Mapping!A:A,Mapping!D:D,0,0)</f>
        <v>Bin</v>
      </c>
      <c r="AF1459" t="str">
        <f t="shared" si="47"/>
        <v>OLD</v>
      </c>
    </row>
    <row r="1460" spans="1:32" x14ac:dyDescent="0.2">
      <c r="A1460" t="s">
        <v>1119</v>
      </c>
      <c r="B1460" t="s">
        <v>39</v>
      </c>
      <c r="C1460">
        <v>1012733212</v>
      </c>
      <c r="D1460" t="s">
        <v>473</v>
      </c>
      <c r="E1460" t="s">
        <v>31</v>
      </c>
      <c r="F1460" s="1">
        <v>0.67291666666666672</v>
      </c>
      <c r="G1460" t="s">
        <v>32</v>
      </c>
      <c r="H1460" t="s">
        <v>33</v>
      </c>
      <c r="I1460" t="s">
        <v>41</v>
      </c>
      <c r="J1460" t="s">
        <v>84</v>
      </c>
      <c r="K1460">
        <v>280</v>
      </c>
      <c r="L1460">
        <v>0</v>
      </c>
      <c r="M1460" t="s">
        <v>36</v>
      </c>
      <c r="N1460" t="s">
        <v>37</v>
      </c>
      <c r="O1460">
        <v>0</v>
      </c>
      <c r="P1460">
        <v>0</v>
      </c>
      <c r="Q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 t="s">
        <v>36</v>
      </c>
      <c r="AC1460" t="s">
        <v>687</v>
      </c>
      <c r="AD1460" t="str">
        <f t="shared" si="46"/>
        <v>CP</v>
      </c>
      <c r="AE1460" t="str">
        <f>_xlfn.XLOOKUP(D1460,Mapping!A:A,Mapping!D:D,0,0)</f>
        <v>Tests</v>
      </c>
      <c r="AF1460" t="str">
        <f t="shared" si="47"/>
        <v>OLD</v>
      </c>
    </row>
    <row r="1461" spans="1:32" x14ac:dyDescent="0.2">
      <c r="A1461" t="s">
        <v>1119</v>
      </c>
      <c r="B1461" t="s">
        <v>39</v>
      </c>
      <c r="C1461">
        <v>1012733222</v>
      </c>
      <c r="D1461" t="s">
        <v>474</v>
      </c>
      <c r="E1461" t="s">
        <v>31</v>
      </c>
      <c r="F1461" s="1">
        <v>0.67291666666666672</v>
      </c>
      <c r="G1461" t="s">
        <v>32</v>
      </c>
      <c r="H1461" t="s">
        <v>33</v>
      </c>
      <c r="I1461" t="s">
        <v>41</v>
      </c>
      <c r="J1461" t="s">
        <v>84</v>
      </c>
      <c r="K1461">
        <v>280</v>
      </c>
      <c r="L1461">
        <v>0</v>
      </c>
      <c r="M1461" t="s">
        <v>63</v>
      </c>
      <c r="N1461">
        <v>250</v>
      </c>
      <c r="O1461">
        <v>0</v>
      </c>
      <c r="P1461">
        <v>0</v>
      </c>
      <c r="Q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 t="s">
        <v>36</v>
      </c>
      <c r="AC1461" t="s">
        <v>687</v>
      </c>
      <c r="AD1461" t="str">
        <f t="shared" si="46"/>
        <v>CP</v>
      </c>
      <c r="AE1461" t="str">
        <f>_xlfn.XLOOKUP(D1461,Mapping!A:A,Mapping!D:D,0,0)</f>
        <v>Bin</v>
      </c>
      <c r="AF1461" t="str">
        <f t="shared" si="47"/>
        <v>OLD</v>
      </c>
    </row>
    <row r="1462" spans="1:32" x14ac:dyDescent="0.2">
      <c r="A1462" t="s">
        <v>1119</v>
      </c>
      <c r="B1462" t="s">
        <v>39</v>
      </c>
      <c r="C1462">
        <v>1012733232</v>
      </c>
      <c r="D1462" t="s">
        <v>234</v>
      </c>
      <c r="E1462" t="s">
        <v>31</v>
      </c>
      <c r="F1462" s="1">
        <v>0.67291666666666672</v>
      </c>
      <c r="G1462" t="s">
        <v>32</v>
      </c>
      <c r="H1462" t="s">
        <v>33</v>
      </c>
      <c r="I1462" t="s">
        <v>41</v>
      </c>
      <c r="J1462" t="s">
        <v>84</v>
      </c>
      <c r="K1462">
        <v>280</v>
      </c>
      <c r="L1462">
        <v>0</v>
      </c>
      <c r="M1462" t="s">
        <v>63</v>
      </c>
      <c r="N1462">
        <v>250</v>
      </c>
      <c r="O1462">
        <v>0</v>
      </c>
      <c r="P1462">
        <v>0</v>
      </c>
      <c r="Q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 t="s">
        <v>36</v>
      </c>
      <c r="AC1462" t="s">
        <v>687</v>
      </c>
      <c r="AD1462" t="str">
        <f t="shared" si="46"/>
        <v>CP</v>
      </c>
      <c r="AE1462" t="str">
        <f>_xlfn.XLOOKUP(D1462,Mapping!A:A,Mapping!D:D,0,0)</f>
        <v>Bin</v>
      </c>
      <c r="AF1462" t="str">
        <f t="shared" si="47"/>
        <v>OLD</v>
      </c>
    </row>
    <row r="1463" spans="1:32" x14ac:dyDescent="0.2">
      <c r="A1463" t="s">
        <v>1119</v>
      </c>
      <c r="B1463" t="s">
        <v>39</v>
      </c>
      <c r="C1463">
        <v>1012733242</v>
      </c>
      <c r="D1463" t="s">
        <v>475</v>
      </c>
      <c r="E1463" t="s">
        <v>31</v>
      </c>
      <c r="F1463" s="1">
        <v>0.67291666666666672</v>
      </c>
      <c r="G1463" t="s">
        <v>32</v>
      </c>
      <c r="H1463" t="s">
        <v>33</v>
      </c>
      <c r="I1463" t="s">
        <v>41</v>
      </c>
      <c r="J1463" t="s">
        <v>84</v>
      </c>
      <c r="K1463">
        <v>280</v>
      </c>
      <c r="L1463">
        <v>0</v>
      </c>
      <c r="M1463" t="s">
        <v>36</v>
      </c>
      <c r="N1463" t="s">
        <v>37</v>
      </c>
      <c r="O1463">
        <v>0</v>
      </c>
      <c r="P1463">
        <v>0</v>
      </c>
      <c r="Q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 t="s">
        <v>36</v>
      </c>
      <c r="AC1463" t="s">
        <v>687</v>
      </c>
      <c r="AD1463" t="str">
        <f t="shared" si="46"/>
        <v>CP</v>
      </c>
      <c r="AE1463" t="str">
        <f>_xlfn.XLOOKUP(D1463,Mapping!A:A,Mapping!D:D,0,0)</f>
        <v>Bin</v>
      </c>
      <c r="AF1463" t="str">
        <f t="shared" si="47"/>
        <v>OLD</v>
      </c>
    </row>
    <row r="1464" spans="1:32" x14ac:dyDescent="0.2">
      <c r="A1464" t="s">
        <v>1119</v>
      </c>
      <c r="B1464" t="s">
        <v>39</v>
      </c>
      <c r="C1464">
        <v>1012733252</v>
      </c>
      <c r="D1464" t="s">
        <v>476</v>
      </c>
      <c r="E1464" t="s">
        <v>31</v>
      </c>
      <c r="F1464" s="1">
        <v>0.67291666666666672</v>
      </c>
      <c r="G1464" t="s">
        <v>32</v>
      </c>
      <c r="H1464" t="s">
        <v>33</v>
      </c>
      <c r="I1464" t="s">
        <v>41</v>
      </c>
      <c r="J1464" t="s">
        <v>84</v>
      </c>
      <c r="K1464">
        <v>280</v>
      </c>
      <c r="L1464">
        <v>0</v>
      </c>
      <c r="M1464" t="s">
        <v>63</v>
      </c>
      <c r="N1464">
        <v>250</v>
      </c>
      <c r="O1464">
        <v>0</v>
      </c>
      <c r="P1464">
        <v>0</v>
      </c>
      <c r="Q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 t="s">
        <v>36</v>
      </c>
      <c r="AC1464" t="s">
        <v>687</v>
      </c>
      <c r="AD1464" t="str">
        <f t="shared" si="46"/>
        <v>CP</v>
      </c>
      <c r="AE1464" t="str">
        <f>_xlfn.XLOOKUP(D1464,Mapping!A:A,Mapping!D:D,0,0)</f>
        <v>Bin</v>
      </c>
      <c r="AF1464" t="str">
        <f t="shared" si="47"/>
        <v>OLD</v>
      </c>
    </row>
    <row r="1465" spans="1:32" x14ac:dyDescent="0.2">
      <c r="A1465" t="s">
        <v>1119</v>
      </c>
      <c r="B1465" t="s">
        <v>39</v>
      </c>
      <c r="C1465">
        <v>1012733262</v>
      </c>
      <c r="D1465" t="s">
        <v>477</v>
      </c>
      <c r="E1465" t="s">
        <v>31</v>
      </c>
      <c r="F1465" s="1">
        <v>0.67291666666666672</v>
      </c>
      <c r="G1465" t="s">
        <v>32</v>
      </c>
      <c r="H1465" t="s">
        <v>33</v>
      </c>
      <c r="I1465" t="s">
        <v>41</v>
      </c>
      <c r="J1465" t="s">
        <v>84</v>
      </c>
      <c r="K1465">
        <v>280</v>
      </c>
      <c r="L1465">
        <v>0</v>
      </c>
      <c r="M1465" t="s">
        <v>63</v>
      </c>
      <c r="N1465">
        <v>250</v>
      </c>
      <c r="O1465">
        <v>0</v>
      </c>
      <c r="P1465">
        <v>0</v>
      </c>
      <c r="Q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 t="s">
        <v>36</v>
      </c>
      <c r="AC1465" t="s">
        <v>687</v>
      </c>
      <c r="AD1465" t="str">
        <f t="shared" si="46"/>
        <v>CP</v>
      </c>
      <c r="AE1465" t="str">
        <f>_xlfn.XLOOKUP(D1465,Mapping!A:A,Mapping!D:D,0,0)</f>
        <v>Bin</v>
      </c>
      <c r="AF1465" t="str">
        <f t="shared" si="47"/>
        <v>OLD</v>
      </c>
    </row>
    <row r="1466" spans="1:32" x14ac:dyDescent="0.2">
      <c r="A1466" t="s">
        <v>1119</v>
      </c>
      <c r="B1466" t="s">
        <v>39</v>
      </c>
      <c r="C1466">
        <v>1012733272</v>
      </c>
      <c r="D1466" t="s">
        <v>478</v>
      </c>
      <c r="E1466" t="s">
        <v>31</v>
      </c>
      <c r="F1466" s="1">
        <v>0.67291666666666672</v>
      </c>
      <c r="G1466" t="s">
        <v>32</v>
      </c>
      <c r="H1466" t="s">
        <v>33</v>
      </c>
      <c r="I1466" t="s">
        <v>41</v>
      </c>
      <c r="J1466" t="s">
        <v>84</v>
      </c>
      <c r="K1466">
        <v>280</v>
      </c>
      <c r="L1466">
        <v>0</v>
      </c>
      <c r="M1466" t="s">
        <v>63</v>
      </c>
      <c r="N1466">
        <v>250</v>
      </c>
      <c r="O1466">
        <v>0</v>
      </c>
      <c r="P1466">
        <v>0</v>
      </c>
      <c r="Q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 t="s">
        <v>36</v>
      </c>
      <c r="AC1466" t="s">
        <v>687</v>
      </c>
      <c r="AD1466" t="str">
        <f t="shared" si="46"/>
        <v>CP</v>
      </c>
      <c r="AE1466" t="str">
        <f>_xlfn.XLOOKUP(D1466,Mapping!A:A,Mapping!D:D,0,0)</f>
        <v>Bin</v>
      </c>
      <c r="AF1466" t="str">
        <f t="shared" si="47"/>
        <v>OLD</v>
      </c>
    </row>
    <row r="1467" spans="1:32" x14ac:dyDescent="0.2">
      <c r="A1467" t="s">
        <v>1119</v>
      </c>
      <c r="B1467" t="s">
        <v>39</v>
      </c>
      <c r="C1467">
        <v>1012733282</v>
      </c>
      <c r="D1467" t="s">
        <v>479</v>
      </c>
      <c r="E1467" t="s">
        <v>31</v>
      </c>
      <c r="F1467" s="1">
        <v>0.67291666666666672</v>
      </c>
      <c r="G1467" t="s">
        <v>32</v>
      </c>
      <c r="H1467" t="s">
        <v>33</v>
      </c>
      <c r="I1467" t="s">
        <v>41</v>
      </c>
      <c r="J1467" t="s">
        <v>84</v>
      </c>
      <c r="K1467">
        <v>280</v>
      </c>
      <c r="L1467">
        <v>0</v>
      </c>
      <c r="M1467" t="s">
        <v>63</v>
      </c>
      <c r="N1467">
        <v>250</v>
      </c>
      <c r="O1467">
        <v>0</v>
      </c>
      <c r="P1467">
        <v>0</v>
      </c>
      <c r="Q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 t="s">
        <v>36</v>
      </c>
      <c r="AC1467" t="s">
        <v>687</v>
      </c>
      <c r="AD1467" t="str">
        <f t="shared" si="46"/>
        <v>CP</v>
      </c>
      <c r="AE1467" t="str">
        <f>_xlfn.XLOOKUP(D1467,Mapping!A:A,Mapping!D:D,0,0)</f>
        <v>Bin</v>
      </c>
      <c r="AF1467" t="str">
        <f t="shared" si="47"/>
        <v>OLD</v>
      </c>
    </row>
    <row r="1468" spans="1:32" x14ac:dyDescent="0.2">
      <c r="A1468" t="s">
        <v>1119</v>
      </c>
      <c r="B1468" t="s">
        <v>39</v>
      </c>
      <c r="C1468">
        <v>1012733292</v>
      </c>
      <c r="D1468" t="s">
        <v>480</v>
      </c>
      <c r="E1468" t="s">
        <v>31</v>
      </c>
      <c r="F1468" s="1">
        <v>0.67291666666666672</v>
      </c>
      <c r="G1468" t="s">
        <v>32</v>
      </c>
      <c r="H1468" t="s">
        <v>33</v>
      </c>
      <c r="I1468" t="s">
        <v>41</v>
      </c>
      <c r="J1468" t="s">
        <v>84</v>
      </c>
      <c r="K1468">
        <v>280</v>
      </c>
      <c r="L1468">
        <v>0</v>
      </c>
      <c r="M1468" t="s">
        <v>36</v>
      </c>
      <c r="N1468" t="s">
        <v>37</v>
      </c>
      <c r="O1468">
        <v>0</v>
      </c>
      <c r="P1468">
        <v>0</v>
      </c>
      <c r="Q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 t="s">
        <v>36</v>
      </c>
      <c r="AC1468" t="s">
        <v>687</v>
      </c>
      <c r="AD1468" t="str">
        <f t="shared" si="46"/>
        <v>CP</v>
      </c>
      <c r="AE1468" t="str">
        <f>_xlfn.XLOOKUP(D1468,Mapping!A:A,Mapping!D:D,0,0)</f>
        <v>Bin</v>
      </c>
      <c r="AF1468" t="str">
        <f t="shared" si="47"/>
        <v>OLD</v>
      </c>
    </row>
    <row r="1469" spans="1:32" x14ac:dyDescent="0.2">
      <c r="A1469" t="s">
        <v>1119</v>
      </c>
      <c r="B1469" t="s">
        <v>39</v>
      </c>
      <c r="C1469">
        <v>1012733302</v>
      </c>
      <c r="D1469" t="s">
        <v>481</v>
      </c>
      <c r="E1469" t="s">
        <v>31</v>
      </c>
      <c r="F1469" s="1">
        <v>0.67291666666666672</v>
      </c>
      <c r="G1469" t="s">
        <v>32</v>
      </c>
      <c r="H1469" t="s">
        <v>33</v>
      </c>
      <c r="I1469" t="s">
        <v>41</v>
      </c>
      <c r="J1469" t="s">
        <v>84</v>
      </c>
      <c r="K1469">
        <v>280</v>
      </c>
      <c r="L1469">
        <v>0</v>
      </c>
      <c r="M1469" t="s">
        <v>63</v>
      </c>
      <c r="N1469">
        <v>250</v>
      </c>
      <c r="O1469">
        <v>0</v>
      </c>
      <c r="P1469">
        <v>0</v>
      </c>
      <c r="Q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 t="s">
        <v>36</v>
      </c>
      <c r="AC1469" t="s">
        <v>687</v>
      </c>
      <c r="AD1469" t="str">
        <f t="shared" si="46"/>
        <v>CP</v>
      </c>
      <c r="AE1469" t="str">
        <f>_xlfn.XLOOKUP(D1469,Mapping!A:A,Mapping!D:D,0,0)</f>
        <v>Bin</v>
      </c>
      <c r="AF1469" t="str">
        <f t="shared" si="47"/>
        <v>OLD</v>
      </c>
    </row>
    <row r="1470" spans="1:32" x14ac:dyDescent="0.2">
      <c r="A1470" t="s">
        <v>1119</v>
      </c>
      <c r="B1470" t="s">
        <v>39</v>
      </c>
      <c r="C1470">
        <v>1012733312</v>
      </c>
      <c r="D1470" t="s">
        <v>482</v>
      </c>
      <c r="E1470" t="s">
        <v>31</v>
      </c>
      <c r="F1470" s="1">
        <v>0.67291666666666672</v>
      </c>
      <c r="G1470" t="s">
        <v>32</v>
      </c>
      <c r="H1470" t="s">
        <v>33</v>
      </c>
      <c r="I1470" t="s">
        <v>41</v>
      </c>
      <c r="J1470" t="s">
        <v>84</v>
      </c>
      <c r="K1470">
        <v>280</v>
      </c>
      <c r="L1470">
        <v>0</v>
      </c>
      <c r="M1470" t="s">
        <v>63</v>
      </c>
      <c r="N1470">
        <v>250</v>
      </c>
      <c r="O1470">
        <v>0</v>
      </c>
      <c r="P1470">
        <v>0</v>
      </c>
      <c r="Q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 t="s">
        <v>36</v>
      </c>
      <c r="AC1470" t="s">
        <v>687</v>
      </c>
      <c r="AD1470" t="str">
        <f t="shared" si="46"/>
        <v>CP</v>
      </c>
      <c r="AE1470" t="str">
        <f>_xlfn.XLOOKUP(D1470,Mapping!A:A,Mapping!D:D,0,0)</f>
        <v>Bin</v>
      </c>
      <c r="AF1470" t="str">
        <f t="shared" si="47"/>
        <v>OLD</v>
      </c>
    </row>
    <row r="1471" spans="1:32" x14ac:dyDescent="0.2">
      <c r="A1471" t="s">
        <v>1119</v>
      </c>
      <c r="B1471" t="s">
        <v>39</v>
      </c>
      <c r="C1471">
        <v>1012733322</v>
      </c>
      <c r="D1471" t="s">
        <v>483</v>
      </c>
      <c r="E1471" t="s">
        <v>31</v>
      </c>
      <c r="F1471" s="1">
        <v>0.67291666666666672</v>
      </c>
      <c r="G1471" t="s">
        <v>32</v>
      </c>
      <c r="H1471" t="s">
        <v>33</v>
      </c>
      <c r="I1471" t="s">
        <v>41</v>
      </c>
      <c r="J1471" t="s">
        <v>62</v>
      </c>
      <c r="K1471">
        <v>280</v>
      </c>
      <c r="L1471">
        <v>0</v>
      </c>
      <c r="M1471" t="s">
        <v>36</v>
      </c>
      <c r="N1471" t="s">
        <v>37</v>
      </c>
      <c r="O1471">
        <v>0</v>
      </c>
      <c r="P1471">
        <v>0</v>
      </c>
      <c r="Q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 t="s">
        <v>36</v>
      </c>
      <c r="AC1471" t="s">
        <v>687</v>
      </c>
      <c r="AD1471" t="str">
        <f t="shared" si="46"/>
        <v>CP</v>
      </c>
      <c r="AE1471" t="str">
        <f>_xlfn.XLOOKUP(D1471,Mapping!A:A,Mapping!D:D,0,0)</f>
        <v>Marvel</v>
      </c>
      <c r="AF1471" t="str">
        <f t="shared" si="47"/>
        <v>OLD</v>
      </c>
    </row>
    <row r="1472" spans="1:32" x14ac:dyDescent="0.2">
      <c r="A1472" t="s">
        <v>1119</v>
      </c>
      <c r="B1472" t="s">
        <v>39</v>
      </c>
      <c r="C1472">
        <v>1012733332</v>
      </c>
      <c r="D1472" t="s">
        <v>485</v>
      </c>
      <c r="E1472" t="s">
        <v>31</v>
      </c>
      <c r="F1472" s="1">
        <v>0.67291666666666672</v>
      </c>
      <c r="G1472" t="s">
        <v>32</v>
      </c>
      <c r="H1472" t="s">
        <v>33</v>
      </c>
      <c r="I1472" t="s">
        <v>41</v>
      </c>
      <c r="J1472" t="s">
        <v>84</v>
      </c>
      <c r="K1472">
        <v>280</v>
      </c>
      <c r="L1472">
        <v>0</v>
      </c>
      <c r="M1472" t="s">
        <v>63</v>
      </c>
      <c r="N1472">
        <v>250</v>
      </c>
      <c r="O1472">
        <v>0</v>
      </c>
      <c r="P1472">
        <v>0</v>
      </c>
      <c r="Q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 t="s">
        <v>36</v>
      </c>
      <c r="AC1472" t="s">
        <v>687</v>
      </c>
      <c r="AD1472" t="str">
        <f t="shared" si="46"/>
        <v>CP</v>
      </c>
      <c r="AE1472" t="str">
        <f>_xlfn.XLOOKUP(D1472,Mapping!A:A,Mapping!D:D,0,0)</f>
        <v>Bin</v>
      </c>
      <c r="AF1472" t="str">
        <f t="shared" si="47"/>
        <v>OLD</v>
      </c>
    </row>
    <row r="1473" spans="1:32" x14ac:dyDescent="0.2">
      <c r="A1473" t="s">
        <v>1119</v>
      </c>
      <c r="B1473" t="s">
        <v>39</v>
      </c>
      <c r="C1473">
        <v>1012733342</v>
      </c>
      <c r="D1473" t="s">
        <v>486</v>
      </c>
      <c r="E1473" t="s">
        <v>31</v>
      </c>
      <c r="F1473" s="1">
        <v>0.67291666666666672</v>
      </c>
      <c r="G1473" t="s">
        <v>32</v>
      </c>
      <c r="H1473" t="s">
        <v>33</v>
      </c>
      <c r="I1473" t="s">
        <v>41</v>
      </c>
      <c r="J1473" t="s">
        <v>84</v>
      </c>
      <c r="K1473">
        <v>280</v>
      </c>
      <c r="L1473">
        <v>0</v>
      </c>
      <c r="M1473" t="s">
        <v>63</v>
      </c>
      <c r="N1473">
        <v>250</v>
      </c>
      <c r="O1473">
        <v>0</v>
      </c>
      <c r="P1473">
        <v>0</v>
      </c>
      <c r="Q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 t="s">
        <v>36</v>
      </c>
      <c r="AC1473" t="s">
        <v>687</v>
      </c>
      <c r="AD1473" t="str">
        <f t="shared" si="46"/>
        <v>CP</v>
      </c>
      <c r="AE1473" t="str">
        <f>_xlfn.XLOOKUP(D1473,Mapping!A:A,Mapping!D:D,0,0)</f>
        <v>Bin</v>
      </c>
      <c r="AF1473" t="str">
        <f t="shared" si="47"/>
        <v>OLD</v>
      </c>
    </row>
    <row r="1474" spans="1:32" x14ac:dyDescent="0.2">
      <c r="A1474" t="s">
        <v>1119</v>
      </c>
      <c r="B1474" t="s">
        <v>39</v>
      </c>
      <c r="C1474">
        <v>1012733352</v>
      </c>
      <c r="D1474" t="s">
        <v>487</v>
      </c>
      <c r="E1474" t="s">
        <v>31</v>
      </c>
      <c r="F1474" s="1">
        <v>0.67291666666666672</v>
      </c>
      <c r="G1474" t="s">
        <v>32</v>
      </c>
      <c r="H1474" t="s">
        <v>33</v>
      </c>
      <c r="I1474" t="s">
        <v>41</v>
      </c>
      <c r="J1474" t="s">
        <v>84</v>
      </c>
      <c r="K1474">
        <v>280</v>
      </c>
      <c r="L1474">
        <v>0</v>
      </c>
      <c r="M1474" t="s">
        <v>36</v>
      </c>
      <c r="N1474" t="s">
        <v>37</v>
      </c>
      <c r="O1474">
        <v>0</v>
      </c>
      <c r="P1474">
        <v>0</v>
      </c>
      <c r="Q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 t="s">
        <v>36</v>
      </c>
      <c r="AC1474" t="s">
        <v>687</v>
      </c>
      <c r="AD1474" t="str">
        <f t="shared" si="46"/>
        <v>CP</v>
      </c>
      <c r="AE1474" t="str">
        <f>_xlfn.XLOOKUP(D1474,Mapping!A:A,Mapping!D:D,0,0)</f>
        <v>Bin</v>
      </c>
      <c r="AF1474" t="str">
        <f t="shared" si="47"/>
        <v>OLD</v>
      </c>
    </row>
    <row r="1475" spans="1:32" x14ac:dyDescent="0.2">
      <c r="A1475" t="s">
        <v>1119</v>
      </c>
      <c r="B1475" t="s">
        <v>39</v>
      </c>
      <c r="C1475">
        <v>1012733522</v>
      </c>
      <c r="D1475" t="s">
        <v>488</v>
      </c>
      <c r="E1475" t="s">
        <v>31</v>
      </c>
      <c r="F1475" s="1">
        <v>0.67291666666666672</v>
      </c>
      <c r="G1475" t="s">
        <v>32</v>
      </c>
      <c r="H1475" t="s">
        <v>33</v>
      </c>
      <c r="I1475" t="s">
        <v>41</v>
      </c>
      <c r="J1475" t="s">
        <v>84</v>
      </c>
      <c r="K1475">
        <v>280</v>
      </c>
      <c r="L1475">
        <v>0</v>
      </c>
      <c r="M1475" t="s">
        <v>63</v>
      </c>
      <c r="N1475">
        <v>250</v>
      </c>
      <c r="O1475">
        <v>0</v>
      </c>
      <c r="P1475">
        <v>0</v>
      </c>
      <c r="Q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 t="s">
        <v>36</v>
      </c>
      <c r="AC1475" t="s">
        <v>687</v>
      </c>
      <c r="AD1475" t="str">
        <f t="shared" si="46"/>
        <v>CP</v>
      </c>
      <c r="AE1475" t="str">
        <f>_xlfn.XLOOKUP(D1475,Mapping!A:A,Mapping!D:D,0,0)</f>
        <v>Bin</v>
      </c>
      <c r="AF1475" t="str">
        <f t="shared" si="47"/>
        <v>OLD</v>
      </c>
    </row>
    <row r="1476" spans="1:32" x14ac:dyDescent="0.2">
      <c r="A1476" t="s">
        <v>1119</v>
      </c>
      <c r="B1476" t="s">
        <v>39</v>
      </c>
      <c r="C1476">
        <v>1012733532</v>
      </c>
      <c r="D1476" t="s">
        <v>489</v>
      </c>
      <c r="E1476" t="s">
        <v>31</v>
      </c>
      <c r="F1476" s="1">
        <v>0.67291666666666672</v>
      </c>
      <c r="G1476" t="s">
        <v>32</v>
      </c>
      <c r="H1476" t="s">
        <v>33</v>
      </c>
      <c r="I1476" t="s">
        <v>41</v>
      </c>
      <c r="J1476" t="s">
        <v>84</v>
      </c>
      <c r="K1476">
        <v>280</v>
      </c>
      <c r="L1476">
        <v>0</v>
      </c>
      <c r="M1476" t="s">
        <v>63</v>
      </c>
      <c r="N1476">
        <v>250</v>
      </c>
      <c r="O1476">
        <v>0</v>
      </c>
      <c r="P1476">
        <v>0</v>
      </c>
      <c r="Q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 t="s">
        <v>36</v>
      </c>
      <c r="AC1476" t="s">
        <v>687</v>
      </c>
      <c r="AD1476" t="str">
        <f t="shared" si="46"/>
        <v>CP</v>
      </c>
      <c r="AE1476" t="str">
        <f>_xlfn.XLOOKUP(D1476,Mapping!A:A,Mapping!D:D,0,0)</f>
        <v>Bin</v>
      </c>
      <c r="AF1476" t="str">
        <f t="shared" si="47"/>
        <v>OLD</v>
      </c>
    </row>
    <row r="1477" spans="1:32" x14ac:dyDescent="0.2">
      <c r="A1477" t="s">
        <v>1119</v>
      </c>
      <c r="B1477" t="s">
        <v>39</v>
      </c>
      <c r="C1477">
        <v>1012733542</v>
      </c>
      <c r="D1477" t="s">
        <v>490</v>
      </c>
      <c r="E1477" t="s">
        <v>31</v>
      </c>
      <c r="F1477" s="1">
        <v>0.67291666666666672</v>
      </c>
      <c r="G1477" t="s">
        <v>32</v>
      </c>
      <c r="H1477" t="s">
        <v>33</v>
      </c>
      <c r="I1477" t="s">
        <v>41</v>
      </c>
      <c r="J1477" t="s">
        <v>84</v>
      </c>
      <c r="K1477">
        <v>280</v>
      </c>
      <c r="L1477">
        <v>0</v>
      </c>
      <c r="M1477" t="s">
        <v>63</v>
      </c>
      <c r="N1477">
        <v>250</v>
      </c>
      <c r="O1477">
        <v>0</v>
      </c>
      <c r="P1477">
        <v>0</v>
      </c>
      <c r="Q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 t="s">
        <v>36</v>
      </c>
      <c r="AC1477" t="s">
        <v>687</v>
      </c>
      <c r="AD1477" t="str">
        <f t="shared" si="46"/>
        <v>CP</v>
      </c>
      <c r="AE1477" t="str">
        <f>_xlfn.XLOOKUP(D1477,Mapping!A:A,Mapping!D:D,0,0)</f>
        <v>Bin</v>
      </c>
      <c r="AF1477" t="str">
        <f t="shared" si="47"/>
        <v>OLD</v>
      </c>
    </row>
    <row r="1478" spans="1:32" x14ac:dyDescent="0.2">
      <c r="A1478" t="s">
        <v>1119</v>
      </c>
      <c r="B1478" t="s">
        <v>39</v>
      </c>
      <c r="C1478">
        <v>1012733562</v>
      </c>
      <c r="D1478" t="s">
        <v>491</v>
      </c>
      <c r="E1478" t="s">
        <v>31</v>
      </c>
      <c r="F1478" s="1">
        <v>0.67291666666666672</v>
      </c>
      <c r="G1478" t="s">
        <v>32</v>
      </c>
      <c r="H1478" t="s">
        <v>33</v>
      </c>
      <c r="I1478" t="s">
        <v>41</v>
      </c>
      <c r="J1478" t="s">
        <v>84</v>
      </c>
      <c r="K1478">
        <v>280</v>
      </c>
      <c r="L1478">
        <v>0</v>
      </c>
      <c r="M1478" t="s">
        <v>63</v>
      </c>
      <c r="N1478">
        <v>250</v>
      </c>
      <c r="O1478">
        <v>0</v>
      </c>
      <c r="P1478">
        <v>0</v>
      </c>
      <c r="Q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 t="s">
        <v>36</v>
      </c>
      <c r="AC1478" t="s">
        <v>687</v>
      </c>
      <c r="AD1478" t="str">
        <f t="shared" si="46"/>
        <v>CP</v>
      </c>
      <c r="AE1478" t="str">
        <f>_xlfn.XLOOKUP(D1478,Mapping!A:A,Mapping!D:D,0,0)</f>
        <v>Bin</v>
      </c>
      <c r="AF1478" t="str">
        <f t="shared" si="47"/>
        <v>OLD</v>
      </c>
    </row>
    <row r="1479" spans="1:32" x14ac:dyDescent="0.2">
      <c r="A1479" t="s">
        <v>1119</v>
      </c>
      <c r="B1479" t="s">
        <v>29</v>
      </c>
      <c r="C1479">
        <v>1012733572</v>
      </c>
      <c r="D1479" t="s">
        <v>492</v>
      </c>
      <c r="E1479" t="s">
        <v>31</v>
      </c>
      <c r="F1479" s="1">
        <v>0.67291666666666672</v>
      </c>
      <c r="G1479" t="s">
        <v>32</v>
      </c>
      <c r="H1479" t="s">
        <v>33</v>
      </c>
      <c r="I1479" t="s">
        <v>41</v>
      </c>
      <c r="J1479" t="s">
        <v>84</v>
      </c>
      <c r="K1479">
        <v>280</v>
      </c>
      <c r="L1479">
        <v>0</v>
      </c>
      <c r="M1479" t="s">
        <v>36</v>
      </c>
      <c r="N1479" t="s">
        <v>37</v>
      </c>
      <c r="O1479">
        <v>128</v>
      </c>
      <c r="P1479">
        <v>5</v>
      </c>
      <c r="Q1479">
        <v>3.90625</v>
      </c>
      <c r="R1479">
        <v>0</v>
      </c>
      <c r="S1479">
        <v>0.24</v>
      </c>
      <c r="T1479">
        <v>1.9039999999999999</v>
      </c>
      <c r="U1479">
        <v>4.9000000000000002E-2</v>
      </c>
      <c r="V1479">
        <v>0</v>
      </c>
      <c r="W1479">
        <v>1</v>
      </c>
      <c r="X1479">
        <v>0</v>
      </c>
      <c r="Y1479" t="s">
        <v>36</v>
      </c>
      <c r="Z1479">
        <v>128</v>
      </c>
      <c r="AA1479">
        <v>110</v>
      </c>
      <c r="AB1479">
        <v>14</v>
      </c>
      <c r="AC1479" t="s">
        <v>687</v>
      </c>
      <c r="AD1479" t="str">
        <f t="shared" si="46"/>
        <v>CP</v>
      </c>
      <c r="AE1479" t="str">
        <f>_xlfn.XLOOKUP(D1479,Mapping!A:A,Mapping!D:D,0,0)</f>
        <v>Keyword - Preroll</v>
      </c>
      <c r="AF1479" t="str">
        <f t="shared" si="47"/>
        <v>OLD</v>
      </c>
    </row>
    <row r="1480" spans="1:32" x14ac:dyDescent="0.2">
      <c r="A1480" t="s">
        <v>1119</v>
      </c>
      <c r="B1480" t="s">
        <v>39</v>
      </c>
      <c r="C1480">
        <v>1012741762</v>
      </c>
      <c r="D1480" t="s">
        <v>108</v>
      </c>
      <c r="E1480" t="s">
        <v>31</v>
      </c>
      <c r="F1480" s="1">
        <v>0.67291666666666672</v>
      </c>
      <c r="G1480" t="s">
        <v>32</v>
      </c>
      <c r="H1480" t="s">
        <v>33</v>
      </c>
      <c r="I1480" t="s">
        <v>41</v>
      </c>
      <c r="J1480" t="s">
        <v>62</v>
      </c>
      <c r="K1480">
        <v>280</v>
      </c>
      <c r="L1480">
        <v>0</v>
      </c>
      <c r="M1480" t="s">
        <v>63</v>
      </c>
      <c r="N1480">
        <v>250</v>
      </c>
      <c r="O1480">
        <v>0</v>
      </c>
      <c r="P1480">
        <v>0</v>
      </c>
      <c r="Q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 t="s">
        <v>36</v>
      </c>
      <c r="AC1480" t="s">
        <v>687</v>
      </c>
      <c r="AD1480" t="str">
        <f t="shared" si="46"/>
        <v>CP</v>
      </c>
      <c r="AE1480" t="str">
        <f>_xlfn.XLOOKUP(D1480,Mapping!A:A,Mapping!D:D,0,0)</f>
        <v>Bin</v>
      </c>
      <c r="AF1480" t="str">
        <f t="shared" si="47"/>
        <v>OLD</v>
      </c>
    </row>
    <row r="1481" spans="1:32" x14ac:dyDescent="0.2">
      <c r="A1481" t="s">
        <v>1119</v>
      </c>
      <c r="B1481" t="s">
        <v>39</v>
      </c>
      <c r="C1481">
        <v>1012741772</v>
      </c>
      <c r="D1481" t="s">
        <v>493</v>
      </c>
      <c r="E1481" t="s">
        <v>31</v>
      </c>
      <c r="F1481" s="1">
        <v>0.67291666666666672</v>
      </c>
      <c r="G1481" t="s">
        <v>32</v>
      </c>
      <c r="H1481" t="s">
        <v>33</v>
      </c>
      <c r="I1481" t="s">
        <v>41</v>
      </c>
      <c r="J1481" t="s">
        <v>62</v>
      </c>
      <c r="K1481">
        <v>280</v>
      </c>
      <c r="L1481">
        <v>0</v>
      </c>
      <c r="M1481" t="s">
        <v>63</v>
      </c>
      <c r="N1481">
        <v>250</v>
      </c>
      <c r="O1481">
        <v>0</v>
      </c>
      <c r="P1481">
        <v>0</v>
      </c>
      <c r="Q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 t="s">
        <v>36</v>
      </c>
      <c r="AC1481" t="s">
        <v>687</v>
      </c>
      <c r="AD1481" t="str">
        <f t="shared" si="46"/>
        <v>CP</v>
      </c>
      <c r="AE1481" t="str">
        <f>_xlfn.XLOOKUP(D1481,Mapping!A:A,Mapping!D:D,0,0)</f>
        <v>Bin</v>
      </c>
      <c r="AF1481" t="str">
        <f t="shared" si="47"/>
        <v>OLD</v>
      </c>
    </row>
    <row r="1482" spans="1:32" x14ac:dyDescent="0.2">
      <c r="A1482" t="s">
        <v>1119</v>
      </c>
      <c r="B1482" t="s">
        <v>39</v>
      </c>
      <c r="C1482">
        <v>1012741792</v>
      </c>
      <c r="D1482" t="s">
        <v>494</v>
      </c>
      <c r="E1482" t="s">
        <v>31</v>
      </c>
      <c r="F1482" s="1">
        <v>0.67291666666666672</v>
      </c>
      <c r="G1482" t="s">
        <v>32</v>
      </c>
      <c r="H1482" t="s">
        <v>33</v>
      </c>
      <c r="I1482" t="s">
        <v>34</v>
      </c>
      <c r="J1482" t="s">
        <v>84</v>
      </c>
      <c r="K1482">
        <v>112</v>
      </c>
      <c r="L1482">
        <v>0</v>
      </c>
      <c r="M1482" t="s">
        <v>63</v>
      </c>
      <c r="N1482">
        <v>250</v>
      </c>
      <c r="O1482">
        <v>0</v>
      </c>
      <c r="P1482">
        <v>0</v>
      </c>
      <c r="Q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 t="s">
        <v>36</v>
      </c>
      <c r="AC1482" t="s">
        <v>687</v>
      </c>
      <c r="AD1482" t="str">
        <f t="shared" si="46"/>
        <v>CP</v>
      </c>
      <c r="AE1482" t="str">
        <f>_xlfn.XLOOKUP(D1482,Mapping!A:A,Mapping!D:D,0,0)</f>
        <v>Bin</v>
      </c>
      <c r="AF1482" t="str">
        <f t="shared" si="47"/>
        <v>OLD</v>
      </c>
    </row>
    <row r="1483" spans="1:32" x14ac:dyDescent="0.2">
      <c r="A1483" t="s">
        <v>1119</v>
      </c>
      <c r="B1483" t="s">
        <v>39</v>
      </c>
      <c r="C1483">
        <v>1012750232</v>
      </c>
      <c r="D1483" t="s">
        <v>495</v>
      </c>
      <c r="E1483" t="s">
        <v>31</v>
      </c>
      <c r="F1483" s="1">
        <v>0.67291666666666672</v>
      </c>
      <c r="G1483" t="s">
        <v>32</v>
      </c>
      <c r="H1483" t="s">
        <v>33</v>
      </c>
      <c r="I1483" t="s">
        <v>34</v>
      </c>
      <c r="J1483" t="s">
        <v>84</v>
      </c>
      <c r="K1483">
        <v>112</v>
      </c>
      <c r="L1483">
        <v>0</v>
      </c>
      <c r="M1483" t="s">
        <v>63</v>
      </c>
      <c r="N1483">
        <v>250</v>
      </c>
      <c r="O1483">
        <v>0</v>
      </c>
      <c r="P1483">
        <v>0</v>
      </c>
      <c r="Q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 t="s">
        <v>36</v>
      </c>
      <c r="AC1483" t="s">
        <v>687</v>
      </c>
      <c r="AD1483" t="str">
        <f t="shared" si="46"/>
        <v>CP</v>
      </c>
      <c r="AE1483" t="str">
        <f>_xlfn.XLOOKUP(D1483,Mapping!A:A,Mapping!D:D,0,0)</f>
        <v>Bin</v>
      </c>
      <c r="AF1483" t="str">
        <f t="shared" si="47"/>
        <v>OLD</v>
      </c>
    </row>
    <row r="1484" spans="1:32" x14ac:dyDescent="0.2">
      <c r="A1484" t="s">
        <v>1119</v>
      </c>
      <c r="B1484" t="s">
        <v>39</v>
      </c>
      <c r="C1484">
        <v>1012750242</v>
      </c>
      <c r="D1484" t="s">
        <v>496</v>
      </c>
      <c r="E1484" t="s">
        <v>31</v>
      </c>
      <c r="F1484" s="1">
        <v>0.67291666666666672</v>
      </c>
      <c r="G1484" t="s">
        <v>32</v>
      </c>
      <c r="H1484" t="s">
        <v>33</v>
      </c>
      <c r="I1484" t="s">
        <v>41</v>
      </c>
      <c r="J1484" t="s">
        <v>62</v>
      </c>
      <c r="K1484">
        <v>280</v>
      </c>
      <c r="L1484">
        <v>0</v>
      </c>
      <c r="M1484" t="s">
        <v>63</v>
      </c>
      <c r="N1484">
        <v>250</v>
      </c>
      <c r="O1484">
        <v>0</v>
      </c>
      <c r="P1484">
        <v>0</v>
      </c>
      <c r="Q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 t="s">
        <v>36</v>
      </c>
      <c r="AC1484" t="s">
        <v>687</v>
      </c>
      <c r="AD1484" t="str">
        <f t="shared" si="46"/>
        <v>CP</v>
      </c>
      <c r="AE1484" t="str">
        <f>_xlfn.XLOOKUP(D1484,Mapping!A:A,Mapping!D:D,0,0)</f>
        <v>Bin</v>
      </c>
      <c r="AF1484" t="str">
        <f t="shared" si="47"/>
        <v>OLD</v>
      </c>
    </row>
    <row r="1485" spans="1:32" x14ac:dyDescent="0.2">
      <c r="A1485" t="s">
        <v>1119</v>
      </c>
      <c r="B1485" t="s">
        <v>39</v>
      </c>
      <c r="C1485">
        <v>1012750252</v>
      </c>
      <c r="D1485" t="s">
        <v>497</v>
      </c>
      <c r="E1485" t="s">
        <v>31</v>
      </c>
      <c r="F1485" s="1">
        <v>0.67291666666666672</v>
      </c>
      <c r="G1485" t="s">
        <v>32</v>
      </c>
      <c r="H1485" t="s">
        <v>33</v>
      </c>
      <c r="I1485" t="s">
        <v>41</v>
      </c>
      <c r="J1485" t="s">
        <v>62</v>
      </c>
      <c r="K1485">
        <v>280</v>
      </c>
      <c r="L1485">
        <v>0</v>
      </c>
      <c r="M1485" t="s">
        <v>63</v>
      </c>
      <c r="N1485">
        <v>250</v>
      </c>
      <c r="O1485">
        <v>0</v>
      </c>
      <c r="P1485">
        <v>0</v>
      </c>
      <c r="Q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 t="s">
        <v>36</v>
      </c>
      <c r="AC1485" t="s">
        <v>687</v>
      </c>
      <c r="AD1485" t="str">
        <f t="shared" si="46"/>
        <v>CP</v>
      </c>
      <c r="AE1485" t="str">
        <f>_xlfn.XLOOKUP(D1485,Mapping!A:A,Mapping!D:D,0,0)</f>
        <v>Bin</v>
      </c>
      <c r="AF1485" t="str">
        <f t="shared" si="47"/>
        <v>OLD</v>
      </c>
    </row>
    <row r="1486" spans="1:32" x14ac:dyDescent="0.2">
      <c r="A1486" t="s">
        <v>1119</v>
      </c>
      <c r="B1486" t="s">
        <v>39</v>
      </c>
      <c r="C1486">
        <v>1012750262</v>
      </c>
      <c r="D1486" t="s">
        <v>498</v>
      </c>
      <c r="E1486" t="s">
        <v>31</v>
      </c>
      <c r="F1486" s="1">
        <v>0.67291666666666672</v>
      </c>
      <c r="G1486" t="s">
        <v>32</v>
      </c>
      <c r="H1486" t="s">
        <v>33</v>
      </c>
      <c r="I1486" t="s">
        <v>41</v>
      </c>
      <c r="J1486" t="s">
        <v>62</v>
      </c>
      <c r="K1486">
        <v>280</v>
      </c>
      <c r="L1486">
        <v>0</v>
      </c>
      <c r="M1486" t="s">
        <v>63</v>
      </c>
      <c r="N1486">
        <v>250</v>
      </c>
      <c r="O1486">
        <v>0</v>
      </c>
      <c r="P1486">
        <v>0</v>
      </c>
      <c r="Q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 t="s">
        <v>36</v>
      </c>
      <c r="AC1486" t="s">
        <v>687</v>
      </c>
      <c r="AD1486" t="str">
        <f t="shared" si="46"/>
        <v>CP</v>
      </c>
      <c r="AE1486" t="str">
        <f>_xlfn.XLOOKUP(D1486,Mapping!A:A,Mapping!D:D,0,0)</f>
        <v>Bin</v>
      </c>
      <c r="AF1486" t="str">
        <f t="shared" si="47"/>
        <v>OLD</v>
      </c>
    </row>
    <row r="1487" spans="1:32" x14ac:dyDescent="0.2">
      <c r="A1487" t="s">
        <v>1119</v>
      </c>
      <c r="B1487" t="s">
        <v>39</v>
      </c>
      <c r="C1487">
        <v>1012750272</v>
      </c>
      <c r="D1487" t="s">
        <v>499</v>
      </c>
      <c r="E1487" t="s">
        <v>31</v>
      </c>
      <c r="F1487" s="1">
        <v>0.67291666666666672</v>
      </c>
      <c r="G1487" t="s">
        <v>32</v>
      </c>
      <c r="H1487" t="s">
        <v>33</v>
      </c>
      <c r="I1487" t="s">
        <v>41</v>
      </c>
      <c r="J1487" t="s">
        <v>62</v>
      </c>
      <c r="K1487">
        <v>280</v>
      </c>
      <c r="L1487">
        <v>0</v>
      </c>
      <c r="M1487" t="s">
        <v>63</v>
      </c>
      <c r="N1487">
        <v>250</v>
      </c>
      <c r="O1487">
        <v>0</v>
      </c>
      <c r="P1487">
        <v>0</v>
      </c>
      <c r="Q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 t="s">
        <v>36</v>
      </c>
      <c r="AC1487" t="s">
        <v>687</v>
      </c>
      <c r="AD1487" t="str">
        <f t="shared" si="46"/>
        <v>CP</v>
      </c>
      <c r="AE1487" t="str">
        <f>_xlfn.XLOOKUP(D1487,Mapping!A:A,Mapping!D:D,0,0)</f>
        <v>Bin</v>
      </c>
      <c r="AF1487" t="str">
        <f t="shared" si="47"/>
        <v>OLD</v>
      </c>
    </row>
    <row r="1488" spans="1:32" x14ac:dyDescent="0.2">
      <c r="A1488" t="s">
        <v>1119</v>
      </c>
      <c r="B1488" t="s">
        <v>39</v>
      </c>
      <c r="C1488">
        <v>1012750282</v>
      </c>
      <c r="D1488" t="s">
        <v>500</v>
      </c>
      <c r="E1488" t="s">
        <v>31</v>
      </c>
      <c r="F1488" s="1">
        <v>0.67291666666666672</v>
      </c>
      <c r="G1488" t="s">
        <v>32</v>
      </c>
      <c r="H1488" t="s">
        <v>33</v>
      </c>
      <c r="I1488" t="s">
        <v>34</v>
      </c>
      <c r="J1488" t="s">
        <v>84</v>
      </c>
      <c r="K1488">
        <v>112</v>
      </c>
      <c r="L1488">
        <v>0</v>
      </c>
      <c r="M1488" t="s">
        <v>63</v>
      </c>
      <c r="N1488">
        <v>250</v>
      </c>
      <c r="O1488">
        <v>0</v>
      </c>
      <c r="P1488">
        <v>0</v>
      </c>
      <c r="Q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 t="s">
        <v>36</v>
      </c>
      <c r="AC1488" t="s">
        <v>687</v>
      </c>
      <c r="AD1488" t="str">
        <f t="shared" si="46"/>
        <v>CP</v>
      </c>
      <c r="AE1488" t="str">
        <f>_xlfn.XLOOKUP(D1488,Mapping!A:A,Mapping!D:D,0,0)</f>
        <v>Bin</v>
      </c>
      <c r="AF1488" t="str">
        <f t="shared" si="47"/>
        <v>OLD</v>
      </c>
    </row>
    <row r="1489" spans="1:32" x14ac:dyDescent="0.2">
      <c r="A1489" t="s">
        <v>1119</v>
      </c>
      <c r="B1489" t="s">
        <v>39</v>
      </c>
      <c r="C1489">
        <v>1012750292</v>
      </c>
      <c r="D1489" t="s">
        <v>501</v>
      </c>
      <c r="E1489" t="s">
        <v>31</v>
      </c>
      <c r="F1489" s="1">
        <v>0.67291666666666672</v>
      </c>
      <c r="G1489" t="s">
        <v>32</v>
      </c>
      <c r="H1489" t="s">
        <v>33</v>
      </c>
      <c r="I1489" t="s">
        <v>34</v>
      </c>
      <c r="J1489" t="s">
        <v>84</v>
      </c>
      <c r="K1489">
        <v>112</v>
      </c>
      <c r="L1489">
        <v>0</v>
      </c>
      <c r="M1489" t="s">
        <v>63</v>
      </c>
      <c r="N1489">
        <v>250</v>
      </c>
      <c r="O1489">
        <v>0</v>
      </c>
      <c r="P1489">
        <v>0</v>
      </c>
      <c r="Q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 t="s">
        <v>36</v>
      </c>
      <c r="AC1489" t="s">
        <v>687</v>
      </c>
      <c r="AD1489" t="str">
        <f t="shared" si="46"/>
        <v>CP</v>
      </c>
      <c r="AE1489" t="str">
        <f>_xlfn.XLOOKUP(D1489,Mapping!A:A,Mapping!D:D,0,0)</f>
        <v>Bin</v>
      </c>
      <c r="AF1489" t="str">
        <f t="shared" si="47"/>
        <v>OLD</v>
      </c>
    </row>
    <row r="1490" spans="1:32" x14ac:dyDescent="0.2">
      <c r="A1490" t="s">
        <v>1119</v>
      </c>
      <c r="B1490" t="s">
        <v>39</v>
      </c>
      <c r="C1490">
        <v>1012750302</v>
      </c>
      <c r="D1490" t="s">
        <v>502</v>
      </c>
      <c r="E1490" t="s">
        <v>31</v>
      </c>
      <c r="F1490" s="1">
        <v>0.67291666666666672</v>
      </c>
      <c r="G1490" t="s">
        <v>32</v>
      </c>
      <c r="H1490" t="s">
        <v>33</v>
      </c>
      <c r="I1490" t="s">
        <v>41</v>
      </c>
      <c r="J1490" t="s">
        <v>62</v>
      </c>
      <c r="K1490">
        <v>280</v>
      </c>
      <c r="L1490">
        <v>0</v>
      </c>
      <c r="M1490" t="s">
        <v>63</v>
      </c>
      <c r="N1490">
        <v>250</v>
      </c>
      <c r="O1490">
        <v>0</v>
      </c>
      <c r="P1490">
        <v>0</v>
      </c>
      <c r="Q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 t="s">
        <v>36</v>
      </c>
      <c r="AC1490" t="s">
        <v>687</v>
      </c>
      <c r="AD1490" t="str">
        <f t="shared" si="46"/>
        <v>CP</v>
      </c>
      <c r="AE1490" t="str">
        <f>_xlfn.XLOOKUP(D1490,Mapping!A:A,Mapping!D:D,0,0)</f>
        <v>Bin</v>
      </c>
      <c r="AF1490" t="str">
        <f t="shared" si="47"/>
        <v>OLD</v>
      </c>
    </row>
    <row r="1491" spans="1:32" x14ac:dyDescent="0.2">
      <c r="A1491" t="s">
        <v>1119</v>
      </c>
      <c r="B1491" t="s">
        <v>39</v>
      </c>
      <c r="C1491">
        <v>1012750312</v>
      </c>
      <c r="D1491" t="s">
        <v>503</v>
      </c>
      <c r="E1491" t="s">
        <v>31</v>
      </c>
      <c r="F1491" s="1">
        <v>0.67291666666666672</v>
      </c>
      <c r="G1491" t="s">
        <v>32</v>
      </c>
      <c r="H1491" t="s">
        <v>33</v>
      </c>
      <c r="I1491" t="s">
        <v>41</v>
      </c>
      <c r="J1491" t="s">
        <v>62</v>
      </c>
      <c r="K1491">
        <v>280</v>
      </c>
      <c r="L1491">
        <v>0</v>
      </c>
      <c r="M1491" t="s">
        <v>36</v>
      </c>
      <c r="N1491" t="s">
        <v>37</v>
      </c>
      <c r="O1491">
        <v>0</v>
      </c>
      <c r="P1491">
        <v>0</v>
      </c>
      <c r="Q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 t="s">
        <v>36</v>
      </c>
      <c r="AC1491" t="s">
        <v>687</v>
      </c>
      <c r="AD1491" t="str">
        <f t="shared" si="46"/>
        <v>CP</v>
      </c>
      <c r="AE1491" t="str">
        <f>_xlfn.XLOOKUP(D1491,Mapping!A:A,Mapping!D:D,0,0)</f>
        <v>Bin</v>
      </c>
      <c r="AF1491" t="str">
        <f t="shared" si="47"/>
        <v>OLD</v>
      </c>
    </row>
    <row r="1492" spans="1:32" x14ac:dyDescent="0.2">
      <c r="A1492" t="s">
        <v>1119</v>
      </c>
      <c r="B1492" t="s">
        <v>39</v>
      </c>
      <c r="C1492">
        <v>1012750322</v>
      </c>
      <c r="D1492" t="s">
        <v>504</v>
      </c>
      <c r="E1492" t="s">
        <v>31</v>
      </c>
      <c r="F1492" s="1">
        <v>0.67291666666666672</v>
      </c>
      <c r="G1492" t="s">
        <v>32</v>
      </c>
      <c r="H1492" t="s">
        <v>33</v>
      </c>
      <c r="I1492" t="s">
        <v>41</v>
      </c>
      <c r="J1492" t="s">
        <v>62</v>
      </c>
      <c r="K1492">
        <v>280</v>
      </c>
      <c r="L1492">
        <v>0</v>
      </c>
      <c r="M1492" t="s">
        <v>36</v>
      </c>
      <c r="N1492" t="s">
        <v>37</v>
      </c>
      <c r="O1492">
        <v>0</v>
      </c>
      <c r="P1492">
        <v>0</v>
      </c>
      <c r="Q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 t="s">
        <v>36</v>
      </c>
      <c r="AC1492" t="s">
        <v>687</v>
      </c>
      <c r="AD1492" t="str">
        <f t="shared" si="46"/>
        <v>CP</v>
      </c>
      <c r="AE1492" t="str">
        <f>_xlfn.XLOOKUP(D1492,Mapping!A:A,Mapping!D:D,0,0)</f>
        <v>Bin</v>
      </c>
      <c r="AF1492" t="str">
        <f t="shared" si="47"/>
        <v>OLD</v>
      </c>
    </row>
    <row r="1493" spans="1:32" x14ac:dyDescent="0.2">
      <c r="A1493" t="s">
        <v>1119</v>
      </c>
      <c r="B1493" t="s">
        <v>39</v>
      </c>
      <c r="C1493">
        <v>1012750332</v>
      </c>
      <c r="D1493" t="s">
        <v>505</v>
      </c>
      <c r="E1493" t="s">
        <v>31</v>
      </c>
      <c r="F1493" s="1">
        <v>0.67291666666666672</v>
      </c>
      <c r="G1493" t="s">
        <v>32</v>
      </c>
      <c r="H1493" t="s">
        <v>33</v>
      </c>
      <c r="I1493" t="s">
        <v>41</v>
      </c>
      <c r="J1493" t="s">
        <v>62</v>
      </c>
      <c r="K1493">
        <v>280</v>
      </c>
      <c r="L1493">
        <v>0</v>
      </c>
      <c r="M1493" t="s">
        <v>63</v>
      </c>
      <c r="N1493">
        <v>250</v>
      </c>
      <c r="O1493">
        <v>0</v>
      </c>
      <c r="P1493">
        <v>0</v>
      </c>
      <c r="Q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 t="s">
        <v>36</v>
      </c>
      <c r="AC1493" t="s">
        <v>687</v>
      </c>
      <c r="AD1493" t="str">
        <f t="shared" ref="AD1493:AD1556" si="48">LEFT(D1493,2)</f>
        <v>CP</v>
      </c>
      <c r="AE1493" t="str">
        <f>_xlfn.XLOOKUP(D1493,Mapping!A:A,Mapping!D:D,0,0)</f>
        <v>Bin</v>
      </c>
      <c r="AF1493" t="str">
        <f t="shared" ref="AF1493:AF1556" si="49">IFERROR(IF(SEARCH("_TJ",D1493)&gt;0,"TJ",NA()),IFERROR(IF(SEARCH("_JB",D1493)&gt;0,"JB",NA()),"OLD"))</f>
        <v>OLD</v>
      </c>
    </row>
    <row r="1494" spans="1:32" x14ac:dyDescent="0.2">
      <c r="A1494" t="s">
        <v>1119</v>
      </c>
      <c r="B1494" t="s">
        <v>39</v>
      </c>
      <c r="C1494">
        <v>1012750342</v>
      </c>
      <c r="D1494" t="s">
        <v>506</v>
      </c>
      <c r="E1494" t="s">
        <v>31</v>
      </c>
      <c r="F1494" s="1">
        <v>0.67291666666666672</v>
      </c>
      <c r="G1494" t="s">
        <v>32</v>
      </c>
      <c r="H1494" t="s">
        <v>33</v>
      </c>
      <c r="I1494" t="s">
        <v>34</v>
      </c>
      <c r="J1494" t="s">
        <v>84</v>
      </c>
      <c r="K1494">
        <v>112</v>
      </c>
      <c r="L1494">
        <v>0</v>
      </c>
      <c r="M1494" t="s">
        <v>63</v>
      </c>
      <c r="N1494">
        <v>250</v>
      </c>
      <c r="O1494">
        <v>0</v>
      </c>
      <c r="P1494">
        <v>0</v>
      </c>
      <c r="Q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 t="s">
        <v>36</v>
      </c>
      <c r="AC1494" t="s">
        <v>687</v>
      </c>
      <c r="AD1494" t="str">
        <f t="shared" si="48"/>
        <v>CP</v>
      </c>
      <c r="AE1494" t="str">
        <f>_xlfn.XLOOKUP(D1494,Mapping!A:A,Mapping!D:D,0,0)</f>
        <v>Bin</v>
      </c>
      <c r="AF1494" t="str">
        <f t="shared" si="49"/>
        <v>OLD</v>
      </c>
    </row>
    <row r="1495" spans="1:32" x14ac:dyDescent="0.2">
      <c r="A1495" t="s">
        <v>1119</v>
      </c>
      <c r="B1495" t="s">
        <v>39</v>
      </c>
      <c r="C1495">
        <v>1012750352</v>
      </c>
      <c r="D1495" t="s">
        <v>483</v>
      </c>
      <c r="E1495" t="s">
        <v>31</v>
      </c>
      <c r="F1495" s="1">
        <v>0.67291666666666672</v>
      </c>
      <c r="G1495" t="s">
        <v>32</v>
      </c>
      <c r="H1495" t="s">
        <v>33</v>
      </c>
      <c r="I1495" t="s">
        <v>41</v>
      </c>
      <c r="J1495" t="s">
        <v>62</v>
      </c>
      <c r="K1495">
        <v>280</v>
      </c>
      <c r="L1495">
        <v>0</v>
      </c>
      <c r="M1495" t="s">
        <v>36</v>
      </c>
      <c r="N1495" t="s">
        <v>37</v>
      </c>
      <c r="O1495">
        <v>0</v>
      </c>
      <c r="P1495">
        <v>0</v>
      </c>
      <c r="Q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 t="s">
        <v>36</v>
      </c>
      <c r="AC1495" t="s">
        <v>687</v>
      </c>
      <c r="AD1495" t="str">
        <f t="shared" si="48"/>
        <v>CP</v>
      </c>
      <c r="AE1495" t="str">
        <f>_xlfn.XLOOKUP(D1495,Mapping!A:A,Mapping!D:D,0,0)</f>
        <v>Marvel</v>
      </c>
      <c r="AF1495" t="str">
        <f t="shared" si="49"/>
        <v>OLD</v>
      </c>
    </row>
    <row r="1496" spans="1:32" x14ac:dyDescent="0.2">
      <c r="A1496" t="s">
        <v>1119</v>
      </c>
      <c r="B1496" t="s">
        <v>39</v>
      </c>
      <c r="C1496">
        <v>1012750362</v>
      </c>
      <c r="D1496" t="s">
        <v>507</v>
      </c>
      <c r="E1496" t="s">
        <v>31</v>
      </c>
      <c r="F1496" s="1">
        <v>0.67291666666666672</v>
      </c>
      <c r="G1496" t="s">
        <v>32</v>
      </c>
      <c r="H1496" t="s">
        <v>33</v>
      </c>
      <c r="I1496" t="s">
        <v>41</v>
      </c>
      <c r="J1496" t="s">
        <v>62</v>
      </c>
      <c r="K1496">
        <v>280</v>
      </c>
      <c r="L1496">
        <v>0</v>
      </c>
      <c r="M1496" t="s">
        <v>36</v>
      </c>
      <c r="N1496" t="s">
        <v>37</v>
      </c>
      <c r="O1496">
        <v>0</v>
      </c>
      <c r="P1496">
        <v>0</v>
      </c>
      <c r="Q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 t="s">
        <v>36</v>
      </c>
      <c r="AC1496" t="s">
        <v>687</v>
      </c>
      <c r="AD1496" t="str">
        <f t="shared" si="48"/>
        <v>CP</v>
      </c>
      <c r="AE1496" t="str">
        <f>_xlfn.XLOOKUP(D1496,Mapping!A:A,Mapping!D:D,0,0)</f>
        <v>Marvel</v>
      </c>
      <c r="AF1496" t="str">
        <f t="shared" si="49"/>
        <v>OLD</v>
      </c>
    </row>
    <row r="1497" spans="1:32" x14ac:dyDescent="0.2">
      <c r="A1497" t="s">
        <v>1119</v>
      </c>
      <c r="B1497" t="s">
        <v>29</v>
      </c>
      <c r="C1497">
        <v>1012750372</v>
      </c>
      <c r="D1497" t="s">
        <v>508</v>
      </c>
      <c r="E1497" t="s">
        <v>31</v>
      </c>
      <c r="F1497" s="1">
        <v>0.67291666666666672</v>
      </c>
      <c r="G1497" t="s">
        <v>32</v>
      </c>
      <c r="H1497" t="s">
        <v>33</v>
      </c>
      <c r="I1497" t="s">
        <v>34</v>
      </c>
      <c r="J1497" t="s">
        <v>84</v>
      </c>
      <c r="K1497">
        <v>112</v>
      </c>
      <c r="L1497">
        <v>0</v>
      </c>
      <c r="M1497" t="s">
        <v>36</v>
      </c>
      <c r="N1497" t="s">
        <v>37</v>
      </c>
      <c r="O1497">
        <v>8610</v>
      </c>
      <c r="P1497">
        <v>494</v>
      </c>
      <c r="Q1497">
        <v>5.7375100000000003</v>
      </c>
      <c r="R1497">
        <v>2</v>
      </c>
      <c r="S1497">
        <v>25.39</v>
      </c>
      <c r="T1497">
        <v>2.9489999999999998</v>
      </c>
      <c r="U1497">
        <v>5.0999999999999997E-2</v>
      </c>
      <c r="V1497">
        <v>12.693</v>
      </c>
      <c r="W1497">
        <v>1</v>
      </c>
      <c r="X1497">
        <v>0</v>
      </c>
      <c r="Y1497" t="s">
        <v>36</v>
      </c>
      <c r="Z1497">
        <v>8610</v>
      </c>
      <c r="AA1497">
        <v>6615</v>
      </c>
      <c r="AB1497">
        <v>829</v>
      </c>
      <c r="AC1497" t="s">
        <v>687</v>
      </c>
      <c r="AD1497" t="str">
        <f t="shared" si="48"/>
        <v>CP</v>
      </c>
      <c r="AE1497" t="str">
        <f>_xlfn.XLOOKUP(D1497,Mapping!A:A,Mapping!D:D,0,0)</f>
        <v>Keyword - Preroll</v>
      </c>
      <c r="AF1497" t="str">
        <f t="shared" si="49"/>
        <v>OLD</v>
      </c>
    </row>
    <row r="1498" spans="1:32" x14ac:dyDescent="0.2">
      <c r="A1498" t="s">
        <v>1119</v>
      </c>
      <c r="B1498" t="s">
        <v>39</v>
      </c>
      <c r="C1498">
        <v>1012750382</v>
      </c>
      <c r="D1498" t="s">
        <v>509</v>
      </c>
      <c r="E1498" t="s">
        <v>31</v>
      </c>
      <c r="F1498" s="1">
        <v>0.67291666666666672</v>
      </c>
      <c r="G1498" t="s">
        <v>32</v>
      </c>
      <c r="H1498" t="s">
        <v>33</v>
      </c>
      <c r="I1498" t="s">
        <v>34</v>
      </c>
      <c r="J1498" t="s">
        <v>84</v>
      </c>
      <c r="K1498">
        <v>112</v>
      </c>
      <c r="L1498">
        <v>0</v>
      </c>
      <c r="M1498" t="s">
        <v>36</v>
      </c>
      <c r="N1498" t="s">
        <v>37</v>
      </c>
      <c r="O1498">
        <v>0</v>
      </c>
      <c r="P1498">
        <v>0</v>
      </c>
      <c r="Q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 t="s">
        <v>36</v>
      </c>
      <c r="AC1498" t="s">
        <v>687</v>
      </c>
      <c r="AD1498" t="str">
        <f t="shared" si="48"/>
        <v>CP</v>
      </c>
      <c r="AE1498" t="str">
        <f>_xlfn.XLOOKUP(D1498,Mapping!A:A,Mapping!D:D,0,0)</f>
        <v>Marvel</v>
      </c>
      <c r="AF1498" t="str">
        <f t="shared" si="49"/>
        <v>OLD</v>
      </c>
    </row>
    <row r="1499" spans="1:32" x14ac:dyDescent="0.2">
      <c r="A1499" t="s">
        <v>1119</v>
      </c>
      <c r="B1499" t="s">
        <v>29</v>
      </c>
      <c r="C1499">
        <v>1012750392</v>
      </c>
      <c r="D1499" t="s">
        <v>510</v>
      </c>
      <c r="E1499" t="s">
        <v>31</v>
      </c>
      <c r="F1499" s="1">
        <v>0.67291666666666672</v>
      </c>
      <c r="G1499" t="s">
        <v>32</v>
      </c>
      <c r="H1499" t="s">
        <v>33</v>
      </c>
      <c r="I1499" t="s">
        <v>41</v>
      </c>
      <c r="J1499" t="s">
        <v>62</v>
      </c>
      <c r="K1499">
        <v>280</v>
      </c>
      <c r="L1499">
        <v>0</v>
      </c>
      <c r="M1499" t="s">
        <v>36</v>
      </c>
      <c r="N1499" t="s">
        <v>37</v>
      </c>
      <c r="O1499">
        <v>424</v>
      </c>
      <c r="P1499">
        <v>18</v>
      </c>
      <c r="Q1499">
        <v>4.2452800000000002</v>
      </c>
      <c r="R1499">
        <v>0</v>
      </c>
      <c r="S1499">
        <v>0.81</v>
      </c>
      <c r="T1499">
        <v>1.9</v>
      </c>
      <c r="U1499">
        <v>4.4999999999999998E-2</v>
      </c>
      <c r="V1499">
        <v>0</v>
      </c>
      <c r="W1499">
        <v>1</v>
      </c>
      <c r="X1499">
        <v>0</v>
      </c>
      <c r="Y1499" t="s">
        <v>36</v>
      </c>
      <c r="Z1499">
        <v>424</v>
      </c>
      <c r="AA1499">
        <v>383</v>
      </c>
      <c r="AB1499">
        <v>32</v>
      </c>
      <c r="AC1499" t="s">
        <v>687</v>
      </c>
      <c r="AD1499" t="str">
        <f t="shared" si="48"/>
        <v>CP</v>
      </c>
      <c r="AE1499" t="str">
        <f>_xlfn.XLOOKUP(D1499,Mapping!A:A,Mapping!D:D,0,0)</f>
        <v>Keyword - Preroll</v>
      </c>
      <c r="AF1499" t="str">
        <f t="shared" si="49"/>
        <v>OLD</v>
      </c>
    </row>
    <row r="1500" spans="1:32" x14ac:dyDescent="0.2">
      <c r="A1500" t="s">
        <v>1119</v>
      </c>
      <c r="B1500" t="s">
        <v>29</v>
      </c>
      <c r="C1500">
        <v>1012750402</v>
      </c>
      <c r="D1500" t="s">
        <v>511</v>
      </c>
      <c r="E1500" t="s">
        <v>31</v>
      </c>
      <c r="F1500" s="1">
        <v>0.67291666666666672</v>
      </c>
      <c r="G1500" t="s">
        <v>32</v>
      </c>
      <c r="H1500" t="s">
        <v>33</v>
      </c>
      <c r="I1500" t="s">
        <v>41</v>
      </c>
      <c r="J1500" t="s">
        <v>62</v>
      </c>
      <c r="K1500">
        <v>280</v>
      </c>
      <c r="L1500">
        <v>0</v>
      </c>
      <c r="M1500" t="s">
        <v>36</v>
      </c>
      <c r="N1500" t="s">
        <v>37</v>
      </c>
      <c r="O1500">
        <v>3090</v>
      </c>
      <c r="P1500">
        <v>280</v>
      </c>
      <c r="Q1500">
        <v>9.0614799999999995</v>
      </c>
      <c r="R1500">
        <v>0</v>
      </c>
      <c r="S1500">
        <v>3.65</v>
      </c>
      <c r="T1500">
        <v>1.181</v>
      </c>
      <c r="U1500">
        <v>1.2999999999999999E-2</v>
      </c>
      <c r="V1500">
        <v>0</v>
      </c>
      <c r="W1500">
        <v>1</v>
      </c>
      <c r="X1500">
        <v>0</v>
      </c>
      <c r="Y1500" t="s">
        <v>36</v>
      </c>
      <c r="Z1500">
        <v>3090</v>
      </c>
      <c r="AA1500">
        <v>2771</v>
      </c>
      <c r="AB1500">
        <v>226</v>
      </c>
      <c r="AC1500" t="s">
        <v>687</v>
      </c>
      <c r="AD1500" t="str">
        <f t="shared" si="48"/>
        <v>CP</v>
      </c>
      <c r="AE1500" t="str">
        <f>_xlfn.XLOOKUP(D1500,Mapping!A:A,Mapping!D:D,0,0)</f>
        <v>Keyword - Preroll</v>
      </c>
      <c r="AF1500" t="str">
        <f t="shared" si="49"/>
        <v>OLD</v>
      </c>
    </row>
    <row r="1501" spans="1:32" x14ac:dyDescent="0.2">
      <c r="A1501" t="s">
        <v>1119</v>
      </c>
      <c r="B1501" t="s">
        <v>39</v>
      </c>
      <c r="C1501">
        <v>1012750412</v>
      </c>
      <c r="D1501" t="s">
        <v>512</v>
      </c>
      <c r="E1501" t="s">
        <v>31</v>
      </c>
      <c r="F1501" s="1">
        <v>0.67291666666666672</v>
      </c>
      <c r="G1501" t="s">
        <v>32</v>
      </c>
      <c r="H1501" t="s">
        <v>33</v>
      </c>
      <c r="I1501" t="s">
        <v>41</v>
      </c>
      <c r="J1501" t="s">
        <v>62</v>
      </c>
      <c r="K1501">
        <v>280</v>
      </c>
      <c r="L1501">
        <v>0</v>
      </c>
      <c r="M1501" t="s">
        <v>36</v>
      </c>
      <c r="N1501" t="s">
        <v>37</v>
      </c>
      <c r="O1501">
        <v>0</v>
      </c>
      <c r="P1501">
        <v>0</v>
      </c>
      <c r="Q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 t="s">
        <v>36</v>
      </c>
      <c r="AC1501" t="s">
        <v>687</v>
      </c>
      <c r="AD1501" t="str">
        <f t="shared" si="48"/>
        <v>CP</v>
      </c>
      <c r="AE1501" t="str">
        <f>_xlfn.XLOOKUP(D1501,Mapping!A:A,Mapping!D:D,0,0)</f>
        <v>Bin</v>
      </c>
      <c r="AF1501" t="str">
        <f t="shared" si="49"/>
        <v>OLD</v>
      </c>
    </row>
    <row r="1502" spans="1:32" x14ac:dyDescent="0.2">
      <c r="A1502" t="s">
        <v>1119</v>
      </c>
      <c r="B1502" t="s">
        <v>39</v>
      </c>
      <c r="C1502">
        <v>1012750422</v>
      </c>
      <c r="D1502" t="s">
        <v>513</v>
      </c>
      <c r="E1502" t="s">
        <v>31</v>
      </c>
      <c r="F1502" s="1">
        <v>0.67291666666666672</v>
      </c>
      <c r="G1502" t="s">
        <v>32</v>
      </c>
      <c r="H1502" t="s">
        <v>33</v>
      </c>
      <c r="I1502" t="s">
        <v>41</v>
      </c>
      <c r="J1502" t="s">
        <v>62</v>
      </c>
      <c r="K1502">
        <v>280</v>
      </c>
      <c r="L1502">
        <v>0</v>
      </c>
      <c r="M1502" t="s">
        <v>36</v>
      </c>
      <c r="N1502" t="s">
        <v>37</v>
      </c>
      <c r="O1502">
        <v>0</v>
      </c>
      <c r="P1502">
        <v>0</v>
      </c>
      <c r="Q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 t="s">
        <v>36</v>
      </c>
      <c r="AC1502" t="s">
        <v>687</v>
      </c>
      <c r="AD1502" t="str">
        <f t="shared" si="48"/>
        <v>CP</v>
      </c>
      <c r="AE1502" t="str">
        <f>_xlfn.XLOOKUP(D1502,Mapping!A:A,Mapping!D:D,0,0)</f>
        <v>Marvel</v>
      </c>
      <c r="AF1502" t="str">
        <f t="shared" si="49"/>
        <v>OLD</v>
      </c>
    </row>
    <row r="1503" spans="1:32" x14ac:dyDescent="0.2">
      <c r="A1503" t="s">
        <v>1119</v>
      </c>
      <c r="B1503" t="s">
        <v>29</v>
      </c>
      <c r="C1503">
        <v>1012750432</v>
      </c>
      <c r="D1503" t="s">
        <v>514</v>
      </c>
      <c r="E1503" t="s">
        <v>31</v>
      </c>
      <c r="F1503" s="1">
        <v>0.67291666666666672</v>
      </c>
      <c r="G1503" t="s">
        <v>32</v>
      </c>
      <c r="H1503" t="s">
        <v>33</v>
      </c>
      <c r="I1503" t="s">
        <v>34</v>
      </c>
      <c r="J1503" t="s">
        <v>84</v>
      </c>
      <c r="K1503">
        <v>112</v>
      </c>
      <c r="L1503">
        <v>0</v>
      </c>
      <c r="M1503" t="s">
        <v>36</v>
      </c>
      <c r="N1503" t="s">
        <v>37</v>
      </c>
      <c r="O1503">
        <v>4723</v>
      </c>
      <c r="P1503">
        <v>221</v>
      </c>
      <c r="Q1503">
        <v>4.6792199999999999</v>
      </c>
      <c r="R1503">
        <v>0</v>
      </c>
      <c r="S1503">
        <v>13.81</v>
      </c>
      <c r="T1503">
        <v>2.9239999999999999</v>
      </c>
      <c r="U1503">
        <v>6.2E-2</v>
      </c>
      <c r="V1503">
        <v>0</v>
      </c>
      <c r="W1503">
        <v>1</v>
      </c>
      <c r="X1503">
        <v>0</v>
      </c>
      <c r="Y1503" t="s">
        <v>36</v>
      </c>
      <c r="Z1503">
        <v>4723</v>
      </c>
      <c r="AA1503">
        <v>3609</v>
      </c>
      <c r="AB1503">
        <v>466</v>
      </c>
      <c r="AC1503" t="s">
        <v>687</v>
      </c>
      <c r="AD1503" t="str">
        <f t="shared" si="48"/>
        <v>CP</v>
      </c>
      <c r="AE1503" t="str">
        <f>_xlfn.XLOOKUP(D1503,Mapping!A:A,Mapping!D:D,0,0)</f>
        <v>Keyword - Preroll</v>
      </c>
      <c r="AF1503" t="str">
        <f t="shared" si="49"/>
        <v>OLD</v>
      </c>
    </row>
    <row r="1504" spans="1:32" x14ac:dyDescent="0.2">
      <c r="A1504" t="s">
        <v>1119</v>
      </c>
      <c r="B1504" t="s">
        <v>29</v>
      </c>
      <c r="C1504">
        <v>1012750442</v>
      </c>
      <c r="D1504" t="s">
        <v>515</v>
      </c>
      <c r="E1504" t="s">
        <v>31</v>
      </c>
      <c r="F1504" s="1">
        <v>0.67291666666666672</v>
      </c>
      <c r="G1504" t="s">
        <v>32</v>
      </c>
      <c r="H1504" t="s">
        <v>33</v>
      </c>
      <c r="I1504" t="s">
        <v>34</v>
      </c>
      <c r="J1504" t="s">
        <v>84</v>
      </c>
      <c r="K1504">
        <v>112</v>
      </c>
      <c r="L1504">
        <v>0</v>
      </c>
      <c r="M1504" t="s">
        <v>36</v>
      </c>
      <c r="N1504" t="s">
        <v>37</v>
      </c>
      <c r="O1504">
        <v>416</v>
      </c>
      <c r="P1504">
        <v>18</v>
      </c>
      <c r="Q1504">
        <v>4.3269200000000003</v>
      </c>
      <c r="R1504">
        <v>0</v>
      </c>
      <c r="S1504">
        <v>1.21</v>
      </c>
      <c r="T1504">
        <v>2.9</v>
      </c>
      <c r="U1504">
        <v>6.7000000000000004E-2</v>
      </c>
      <c r="V1504">
        <v>0</v>
      </c>
      <c r="W1504">
        <v>1</v>
      </c>
      <c r="X1504">
        <v>0</v>
      </c>
      <c r="Y1504" t="s">
        <v>36</v>
      </c>
      <c r="Z1504">
        <v>416</v>
      </c>
      <c r="AA1504">
        <v>320</v>
      </c>
      <c r="AB1504">
        <v>43</v>
      </c>
      <c r="AC1504" t="s">
        <v>687</v>
      </c>
      <c r="AD1504" t="str">
        <f t="shared" si="48"/>
        <v>CP</v>
      </c>
      <c r="AE1504" t="str">
        <f>_xlfn.XLOOKUP(D1504,Mapping!A:A,Mapping!D:D,0,0)</f>
        <v>Keyword - Preroll</v>
      </c>
      <c r="AF1504" t="str">
        <f t="shared" si="49"/>
        <v>OLD</v>
      </c>
    </row>
    <row r="1505" spans="1:32" x14ac:dyDescent="0.2">
      <c r="A1505" t="s">
        <v>1119</v>
      </c>
      <c r="B1505" t="s">
        <v>29</v>
      </c>
      <c r="C1505">
        <v>1012750452</v>
      </c>
      <c r="D1505" t="s">
        <v>516</v>
      </c>
      <c r="E1505" t="s">
        <v>31</v>
      </c>
      <c r="F1505" s="1">
        <v>0.67291666666666672</v>
      </c>
      <c r="G1505" t="s">
        <v>32</v>
      </c>
      <c r="H1505" t="s">
        <v>33</v>
      </c>
      <c r="I1505" t="s">
        <v>41</v>
      </c>
      <c r="J1505" t="s">
        <v>62</v>
      </c>
      <c r="K1505">
        <v>280</v>
      </c>
      <c r="L1505">
        <v>0</v>
      </c>
      <c r="M1505" t="s">
        <v>36</v>
      </c>
      <c r="N1505" t="s">
        <v>37</v>
      </c>
      <c r="O1505">
        <v>50</v>
      </c>
      <c r="P1505">
        <v>0</v>
      </c>
      <c r="Q1505">
        <v>0</v>
      </c>
      <c r="R1505">
        <v>0</v>
      </c>
      <c r="S1505">
        <v>0.1</v>
      </c>
      <c r="T1505">
        <v>1.917</v>
      </c>
      <c r="U1505">
        <v>0</v>
      </c>
      <c r="V1505">
        <v>0</v>
      </c>
      <c r="W1505">
        <v>1</v>
      </c>
      <c r="X1505">
        <v>0</v>
      </c>
      <c r="Y1505" t="s">
        <v>36</v>
      </c>
      <c r="Z1505">
        <v>50</v>
      </c>
      <c r="AA1505">
        <v>44</v>
      </c>
      <c r="AB1505">
        <v>5</v>
      </c>
      <c r="AC1505" t="s">
        <v>687</v>
      </c>
      <c r="AD1505" t="str">
        <f t="shared" si="48"/>
        <v>CP</v>
      </c>
      <c r="AE1505" t="str">
        <f>_xlfn.XLOOKUP(D1505,Mapping!A:A,Mapping!D:D,0,0)</f>
        <v>Keyword - Preroll</v>
      </c>
      <c r="AF1505" t="str">
        <f t="shared" si="49"/>
        <v>OLD</v>
      </c>
    </row>
    <row r="1506" spans="1:32" x14ac:dyDescent="0.2">
      <c r="A1506" t="s">
        <v>1119</v>
      </c>
      <c r="B1506" t="s">
        <v>39</v>
      </c>
      <c r="C1506">
        <v>1012750462</v>
      </c>
      <c r="D1506" t="s">
        <v>517</v>
      </c>
      <c r="E1506" t="s">
        <v>31</v>
      </c>
      <c r="F1506" s="1">
        <v>0.67291666666666672</v>
      </c>
      <c r="G1506" t="s">
        <v>32</v>
      </c>
      <c r="H1506" t="s">
        <v>33</v>
      </c>
      <c r="I1506" t="s">
        <v>41</v>
      </c>
      <c r="J1506" t="s">
        <v>62</v>
      </c>
      <c r="K1506">
        <v>280</v>
      </c>
      <c r="L1506">
        <v>0</v>
      </c>
      <c r="M1506" t="s">
        <v>63</v>
      </c>
      <c r="N1506">
        <v>250</v>
      </c>
      <c r="O1506">
        <v>0</v>
      </c>
      <c r="P1506">
        <v>0</v>
      </c>
      <c r="Q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 t="s">
        <v>36</v>
      </c>
      <c r="AC1506" t="s">
        <v>687</v>
      </c>
      <c r="AD1506" t="str">
        <f t="shared" si="48"/>
        <v>CP</v>
      </c>
      <c r="AE1506" t="str">
        <f>_xlfn.XLOOKUP(D1506,Mapping!A:A,Mapping!D:D,0,0)</f>
        <v>Bin</v>
      </c>
      <c r="AF1506" t="str">
        <f t="shared" si="49"/>
        <v>OLD</v>
      </c>
    </row>
    <row r="1507" spans="1:32" x14ac:dyDescent="0.2">
      <c r="A1507" t="s">
        <v>1119</v>
      </c>
      <c r="B1507" t="s">
        <v>39</v>
      </c>
      <c r="C1507">
        <v>1012750472</v>
      </c>
      <c r="D1507" t="s">
        <v>518</v>
      </c>
      <c r="E1507" t="s">
        <v>31</v>
      </c>
      <c r="F1507" s="1">
        <v>0.67291666666666672</v>
      </c>
      <c r="G1507" t="s">
        <v>32</v>
      </c>
      <c r="H1507" t="s">
        <v>33</v>
      </c>
      <c r="I1507" t="s">
        <v>41</v>
      </c>
      <c r="J1507" t="s">
        <v>62</v>
      </c>
      <c r="K1507">
        <v>280</v>
      </c>
      <c r="L1507">
        <v>0</v>
      </c>
      <c r="M1507" t="s">
        <v>36</v>
      </c>
      <c r="N1507" t="s">
        <v>37</v>
      </c>
      <c r="O1507">
        <v>0</v>
      </c>
      <c r="P1507">
        <v>0</v>
      </c>
      <c r="Q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 t="s">
        <v>36</v>
      </c>
      <c r="AC1507" t="s">
        <v>687</v>
      </c>
      <c r="AD1507" t="str">
        <f t="shared" si="48"/>
        <v>CP</v>
      </c>
      <c r="AE1507" t="str">
        <f>_xlfn.XLOOKUP(D1507,Mapping!A:A,Mapping!D:D,0,0)</f>
        <v>Bin</v>
      </c>
      <c r="AF1507" t="str">
        <f t="shared" si="49"/>
        <v>OLD</v>
      </c>
    </row>
    <row r="1508" spans="1:32" x14ac:dyDescent="0.2">
      <c r="A1508" t="s">
        <v>1119</v>
      </c>
      <c r="B1508" t="s">
        <v>39</v>
      </c>
      <c r="C1508">
        <v>1012750482</v>
      </c>
      <c r="D1508" t="s">
        <v>519</v>
      </c>
      <c r="E1508" t="s">
        <v>31</v>
      </c>
      <c r="F1508" s="1">
        <v>0.67291666666666672</v>
      </c>
      <c r="G1508" t="s">
        <v>32</v>
      </c>
      <c r="H1508" t="s">
        <v>33</v>
      </c>
      <c r="I1508" t="s">
        <v>41</v>
      </c>
      <c r="J1508" t="s">
        <v>62</v>
      </c>
      <c r="K1508">
        <v>280</v>
      </c>
      <c r="L1508">
        <v>0</v>
      </c>
      <c r="M1508" t="s">
        <v>36</v>
      </c>
      <c r="N1508" t="s">
        <v>37</v>
      </c>
      <c r="O1508">
        <v>0</v>
      </c>
      <c r="P1508">
        <v>0</v>
      </c>
      <c r="Q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 t="s">
        <v>36</v>
      </c>
      <c r="AC1508" t="s">
        <v>687</v>
      </c>
      <c r="AD1508" t="str">
        <f t="shared" si="48"/>
        <v>CP</v>
      </c>
      <c r="AE1508" t="str">
        <f>_xlfn.XLOOKUP(D1508,Mapping!A:A,Mapping!D:D,0,0)</f>
        <v>Marvel</v>
      </c>
      <c r="AF1508" t="str">
        <f t="shared" si="49"/>
        <v>OLD</v>
      </c>
    </row>
    <row r="1509" spans="1:32" x14ac:dyDescent="0.2">
      <c r="A1509" t="s">
        <v>1119</v>
      </c>
      <c r="B1509" t="s">
        <v>39</v>
      </c>
      <c r="C1509">
        <v>1012750492</v>
      </c>
      <c r="D1509" t="s">
        <v>520</v>
      </c>
      <c r="E1509" t="s">
        <v>31</v>
      </c>
      <c r="F1509" s="1">
        <v>0.67291666666666672</v>
      </c>
      <c r="G1509" t="s">
        <v>32</v>
      </c>
      <c r="H1509" t="s">
        <v>33</v>
      </c>
      <c r="I1509" t="s">
        <v>34</v>
      </c>
      <c r="J1509" t="s">
        <v>84</v>
      </c>
      <c r="K1509">
        <v>112</v>
      </c>
      <c r="L1509">
        <v>0</v>
      </c>
      <c r="M1509" t="s">
        <v>36</v>
      </c>
      <c r="N1509" t="s">
        <v>37</v>
      </c>
      <c r="O1509">
        <v>0</v>
      </c>
      <c r="P1509">
        <v>0</v>
      </c>
      <c r="Q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 t="s">
        <v>36</v>
      </c>
      <c r="AC1509" t="s">
        <v>687</v>
      </c>
      <c r="AD1509" t="str">
        <f t="shared" si="48"/>
        <v>CP</v>
      </c>
      <c r="AE1509" t="str">
        <f>_xlfn.XLOOKUP(D1509,Mapping!A:A,Mapping!D:D,0,0)</f>
        <v>Marvel</v>
      </c>
      <c r="AF1509" t="str">
        <f t="shared" si="49"/>
        <v>OLD</v>
      </c>
    </row>
    <row r="1510" spans="1:32" x14ac:dyDescent="0.2">
      <c r="A1510" t="s">
        <v>1119</v>
      </c>
      <c r="B1510" t="s">
        <v>39</v>
      </c>
      <c r="C1510">
        <v>1012750502</v>
      </c>
      <c r="D1510" t="s">
        <v>521</v>
      </c>
      <c r="E1510" t="s">
        <v>31</v>
      </c>
      <c r="F1510" s="1">
        <v>0.67291666666666672</v>
      </c>
      <c r="G1510" t="s">
        <v>32</v>
      </c>
      <c r="H1510" t="s">
        <v>33</v>
      </c>
      <c r="I1510" t="s">
        <v>34</v>
      </c>
      <c r="J1510" t="s">
        <v>84</v>
      </c>
      <c r="K1510">
        <v>112</v>
      </c>
      <c r="L1510">
        <v>0</v>
      </c>
      <c r="M1510" t="s">
        <v>63</v>
      </c>
      <c r="N1510">
        <v>250</v>
      </c>
      <c r="O1510">
        <v>0</v>
      </c>
      <c r="P1510">
        <v>0</v>
      </c>
      <c r="Q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 t="s">
        <v>36</v>
      </c>
      <c r="AC1510" t="s">
        <v>687</v>
      </c>
      <c r="AD1510" t="str">
        <f t="shared" si="48"/>
        <v>CP</v>
      </c>
      <c r="AE1510" t="str">
        <f>_xlfn.XLOOKUP(D1510,Mapping!A:A,Mapping!D:D,0,0)</f>
        <v>Bin</v>
      </c>
      <c r="AF1510" t="str">
        <f t="shared" si="49"/>
        <v>OLD</v>
      </c>
    </row>
    <row r="1511" spans="1:32" x14ac:dyDescent="0.2">
      <c r="A1511" t="s">
        <v>1119</v>
      </c>
      <c r="B1511" t="s">
        <v>39</v>
      </c>
      <c r="C1511">
        <v>1012750512</v>
      </c>
      <c r="D1511" t="s">
        <v>522</v>
      </c>
      <c r="E1511" t="s">
        <v>31</v>
      </c>
      <c r="F1511" s="1">
        <v>0.67291666666666672</v>
      </c>
      <c r="G1511" t="s">
        <v>32</v>
      </c>
      <c r="H1511" t="s">
        <v>33</v>
      </c>
      <c r="I1511" t="s">
        <v>41</v>
      </c>
      <c r="J1511" t="s">
        <v>62</v>
      </c>
      <c r="K1511">
        <v>280</v>
      </c>
      <c r="L1511">
        <v>0</v>
      </c>
      <c r="M1511" t="s">
        <v>63</v>
      </c>
      <c r="N1511">
        <v>250</v>
      </c>
      <c r="O1511">
        <v>0</v>
      </c>
      <c r="P1511">
        <v>0</v>
      </c>
      <c r="Q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 t="s">
        <v>36</v>
      </c>
      <c r="AC1511" t="s">
        <v>687</v>
      </c>
      <c r="AD1511" t="str">
        <f t="shared" si="48"/>
        <v>CP</v>
      </c>
      <c r="AE1511" t="str">
        <f>_xlfn.XLOOKUP(D1511,Mapping!A:A,Mapping!D:D,0,0)</f>
        <v>Bin</v>
      </c>
      <c r="AF1511" t="str">
        <f t="shared" si="49"/>
        <v>OLD</v>
      </c>
    </row>
    <row r="1512" spans="1:32" x14ac:dyDescent="0.2">
      <c r="A1512" t="s">
        <v>1119</v>
      </c>
      <c r="B1512" t="s">
        <v>29</v>
      </c>
      <c r="C1512">
        <v>1012750522</v>
      </c>
      <c r="D1512" t="s">
        <v>523</v>
      </c>
      <c r="E1512" t="s">
        <v>31</v>
      </c>
      <c r="F1512" s="1">
        <v>0.67291666666666672</v>
      </c>
      <c r="G1512" t="s">
        <v>32</v>
      </c>
      <c r="H1512" t="s">
        <v>33</v>
      </c>
      <c r="I1512" t="s">
        <v>41</v>
      </c>
      <c r="J1512" t="s">
        <v>62</v>
      </c>
      <c r="K1512">
        <v>280</v>
      </c>
      <c r="L1512">
        <v>0</v>
      </c>
      <c r="M1512" t="s">
        <v>36</v>
      </c>
      <c r="N1512" t="s">
        <v>37</v>
      </c>
      <c r="O1512">
        <v>1395</v>
      </c>
      <c r="P1512">
        <v>54</v>
      </c>
      <c r="Q1512">
        <v>3.8709699999999998</v>
      </c>
      <c r="R1512">
        <v>0</v>
      </c>
      <c r="S1512">
        <v>2.5499999999999998</v>
      </c>
      <c r="T1512">
        <v>1.8260000000000001</v>
      </c>
      <c r="U1512">
        <v>4.7E-2</v>
      </c>
      <c r="V1512">
        <v>0</v>
      </c>
      <c r="W1512">
        <v>1</v>
      </c>
      <c r="X1512">
        <v>0</v>
      </c>
      <c r="Y1512" t="s">
        <v>36</v>
      </c>
      <c r="Z1512">
        <v>1395</v>
      </c>
      <c r="AA1512">
        <v>1269</v>
      </c>
      <c r="AB1512">
        <v>93</v>
      </c>
      <c r="AC1512" t="s">
        <v>687</v>
      </c>
      <c r="AD1512" t="str">
        <f t="shared" si="48"/>
        <v>CP</v>
      </c>
      <c r="AE1512" t="str">
        <f>_xlfn.XLOOKUP(D1512,Mapping!A:A,Mapping!D:D,0,0)</f>
        <v>Keyword - Preroll</v>
      </c>
      <c r="AF1512" t="str">
        <f t="shared" si="49"/>
        <v>OLD</v>
      </c>
    </row>
    <row r="1513" spans="1:32" x14ac:dyDescent="0.2">
      <c r="A1513" t="s">
        <v>1119</v>
      </c>
      <c r="B1513" t="s">
        <v>39</v>
      </c>
      <c r="C1513">
        <v>1012750532</v>
      </c>
      <c r="D1513" t="s">
        <v>524</v>
      </c>
      <c r="E1513" t="s">
        <v>31</v>
      </c>
      <c r="F1513" s="1">
        <v>0.67291666666666672</v>
      </c>
      <c r="G1513" t="s">
        <v>32</v>
      </c>
      <c r="H1513" t="s">
        <v>33</v>
      </c>
      <c r="I1513" t="s">
        <v>41</v>
      </c>
      <c r="J1513" t="s">
        <v>62</v>
      </c>
      <c r="K1513">
        <v>280</v>
      </c>
      <c r="L1513">
        <v>0</v>
      </c>
      <c r="M1513" t="s">
        <v>36</v>
      </c>
      <c r="N1513" t="s">
        <v>37</v>
      </c>
      <c r="O1513">
        <v>0</v>
      </c>
      <c r="P1513">
        <v>0</v>
      </c>
      <c r="Q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 t="s">
        <v>36</v>
      </c>
      <c r="AC1513" t="s">
        <v>687</v>
      </c>
      <c r="AD1513" t="str">
        <f t="shared" si="48"/>
        <v>CP</v>
      </c>
      <c r="AE1513" t="str">
        <f>_xlfn.XLOOKUP(D1513,Mapping!A:A,Mapping!D:D,0,0)</f>
        <v>Ocean</v>
      </c>
      <c r="AF1513" t="str">
        <f t="shared" si="49"/>
        <v>OLD</v>
      </c>
    </row>
    <row r="1514" spans="1:32" x14ac:dyDescent="0.2">
      <c r="A1514" t="s">
        <v>1119</v>
      </c>
      <c r="B1514" t="s">
        <v>39</v>
      </c>
      <c r="C1514">
        <v>1012750542</v>
      </c>
      <c r="D1514" t="s">
        <v>525</v>
      </c>
      <c r="E1514" t="s">
        <v>31</v>
      </c>
      <c r="F1514" s="1">
        <v>0.67291666666666672</v>
      </c>
      <c r="G1514" t="s">
        <v>32</v>
      </c>
      <c r="H1514" t="s">
        <v>33</v>
      </c>
      <c r="I1514" t="s">
        <v>41</v>
      </c>
      <c r="J1514" t="s">
        <v>62</v>
      </c>
      <c r="K1514">
        <v>280</v>
      </c>
      <c r="L1514">
        <v>0</v>
      </c>
      <c r="M1514" t="s">
        <v>36</v>
      </c>
      <c r="N1514" t="s">
        <v>37</v>
      </c>
      <c r="O1514">
        <v>0</v>
      </c>
      <c r="P1514">
        <v>0</v>
      </c>
      <c r="Q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 t="s">
        <v>36</v>
      </c>
      <c r="AC1514" t="s">
        <v>687</v>
      </c>
      <c r="AD1514" t="str">
        <f t="shared" si="48"/>
        <v>CP</v>
      </c>
      <c r="AE1514" t="str">
        <f>_xlfn.XLOOKUP(D1514,Mapping!A:A,Mapping!D:D,0,0)</f>
        <v>Ocean</v>
      </c>
      <c r="AF1514" t="str">
        <f t="shared" si="49"/>
        <v>OLD</v>
      </c>
    </row>
    <row r="1515" spans="1:32" x14ac:dyDescent="0.2">
      <c r="A1515" t="s">
        <v>1119</v>
      </c>
      <c r="B1515" t="s">
        <v>39</v>
      </c>
      <c r="C1515">
        <v>1012750552</v>
      </c>
      <c r="D1515" t="s">
        <v>526</v>
      </c>
      <c r="E1515" t="s">
        <v>31</v>
      </c>
      <c r="F1515" s="1">
        <v>0.67291666666666672</v>
      </c>
      <c r="G1515" t="s">
        <v>32</v>
      </c>
      <c r="H1515" t="s">
        <v>33</v>
      </c>
      <c r="I1515" t="s">
        <v>34</v>
      </c>
      <c r="J1515" t="s">
        <v>84</v>
      </c>
      <c r="K1515">
        <v>112</v>
      </c>
      <c r="L1515">
        <v>0</v>
      </c>
      <c r="M1515" t="s">
        <v>36</v>
      </c>
      <c r="N1515" t="s">
        <v>37</v>
      </c>
      <c r="O1515">
        <v>0</v>
      </c>
      <c r="P1515">
        <v>0</v>
      </c>
      <c r="Q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 t="s">
        <v>36</v>
      </c>
      <c r="AC1515" t="s">
        <v>687</v>
      </c>
      <c r="AD1515" t="str">
        <f t="shared" si="48"/>
        <v>CP</v>
      </c>
      <c r="AE1515" t="str">
        <f>_xlfn.XLOOKUP(D1515,Mapping!A:A,Mapping!D:D,0,0)</f>
        <v>Bin</v>
      </c>
      <c r="AF1515" t="str">
        <f t="shared" si="49"/>
        <v>OLD</v>
      </c>
    </row>
    <row r="1516" spans="1:32" x14ac:dyDescent="0.2">
      <c r="A1516" t="s">
        <v>1119</v>
      </c>
      <c r="B1516" t="s">
        <v>39</v>
      </c>
      <c r="C1516">
        <v>1012750562</v>
      </c>
      <c r="D1516" t="s">
        <v>527</v>
      </c>
      <c r="E1516" t="s">
        <v>31</v>
      </c>
      <c r="F1516" s="1">
        <v>0.67291666666666672</v>
      </c>
      <c r="G1516" t="s">
        <v>32</v>
      </c>
      <c r="H1516" t="s">
        <v>33</v>
      </c>
      <c r="I1516" t="s">
        <v>34</v>
      </c>
      <c r="J1516" t="s">
        <v>84</v>
      </c>
      <c r="K1516">
        <v>112</v>
      </c>
      <c r="L1516">
        <v>0</v>
      </c>
      <c r="M1516" t="s">
        <v>36</v>
      </c>
      <c r="N1516" t="s">
        <v>37</v>
      </c>
      <c r="O1516">
        <v>0</v>
      </c>
      <c r="P1516">
        <v>0</v>
      </c>
      <c r="Q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 t="s">
        <v>36</v>
      </c>
      <c r="AC1516" t="s">
        <v>687</v>
      </c>
      <c r="AD1516" t="str">
        <f t="shared" si="48"/>
        <v>CP</v>
      </c>
      <c r="AE1516" t="str">
        <f>_xlfn.XLOOKUP(D1516,Mapping!A:A,Mapping!D:D,0,0)</f>
        <v>Ocean</v>
      </c>
      <c r="AF1516" t="str">
        <f t="shared" si="49"/>
        <v>OLD</v>
      </c>
    </row>
    <row r="1517" spans="1:32" x14ac:dyDescent="0.2">
      <c r="A1517" t="s">
        <v>1119</v>
      </c>
      <c r="B1517" t="s">
        <v>29</v>
      </c>
      <c r="C1517">
        <v>1012750572</v>
      </c>
      <c r="D1517" t="s">
        <v>528</v>
      </c>
      <c r="E1517" t="s">
        <v>31</v>
      </c>
      <c r="F1517" s="1">
        <v>0.67291666666666672</v>
      </c>
      <c r="G1517" t="s">
        <v>32</v>
      </c>
      <c r="H1517" t="s">
        <v>33</v>
      </c>
      <c r="I1517" t="s">
        <v>41</v>
      </c>
      <c r="J1517" t="s">
        <v>62</v>
      </c>
      <c r="K1517">
        <v>280</v>
      </c>
      <c r="L1517">
        <v>0</v>
      </c>
      <c r="M1517" t="s">
        <v>36</v>
      </c>
      <c r="N1517" t="s">
        <v>37</v>
      </c>
      <c r="O1517">
        <v>445</v>
      </c>
      <c r="P1517">
        <v>23</v>
      </c>
      <c r="Q1517">
        <v>5.1685400000000001</v>
      </c>
      <c r="R1517">
        <v>0</v>
      </c>
      <c r="S1517">
        <v>0.84</v>
      </c>
      <c r="T1517">
        <v>1.8859999999999999</v>
      </c>
      <c r="U1517">
        <v>3.5999999999999997E-2</v>
      </c>
      <c r="V1517">
        <v>0</v>
      </c>
      <c r="W1517">
        <v>1</v>
      </c>
      <c r="X1517">
        <v>0</v>
      </c>
      <c r="Y1517" t="s">
        <v>36</v>
      </c>
      <c r="Z1517">
        <v>445</v>
      </c>
      <c r="AA1517">
        <v>417</v>
      </c>
      <c r="AB1517">
        <v>21</v>
      </c>
      <c r="AC1517" t="s">
        <v>687</v>
      </c>
      <c r="AD1517" t="str">
        <f t="shared" si="48"/>
        <v>CP</v>
      </c>
      <c r="AE1517" t="str">
        <f>_xlfn.XLOOKUP(D1517,Mapping!A:A,Mapping!D:D,0,0)</f>
        <v>Keyword - Preroll</v>
      </c>
      <c r="AF1517" t="str">
        <f t="shared" si="49"/>
        <v>OLD</v>
      </c>
    </row>
    <row r="1518" spans="1:32" x14ac:dyDescent="0.2">
      <c r="A1518" t="s">
        <v>1119</v>
      </c>
      <c r="B1518" t="s">
        <v>39</v>
      </c>
      <c r="C1518">
        <v>1012750582</v>
      </c>
      <c r="D1518" t="s">
        <v>529</v>
      </c>
      <c r="E1518" t="s">
        <v>31</v>
      </c>
      <c r="F1518" s="1">
        <v>0.67291666666666672</v>
      </c>
      <c r="G1518" t="s">
        <v>32</v>
      </c>
      <c r="H1518" t="s">
        <v>33</v>
      </c>
      <c r="I1518" t="s">
        <v>41</v>
      </c>
      <c r="J1518" t="s">
        <v>62</v>
      </c>
      <c r="K1518">
        <v>280</v>
      </c>
      <c r="L1518">
        <v>0</v>
      </c>
      <c r="M1518" t="s">
        <v>63</v>
      </c>
      <c r="N1518">
        <v>250</v>
      </c>
      <c r="O1518">
        <v>0</v>
      </c>
      <c r="P1518">
        <v>0</v>
      </c>
      <c r="Q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 t="s">
        <v>36</v>
      </c>
      <c r="AC1518" t="s">
        <v>687</v>
      </c>
      <c r="AD1518" t="str">
        <f t="shared" si="48"/>
        <v>CP</v>
      </c>
      <c r="AE1518" t="str">
        <f>_xlfn.XLOOKUP(D1518,Mapping!A:A,Mapping!D:D,0,0)</f>
        <v>Bin</v>
      </c>
      <c r="AF1518" t="str">
        <f t="shared" si="49"/>
        <v>OLD</v>
      </c>
    </row>
    <row r="1519" spans="1:32" x14ac:dyDescent="0.2">
      <c r="A1519" t="s">
        <v>1119</v>
      </c>
      <c r="B1519" t="s">
        <v>39</v>
      </c>
      <c r="C1519">
        <v>1012750592</v>
      </c>
      <c r="D1519" t="s">
        <v>530</v>
      </c>
      <c r="E1519" t="s">
        <v>31</v>
      </c>
      <c r="F1519" s="1">
        <v>0.67291666666666672</v>
      </c>
      <c r="G1519" t="s">
        <v>32</v>
      </c>
      <c r="H1519" t="s">
        <v>33</v>
      </c>
      <c r="I1519" t="s">
        <v>41</v>
      </c>
      <c r="J1519" t="s">
        <v>62</v>
      </c>
      <c r="K1519">
        <v>280</v>
      </c>
      <c r="L1519">
        <v>0</v>
      </c>
      <c r="M1519" t="s">
        <v>63</v>
      </c>
      <c r="N1519">
        <v>250</v>
      </c>
      <c r="O1519">
        <v>0</v>
      </c>
      <c r="P1519">
        <v>0</v>
      </c>
      <c r="Q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 t="s">
        <v>36</v>
      </c>
      <c r="AC1519" t="s">
        <v>687</v>
      </c>
      <c r="AD1519" t="str">
        <f t="shared" si="48"/>
        <v>CP</v>
      </c>
      <c r="AE1519" t="str">
        <f>_xlfn.XLOOKUP(D1519,Mapping!A:A,Mapping!D:D,0,0)</f>
        <v>Bin</v>
      </c>
      <c r="AF1519" t="str">
        <f t="shared" si="49"/>
        <v>OLD</v>
      </c>
    </row>
    <row r="1520" spans="1:32" x14ac:dyDescent="0.2">
      <c r="A1520" t="s">
        <v>1119</v>
      </c>
      <c r="B1520" t="s">
        <v>39</v>
      </c>
      <c r="C1520">
        <v>1012750602</v>
      </c>
      <c r="D1520" t="s">
        <v>531</v>
      </c>
      <c r="E1520" t="s">
        <v>31</v>
      </c>
      <c r="F1520" s="1">
        <v>0.67291666666666672</v>
      </c>
      <c r="G1520" t="s">
        <v>32</v>
      </c>
      <c r="H1520" t="s">
        <v>33</v>
      </c>
      <c r="I1520" t="s">
        <v>41</v>
      </c>
      <c r="J1520" t="s">
        <v>62</v>
      </c>
      <c r="K1520">
        <v>280</v>
      </c>
      <c r="L1520">
        <v>0</v>
      </c>
      <c r="M1520" t="s">
        <v>63</v>
      </c>
      <c r="N1520">
        <v>250</v>
      </c>
      <c r="O1520">
        <v>0</v>
      </c>
      <c r="P1520">
        <v>0</v>
      </c>
      <c r="Q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 t="s">
        <v>36</v>
      </c>
      <c r="AC1520" t="s">
        <v>687</v>
      </c>
      <c r="AD1520" t="str">
        <f t="shared" si="48"/>
        <v>CP</v>
      </c>
      <c r="AE1520" t="str">
        <f>_xlfn.XLOOKUP(D1520,Mapping!A:A,Mapping!D:D,0,0)</f>
        <v>Bin</v>
      </c>
      <c r="AF1520" t="str">
        <f t="shared" si="49"/>
        <v>OLD</v>
      </c>
    </row>
    <row r="1521" spans="1:32" x14ac:dyDescent="0.2">
      <c r="A1521" t="s">
        <v>1119</v>
      </c>
      <c r="B1521" t="s">
        <v>39</v>
      </c>
      <c r="C1521">
        <v>1012750612</v>
      </c>
      <c r="D1521" t="s">
        <v>532</v>
      </c>
      <c r="E1521" t="s">
        <v>31</v>
      </c>
      <c r="F1521" s="1">
        <v>0.67291666666666672</v>
      </c>
      <c r="G1521" t="s">
        <v>32</v>
      </c>
      <c r="H1521" t="s">
        <v>33</v>
      </c>
      <c r="I1521" t="s">
        <v>34</v>
      </c>
      <c r="J1521" t="s">
        <v>84</v>
      </c>
      <c r="K1521">
        <v>112</v>
      </c>
      <c r="L1521">
        <v>0</v>
      </c>
      <c r="M1521" t="s">
        <v>63</v>
      </c>
      <c r="N1521">
        <v>250</v>
      </c>
      <c r="O1521">
        <v>0</v>
      </c>
      <c r="P1521">
        <v>0</v>
      </c>
      <c r="Q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 t="s">
        <v>36</v>
      </c>
      <c r="AC1521" t="s">
        <v>687</v>
      </c>
      <c r="AD1521" t="str">
        <f t="shared" si="48"/>
        <v>CP</v>
      </c>
      <c r="AE1521" t="str">
        <f>_xlfn.XLOOKUP(D1521,Mapping!A:A,Mapping!D:D,0,0)</f>
        <v>Bin</v>
      </c>
      <c r="AF1521" t="str">
        <f t="shared" si="49"/>
        <v>OLD</v>
      </c>
    </row>
    <row r="1522" spans="1:32" x14ac:dyDescent="0.2">
      <c r="A1522" t="s">
        <v>1119</v>
      </c>
      <c r="B1522" t="s">
        <v>39</v>
      </c>
      <c r="C1522">
        <v>1012750622</v>
      </c>
      <c r="D1522" t="s">
        <v>533</v>
      </c>
      <c r="E1522" t="s">
        <v>31</v>
      </c>
      <c r="F1522" s="1">
        <v>0.67291666666666672</v>
      </c>
      <c r="G1522" t="s">
        <v>32</v>
      </c>
      <c r="H1522" t="s">
        <v>33</v>
      </c>
      <c r="I1522" t="s">
        <v>34</v>
      </c>
      <c r="J1522" t="s">
        <v>84</v>
      </c>
      <c r="K1522">
        <v>112</v>
      </c>
      <c r="L1522">
        <v>0</v>
      </c>
      <c r="M1522" t="s">
        <v>36</v>
      </c>
      <c r="N1522" t="s">
        <v>37</v>
      </c>
      <c r="O1522">
        <v>0</v>
      </c>
      <c r="P1522">
        <v>0</v>
      </c>
      <c r="Q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 t="s">
        <v>36</v>
      </c>
      <c r="AC1522" t="s">
        <v>687</v>
      </c>
      <c r="AD1522" t="str">
        <f t="shared" si="48"/>
        <v>CP</v>
      </c>
      <c r="AE1522" t="str">
        <f>_xlfn.XLOOKUP(D1522,Mapping!A:A,Mapping!D:D,0,0)</f>
        <v>Bin</v>
      </c>
      <c r="AF1522" t="str">
        <f t="shared" si="49"/>
        <v>OLD</v>
      </c>
    </row>
    <row r="1523" spans="1:32" x14ac:dyDescent="0.2">
      <c r="A1523" t="s">
        <v>1119</v>
      </c>
      <c r="B1523" t="s">
        <v>39</v>
      </c>
      <c r="C1523">
        <v>1012750632</v>
      </c>
      <c r="D1523" t="s">
        <v>534</v>
      </c>
      <c r="E1523" t="s">
        <v>31</v>
      </c>
      <c r="F1523" s="1">
        <v>0.67291666666666672</v>
      </c>
      <c r="G1523" t="s">
        <v>32</v>
      </c>
      <c r="H1523" t="s">
        <v>33</v>
      </c>
      <c r="I1523" t="s">
        <v>41</v>
      </c>
      <c r="J1523" t="s">
        <v>62</v>
      </c>
      <c r="K1523">
        <v>280</v>
      </c>
      <c r="L1523">
        <v>0</v>
      </c>
      <c r="M1523" t="s">
        <v>36</v>
      </c>
      <c r="N1523" t="s">
        <v>37</v>
      </c>
      <c r="O1523">
        <v>0</v>
      </c>
      <c r="P1523">
        <v>0</v>
      </c>
      <c r="Q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 t="s">
        <v>36</v>
      </c>
      <c r="AC1523" t="s">
        <v>687</v>
      </c>
      <c r="AD1523" t="str">
        <f t="shared" si="48"/>
        <v>CP</v>
      </c>
      <c r="AE1523" t="str">
        <f>_xlfn.XLOOKUP(D1523,Mapping!A:A,Mapping!D:D,0,0)</f>
        <v>Bin</v>
      </c>
      <c r="AF1523" t="str">
        <f t="shared" si="49"/>
        <v>OLD</v>
      </c>
    </row>
    <row r="1524" spans="1:32" x14ac:dyDescent="0.2">
      <c r="A1524" t="s">
        <v>1119</v>
      </c>
      <c r="B1524" t="s">
        <v>39</v>
      </c>
      <c r="C1524">
        <v>1012750642</v>
      </c>
      <c r="D1524" t="s">
        <v>535</v>
      </c>
      <c r="E1524" t="s">
        <v>31</v>
      </c>
      <c r="F1524" s="1">
        <v>0.67291666666666672</v>
      </c>
      <c r="G1524" t="s">
        <v>32</v>
      </c>
      <c r="H1524" t="s">
        <v>33</v>
      </c>
      <c r="I1524" t="s">
        <v>41</v>
      </c>
      <c r="J1524" t="s">
        <v>62</v>
      </c>
      <c r="K1524">
        <v>280</v>
      </c>
      <c r="L1524">
        <v>0</v>
      </c>
      <c r="M1524" t="s">
        <v>36</v>
      </c>
      <c r="N1524" t="s">
        <v>37</v>
      </c>
      <c r="O1524">
        <v>0</v>
      </c>
      <c r="P1524">
        <v>0</v>
      </c>
      <c r="Q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 t="s">
        <v>36</v>
      </c>
      <c r="AC1524" t="s">
        <v>687</v>
      </c>
      <c r="AD1524" t="str">
        <f t="shared" si="48"/>
        <v>CP</v>
      </c>
      <c r="AE1524" t="str">
        <f>_xlfn.XLOOKUP(D1524,Mapping!A:A,Mapping!D:D,0,0)</f>
        <v>Bin</v>
      </c>
      <c r="AF1524" t="str">
        <f t="shared" si="49"/>
        <v>OLD</v>
      </c>
    </row>
    <row r="1525" spans="1:32" x14ac:dyDescent="0.2">
      <c r="A1525" t="s">
        <v>1119</v>
      </c>
      <c r="B1525" t="s">
        <v>39</v>
      </c>
      <c r="C1525">
        <v>1012750652</v>
      </c>
      <c r="D1525" t="s">
        <v>536</v>
      </c>
      <c r="E1525" t="s">
        <v>31</v>
      </c>
      <c r="F1525" s="1">
        <v>0.67291666666666672</v>
      </c>
      <c r="G1525" t="s">
        <v>32</v>
      </c>
      <c r="H1525" t="s">
        <v>33</v>
      </c>
      <c r="I1525" t="s">
        <v>41</v>
      </c>
      <c r="J1525" t="s">
        <v>62</v>
      </c>
      <c r="K1525">
        <v>280</v>
      </c>
      <c r="L1525">
        <v>0</v>
      </c>
      <c r="M1525" t="s">
        <v>63</v>
      </c>
      <c r="N1525">
        <v>250</v>
      </c>
      <c r="O1525">
        <v>0</v>
      </c>
      <c r="P1525">
        <v>0</v>
      </c>
      <c r="Q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 t="s">
        <v>36</v>
      </c>
      <c r="AC1525" t="s">
        <v>687</v>
      </c>
      <c r="AD1525" t="str">
        <f t="shared" si="48"/>
        <v>CP</v>
      </c>
      <c r="AE1525" t="str">
        <f>_xlfn.XLOOKUP(D1525,Mapping!A:A,Mapping!D:D,0,0)</f>
        <v>Bin</v>
      </c>
      <c r="AF1525" t="str">
        <f t="shared" si="49"/>
        <v>OLD</v>
      </c>
    </row>
    <row r="1526" spans="1:32" x14ac:dyDescent="0.2">
      <c r="A1526" t="s">
        <v>1119</v>
      </c>
      <c r="B1526" t="s">
        <v>39</v>
      </c>
      <c r="C1526">
        <v>1012750662</v>
      </c>
      <c r="D1526" t="s">
        <v>537</v>
      </c>
      <c r="E1526" t="s">
        <v>31</v>
      </c>
      <c r="F1526" s="1">
        <v>0.67291666666666672</v>
      </c>
      <c r="G1526" t="s">
        <v>32</v>
      </c>
      <c r="H1526" t="s">
        <v>33</v>
      </c>
      <c r="I1526" t="s">
        <v>41</v>
      </c>
      <c r="J1526" t="s">
        <v>62</v>
      </c>
      <c r="K1526">
        <v>280</v>
      </c>
      <c r="L1526">
        <v>0</v>
      </c>
      <c r="M1526" t="s">
        <v>63</v>
      </c>
      <c r="N1526">
        <v>250</v>
      </c>
      <c r="O1526">
        <v>0</v>
      </c>
      <c r="P1526">
        <v>0</v>
      </c>
      <c r="Q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 t="s">
        <v>36</v>
      </c>
      <c r="AC1526" t="s">
        <v>687</v>
      </c>
      <c r="AD1526" t="str">
        <f t="shared" si="48"/>
        <v>CP</v>
      </c>
      <c r="AE1526" t="str">
        <f>_xlfn.XLOOKUP(D1526,Mapping!A:A,Mapping!D:D,0,0)</f>
        <v>Bin</v>
      </c>
      <c r="AF1526" t="str">
        <f t="shared" si="49"/>
        <v>OLD</v>
      </c>
    </row>
    <row r="1527" spans="1:32" x14ac:dyDescent="0.2">
      <c r="A1527" t="s">
        <v>1119</v>
      </c>
      <c r="B1527" t="s">
        <v>39</v>
      </c>
      <c r="C1527">
        <v>1012750672</v>
      </c>
      <c r="D1527" t="s">
        <v>538</v>
      </c>
      <c r="E1527" t="s">
        <v>31</v>
      </c>
      <c r="F1527" s="1">
        <v>0.67291666666666672</v>
      </c>
      <c r="G1527" t="s">
        <v>32</v>
      </c>
      <c r="H1527" t="s">
        <v>33</v>
      </c>
      <c r="I1527" t="s">
        <v>34</v>
      </c>
      <c r="J1527" t="s">
        <v>84</v>
      </c>
      <c r="K1527">
        <v>112</v>
      </c>
      <c r="L1527">
        <v>0</v>
      </c>
      <c r="M1527" t="s">
        <v>63</v>
      </c>
      <c r="N1527">
        <v>250</v>
      </c>
      <c r="O1527">
        <v>0</v>
      </c>
      <c r="P1527">
        <v>0</v>
      </c>
      <c r="Q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 t="s">
        <v>36</v>
      </c>
      <c r="AC1527" t="s">
        <v>687</v>
      </c>
      <c r="AD1527" t="str">
        <f t="shared" si="48"/>
        <v>CP</v>
      </c>
      <c r="AE1527" t="str">
        <f>_xlfn.XLOOKUP(D1527,Mapping!A:A,Mapping!D:D,0,0)</f>
        <v>Bin</v>
      </c>
      <c r="AF1527" t="str">
        <f t="shared" si="49"/>
        <v>OLD</v>
      </c>
    </row>
    <row r="1528" spans="1:32" x14ac:dyDescent="0.2">
      <c r="A1528" t="s">
        <v>1119</v>
      </c>
      <c r="B1528" t="s">
        <v>39</v>
      </c>
      <c r="C1528">
        <v>1012750682</v>
      </c>
      <c r="D1528" t="s">
        <v>539</v>
      </c>
      <c r="E1528" t="s">
        <v>31</v>
      </c>
      <c r="F1528" s="1">
        <v>0.67291666666666672</v>
      </c>
      <c r="G1528" t="s">
        <v>32</v>
      </c>
      <c r="H1528" t="s">
        <v>33</v>
      </c>
      <c r="I1528" t="s">
        <v>34</v>
      </c>
      <c r="J1528" t="s">
        <v>84</v>
      </c>
      <c r="K1528">
        <v>112</v>
      </c>
      <c r="L1528">
        <v>0</v>
      </c>
      <c r="M1528" t="s">
        <v>63</v>
      </c>
      <c r="N1528">
        <v>250</v>
      </c>
      <c r="O1528">
        <v>0</v>
      </c>
      <c r="P1528">
        <v>0</v>
      </c>
      <c r="Q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 t="s">
        <v>36</v>
      </c>
      <c r="AC1528" t="s">
        <v>687</v>
      </c>
      <c r="AD1528" t="str">
        <f t="shared" si="48"/>
        <v>CP</v>
      </c>
      <c r="AE1528" t="str">
        <f>_xlfn.XLOOKUP(D1528,Mapping!A:A,Mapping!D:D,0,0)</f>
        <v>Bin</v>
      </c>
      <c r="AF1528" t="str">
        <f t="shared" si="49"/>
        <v>OLD</v>
      </c>
    </row>
    <row r="1529" spans="1:32" x14ac:dyDescent="0.2">
      <c r="A1529" t="s">
        <v>1119</v>
      </c>
      <c r="B1529" t="s">
        <v>39</v>
      </c>
      <c r="C1529">
        <v>1012750692</v>
      </c>
      <c r="D1529" t="s">
        <v>540</v>
      </c>
      <c r="E1529" t="s">
        <v>31</v>
      </c>
      <c r="F1529" s="1">
        <v>0.67291666666666672</v>
      </c>
      <c r="G1529" t="s">
        <v>32</v>
      </c>
      <c r="H1529" t="s">
        <v>33</v>
      </c>
      <c r="I1529" t="s">
        <v>41</v>
      </c>
      <c r="J1529" t="s">
        <v>62</v>
      </c>
      <c r="K1529">
        <v>280</v>
      </c>
      <c r="L1529">
        <v>0</v>
      </c>
      <c r="M1529" t="s">
        <v>36</v>
      </c>
      <c r="N1529" t="s">
        <v>37</v>
      </c>
      <c r="O1529">
        <v>0</v>
      </c>
      <c r="P1529">
        <v>0</v>
      </c>
      <c r="Q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 t="s">
        <v>36</v>
      </c>
      <c r="AC1529" t="s">
        <v>687</v>
      </c>
      <c r="AD1529" t="str">
        <f t="shared" si="48"/>
        <v>CP</v>
      </c>
      <c r="AE1529" t="str">
        <f>_xlfn.XLOOKUP(D1529,Mapping!A:A,Mapping!D:D,0,0)</f>
        <v>Bin</v>
      </c>
      <c r="AF1529" t="str">
        <f t="shared" si="49"/>
        <v>OLD</v>
      </c>
    </row>
    <row r="1530" spans="1:32" x14ac:dyDescent="0.2">
      <c r="A1530" t="s">
        <v>1119</v>
      </c>
      <c r="B1530" t="s">
        <v>39</v>
      </c>
      <c r="C1530">
        <v>1012750702</v>
      </c>
      <c r="D1530" t="s">
        <v>541</v>
      </c>
      <c r="E1530" t="s">
        <v>31</v>
      </c>
      <c r="F1530" s="1">
        <v>0.67291666666666672</v>
      </c>
      <c r="G1530" t="s">
        <v>32</v>
      </c>
      <c r="H1530" t="s">
        <v>33</v>
      </c>
      <c r="I1530" t="s">
        <v>41</v>
      </c>
      <c r="J1530" t="s">
        <v>62</v>
      </c>
      <c r="K1530">
        <v>280</v>
      </c>
      <c r="L1530">
        <v>0</v>
      </c>
      <c r="M1530" t="s">
        <v>36</v>
      </c>
      <c r="N1530" t="s">
        <v>37</v>
      </c>
      <c r="O1530">
        <v>0</v>
      </c>
      <c r="P1530">
        <v>0</v>
      </c>
      <c r="Q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 t="s">
        <v>36</v>
      </c>
      <c r="AC1530" t="s">
        <v>687</v>
      </c>
      <c r="AD1530" t="str">
        <f t="shared" si="48"/>
        <v>CP</v>
      </c>
      <c r="AE1530" t="str">
        <f>_xlfn.XLOOKUP(D1530,Mapping!A:A,Mapping!D:D,0,0)</f>
        <v>Bin</v>
      </c>
      <c r="AF1530" t="str">
        <f t="shared" si="49"/>
        <v>OLD</v>
      </c>
    </row>
    <row r="1531" spans="1:32" x14ac:dyDescent="0.2">
      <c r="A1531" t="s">
        <v>1119</v>
      </c>
      <c r="B1531" t="s">
        <v>29</v>
      </c>
      <c r="C1531">
        <v>1012750712</v>
      </c>
      <c r="D1531" t="s">
        <v>542</v>
      </c>
      <c r="E1531" t="s">
        <v>31</v>
      </c>
      <c r="F1531" s="1">
        <v>0.67291666666666672</v>
      </c>
      <c r="G1531" t="s">
        <v>32</v>
      </c>
      <c r="H1531" t="s">
        <v>33</v>
      </c>
      <c r="I1531" t="s">
        <v>41</v>
      </c>
      <c r="J1531" t="s">
        <v>62</v>
      </c>
      <c r="K1531">
        <v>280</v>
      </c>
      <c r="L1531">
        <v>0</v>
      </c>
      <c r="M1531" t="s">
        <v>63</v>
      </c>
      <c r="N1531">
        <v>250</v>
      </c>
      <c r="O1531">
        <v>692</v>
      </c>
      <c r="P1531">
        <v>66</v>
      </c>
      <c r="Q1531">
        <v>9.5375700000000005</v>
      </c>
      <c r="R1531">
        <v>0</v>
      </c>
      <c r="S1531">
        <v>1.08</v>
      </c>
      <c r="T1531">
        <v>1.5580000000000001</v>
      </c>
      <c r="U1531">
        <v>1.6E-2</v>
      </c>
      <c r="V1531">
        <v>0</v>
      </c>
      <c r="W1531">
        <v>1</v>
      </c>
      <c r="X1531">
        <v>0</v>
      </c>
      <c r="Y1531" t="s">
        <v>36</v>
      </c>
      <c r="Z1531">
        <v>692</v>
      </c>
      <c r="AA1531">
        <v>620</v>
      </c>
      <c r="AB1531">
        <v>53</v>
      </c>
      <c r="AC1531" t="s">
        <v>687</v>
      </c>
      <c r="AD1531" t="str">
        <f t="shared" si="48"/>
        <v>CP</v>
      </c>
      <c r="AE1531" t="str">
        <f>_xlfn.XLOOKUP(D1531,Mapping!A:A,Mapping!D:D,0,0)</f>
        <v>Ocean</v>
      </c>
      <c r="AF1531" t="str">
        <f t="shared" si="49"/>
        <v>OLD</v>
      </c>
    </row>
    <row r="1532" spans="1:32" x14ac:dyDescent="0.2">
      <c r="A1532" t="s">
        <v>1119</v>
      </c>
      <c r="B1532" t="s">
        <v>39</v>
      </c>
      <c r="C1532">
        <v>1012750722</v>
      </c>
      <c r="D1532" t="s">
        <v>543</v>
      </c>
      <c r="E1532" t="s">
        <v>31</v>
      </c>
      <c r="F1532" s="1">
        <v>0.67291666666666672</v>
      </c>
      <c r="G1532" t="s">
        <v>32</v>
      </c>
      <c r="H1532" t="s">
        <v>33</v>
      </c>
      <c r="I1532" t="s">
        <v>41</v>
      </c>
      <c r="J1532" t="s">
        <v>62</v>
      </c>
      <c r="K1532">
        <v>280</v>
      </c>
      <c r="L1532">
        <v>0</v>
      </c>
      <c r="M1532" t="s">
        <v>63</v>
      </c>
      <c r="N1532">
        <v>250</v>
      </c>
      <c r="O1532">
        <v>0</v>
      </c>
      <c r="P1532">
        <v>0</v>
      </c>
      <c r="Q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 t="s">
        <v>36</v>
      </c>
      <c r="AC1532" t="s">
        <v>687</v>
      </c>
      <c r="AD1532" t="str">
        <f t="shared" si="48"/>
        <v>CP</v>
      </c>
      <c r="AE1532" t="str">
        <f>_xlfn.XLOOKUP(D1532,Mapping!A:A,Mapping!D:D,0,0)</f>
        <v>Bin</v>
      </c>
      <c r="AF1532" t="str">
        <f t="shared" si="49"/>
        <v>OLD</v>
      </c>
    </row>
    <row r="1533" spans="1:32" x14ac:dyDescent="0.2">
      <c r="A1533" t="s">
        <v>1119</v>
      </c>
      <c r="B1533" t="s">
        <v>39</v>
      </c>
      <c r="C1533">
        <v>1012750732</v>
      </c>
      <c r="D1533" t="s">
        <v>544</v>
      </c>
      <c r="E1533" t="s">
        <v>31</v>
      </c>
      <c r="F1533" s="1">
        <v>0.67291666666666672</v>
      </c>
      <c r="G1533" t="s">
        <v>32</v>
      </c>
      <c r="H1533" t="s">
        <v>33</v>
      </c>
      <c r="I1533" t="s">
        <v>34</v>
      </c>
      <c r="J1533" t="s">
        <v>84</v>
      </c>
      <c r="K1533">
        <v>112</v>
      </c>
      <c r="L1533">
        <v>0</v>
      </c>
      <c r="M1533" t="s">
        <v>36</v>
      </c>
      <c r="N1533" t="s">
        <v>37</v>
      </c>
      <c r="O1533">
        <v>0</v>
      </c>
      <c r="P1533">
        <v>0</v>
      </c>
      <c r="Q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 t="s">
        <v>36</v>
      </c>
      <c r="AC1533" t="s">
        <v>687</v>
      </c>
      <c r="AD1533" t="str">
        <f t="shared" si="48"/>
        <v>CP</v>
      </c>
      <c r="AE1533" t="str">
        <f>_xlfn.XLOOKUP(D1533,Mapping!A:A,Mapping!D:D,0,0)</f>
        <v>Ocean</v>
      </c>
      <c r="AF1533" t="str">
        <f t="shared" si="49"/>
        <v>OLD</v>
      </c>
    </row>
    <row r="1534" spans="1:32" x14ac:dyDescent="0.2">
      <c r="A1534" t="s">
        <v>1119</v>
      </c>
      <c r="B1534" t="s">
        <v>39</v>
      </c>
      <c r="C1534">
        <v>1012750742</v>
      </c>
      <c r="D1534" t="s">
        <v>545</v>
      </c>
      <c r="E1534" t="s">
        <v>31</v>
      </c>
      <c r="F1534" s="1">
        <v>0.67291666666666672</v>
      </c>
      <c r="G1534" t="s">
        <v>32</v>
      </c>
      <c r="H1534" t="s">
        <v>33</v>
      </c>
      <c r="I1534" t="s">
        <v>34</v>
      </c>
      <c r="J1534" t="s">
        <v>84</v>
      </c>
      <c r="K1534">
        <v>112</v>
      </c>
      <c r="L1534">
        <v>0</v>
      </c>
      <c r="M1534" t="s">
        <v>63</v>
      </c>
      <c r="N1534">
        <v>250</v>
      </c>
      <c r="O1534">
        <v>0</v>
      </c>
      <c r="P1534">
        <v>0</v>
      </c>
      <c r="Q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 t="s">
        <v>36</v>
      </c>
      <c r="AC1534" t="s">
        <v>687</v>
      </c>
      <c r="AD1534" t="str">
        <f t="shared" si="48"/>
        <v>CP</v>
      </c>
      <c r="AE1534" t="str">
        <f>_xlfn.XLOOKUP(D1534,Mapping!A:A,Mapping!D:D,0,0)</f>
        <v>Bin</v>
      </c>
      <c r="AF1534" t="str">
        <f t="shared" si="49"/>
        <v>OLD</v>
      </c>
    </row>
    <row r="1535" spans="1:32" x14ac:dyDescent="0.2">
      <c r="A1535" t="s">
        <v>1119</v>
      </c>
      <c r="B1535" t="s">
        <v>39</v>
      </c>
      <c r="C1535">
        <v>1012750752</v>
      </c>
      <c r="D1535" t="s">
        <v>546</v>
      </c>
      <c r="E1535" t="s">
        <v>31</v>
      </c>
      <c r="F1535" s="1">
        <v>0.67291666666666672</v>
      </c>
      <c r="G1535" t="s">
        <v>32</v>
      </c>
      <c r="H1535" t="s">
        <v>33</v>
      </c>
      <c r="I1535" t="s">
        <v>41</v>
      </c>
      <c r="J1535" t="s">
        <v>62</v>
      </c>
      <c r="K1535">
        <v>280</v>
      </c>
      <c r="L1535">
        <v>0</v>
      </c>
      <c r="M1535" t="s">
        <v>63</v>
      </c>
      <c r="N1535">
        <v>250</v>
      </c>
      <c r="O1535">
        <v>0</v>
      </c>
      <c r="P1535">
        <v>0</v>
      </c>
      <c r="Q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 t="s">
        <v>36</v>
      </c>
      <c r="AC1535" t="s">
        <v>687</v>
      </c>
      <c r="AD1535" t="str">
        <f t="shared" si="48"/>
        <v>CP</v>
      </c>
      <c r="AE1535" t="str">
        <f>_xlfn.XLOOKUP(D1535,Mapping!A:A,Mapping!D:D,0,0)</f>
        <v>Bin</v>
      </c>
      <c r="AF1535" t="str">
        <f t="shared" si="49"/>
        <v>OLD</v>
      </c>
    </row>
    <row r="1536" spans="1:32" x14ac:dyDescent="0.2">
      <c r="A1536" t="s">
        <v>1119</v>
      </c>
      <c r="B1536" t="s">
        <v>39</v>
      </c>
      <c r="C1536">
        <v>1012750762</v>
      </c>
      <c r="D1536" t="s">
        <v>547</v>
      </c>
      <c r="E1536" t="s">
        <v>31</v>
      </c>
      <c r="F1536" s="1">
        <v>0.67291666666666672</v>
      </c>
      <c r="G1536" t="s">
        <v>32</v>
      </c>
      <c r="H1536" t="s">
        <v>33</v>
      </c>
      <c r="I1536" t="s">
        <v>41</v>
      </c>
      <c r="J1536" t="s">
        <v>62</v>
      </c>
      <c r="K1536">
        <v>280</v>
      </c>
      <c r="L1536">
        <v>0</v>
      </c>
      <c r="M1536" t="s">
        <v>63</v>
      </c>
      <c r="N1536">
        <v>250</v>
      </c>
      <c r="O1536">
        <v>0</v>
      </c>
      <c r="P1536">
        <v>0</v>
      </c>
      <c r="Q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 t="s">
        <v>36</v>
      </c>
      <c r="AC1536" t="s">
        <v>687</v>
      </c>
      <c r="AD1536" t="str">
        <f t="shared" si="48"/>
        <v>CP</v>
      </c>
      <c r="AE1536" t="str">
        <f>_xlfn.XLOOKUP(D1536,Mapping!A:A,Mapping!D:D,0,0)</f>
        <v>Bin</v>
      </c>
      <c r="AF1536" t="str">
        <f t="shared" si="49"/>
        <v>OLD</v>
      </c>
    </row>
    <row r="1537" spans="1:32" x14ac:dyDescent="0.2">
      <c r="A1537" t="s">
        <v>1119</v>
      </c>
      <c r="B1537" t="s">
        <v>39</v>
      </c>
      <c r="C1537">
        <v>1012750782</v>
      </c>
      <c r="D1537" t="s">
        <v>548</v>
      </c>
      <c r="E1537" t="s">
        <v>31</v>
      </c>
      <c r="F1537" s="1">
        <v>0.67291666666666672</v>
      </c>
      <c r="G1537" t="s">
        <v>32</v>
      </c>
      <c r="H1537" t="s">
        <v>33</v>
      </c>
      <c r="I1537" t="s">
        <v>41</v>
      </c>
      <c r="J1537" t="s">
        <v>62</v>
      </c>
      <c r="K1537">
        <v>280</v>
      </c>
      <c r="L1537">
        <v>0</v>
      </c>
      <c r="M1537" t="s">
        <v>63</v>
      </c>
      <c r="N1537">
        <v>250</v>
      </c>
      <c r="O1537">
        <v>0</v>
      </c>
      <c r="P1537">
        <v>0</v>
      </c>
      <c r="Q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 t="s">
        <v>36</v>
      </c>
      <c r="AC1537" t="s">
        <v>687</v>
      </c>
      <c r="AD1537" t="str">
        <f t="shared" si="48"/>
        <v>CP</v>
      </c>
      <c r="AE1537" t="str">
        <f>_xlfn.XLOOKUP(D1537,Mapping!A:A,Mapping!D:D,0,0)</f>
        <v>Bin</v>
      </c>
      <c r="AF1537" t="str">
        <f t="shared" si="49"/>
        <v>OLD</v>
      </c>
    </row>
    <row r="1538" spans="1:32" x14ac:dyDescent="0.2">
      <c r="A1538" t="s">
        <v>1119</v>
      </c>
      <c r="B1538" t="s">
        <v>39</v>
      </c>
      <c r="C1538">
        <v>1012750792</v>
      </c>
      <c r="D1538" t="s">
        <v>549</v>
      </c>
      <c r="E1538" t="s">
        <v>31</v>
      </c>
      <c r="F1538" s="1">
        <v>0.67291666666666672</v>
      </c>
      <c r="G1538" t="s">
        <v>32</v>
      </c>
      <c r="H1538" t="s">
        <v>33</v>
      </c>
      <c r="I1538" t="s">
        <v>41</v>
      </c>
      <c r="J1538" t="s">
        <v>62</v>
      </c>
      <c r="K1538">
        <v>280</v>
      </c>
      <c r="L1538">
        <v>0</v>
      </c>
      <c r="M1538" t="s">
        <v>63</v>
      </c>
      <c r="N1538">
        <v>250</v>
      </c>
      <c r="O1538">
        <v>0</v>
      </c>
      <c r="P1538">
        <v>0</v>
      </c>
      <c r="Q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 t="s">
        <v>36</v>
      </c>
      <c r="AC1538" t="s">
        <v>687</v>
      </c>
      <c r="AD1538" t="str">
        <f t="shared" si="48"/>
        <v>CP</v>
      </c>
      <c r="AE1538" t="str">
        <f>_xlfn.XLOOKUP(D1538,Mapping!A:A,Mapping!D:D,0,0)</f>
        <v>Bin</v>
      </c>
      <c r="AF1538" t="str">
        <f t="shared" si="49"/>
        <v>OLD</v>
      </c>
    </row>
    <row r="1539" spans="1:32" x14ac:dyDescent="0.2">
      <c r="A1539" t="s">
        <v>1119</v>
      </c>
      <c r="B1539" t="s">
        <v>29</v>
      </c>
      <c r="C1539">
        <v>1012750802</v>
      </c>
      <c r="D1539" t="s">
        <v>550</v>
      </c>
      <c r="E1539" t="s">
        <v>31</v>
      </c>
      <c r="F1539" s="1">
        <v>0.67291666666666672</v>
      </c>
      <c r="G1539" t="s">
        <v>32</v>
      </c>
      <c r="H1539" t="s">
        <v>33</v>
      </c>
      <c r="I1539" t="s">
        <v>34</v>
      </c>
      <c r="J1539" t="s">
        <v>84</v>
      </c>
      <c r="K1539">
        <v>112</v>
      </c>
      <c r="L1539">
        <v>0</v>
      </c>
      <c r="M1539" t="s">
        <v>63</v>
      </c>
      <c r="N1539">
        <v>250</v>
      </c>
      <c r="O1539">
        <v>298</v>
      </c>
      <c r="P1539">
        <v>10</v>
      </c>
      <c r="Q1539">
        <v>3.3557000000000001</v>
      </c>
      <c r="R1539">
        <v>0</v>
      </c>
      <c r="S1539">
        <v>0.85</v>
      </c>
      <c r="T1539">
        <v>2.8690000000000002</v>
      </c>
      <c r="U1539">
        <v>8.5000000000000006E-2</v>
      </c>
      <c r="V1539">
        <v>0</v>
      </c>
      <c r="W1539">
        <v>1</v>
      </c>
      <c r="X1539">
        <v>0</v>
      </c>
      <c r="Y1539" t="s">
        <v>36</v>
      </c>
      <c r="Z1539">
        <v>298</v>
      </c>
      <c r="AA1539">
        <v>228</v>
      </c>
      <c r="AB1539">
        <v>38</v>
      </c>
      <c r="AC1539" t="s">
        <v>687</v>
      </c>
      <c r="AD1539" t="str">
        <f t="shared" si="48"/>
        <v>CP</v>
      </c>
      <c r="AE1539" t="str">
        <f>_xlfn.XLOOKUP(D1539,Mapping!A:A,Mapping!D:D,0,0)</f>
        <v>Keyword - Preroll</v>
      </c>
      <c r="AF1539" t="str">
        <f t="shared" si="49"/>
        <v>OLD</v>
      </c>
    </row>
    <row r="1540" spans="1:32" x14ac:dyDescent="0.2">
      <c r="A1540" t="s">
        <v>1119</v>
      </c>
      <c r="B1540" t="s">
        <v>39</v>
      </c>
      <c r="C1540">
        <v>1012750812</v>
      </c>
      <c r="D1540" t="s">
        <v>551</v>
      </c>
      <c r="E1540" t="s">
        <v>31</v>
      </c>
      <c r="F1540" s="1">
        <v>0.67291666666666672</v>
      </c>
      <c r="G1540" t="s">
        <v>32</v>
      </c>
      <c r="H1540" t="s">
        <v>33</v>
      </c>
      <c r="I1540" t="s">
        <v>34</v>
      </c>
      <c r="J1540" t="s">
        <v>84</v>
      </c>
      <c r="K1540">
        <v>112</v>
      </c>
      <c r="L1540">
        <v>0</v>
      </c>
      <c r="M1540" t="s">
        <v>63</v>
      </c>
      <c r="N1540">
        <v>250</v>
      </c>
      <c r="O1540">
        <v>0</v>
      </c>
      <c r="P1540">
        <v>0</v>
      </c>
      <c r="Q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 t="s">
        <v>36</v>
      </c>
      <c r="AC1540" t="s">
        <v>687</v>
      </c>
      <c r="AD1540" t="str">
        <f t="shared" si="48"/>
        <v>CP</v>
      </c>
      <c r="AE1540" t="str">
        <f>_xlfn.XLOOKUP(D1540,Mapping!A:A,Mapping!D:D,0,0)</f>
        <v>Bin</v>
      </c>
      <c r="AF1540" t="str">
        <f t="shared" si="49"/>
        <v>OLD</v>
      </c>
    </row>
    <row r="1541" spans="1:32" x14ac:dyDescent="0.2">
      <c r="A1541" t="s">
        <v>1119</v>
      </c>
      <c r="B1541" t="s">
        <v>39</v>
      </c>
      <c r="C1541">
        <v>1012750822</v>
      </c>
      <c r="D1541" t="s">
        <v>552</v>
      </c>
      <c r="E1541" t="s">
        <v>31</v>
      </c>
      <c r="F1541" s="1">
        <v>0.67291666666666672</v>
      </c>
      <c r="G1541" t="s">
        <v>32</v>
      </c>
      <c r="H1541" t="s">
        <v>33</v>
      </c>
      <c r="I1541" t="s">
        <v>41</v>
      </c>
      <c r="J1541" t="s">
        <v>62</v>
      </c>
      <c r="K1541">
        <v>280</v>
      </c>
      <c r="L1541">
        <v>0</v>
      </c>
      <c r="M1541" t="s">
        <v>63</v>
      </c>
      <c r="N1541">
        <v>250</v>
      </c>
      <c r="O1541">
        <v>0</v>
      </c>
      <c r="P1541">
        <v>0</v>
      </c>
      <c r="Q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 t="s">
        <v>36</v>
      </c>
      <c r="AC1541" t="s">
        <v>687</v>
      </c>
      <c r="AD1541" t="str">
        <f t="shared" si="48"/>
        <v>CP</v>
      </c>
      <c r="AE1541" t="str">
        <f>_xlfn.XLOOKUP(D1541,Mapping!A:A,Mapping!D:D,0,0)</f>
        <v>Bin</v>
      </c>
      <c r="AF1541" t="str">
        <f t="shared" si="49"/>
        <v>OLD</v>
      </c>
    </row>
    <row r="1542" spans="1:32" x14ac:dyDescent="0.2">
      <c r="A1542" t="s">
        <v>1119</v>
      </c>
      <c r="B1542" t="s">
        <v>39</v>
      </c>
      <c r="C1542">
        <v>1012750832</v>
      </c>
      <c r="D1542" t="s">
        <v>553</v>
      </c>
      <c r="E1542" t="s">
        <v>31</v>
      </c>
      <c r="F1542" s="1">
        <v>0.67291666666666672</v>
      </c>
      <c r="G1542" t="s">
        <v>32</v>
      </c>
      <c r="H1542" t="s">
        <v>33</v>
      </c>
      <c r="I1542" t="s">
        <v>41</v>
      </c>
      <c r="J1542" t="s">
        <v>62</v>
      </c>
      <c r="K1542">
        <v>280</v>
      </c>
      <c r="L1542">
        <v>0</v>
      </c>
      <c r="M1542" t="s">
        <v>63</v>
      </c>
      <c r="N1542">
        <v>250</v>
      </c>
      <c r="O1542">
        <v>0</v>
      </c>
      <c r="P1542">
        <v>0</v>
      </c>
      <c r="Q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 t="s">
        <v>36</v>
      </c>
      <c r="AC1542" t="s">
        <v>687</v>
      </c>
      <c r="AD1542" t="str">
        <f t="shared" si="48"/>
        <v>CP</v>
      </c>
      <c r="AE1542" t="str">
        <f>_xlfn.XLOOKUP(D1542,Mapping!A:A,Mapping!D:D,0,0)</f>
        <v>Bin</v>
      </c>
      <c r="AF1542" t="str">
        <f t="shared" si="49"/>
        <v>OLD</v>
      </c>
    </row>
    <row r="1543" spans="1:32" x14ac:dyDescent="0.2">
      <c r="A1543" t="s">
        <v>1119</v>
      </c>
      <c r="B1543" t="s">
        <v>39</v>
      </c>
      <c r="C1543">
        <v>1012750842</v>
      </c>
      <c r="D1543" t="s">
        <v>554</v>
      </c>
      <c r="E1543" t="s">
        <v>31</v>
      </c>
      <c r="F1543" s="1">
        <v>0.67291666666666672</v>
      </c>
      <c r="G1543" t="s">
        <v>32</v>
      </c>
      <c r="H1543" t="s">
        <v>33</v>
      </c>
      <c r="I1543" t="s">
        <v>41</v>
      </c>
      <c r="J1543" t="s">
        <v>62</v>
      </c>
      <c r="K1543">
        <v>280</v>
      </c>
      <c r="L1543">
        <v>0</v>
      </c>
      <c r="M1543" t="s">
        <v>36</v>
      </c>
      <c r="N1543" t="s">
        <v>37</v>
      </c>
      <c r="O1543">
        <v>0</v>
      </c>
      <c r="P1543">
        <v>0</v>
      </c>
      <c r="Q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 t="s">
        <v>36</v>
      </c>
      <c r="AC1543" t="s">
        <v>687</v>
      </c>
      <c r="AD1543" t="str">
        <f t="shared" si="48"/>
        <v>CP</v>
      </c>
      <c r="AE1543" t="str">
        <f>_xlfn.XLOOKUP(D1543,Mapping!A:A,Mapping!D:D,0,0)</f>
        <v>Bin</v>
      </c>
      <c r="AF1543" t="str">
        <f t="shared" si="49"/>
        <v>OLD</v>
      </c>
    </row>
    <row r="1544" spans="1:32" x14ac:dyDescent="0.2">
      <c r="A1544" t="s">
        <v>1119</v>
      </c>
      <c r="B1544" t="s">
        <v>39</v>
      </c>
      <c r="C1544">
        <v>1012750852</v>
      </c>
      <c r="D1544" t="s">
        <v>555</v>
      </c>
      <c r="E1544" t="s">
        <v>31</v>
      </c>
      <c r="F1544" s="1">
        <v>0.67291666666666672</v>
      </c>
      <c r="G1544" t="s">
        <v>32</v>
      </c>
      <c r="H1544" t="s">
        <v>33</v>
      </c>
      <c r="I1544" t="s">
        <v>41</v>
      </c>
      <c r="J1544" t="s">
        <v>62</v>
      </c>
      <c r="K1544">
        <v>280</v>
      </c>
      <c r="L1544">
        <v>0</v>
      </c>
      <c r="M1544" t="s">
        <v>36</v>
      </c>
      <c r="N1544" t="s">
        <v>37</v>
      </c>
      <c r="O1544">
        <v>0</v>
      </c>
      <c r="P1544">
        <v>0</v>
      </c>
      <c r="Q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 t="s">
        <v>36</v>
      </c>
      <c r="AC1544" t="s">
        <v>687</v>
      </c>
      <c r="AD1544" t="str">
        <f t="shared" si="48"/>
        <v>CP</v>
      </c>
      <c r="AE1544" t="str">
        <f>_xlfn.XLOOKUP(D1544,Mapping!A:A,Mapping!D:D,0,0)</f>
        <v>Bin</v>
      </c>
      <c r="AF1544" t="str">
        <f t="shared" si="49"/>
        <v>OLD</v>
      </c>
    </row>
    <row r="1545" spans="1:32" x14ac:dyDescent="0.2">
      <c r="A1545" t="s">
        <v>1119</v>
      </c>
      <c r="B1545" t="s">
        <v>39</v>
      </c>
      <c r="C1545">
        <v>1012750862</v>
      </c>
      <c r="D1545" t="s">
        <v>556</v>
      </c>
      <c r="E1545" t="s">
        <v>31</v>
      </c>
      <c r="F1545" s="1">
        <v>0.67291666666666672</v>
      </c>
      <c r="G1545" t="s">
        <v>32</v>
      </c>
      <c r="H1545" t="s">
        <v>33</v>
      </c>
      <c r="I1545" t="s">
        <v>34</v>
      </c>
      <c r="J1545" t="s">
        <v>84</v>
      </c>
      <c r="K1545">
        <v>112</v>
      </c>
      <c r="L1545">
        <v>0</v>
      </c>
      <c r="M1545" t="s">
        <v>36</v>
      </c>
      <c r="N1545" t="s">
        <v>37</v>
      </c>
      <c r="O1545">
        <v>0</v>
      </c>
      <c r="P1545">
        <v>0</v>
      </c>
      <c r="Q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 t="s">
        <v>36</v>
      </c>
      <c r="AC1545" t="s">
        <v>687</v>
      </c>
      <c r="AD1545" t="str">
        <f t="shared" si="48"/>
        <v>CP</v>
      </c>
      <c r="AE1545" t="str">
        <f>_xlfn.XLOOKUP(D1545,Mapping!A:A,Mapping!D:D,0,0)</f>
        <v>Bin</v>
      </c>
      <c r="AF1545" t="str">
        <f t="shared" si="49"/>
        <v>OLD</v>
      </c>
    </row>
    <row r="1546" spans="1:32" x14ac:dyDescent="0.2">
      <c r="A1546" t="s">
        <v>1119</v>
      </c>
      <c r="B1546" t="s">
        <v>39</v>
      </c>
      <c r="C1546">
        <v>1012750882</v>
      </c>
      <c r="D1546" t="s">
        <v>557</v>
      </c>
      <c r="E1546" t="s">
        <v>31</v>
      </c>
      <c r="F1546" s="1">
        <v>0.67291666666666672</v>
      </c>
      <c r="G1546" t="s">
        <v>32</v>
      </c>
      <c r="H1546" t="s">
        <v>33</v>
      </c>
      <c r="I1546" t="s">
        <v>34</v>
      </c>
      <c r="J1546" t="s">
        <v>84</v>
      </c>
      <c r="K1546">
        <v>112</v>
      </c>
      <c r="L1546">
        <v>0</v>
      </c>
      <c r="M1546" t="s">
        <v>36</v>
      </c>
      <c r="N1546" t="s">
        <v>37</v>
      </c>
      <c r="O1546">
        <v>0</v>
      </c>
      <c r="P1546">
        <v>0</v>
      </c>
      <c r="Q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 t="s">
        <v>36</v>
      </c>
      <c r="AC1546" t="s">
        <v>687</v>
      </c>
      <c r="AD1546" t="str">
        <f t="shared" si="48"/>
        <v>CP</v>
      </c>
      <c r="AE1546" t="str">
        <f>_xlfn.XLOOKUP(D1546,Mapping!A:A,Mapping!D:D,0,0)</f>
        <v>Bin</v>
      </c>
      <c r="AF1546" t="str">
        <f t="shared" si="49"/>
        <v>OLD</v>
      </c>
    </row>
    <row r="1547" spans="1:32" x14ac:dyDescent="0.2">
      <c r="A1547" t="s">
        <v>1119</v>
      </c>
      <c r="B1547" t="s">
        <v>39</v>
      </c>
      <c r="C1547">
        <v>1012750892</v>
      </c>
      <c r="D1547" t="s">
        <v>558</v>
      </c>
      <c r="E1547" t="s">
        <v>31</v>
      </c>
      <c r="F1547" s="1">
        <v>0.67291666666666672</v>
      </c>
      <c r="G1547" t="s">
        <v>32</v>
      </c>
      <c r="H1547" t="s">
        <v>33</v>
      </c>
      <c r="I1547" t="s">
        <v>41</v>
      </c>
      <c r="J1547" t="s">
        <v>62</v>
      </c>
      <c r="K1547">
        <v>280</v>
      </c>
      <c r="L1547">
        <v>0</v>
      </c>
      <c r="M1547" t="s">
        <v>63</v>
      </c>
      <c r="N1547">
        <v>250</v>
      </c>
      <c r="O1547">
        <v>0</v>
      </c>
      <c r="P1547">
        <v>0</v>
      </c>
      <c r="Q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 t="s">
        <v>36</v>
      </c>
      <c r="AC1547" t="s">
        <v>687</v>
      </c>
      <c r="AD1547" t="str">
        <f t="shared" si="48"/>
        <v>CP</v>
      </c>
      <c r="AE1547" t="str">
        <f>_xlfn.XLOOKUP(D1547,Mapping!A:A,Mapping!D:D,0,0)</f>
        <v>Bin</v>
      </c>
      <c r="AF1547" t="str">
        <f t="shared" si="49"/>
        <v>OLD</v>
      </c>
    </row>
    <row r="1548" spans="1:32" x14ac:dyDescent="0.2">
      <c r="A1548" t="s">
        <v>1119</v>
      </c>
      <c r="B1548" t="s">
        <v>39</v>
      </c>
      <c r="C1548">
        <v>1012750902</v>
      </c>
      <c r="D1548" t="s">
        <v>559</v>
      </c>
      <c r="E1548" t="s">
        <v>31</v>
      </c>
      <c r="F1548" s="1">
        <v>0.67291666666666672</v>
      </c>
      <c r="G1548" t="s">
        <v>32</v>
      </c>
      <c r="H1548" t="s">
        <v>33</v>
      </c>
      <c r="I1548" t="s">
        <v>41</v>
      </c>
      <c r="J1548" t="s">
        <v>62</v>
      </c>
      <c r="K1548">
        <v>280</v>
      </c>
      <c r="L1548">
        <v>0</v>
      </c>
      <c r="M1548" t="s">
        <v>63</v>
      </c>
      <c r="N1548">
        <v>250</v>
      </c>
      <c r="O1548">
        <v>0</v>
      </c>
      <c r="P1548">
        <v>0</v>
      </c>
      <c r="Q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 t="s">
        <v>36</v>
      </c>
      <c r="AC1548" t="s">
        <v>687</v>
      </c>
      <c r="AD1548" t="str">
        <f t="shared" si="48"/>
        <v>CP</v>
      </c>
      <c r="AE1548" t="str">
        <f>_xlfn.XLOOKUP(D1548,Mapping!A:A,Mapping!D:D,0,0)</f>
        <v>Bin</v>
      </c>
      <c r="AF1548" t="str">
        <f t="shared" si="49"/>
        <v>OLD</v>
      </c>
    </row>
    <row r="1549" spans="1:32" x14ac:dyDescent="0.2">
      <c r="A1549" t="s">
        <v>1119</v>
      </c>
      <c r="B1549" t="s">
        <v>39</v>
      </c>
      <c r="C1549">
        <v>1012750912</v>
      </c>
      <c r="D1549" t="s">
        <v>560</v>
      </c>
      <c r="E1549" t="s">
        <v>31</v>
      </c>
      <c r="F1549" s="1">
        <v>0.67291666666666672</v>
      </c>
      <c r="G1549" t="s">
        <v>32</v>
      </c>
      <c r="H1549" t="s">
        <v>33</v>
      </c>
      <c r="I1549" t="s">
        <v>41</v>
      </c>
      <c r="J1549" t="s">
        <v>62</v>
      </c>
      <c r="K1549">
        <v>280</v>
      </c>
      <c r="L1549">
        <v>0</v>
      </c>
      <c r="M1549" t="s">
        <v>63</v>
      </c>
      <c r="N1549">
        <v>250</v>
      </c>
      <c r="O1549">
        <v>0</v>
      </c>
      <c r="P1549">
        <v>0</v>
      </c>
      <c r="Q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 t="s">
        <v>36</v>
      </c>
      <c r="AC1549" t="s">
        <v>687</v>
      </c>
      <c r="AD1549" t="str">
        <f t="shared" si="48"/>
        <v>CP</v>
      </c>
      <c r="AE1549" t="str">
        <f>_xlfn.XLOOKUP(D1549,Mapping!A:A,Mapping!D:D,0,0)</f>
        <v>Bin</v>
      </c>
      <c r="AF1549" t="str">
        <f t="shared" si="49"/>
        <v>OLD</v>
      </c>
    </row>
    <row r="1550" spans="1:32" x14ac:dyDescent="0.2">
      <c r="A1550" t="s">
        <v>1119</v>
      </c>
      <c r="B1550" t="s">
        <v>39</v>
      </c>
      <c r="C1550">
        <v>1012750922</v>
      </c>
      <c r="D1550" t="s">
        <v>561</v>
      </c>
      <c r="E1550" t="s">
        <v>31</v>
      </c>
      <c r="F1550" s="1">
        <v>0.67291666666666672</v>
      </c>
      <c r="G1550" t="s">
        <v>32</v>
      </c>
      <c r="H1550" t="s">
        <v>33</v>
      </c>
      <c r="I1550" t="s">
        <v>41</v>
      </c>
      <c r="J1550" t="s">
        <v>62</v>
      </c>
      <c r="K1550">
        <v>280</v>
      </c>
      <c r="L1550">
        <v>0</v>
      </c>
      <c r="M1550" t="s">
        <v>63</v>
      </c>
      <c r="N1550">
        <v>250</v>
      </c>
      <c r="O1550">
        <v>0</v>
      </c>
      <c r="P1550">
        <v>0</v>
      </c>
      <c r="Q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 t="s">
        <v>36</v>
      </c>
      <c r="AC1550" t="s">
        <v>687</v>
      </c>
      <c r="AD1550" t="str">
        <f t="shared" si="48"/>
        <v>CP</v>
      </c>
      <c r="AE1550" t="str">
        <f>_xlfn.XLOOKUP(D1550,Mapping!A:A,Mapping!D:D,0,0)</f>
        <v>Bin</v>
      </c>
      <c r="AF1550" t="str">
        <f t="shared" si="49"/>
        <v>OLD</v>
      </c>
    </row>
    <row r="1551" spans="1:32" x14ac:dyDescent="0.2">
      <c r="A1551" t="s">
        <v>1119</v>
      </c>
      <c r="B1551" t="s">
        <v>39</v>
      </c>
      <c r="C1551">
        <v>1012750932</v>
      </c>
      <c r="D1551" t="s">
        <v>562</v>
      </c>
      <c r="E1551" t="s">
        <v>31</v>
      </c>
      <c r="F1551" s="1">
        <v>0.67291666666666672</v>
      </c>
      <c r="G1551" t="s">
        <v>32</v>
      </c>
      <c r="H1551" t="s">
        <v>33</v>
      </c>
      <c r="I1551" t="s">
        <v>34</v>
      </c>
      <c r="J1551" t="s">
        <v>84</v>
      </c>
      <c r="K1551">
        <v>112</v>
      </c>
      <c r="L1551">
        <v>0</v>
      </c>
      <c r="M1551" t="s">
        <v>63</v>
      </c>
      <c r="N1551">
        <v>250</v>
      </c>
      <c r="O1551">
        <v>0</v>
      </c>
      <c r="P1551">
        <v>0</v>
      </c>
      <c r="Q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 t="s">
        <v>36</v>
      </c>
      <c r="AC1551" t="s">
        <v>687</v>
      </c>
      <c r="AD1551" t="str">
        <f t="shared" si="48"/>
        <v>CP</v>
      </c>
      <c r="AE1551" t="str">
        <f>_xlfn.XLOOKUP(D1551,Mapping!A:A,Mapping!D:D,0,0)</f>
        <v>Bin</v>
      </c>
      <c r="AF1551" t="str">
        <f t="shared" si="49"/>
        <v>OLD</v>
      </c>
    </row>
    <row r="1552" spans="1:32" x14ac:dyDescent="0.2">
      <c r="A1552" t="s">
        <v>1119</v>
      </c>
      <c r="B1552" t="s">
        <v>39</v>
      </c>
      <c r="C1552">
        <v>1012750942</v>
      </c>
      <c r="D1552" t="s">
        <v>563</v>
      </c>
      <c r="E1552" t="s">
        <v>31</v>
      </c>
      <c r="F1552" s="1">
        <v>0.67291666666666672</v>
      </c>
      <c r="G1552" t="s">
        <v>32</v>
      </c>
      <c r="H1552" t="s">
        <v>33</v>
      </c>
      <c r="I1552" t="s">
        <v>34</v>
      </c>
      <c r="J1552" t="s">
        <v>84</v>
      </c>
      <c r="K1552">
        <v>112</v>
      </c>
      <c r="L1552">
        <v>0</v>
      </c>
      <c r="M1552" t="s">
        <v>63</v>
      </c>
      <c r="N1552">
        <v>250</v>
      </c>
      <c r="O1552">
        <v>0</v>
      </c>
      <c r="P1552">
        <v>0</v>
      </c>
      <c r="Q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 t="s">
        <v>36</v>
      </c>
      <c r="AC1552" t="s">
        <v>687</v>
      </c>
      <c r="AD1552" t="str">
        <f t="shared" si="48"/>
        <v>CP</v>
      </c>
      <c r="AE1552" t="str">
        <f>_xlfn.XLOOKUP(D1552,Mapping!A:A,Mapping!D:D,0,0)</f>
        <v>Bin</v>
      </c>
      <c r="AF1552" t="str">
        <f t="shared" si="49"/>
        <v>OLD</v>
      </c>
    </row>
    <row r="1553" spans="1:32" x14ac:dyDescent="0.2">
      <c r="A1553" t="s">
        <v>1119</v>
      </c>
      <c r="B1553" t="s">
        <v>39</v>
      </c>
      <c r="C1553">
        <v>1012750952</v>
      </c>
      <c r="D1553" t="s">
        <v>564</v>
      </c>
      <c r="E1553" t="s">
        <v>31</v>
      </c>
      <c r="F1553" s="1">
        <v>0.67291666666666672</v>
      </c>
      <c r="G1553" t="s">
        <v>32</v>
      </c>
      <c r="H1553" t="s">
        <v>33</v>
      </c>
      <c r="I1553" t="s">
        <v>41</v>
      </c>
      <c r="J1553" t="s">
        <v>62</v>
      </c>
      <c r="K1553">
        <v>280</v>
      </c>
      <c r="L1553">
        <v>0</v>
      </c>
      <c r="M1553" t="s">
        <v>36</v>
      </c>
      <c r="N1553" t="s">
        <v>37</v>
      </c>
      <c r="O1553">
        <v>0</v>
      </c>
      <c r="P1553">
        <v>0</v>
      </c>
      <c r="Q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 t="s">
        <v>36</v>
      </c>
      <c r="AC1553" t="s">
        <v>687</v>
      </c>
      <c r="AD1553" t="str">
        <f t="shared" si="48"/>
        <v>CP</v>
      </c>
      <c r="AE1553" t="str">
        <f>_xlfn.XLOOKUP(D1553,Mapping!A:A,Mapping!D:D,0,0)</f>
        <v>Bin</v>
      </c>
      <c r="AF1553" t="str">
        <f t="shared" si="49"/>
        <v>OLD</v>
      </c>
    </row>
    <row r="1554" spans="1:32" x14ac:dyDescent="0.2">
      <c r="A1554" t="s">
        <v>1119</v>
      </c>
      <c r="B1554" t="s">
        <v>39</v>
      </c>
      <c r="C1554">
        <v>1012750962</v>
      </c>
      <c r="D1554" t="s">
        <v>565</v>
      </c>
      <c r="E1554" t="s">
        <v>31</v>
      </c>
      <c r="F1554" s="1">
        <v>0.67291666666666672</v>
      </c>
      <c r="G1554" t="s">
        <v>32</v>
      </c>
      <c r="H1554" t="s">
        <v>33</v>
      </c>
      <c r="I1554" t="s">
        <v>41</v>
      </c>
      <c r="J1554" t="s">
        <v>62</v>
      </c>
      <c r="K1554">
        <v>280</v>
      </c>
      <c r="L1554">
        <v>0</v>
      </c>
      <c r="M1554" t="s">
        <v>63</v>
      </c>
      <c r="N1554">
        <v>250</v>
      </c>
      <c r="O1554">
        <v>0</v>
      </c>
      <c r="P1554">
        <v>0</v>
      </c>
      <c r="Q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 t="s">
        <v>36</v>
      </c>
      <c r="AC1554" t="s">
        <v>687</v>
      </c>
      <c r="AD1554" t="str">
        <f t="shared" si="48"/>
        <v>CP</v>
      </c>
      <c r="AE1554" t="str">
        <f>_xlfn.XLOOKUP(D1554,Mapping!A:A,Mapping!D:D,0,0)</f>
        <v>Bin</v>
      </c>
      <c r="AF1554" t="str">
        <f t="shared" si="49"/>
        <v>OLD</v>
      </c>
    </row>
    <row r="1555" spans="1:32" x14ac:dyDescent="0.2">
      <c r="A1555" t="s">
        <v>1119</v>
      </c>
      <c r="B1555" t="s">
        <v>29</v>
      </c>
      <c r="C1555">
        <v>1012750972</v>
      </c>
      <c r="D1555" t="s">
        <v>566</v>
      </c>
      <c r="E1555" t="s">
        <v>31</v>
      </c>
      <c r="F1555" s="1">
        <v>0.67291666666666672</v>
      </c>
      <c r="G1555" t="s">
        <v>32</v>
      </c>
      <c r="H1555" t="s">
        <v>33</v>
      </c>
      <c r="I1555" t="s">
        <v>34</v>
      </c>
      <c r="J1555" t="s">
        <v>84</v>
      </c>
      <c r="K1555">
        <v>112</v>
      </c>
      <c r="L1555">
        <v>0</v>
      </c>
      <c r="M1555" t="s">
        <v>36</v>
      </c>
      <c r="N1555" t="s">
        <v>37</v>
      </c>
      <c r="O1555">
        <v>1172</v>
      </c>
      <c r="P1555">
        <v>46</v>
      </c>
      <c r="Q1555">
        <v>3.9249100000000001</v>
      </c>
      <c r="R1555">
        <v>0</v>
      </c>
      <c r="S1555">
        <v>3.34</v>
      </c>
      <c r="T1555">
        <v>2.8479999999999999</v>
      </c>
      <c r="U1555">
        <v>7.2999999999999995E-2</v>
      </c>
      <c r="V1555">
        <v>0</v>
      </c>
      <c r="W1555">
        <v>1</v>
      </c>
      <c r="X1555">
        <v>0</v>
      </c>
      <c r="Y1555" t="s">
        <v>36</v>
      </c>
      <c r="Z1555">
        <v>1172</v>
      </c>
      <c r="AA1555">
        <v>950</v>
      </c>
      <c r="AB1555">
        <v>133</v>
      </c>
      <c r="AC1555" t="s">
        <v>687</v>
      </c>
      <c r="AD1555" t="str">
        <f t="shared" si="48"/>
        <v>CP</v>
      </c>
      <c r="AE1555" t="str">
        <f>_xlfn.XLOOKUP(D1555,Mapping!A:A,Mapping!D:D,0,0)</f>
        <v>Keyword - Preroll</v>
      </c>
      <c r="AF1555" t="str">
        <f t="shared" si="49"/>
        <v>OLD</v>
      </c>
    </row>
    <row r="1556" spans="1:32" x14ac:dyDescent="0.2">
      <c r="A1556" t="s">
        <v>1119</v>
      </c>
      <c r="B1556" t="s">
        <v>29</v>
      </c>
      <c r="C1556">
        <v>1012750982</v>
      </c>
      <c r="D1556" t="s">
        <v>567</v>
      </c>
      <c r="E1556" t="s">
        <v>31</v>
      </c>
      <c r="F1556" s="1">
        <v>0.67291666666666672</v>
      </c>
      <c r="G1556" t="s">
        <v>32</v>
      </c>
      <c r="H1556" t="s">
        <v>33</v>
      </c>
      <c r="I1556" t="s">
        <v>41</v>
      </c>
      <c r="J1556" t="s">
        <v>62</v>
      </c>
      <c r="K1556">
        <v>280</v>
      </c>
      <c r="L1556">
        <v>0</v>
      </c>
      <c r="M1556" t="s">
        <v>63</v>
      </c>
      <c r="N1556">
        <v>250</v>
      </c>
      <c r="O1556">
        <v>443</v>
      </c>
      <c r="P1556">
        <v>21</v>
      </c>
      <c r="Q1556">
        <v>4.7404099999999998</v>
      </c>
      <c r="R1556">
        <v>0</v>
      </c>
      <c r="S1556">
        <v>0.66</v>
      </c>
      <c r="T1556">
        <v>1.49</v>
      </c>
      <c r="U1556">
        <v>3.1E-2</v>
      </c>
      <c r="V1556">
        <v>0</v>
      </c>
      <c r="W1556">
        <v>1</v>
      </c>
      <c r="X1556">
        <v>0</v>
      </c>
      <c r="Y1556" t="s">
        <v>36</v>
      </c>
      <c r="Z1556">
        <v>443</v>
      </c>
      <c r="AA1556">
        <v>399</v>
      </c>
      <c r="AB1556">
        <v>36</v>
      </c>
      <c r="AC1556" t="s">
        <v>687</v>
      </c>
      <c r="AD1556" t="str">
        <f t="shared" si="48"/>
        <v>CP</v>
      </c>
      <c r="AE1556" t="str">
        <f>_xlfn.XLOOKUP(D1556,Mapping!A:A,Mapping!D:D,0,0)</f>
        <v>Keyword - Preroll</v>
      </c>
      <c r="AF1556" t="str">
        <f t="shared" si="49"/>
        <v>OLD</v>
      </c>
    </row>
    <row r="1557" spans="1:32" x14ac:dyDescent="0.2">
      <c r="A1557" t="s">
        <v>1119</v>
      </c>
      <c r="B1557" t="s">
        <v>39</v>
      </c>
      <c r="C1557">
        <v>1012750992</v>
      </c>
      <c r="D1557" t="s">
        <v>568</v>
      </c>
      <c r="E1557" t="s">
        <v>31</v>
      </c>
      <c r="F1557" s="1">
        <v>0.67291666666666672</v>
      </c>
      <c r="G1557" t="s">
        <v>32</v>
      </c>
      <c r="H1557" t="s">
        <v>33</v>
      </c>
      <c r="I1557" t="s">
        <v>41</v>
      </c>
      <c r="J1557" t="s">
        <v>62</v>
      </c>
      <c r="K1557">
        <v>280</v>
      </c>
      <c r="L1557">
        <v>0</v>
      </c>
      <c r="M1557" t="s">
        <v>36</v>
      </c>
      <c r="N1557" t="s">
        <v>37</v>
      </c>
      <c r="O1557">
        <v>0</v>
      </c>
      <c r="P1557">
        <v>0</v>
      </c>
      <c r="Q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 t="s">
        <v>36</v>
      </c>
      <c r="AC1557" t="s">
        <v>687</v>
      </c>
      <c r="AD1557" t="str">
        <f t="shared" ref="AD1557:AD1620" si="50">LEFT(D1557,2)</f>
        <v>CP</v>
      </c>
      <c r="AE1557" t="str">
        <f>_xlfn.XLOOKUP(D1557,Mapping!A:A,Mapping!D:D,0,0)</f>
        <v>Bin</v>
      </c>
      <c r="AF1557" t="str">
        <f t="shared" ref="AF1557:AF1620" si="51">IFERROR(IF(SEARCH("_TJ",D1557)&gt;0,"TJ",NA()),IFERROR(IF(SEARCH("_JB",D1557)&gt;0,"JB",NA()),"OLD"))</f>
        <v>OLD</v>
      </c>
    </row>
    <row r="1558" spans="1:32" x14ac:dyDescent="0.2">
      <c r="A1558" t="s">
        <v>1119</v>
      </c>
      <c r="B1558" t="s">
        <v>39</v>
      </c>
      <c r="C1558">
        <v>1012751002</v>
      </c>
      <c r="D1558" t="s">
        <v>569</v>
      </c>
      <c r="E1558" t="s">
        <v>31</v>
      </c>
      <c r="F1558" s="1">
        <v>0.67291666666666672</v>
      </c>
      <c r="G1558" t="s">
        <v>32</v>
      </c>
      <c r="H1558" t="s">
        <v>33</v>
      </c>
      <c r="I1558" t="s">
        <v>41</v>
      </c>
      <c r="J1558" t="s">
        <v>62</v>
      </c>
      <c r="K1558">
        <v>280</v>
      </c>
      <c r="L1558">
        <v>0</v>
      </c>
      <c r="M1558" t="s">
        <v>63</v>
      </c>
      <c r="N1558">
        <v>250</v>
      </c>
      <c r="O1558">
        <v>0</v>
      </c>
      <c r="P1558">
        <v>0</v>
      </c>
      <c r="Q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 t="s">
        <v>36</v>
      </c>
      <c r="AC1558" t="s">
        <v>687</v>
      </c>
      <c r="AD1558" t="str">
        <f t="shared" si="50"/>
        <v>CP</v>
      </c>
      <c r="AE1558" t="str">
        <f>_xlfn.XLOOKUP(D1558,Mapping!A:A,Mapping!D:D,0,0)</f>
        <v>Bin</v>
      </c>
      <c r="AF1558" t="str">
        <f t="shared" si="51"/>
        <v>OLD</v>
      </c>
    </row>
    <row r="1559" spans="1:32" x14ac:dyDescent="0.2">
      <c r="A1559" t="s">
        <v>1119</v>
      </c>
      <c r="B1559" t="s">
        <v>39</v>
      </c>
      <c r="C1559">
        <v>1012751012</v>
      </c>
      <c r="D1559" t="s">
        <v>570</v>
      </c>
      <c r="E1559" t="s">
        <v>31</v>
      </c>
      <c r="F1559" s="1">
        <v>0.67291666666666672</v>
      </c>
      <c r="G1559" t="s">
        <v>32</v>
      </c>
      <c r="H1559" t="s">
        <v>33</v>
      </c>
      <c r="I1559" t="s">
        <v>41</v>
      </c>
      <c r="J1559" t="s">
        <v>62</v>
      </c>
      <c r="K1559">
        <v>280</v>
      </c>
      <c r="L1559">
        <v>0</v>
      </c>
      <c r="M1559" t="s">
        <v>63</v>
      </c>
      <c r="N1559">
        <v>250</v>
      </c>
      <c r="O1559">
        <v>0</v>
      </c>
      <c r="P1559">
        <v>0</v>
      </c>
      <c r="Q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 t="s">
        <v>36</v>
      </c>
      <c r="AC1559" t="s">
        <v>687</v>
      </c>
      <c r="AD1559" t="str">
        <f t="shared" si="50"/>
        <v>CP</v>
      </c>
      <c r="AE1559" t="str">
        <f>_xlfn.XLOOKUP(D1559,Mapping!A:A,Mapping!D:D,0,0)</f>
        <v>Bin</v>
      </c>
      <c r="AF1559" t="str">
        <f t="shared" si="51"/>
        <v>OLD</v>
      </c>
    </row>
    <row r="1560" spans="1:32" x14ac:dyDescent="0.2">
      <c r="A1560" t="s">
        <v>1119</v>
      </c>
      <c r="B1560" t="s">
        <v>29</v>
      </c>
      <c r="C1560">
        <v>1012751022</v>
      </c>
      <c r="D1560" t="s">
        <v>571</v>
      </c>
      <c r="E1560" t="s">
        <v>31</v>
      </c>
      <c r="F1560" s="1">
        <v>0.67291666666666672</v>
      </c>
      <c r="G1560" t="s">
        <v>32</v>
      </c>
      <c r="H1560" t="s">
        <v>33</v>
      </c>
      <c r="I1560" t="s">
        <v>34</v>
      </c>
      <c r="J1560" t="s">
        <v>84</v>
      </c>
      <c r="K1560">
        <v>112</v>
      </c>
      <c r="L1560">
        <v>0</v>
      </c>
      <c r="M1560" t="s">
        <v>36</v>
      </c>
      <c r="N1560" t="s">
        <v>37</v>
      </c>
      <c r="O1560">
        <v>6090</v>
      </c>
      <c r="P1560">
        <v>241</v>
      </c>
      <c r="Q1560">
        <v>3.9573100000000001</v>
      </c>
      <c r="R1560">
        <v>0</v>
      </c>
      <c r="S1560">
        <v>17.940000000000001</v>
      </c>
      <c r="T1560">
        <v>2.9460000000000002</v>
      </c>
      <c r="U1560">
        <v>7.3999999999999996E-2</v>
      </c>
      <c r="V1560">
        <v>0</v>
      </c>
      <c r="W1560">
        <v>1</v>
      </c>
      <c r="X1560">
        <v>0</v>
      </c>
      <c r="Y1560" t="s">
        <v>36</v>
      </c>
      <c r="Z1560">
        <v>6090</v>
      </c>
      <c r="AA1560">
        <v>4965</v>
      </c>
      <c r="AB1560">
        <v>556</v>
      </c>
      <c r="AC1560" t="s">
        <v>687</v>
      </c>
      <c r="AD1560" t="str">
        <f t="shared" si="50"/>
        <v>CP</v>
      </c>
      <c r="AE1560" t="str">
        <f>_xlfn.XLOOKUP(D1560,Mapping!A:A,Mapping!D:D,0,0)</f>
        <v>Keyword - Preroll</v>
      </c>
      <c r="AF1560" t="str">
        <f t="shared" si="51"/>
        <v>OLD</v>
      </c>
    </row>
    <row r="1561" spans="1:32" x14ac:dyDescent="0.2">
      <c r="A1561" t="s">
        <v>1119</v>
      </c>
      <c r="B1561" t="s">
        <v>39</v>
      </c>
      <c r="C1561">
        <v>1012751032</v>
      </c>
      <c r="D1561" t="s">
        <v>572</v>
      </c>
      <c r="E1561" t="s">
        <v>31</v>
      </c>
      <c r="F1561" s="1">
        <v>0.67291666666666672</v>
      </c>
      <c r="G1561" t="s">
        <v>32</v>
      </c>
      <c r="H1561" t="s">
        <v>33</v>
      </c>
      <c r="I1561" t="s">
        <v>34</v>
      </c>
      <c r="J1561" t="s">
        <v>84</v>
      </c>
      <c r="K1561">
        <v>112</v>
      </c>
      <c r="L1561">
        <v>0</v>
      </c>
      <c r="M1561" t="s">
        <v>63</v>
      </c>
      <c r="N1561">
        <v>250</v>
      </c>
      <c r="O1561">
        <v>0</v>
      </c>
      <c r="P1561">
        <v>0</v>
      </c>
      <c r="Q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 t="s">
        <v>36</v>
      </c>
      <c r="AC1561" t="s">
        <v>687</v>
      </c>
      <c r="AD1561" t="str">
        <f t="shared" si="50"/>
        <v>CP</v>
      </c>
      <c r="AE1561" t="str">
        <f>_xlfn.XLOOKUP(D1561,Mapping!A:A,Mapping!D:D,0,0)</f>
        <v>Bin</v>
      </c>
      <c r="AF1561" t="str">
        <f t="shared" si="51"/>
        <v>OLD</v>
      </c>
    </row>
    <row r="1562" spans="1:32" x14ac:dyDescent="0.2">
      <c r="A1562" t="s">
        <v>1119</v>
      </c>
      <c r="B1562" t="s">
        <v>29</v>
      </c>
      <c r="C1562">
        <v>1012751042</v>
      </c>
      <c r="D1562" t="s">
        <v>573</v>
      </c>
      <c r="E1562" t="s">
        <v>31</v>
      </c>
      <c r="F1562" s="1">
        <v>0.67291666666666672</v>
      </c>
      <c r="G1562" t="s">
        <v>32</v>
      </c>
      <c r="H1562" t="s">
        <v>33</v>
      </c>
      <c r="I1562" t="s">
        <v>41</v>
      </c>
      <c r="J1562" t="s">
        <v>62</v>
      </c>
      <c r="K1562">
        <v>280</v>
      </c>
      <c r="L1562">
        <v>0</v>
      </c>
      <c r="M1562" t="s">
        <v>36</v>
      </c>
      <c r="N1562" t="s">
        <v>37</v>
      </c>
      <c r="O1562">
        <v>4500</v>
      </c>
      <c r="P1562">
        <v>183</v>
      </c>
      <c r="Q1562">
        <v>4.0666700000000002</v>
      </c>
      <c r="R1562">
        <v>0</v>
      </c>
      <c r="S1562">
        <v>7.77</v>
      </c>
      <c r="T1562">
        <v>1.726</v>
      </c>
      <c r="U1562">
        <v>4.2000000000000003E-2</v>
      </c>
      <c r="V1562">
        <v>0</v>
      </c>
      <c r="W1562">
        <v>1</v>
      </c>
      <c r="X1562">
        <v>0</v>
      </c>
      <c r="Y1562" t="s">
        <v>36</v>
      </c>
      <c r="Z1562">
        <v>4500</v>
      </c>
      <c r="AA1562">
        <v>4029</v>
      </c>
      <c r="AB1562">
        <v>351</v>
      </c>
      <c r="AC1562" t="s">
        <v>687</v>
      </c>
      <c r="AD1562" t="str">
        <f t="shared" si="50"/>
        <v>CP</v>
      </c>
      <c r="AE1562" t="str">
        <f>_xlfn.XLOOKUP(D1562,Mapping!A:A,Mapping!D:D,0,0)</f>
        <v>Keyword - Preroll</v>
      </c>
      <c r="AF1562" t="str">
        <f t="shared" si="51"/>
        <v>OLD</v>
      </c>
    </row>
    <row r="1563" spans="1:32" x14ac:dyDescent="0.2">
      <c r="A1563" t="s">
        <v>1119</v>
      </c>
      <c r="B1563" t="s">
        <v>39</v>
      </c>
      <c r="C1563">
        <v>1012751052</v>
      </c>
      <c r="D1563" t="s">
        <v>574</v>
      </c>
      <c r="E1563" t="s">
        <v>31</v>
      </c>
      <c r="F1563" s="1">
        <v>0.67291666666666672</v>
      </c>
      <c r="G1563" t="s">
        <v>32</v>
      </c>
      <c r="H1563" t="s">
        <v>33</v>
      </c>
      <c r="I1563" t="s">
        <v>41</v>
      </c>
      <c r="J1563" t="s">
        <v>62</v>
      </c>
      <c r="K1563">
        <v>280</v>
      </c>
      <c r="L1563">
        <v>0</v>
      </c>
      <c r="M1563" t="s">
        <v>63</v>
      </c>
      <c r="N1563">
        <v>250</v>
      </c>
      <c r="O1563">
        <v>0</v>
      </c>
      <c r="P1563">
        <v>0</v>
      </c>
      <c r="Q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 t="s">
        <v>36</v>
      </c>
      <c r="AC1563" t="s">
        <v>687</v>
      </c>
      <c r="AD1563" t="str">
        <f t="shared" si="50"/>
        <v>CP</v>
      </c>
      <c r="AE1563" t="str">
        <f>_xlfn.XLOOKUP(D1563,Mapping!A:A,Mapping!D:D,0,0)</f>
        <v>Bin</v>
      </c>
      <c r="AF1563" t="str">
        <f t="shared" si="51"/>
        <v>OLD</v>
      </c>
    </row>
    <row r="1564" spans="1:32" x14ac:dyDescent="0.2">
      <c r="A1564" t="s">
        <v>1119</v>
      </c>
      <c r="B1564" t="s">
        <v>39</v>
      </c>
      <c r="C1564">
        <v>1012751062</v>
      </c>
      <c r="D1564" t="s">
        <v>575</v>
      </c>
      <c r="E1564" t="s">
        <v>31</v>
      </c>
      <c r="F1564" s="1">
        <v>0.67291666666666672</v>
      </c>
      <c r="G1564" t="s">
        <v>32</v>
      </c>
      <c r="H1564" t="s">
        <v>33</v>
      </c>
      <c r="I1564" t="s">
        <v>41</v>
      </c>
      <c r="J1564" t="s">
        <v>62</v>
      </c>
      <c r="K1564">
        <v>280</v>
      </c>
      <c r="L1564">
        <v>0</v>
      </c>
      <c r="M1564" t="s">
        <v>63</v>
      </c>
      <c r="N1564">
        <v>250</v>
      </c>
      <c r="O1564">
        <v>0</v>
      </c>
      <c r="P1564">
        <v>0</v>
      </c>
      <c r="Q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 t="s">
        <v>36</v>
      </c>
      <c r="AC1564" t="s">
        <v>687</v>
      </c>
      <c r="AD1564" t="str">
        <f t="shared" si="50"/>
        <v>CP</v>
      </c>
      <c r="AE1564" t="str">
        <f>_xlfn.XLOOKUP(D1564,Mapping!A:A,Mapping!D:D,0,0)</f>
        <v>Bin</v>
      </c>
      <c r="AF1564" t="str">
        <f t="shared" si="51"/>
        <v>OLD</v>
      </c>
    </row>
    <row r="1565" spans="1:32" x14ac:dyDescent="0.2">
      <c r="A1565" t="s">
        <v>1119</v>
      </c>
      <c r="B1565" t="s">
        <v>39</v>
      </c>
      <c r="C1565">
        <v>1012751072</v>
      </c>
      <c r="D1565" t="s">
        <v>576</v>
      </c>
      <c r="E1565" t="s">
        <v>31</v>
      </c>
      <c r="F1565" s="1">
        <v>0.67291666666666672</v>
      </c>
      <c r="G1565" t="s">
        <v>32</v>
      </c>
      <c r="H1565" t="s">
        <v>33</v>
      </c>
      <c r="I1565" t="s">
        <v>41</v>
      </c>
      <c r="J1565" t="s">
        <v>62</v>
      </c>
      <c r="K1565">
        <v>280</v>
      </c>
      <c r="L1565">
        <v>0</v>
      </c>
      <c r="M1565" t="s">
        <v>63</v>
      </c>
      <c r="N1565">
        <v>250</v>
      </c>
      <c r="O1565">
        <v>0</v>
      </c>
      <c r="P1565">
        <v>0</v>
      </c>
      <c r="Q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 t="s">
        <v>36</v>
      </c>
      <c r="AC1565" t="s">
        <v>687</v>
      </c>
      <c r="AD1565" t="str">
        <f t="shared" si="50"/>
        <v>CP</v>
      </c>
      <c r="AE1565" t="str">
        <f>_xlfn.XLOOKUP(D1565,Mapping!A:A,Mapping!D:D,0,0)</f>
        <v>Bin</v>
      </c>
      <c r="AF1565" t="str">
        <f t="shared" si="51"/>
        <v>OLD</v>
      </c>
    </row>
    <row r="1566" spans="1:32" x14ac:dyDescent="0.2">
      <c r="A1566" t="s">
        <v>1119</v>
      </c>
      <c r="B1566" t="s">
        <v>39</v>
      </c>
      <c r="C1566">
        <v>1012751082</v>
      </c>
      <c r="D1566" t="s">
        <v>577</v>
      </c>
      <c r="E1566" t="s">
        <v>31</v>
      </c>
      <c r="F1566" s="1">
        <v>0.67291666666666672</v>
      </c>
      <c r="G1566" t="s">
        <v>32</v>
      </c>
      <c r="H1566" t="s">
        <v>33</v>
      </c>
      <c r="I1566" t="s">
        <v>34</v>
      </c>
      <c r="J1566" t="s">
        <v>84</v>
      </c>
      <c r="K1566">
        <v>112</v>
      </c>
      <c r="L1566">
        <v>0</v>
      </c>
      <c r="M1566" t="s">
        <v>63</v>
      </c>
      <c r="N1566">
        <v>250</v>
      </c>
      <c r="O1566">
        <v>0</v>
      </c>
      <c r="P1566">
        <v>0</v>
      </c>
      <c r="Q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 t="s">
        <v>36</v>
      </c>
      <c r="AC1566" t="s">
        <v>687</v>
      </c>
      <c r="AD1566" t="str">
        <f t="shared" si="50"/>
        <v>CP</v>
      </c>
      <c r="AE1566" t="str">
        <f>_xlfn.XLOOKUP(D1566,Mapping!A:A,Mapping!D:D,0,0)</f>
        <v>Bin</v>
      </c>
      <c r="AF1566" t="str">
        <f t="shared" si="51"/>
        <v>OLD</v>
      </c>
    </row>
    <row r="1567" spans="1:32" x14ac:dyDescent="0.2">
      <c r="A1567" t="s">
        <v>1119</v>
      </c>
      <c r="B1567" t="s">
        <v>39</v>
      </c>
      <c r="C1567">
        <v>1012751092</v>
      </c>
      <c r="D1567" t="s">
        <v>578</v>
      </c>
      <c r="E1567" t="s">
        <v>31</v>
      </c>
      <c r="F1567" s="1">
        <v>0.67291666666666672</v>
      </c>
      <c r="G1567" t="s">
        <v>32</v>
      </c>
      <c r="H1567" t="s">
        <v>33</v>
      </c>
      <c r="I1567" t="s">
        <v>34</v>
      </c>
      <c r="J1567" t="s">
        <v>84</v>
      </c>
      <c r="K1567">
        <v>112</v>
      </c>
      <c r="L1567">
        <v>0</v>
      </c>
      <c r="M1567" t="s">
        <v>63</v>
      </c>
      <c r="N1567">
        <v>250</v>
      </c>
      <c r="O1567">
        <v>0</v>
      </c>
      <c r="P1567">
        <v>0</v>
      </c>
      <c r="Q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 t="s">
        <v>36</v>
      </c>
      <c r="AC1567" t="s">
        <v>687</v>
      </c>
      <c r="AD1567" t="str">
        <f t="shared" si="50"/>
        <v>CP</v>
      </c>
      <c r="AE1567" t="str">
        <f>_xlfn.XLOOKUP(D1567,Mapping!A:A,Mapping!D:D,0,0)</f>
        <v>Bin</v>
      </c>
      <c r="AF1567" t="str">
        <f t="shared" si="51"/>
        <v>OLD</v>
      </c>
    </row>
    <row r="1568" spans="1:32" x14ac:dyDescent="0.2">
      <c r="A1568" t="s">
        <v>1119</v>
      </c>
      <c r="B1568" t="s">
        <v>39</v>
      </c>
      <c r="C1568">
        <v>1012751102</v>
      </c>
      <c r="D1568" t="s">
        <v>579</v>
      </c>
      <c r="E1568" t="s">
        <v>31</v>
      </c>
      <c r="F1568" s="1">
        <v>0.67291666666666672</v>
      </c>
      <c r="G1568" t="s">
        <v>32</v>
      </c>
      <c r="H1568" t="s">
        <v>33</v>
      </c>
      <c r="I1568" t="s">
        <v>41</v>
      </c>
      <c r="J1568" t="s">
        <v>62</v>
      </c>
      <c r="K1568">
        <v>280</v>
      </c>
      <c r="L1568">
        <v>0</v>
      </c>
      <c r="M1568" t="s">
        <v>63</v>
      </c>
      <c r="N1568">
        <v>250</v>
      </c>
      <c r="O1568">
        <v>0</v>
      </c>
      <c r="P1568">
        <v>0</v>
      </c>
      <c r="Q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 t="s">
        <v>36</v>
      </c>
      <c r="AC1568" t="s">
        <v>687</v>
      </c>
      <c r="AD1568" t="str">
        <f t="shared" si="50"/>
        <v>CP</v>
      </c>
      <c r="AE1568" t="str">
        <f>_xlfn.XLOOKUP(D1568,Mapping!A:A,Mapping!D:D,0,0)</f>
        <v>Bin</v>
      </c>
      <c r="AF1568" t="str">
        <f t="shared" si="51"/>
        <v>OLD</v>
      </c>
    </row>
    <row r="1569" spans="1:32" x14ac:dyDescent="0.2">
      <c r="A1569" t="s">
        <v>1119</v>
      </c>
      <c r="B1569" t="s">
        <v>39</v>
      </c>
      <c r="C1569">
        <v>1012751112</v>
      </c>
      <c r="D1569" t="s">
        <v>580</v>
      </c>
      <c r="E1569" t="s">
        <v>31</v>
      </c>
      <c r="F1569" s="1">
        <v>0.67291666666666672</v>
      </c>
      <c r="G1569" t="s">
        <v>32</v>
      </c>
      <c r="H1569" t="s">
        <v>33</v>
      </c>
      <c r="I1569" t="s">
        <v>41</v>
      </c>
      <c r="J1569" t="s">
        <v>62</v>
      </c>
      <c r="K1569">
        <v>280</v>
      </c>
      <c r="L1569">
        <v>0</v>
      </c>
      <c r="M1569" t="s">
        <v>36</v>
      </c>
      <c r="N1569" t="s">
        <v>37</v>
      </c>
      <c r="O1569">
        <v>0</v>
      </c>
      <c r="P1569">
        <v>0</v>
      </c>
      <c r="Q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 t="s">
        <v>36</v>
      </c>
      <c r="AC1569" t="s">
        <v>687</v>
      </c>
      <c r="AD1569" t="str">
        <f t="shared" si="50"/>
        <v>CP</v>
      </c>
      <c r="AE1569" t="str">
        <f>_xlfn.XLOOKUP(D1569,Mapping!A:A,Mapping!D:D,0,0)</f>
        <v>Bin</v>
      </c>
      <c r="AF1569" t="str">
        <f t="shared" si="51"/>
        <v>OLD</v>
      </c>
    </row>
    <row r="1570" spans="1:32" x14ac:dyDescent="0.2">
      <c r="A1570" t="s">
        <v>1119</v>
      </c>
      <c r="B1570" t="s">
        <v>39</v>
      </c>
      <c r="C1570">
        <v>1012751332</v>
      </c>
      <c r="D1570" t="s">
        <v>581</v>
      </c>
      <c r="E1570" t="s">
        <v>31</v>
      </c>
      <c r="F1570" s="1">
        <v>0.38611111111111113</v>
      </c>
      <c r="G1570" t="s">
        <v>32</v>
      </c>
      <c r="H1570" t="s">
        <v>33</v>
      </c>
      <c r="I1570" t="s">
        <v>41</v>
      </c>
      <c r="J1570" t="s">
        <v>58</v>
      </c>
      <c r="K1570">
        <v>8</v>
      </c>
      <c r="L1570">
        <v>0</v>
      </c>
      <c r="M1570" t="s">
        <v>36</v>
      </c>
      <c r="N1570" t="s">
        <v>37</v>
      </c>
      <c r="O1570">
        <v>0</v>
      </c>
      <c r="P1570">
        <v>0</v>
      </c>
      <c r="Q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 t="s">
        <v>36</v>
      </c>
      <c r="AC1570" t="s">
        <v>687</v>
      </c>
      <c r="AD1570" t="str">
        <f t="shared" si="50"/>
        <v>CP</v>
      </c>
      <c r="AE1570" t="str">
        <f>_xlfn.XLOOKUP(D1570,Mapping!A:A,Mapping!D:D,0,0)</f>
        <v>Bin</v>
      </c>
      <c r="AF1570" t="str">
        <f t="shared" si="51"/>
        <v>OLD</v>
      </c>
    </row>
    <row r="1571" spans="1:32" x14ac:dyDescent="0.2">
      <c r="A1571" t="s">
        <v>1119</v>
      </c>
      <c r="B1571" t="s">
        <v>39</v>
      </c>
      <c r="C1571">
        <v>1012751342</v>
      </c>
      <c r="D1571" t="s">
        <v>582</v>
      </c>
      <c r="E1571" t="s">
        <v>31</v>
      </c>
      <c r="F1571" s="1">
        <v>0.67291666666666672</v>
      </c>
      <c r="G1571" t="s">
        <v>32</v>
      </c>
      <c r="H1571" t="s">
        <v>33</v>
      </c>
      <c r="I1571" t="s">
        <v>34</v>
      </c>
      <c r="J1571" t="s">
        <v>84</v>
      </c>
      <c r="K1571">
        <v>112</v>
      </c>
      <c r="L1571">
        <v>0</v>
      </c>
      <c r="M1571" t="s">
        <v>36</v>
      </c>
      <c r="N1571" t="s">
        <v>37</v>
      </c>
      <c r="O1571">
        <v>0</v>
      </c>
      <c r="P1571">
        <v>0</v>
      </c>
      <c r="Q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 t="s">
        <v>36</v>
      </c>
      <c r="AC1571" t="s">
        <v>687</v>
      </c>
      <c r="AD1571" t="str">
        <f t="shared" si="50"/>
        <v>CP</v>
      </c>
      <c r="AE1571" t="str">
        <f>_xlfn.XLOOKUP(D1571,Mapping!A:A,Mapping!D:D,0,0)</f>
        <v>Archive</v>
      </c>
      <c r="AF1571" t="str">
        <f t="shared" si="51"/>
        <v>OLD</v>
      </c>
    </row>
    <row r="1572" spans="1:32" x14ac:dyDescent="0.2">
      <c r="A1572" t="s">
        <v>1119</v>
      </c>
      <c r="B1572" t="s">
        <v>39</v>
      </c>
      <c r="C1572">
        <v>1012751352</v>
      </c>
      <c r="D1572" t="s">
        <v>583</v>
      </c>
      <c r="E1572" t="s">
        <v>31</v>
      </c>
      <c r="F1572" s="1">
        <v>0.38611111111111113</v>
      </c>
      <c r="G1572" t="s">
        <v>32</v>
      </c>
      <c r="H1572" t="s">
        <v>33</v>
      </c>
      <c r="I1572" t="s">
        <v>41</v>
      </c>
      <c r="J1572" t="s">
        <v>58</v>
      </c>
      <c r="K1572">
        <v>8</v>
      </c>
      <c r="L1572">
        <v>0</v>
      </c>
      <c r="M1572" t="s">
        <v>36</v>
      </c>
      <c r="N1572" t="s">
        <v>37</v>
      </c>
      <c r="O1572">
        <v>0</v>
      </c>
      <c r="P1572">
        <v>0</v>
      </c>
      <c r="Q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 t="s">
        <v>36</v>
      </c>
      <c r="AC1572" t="s">
        <v>687</v>
      </c>
      <c r="AD1572" t="str">
        <f t="shared" si="50"/>
        <v>CP</v>
      </c>
      <c r="AE1572" t="str">
        <f>_xlfn.XLOOKUP(D1572,Mapping!A:A,Mapping!D:D,0,0)</f>
        <v>Bin</v>
      </c>
      <c r="AF1572" t="str">
        <f t="shared" si="51"/>
        <v>OLD</v>
      </c>
    </row>
    <row r="1573" spans="1:32" x14ac:dyDescent="0.2">
      <c r="A1573" t="s">
        <v>1119</v>
      </c>
      <c r="B1573" t="s">
        <v>39</v>
      </c>
      <c r="C1573">
        <v>1012769582</v>
      </c>
      <c r="D1573" t="s">
        <v>584</v>
      </c>
      <c r="E1573" t="s">
        <v>31</v>
      </c>
      <c r="F1573" t="s">
        <v>246</v>
      </c>
      <c r="G1573" t="s">
        <v>247</v>
      </c>
      <c r="H1573" t="s">
        <v>33</v>
      </c>
      <c r="I1573" t="s">
        <v>41</v>
      </c>
      <c r="J1573" t="s">
        <v>84</v>
      </c>
      <c r="K1573">
        <v>416</v>
      </c>
      <c r="L1573">
        <v>0</v>
      </c>
      <c r="M1573" t="s">
        <v>63</v>
      </c>
      <c r="N1573">
        <v>150</v>
      </c>
      <c r="O1573">
        <v>0</v>
      </c>
      <c r="P1573">
        <v>0</v>
      </c>
      <c r="Q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 t="s">
        <v>36</v>
      </c>
      <c r="AC1573" t="s">
        <v>687</v>
      </c>
      <c r="AD1573" t="str">
        <f t="shared" si="50"/>
        <v>CP</v>
      </c>
      <c r="AE1573" t="str">
        <f>_xlfn.XLOOKUP(D1573,Mapping!A:A,Mapping!D:D,0,0)</f>
        <v>Bin</v>
      </c>
      <c r="AF1573" t="str">
        <f t="shared" si="51"/>
        <v>OLD</v>
      </c>
    </row>
    <row r="1574" spans="1:32" x14ac:dyDescent="0.2">
      <c r="A1574" t="s">
        <v>1119</v>
      </c>
      <c r="B1574" t="s">
        <v>39</v>
      </c>
      <c r="C1574">
        <v>1012769592</v>
      </c>
      <c r="D1574" t="s">
        <v>245</v>
      </c>
      <c r="E1574" t="s">
        <v>31</v>
      </c>
      <c r="F1574" t="s">
        <v>246</v>
      </c>
      <c r="G1574" t="s">
        <v>247</v>
      </c>
      <c r="H1574" t="s">
        <v>33</v>
      </c>
      <c r="I1574" t="s">
        <v>41</v>
      </c>
      <c r="J1574" t="s">
        <v>84</v>
      </c>
      <c r="K1574">
        <v>416</v>
      </c>
      <c r="L1574">
        <v>0</v>
      </c>
      <c r="M1574" t="s">
        <v>36</v>
      </c>
      <c r="N1574" t="s">
        <v>37</v>
      </c>
      <c r="O1574">
        <v>0</v>
      </c>
      <c r="P1574">
        <v>0</v>
      </c>
      <c r="Q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 t="s">
        <v>36</v>
      </c>
      <c r="AC1574" t="s">
        <v>687</v>
      </c>
      <c r="AD1574" t="str">
        <f t="shared" si="50"/>
        <v>CP</v>
      </c>
      <c r="AE1574" t="str">
        <f>_xlfn.XLOOKUP(D1574,Mapping!A:A,Mapping!D:D,0,0)</f>
        <v>Bin</v>
      </c>
      <c r="AF1574" t="str">
        <f t="shared" si="51"/>
        <v>OLD</v>
      </c>
    </row>
    <row r="1575" spans="1:32" x14ac:dyDescent="0.2">
      <c r="A1575" t="s">
        <v>1119</v>
      </c>
      <c r="B1575" t="s">
        <v>39</v>
      </c>
      <c r="C1575">
        <v>1012769602</v>
      </c>
      <c r="D1575" t="s">
        <v>585</v>
      </c>
      <c r="E1575" t="s">
        <v>31</v>
      </c>
      <c r="F1575" t="s">
        <v>246</v>
      </c>
      <c r="G1575" t="s">
        <v>247</v>
      </c>
      <c r="H1575" t="s">
        <v>33</v>
      </c>
      <c r="I1575" t="s">
        <v>41</v>
      </c>
      <c r="J1575" t="s">
        <v>84</v>
      </c>
      <c r="K1575">
        <v>416</v>
      </c>
      <c r="L1575">
        <v>0</v>
      </c>
      <c r="M1575" t="s">
        <v>63</v>
      </c>
      <c r="N1575">
        <v>150</v>
      </c>
      <c r="O1575">
        <v>0</v>
      </c>
      <c r="P1575">
        <v>0</v>
      </c>
      <c r="Q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 t="s">
        <v>36</v>
      </c>
      <c r="AC1575" t="s">
        <v>687</v>
      </c>
      <c r="AD1575" t="str">
        <f t="shared" si="50"/>
        <v>CP</v>
      </c>
      <c r="AE1575" t="str">
        <f>_xlfn.XLOOKUP(D1575,Mapping!A:A,Mapping!D:D,0,0)</f>
        <v>Bin</v>
      </c>
      <c r="AF1575" t="str">
        <f t="shared" si="51"/>
        <v>OLD</v>
      </c>
    </row>
    <row r="1576" spans="1:32" x14ac:dyDescent="0.2">
      <c r="A1576" t="s">
        <v>1119</v>
      </c>
      <c r="B1576" t="s">
        <v>39</v>
      </c>
      <c r="C1576">
        <v>1012769612</v>
      </c>
      <c r="D1576" t="s">
        <v>586</v>
      </c>
      <c r="E1576" t="s">
        <v>31</v>
      </c>
      <c r="F1576" t="s">
        <v>246</v>
      </c>
      <c r="G1576" t="s">
        <v>247</v>
      </c>
      <c r="H1576" t="s">
        <v>33</v>
      </c>
      <c r="I1576" t="s">
        <v>41</v>
      </c>
      <c r="J1576" t="s">
        <v>84</v>
      </c>
      <c r="K1576">
        <v>416</v>
      </c>
      <c r="L1576">
        <v>0</v>
      </c>
      <c r="M1576" t="s">
        <v>36</v>
      </c>
      <c r="N1576" t="s">
        <v>37</v>
      </c>
      <c r="O1576">
        <v>0</v>
      </c>
      <c r="P1576">
        <v>0</v>
      </c>
      <c r="Q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 t="s">
        <v>36</v>
      </c>
      <c r="AC1576" t="s">
        <v>687</v>
      </c>
      <c r="AD1576" t="str">
        <f t="shared" si="50"/>
        <v>CP</v>
      </c>
      <c r="AE1576" t="str">
        <f>_xlfn.XLOOKUP(D1576,Mapping!A:A,Mapping!D:D,0,0)</f>
        <v>Bin</v>
      </c>
      <c r="AF1576" t="str">
        <f t="shared" si="51"/>
        <v>OLD</v>
      </c>
    </row>
    <row r="1577" spans="1:32" x14ac:dyDescent="0.2">
      <c r="A1577" t="s">
        <v>1119</v>
      </c>
      <c r="B1577" t="s">
        <v>39</v>
      </c>
      <c r="C1577">
        <v>1012769622</v>
      </c>
      <c r="D1577" t="s">
        <v>587</v>
      </c>
      <c r="E1577" t="s">
        <v>31</v>
      </c>
      <c r="F1577" t="s">
        <v>246</v>
      </c>
      <c r="G1577" t="s">
        <v>247</v>
      </c>
      <c r="H1577" t="s">
        <v>33</v>
      </c>
      <c r="I1577" t="s">
        <v>41</v>
      </c>
      <c r="J1577" t="s">
        <v>84</v>
      </c>
      <c r="K1577">
        <v>416</v>
      </c>
      <c r="L1577">
        <v>0</v>
      </c>
      <c r="M1577" t="s">
        <v>63</v>
      </c>
      <c r="N1577">
        <v>150</v>
      </c>
      <c r="O1577">
        <v>0</v>
      </c>
      <c r="P1577">
        <v>0</v>
      </c>
      <c r="Q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 t="s">
        <v>36</v>
      </c>
      <c r="AC1577" t="s">
        <v>687</v>
      </c>
      <c r="AD1577" t="str">
        <f t="shared" si="50"/>
        <v>CP</v>
      </c>
      <c r="AE1577" t="str">
        <f>_xlfn.XLOOKUP(D1577,Mapping!A:A,Mapping!D:D,0,0)</f>
        <v>Bin</v>
      </c>
      <c r="AF1577" t="str">
        <f t="shared" si="51"/>
        <v>OLD</v>
      </c>
    </row>
    <row r="1578" spans="1:32" x14ac:dyDescent="0.2">
      <c r="A1578" t="s">
        <v>1119</v>
      </c>
      <c r="B1578" t="s">
        <v>39</v>
      </c>
      <c r="C1578">
        <v>1012769632</v>
      </c>
      <c r="D1578" t="s">
        <v>588</v>
      </c>
      <c r="E1578" t="s">
        <v>31</v>
      </c>
      <c r="F1578" t="s">
        <v>246</v>
      </c>
      <c r="G1578" t="s">
        <v>247</v>
      </c>
      <c r="H1578" t="s">
        <v>33</v>
      </c>
      <c r="I1578" t="s">
        <v>41</v>
      </c>
      <c r="J1578" t="s">
        <v>84</v>
      </c>
      <c r="K1578">
        <v>416</v>
      </c>
      <c r="L1578">
        <v>0</v>
      </c>
      <c r="M1578" t="s">
        <v>36</v>
      </c>
      <c r="N1578" t="s">
        <v>37</v>
      </c>
      <c r="O1578">
        <v>0</v>
      </c>
      <c r="P1578">
        <v>0</v>
      </c>
      <c r="Q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 t="s">
        <v>36</v>
      </c>
      <c r="AC1578" t="s">
        <v>687</v>
      </c>
      <c r="AD1578" t="str">
        <f t="shared" si="50"/>
        <v>CP</v>
      </c>
      <c r="AE1578" t="str">
        <f>_xlfn.XLOOKUP(D1578,Mapping!A:A,Mapping!D:D,0,0)</f>
        <v>Bin</v>
      </c>
      <c r="AF1578" t="str">
        <f t="shared" si="51"/>
        <v>OLD</v>
      </c>
    </row>
    <row r="1579" spans="1:32" x14ac:dyDescent="0.2">
      <c r="A1579" t="s">
        <v>1119</v>
      </c>
      <c r="B1579" t="s">
        <v>39</v>
      </c>
      <c r="C1579">
        <v>1012772722</v>
      </c>
      <c r="D1579" t="s">
        <v>589</v>
      </c>
      <c r="E1579" t="s">
        <v>31</v>
      </c>
      <c r="F1579" s="1">
        <v>0.67291666666666672</v>
      </c>
      <c r="G1579" t="s">
        <v>32</v>
      </c>
      <c r="H1579" t="s">
        <v>33</v>
      </c>
      <c r="I1579" t="s">
        <v>41</v>
      </c>
      <c r="J1579" t="s">
        <v>84</v>
      </c>
      <c r="K1579">
        <v>280</v>
      </c>
      <c r="L1579">
        <v>0</v>
      </c>
      <c r="M1579" t="s">
        <v>36</v>
      </c>
      <c r="N1579" t="s">
        <v>37</v>
      </c>
      <c r="O1579">
        <v>0</v>
      </c>
      <c r="P1579">
        <v>0</v>
      </c>
      <c r="Q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 t="s">
        <v>36</v>
      </c>
      <c r="AC1579" t="s">
        <v>687</v>
      </c>
      <c r="AD1579" t="str">
        <f t="shared" si="50"/>
        <v>CP</v>
      </c>
      <c r="AE1579" t="str">
        <f>_xlfn.XLOOKUP(D1579,Mapping!A:A,Mapping!D:D,0,0)</f>
        <v>Bin</v>
      </c>
      <c r="AF1579" t="str">
        <f t="shared" si="51"/>
        <v>OLD</v>
      </c>
    </row>
    <row r="1580" spans="1:32" x14ac:dyDescent="0.2">
      <c r="A1580" t="s">
        <v>1119</v>
      </c>
      <c r="B1580" t="s">
        <v>39</v>
      </c>
      <c r="C1580">
        <v>1012772732</v>
      </c>
      <c r="D1580" t="s">
        <v>590</v>
      </c>
      <c r="E1580" t="s">
        <v>31</v>
      </c>
      <c r="F1580" s="1">
        <v>0.67291666666666672</v>
      </c>
      <c r="G1580" t="s">
        <v>32</v>
      </c>
      <c r="H1580" t="s">
        <v>33</v>
      </c>
      <c r="I1580" t="s">
        <v>34</v>
      </c>
      <c r="J1580" t="s">
        <v>84</v>
      </c>
      <c r="K1580">
        <v>208</v>
      </c>
      <c r="L1580">
        <v>0</v>
      </c>
      <c r="M1580" t="s">
        <v>36</v>
      </c>
      <c r="N1580" t="s">
        <v>37</v>
      </c>
      <c r="O1580">
        <v>0</v>
      </c>
      <c r="P1580">
        <v>0</v>
      </c>
      <c r="Q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 t="s">
        <v>36</v>
      </c>
      <c r="AC1580" t="s">
        <v>687</v>
      </c>
      <c r="AD1580" t="str">
        <f t="shared" si="50"/>
        <v>CP</v>
      </c>
      <c r="AE1580" t="str">
        <f>_xlfn.XLOOKUP(D1580,Mapping!A:A,Mapping!D:D,0,0)</f>
        <v>Trans</v>
      </c>
      <c r="AF1580" t="str">
        <f t="shared" si="51"/>
        <v>OLD</v>
      </c>
    </row>
    <row r="1581" spans="1:32" x14ac:dyDescent="0.2">
      <c r="A1581" t="s">
        <v>1119</v>
      </c>
      <c r="B1581" t="s">
        <v>39</v>
      </c>
      <c r="C1581">
        <v>1012772742</v>
      </c>
      <c r="D1581" t="s">
        <v>591</v>
      </c>
      <c r="E1581" t="s">
        <v>31</v>
      </c>
      <c r="F1581" s="1">
        <v>0.67291666666666672</v>
      </c>
      <c r="G1581" t="s">
        <v>32</v>
      </c>
      <c r="H1581" t="s">
        <v>33</v>
      </c>
      <c r="I1581" t="s">
        <v>41</v>
      </c>
      <c r="J1581" t="s">
        <v>62</v>
      </c>
      <c r="K1581">
        <v>280</v>
      </c>
      <c r="L1581">
        <v>0</v>
      </c>
      <c r="M1581" t="s">
        <v>63</v>
      </c>
      <c r="N1581">
        <v>250</v>
      </c>
      <c r="O1581">
        <v>0</v>
      </c>
      <c r="P1581">
        <v>0</v>
      </c>
      <c r="Q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 t="s">
        <v>36</v>
      </c>
      <c r="AC1581" t="s">
        <v>687</v>
      </c>
      <c r="AD1581" t="str">
        <f t="shared" si="50"/>
        <v>CP</v>
      </c>
      <c r="AE1581" t="str">
        <f>_xlfn.XLOOKUP(D1581,Mapping!A:A,Mapping!D:D,0,0)</f>
        <v>Bin</v>
      </c>
      <c r="AF1581" t="str">
        <f t="shared" si="51"/>
        <v>OLD</v>
      </c>
    </row>
    <row r="1582" spans="1:32" x14ac:dyDescent="0.2">
      <c r="A1582" t="s">
        <v>1119</v>
      </c>
      <c r="B1582" t="s">
        <v>39</v>
      </c>
      <c r="C1582">
        <v>1012772752</v>
      </c>
      <c r="D1582" t="s">
        <v>592</v>
      </c>
      <c r="E1582" t="s">
        <v>31</v>
      </c>
      <c r="F1582" s="1">
        <v>0.67291666666666672</v>
      </c>
      <c r="G1582" t="s">
        <v>32</v>
      </c>
      <c r="H1582" t="s">
        <v>33</v>
      </c>
      <c r="I1582" t="s">
        <v>34</v>
      </c>
      <c r="J1582" t="s">
        <v>84</v>
      </c>
      <c r="K1582">
        <v>112</v>
      </c>
      <c r="L1582">
        <v>0</v>
      </c>
      <c r="M1582" t="s">
        <v>63</v>
      </c>
      <c r="N1582">
        <v>250</v>
      </c>
      <c r="O1582">
        <v>0</v>
      </c>
      <c r="P1582">
        <v>0</v>
      </c>
      <c r="Q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 t="s">
        <v>36</v>
      </c>
      <c r="AC1582" t="s">
        <v>687</v>
      </c>
      <c r="AD1582" t="str">
        <f t="shared" si="50"/>
        <v>CP</v>
      </c>
      <c r="AE1582" t="str">
        <f>_xlfn.XLOOKUP(D1582,Mapping!A:A,Mapping!D:D,0,0)</f>
        <v>Bin</v>
      </c>
      <c r="AF1582" t="str">
        <f t="shared" si="51"/>
        <v>OLD</v>
      </c>
    </row>
    <row r="1583" spans="1:32" x14ac:dyDescent="0.2">
      <c r="A1583" t="s">
        <v>1119</v>
      </c>
      <c r="B1583" t="s">
        <v>39</v>
      </c>
      <c r="C1583">
        <v>1012772762</v>
      </c>
      <c r="D1583" t="s">
        <v>593</v>
      </c>
      <c r="E1583" t="s">
        <v>31</v>
      </c>
      <c r="F1583" s="1">
        <v>0.67291666666666672</v>
      </c>
      <c r="G1583" t="s">
        <v>32</v>
      </c>
      <c r="H1583" t="s">
        <v>33</v>
      </c>
      <c r="I1583" t="s">
        <v>41</v>
      </c>
      <c r="J1583" t="s">
        <v>84</v>
      </c>
      <c r="K1583">
        <v>280</v>
      </c>
      <c r="L1583">
        <v>0</v>
      </c>
      <c r="M1583" t="s">
        <v>63</v>
      </c>
      <c r="N1583">
        <v>250</v>
      </c>
      <c r="O1583">
        <v>0</v>
      </c>
      <c r="P1583">
        <v>0</v>
      </c>
      <c r="Q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 t="s">
        <v>36</v>
      </c>
      <c r="AC1583" t="s">
        <v>687</v>
      </c>
      <c r="AD1583" t="str">
        <f t="shared" si="50"/>
        <v>CP</v>
      </c>
      <c r="AE1583" t="str">
        <f>_xlfn.XLOOKUP(D1583,Mapping!A:A,Mapping!D:D,0,0)</f>
        <v>Bin</v>
      </c>
      <c r="AF1583" t="str">
        <f t="shared" si="51"/>
        <v>OLD</v>
      </c>
    </row>
    <row r="1584" spans="1:32" x14ac:dyDescent="0.2">
      <c r="A1584" t="s">
        <v>1119</v>
      </c>
      <c r="B1584" t="s">
        <v>39</v>
      </c>
      <c r="C1584">
        <v>1012772772</v>
      </c>
      <c r="D1584" t="s">
        <v>594</v>
      </c>
      <c r="E1584" t="s">
        <v>31</v>
      </c>
      <c r="F1584" s="1">
        <v>0.67291666666666672</v>
      </c>
      <c r="G1584" t="s">
        <v>32</v>
      </c>
      <c r="H1584" t="s">
        <v>33</v>
      </c>
      <c r="I1584" t="s">
        <v>41</v>
      </c>
      <c r="J1584" t="s">
        <v>84</v>
      </c>
      <c r="K1584">
        <v>280</v>
      </c>
      <c r="L1584">
        <v>0</v>
      </c>
      <c r="M1584" t="s">
        <v>36</v>
      </c>
      <c r="N1584" t="s">
        <v>37</v>
      </c>
      <c r="O1584">
        <v>0</v>
      </c>
      <c r="P1584">
        <v>0</v>
      </c>
      <c r="Q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 t="s">
        <v>36</v>
      </c>
      <c r="AC1584" t="s">
        <v>687</v>
      </c>
      <c r="AD1584" t="str">
        <f t="shared" si="50"/>
        <v>CP</v>
      </c>
      <c r="AE1584" t="str">
        <f>_xlfn.XLOOKUP(D1584,Mapping!A:A,Mapping!D:D,0,0)</f>
        <v>Bin</v>
      </c>
      <c r="AF1584" t="str">
        <f t="shared" si="51"/>
        <v>OLD</v>
      </c>
    </row>
    <row r="1585" spans="1:32" x14ac:dyDescent="0.2">
      <c r="A1585" t="s">
        <v>1119</v>
      </c>
      <c r="B1585" t="s">
        <v>39</v>
      </c>
      <c r="C1585">
        <v>1012772782</v>
      </c>
      <c r="D1585" t="s">
        <v>595</v>
      </c>
      <c r="E1585" t="s">
        <v>31</v>
      </c>
      <c r="F1585" s="1">
        <v>0.67291666666666672</v>
      </c>
      <c r="G1585" t="s">
        <v>32</v>
      </c>
      <c r="H1585" t="s">
        <v>33</v>
      </c>
      <c r="I1585" t="s">
        <v>34</v>
      </c>
      <c r="J1585" t="s">
        <v>84</v>
      </c>
      <c r="K1585">
        <v>112</v>
      </c>
      <c r="L1585">
        <v>0</v>
      </c>
      <c r="M1585" t="s">
        <v>63</v>
      </c>
      <c r="N1585">
        <v>250</v>
      </c>
      <c r="O1585">
        <v>0</v>
      </c>
      <c r="P1585">
        <v>0</v>
      </c>
      <c r="Q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 t="s">
        <v>36</v>
      </c>
      <c r="AC1585" t="s">
        <v>687</v>
      </c>
      <c r="AD1585" t="str">
        <f t="shared" si="50"/>
        <v>CP</v>
      </c>
      <c r="AE1585" t="str">
        <f>_xlfn.XLOOKUP(D1585,Mapping!A:A,Mapping!D:D,0,0)</f>
        <v>Keyword - Preroll</v>
      </c>
      <c r="AF1585" t="str">
        <f t="shared" si="51"/>
        <v>OLD</v>
      </c>
    </row>
    <row r="1586" spans="1:32" x14ac:dyDescent="0.2">
      <c r="A1586" t="s">
        <v>1119</v>
      </c>
      <c r="B1586" t="s">
        <v>39</v>
      </c>
      <c r="C1586">
        <v>1012772792</v>
      </c>
      <c r="D1586" t="s">
        <v>596</v>
      </c>
      <c r="E1586" t="s">
        <v>31</v>
      </c>
      <c r="F1586" s="1">
        <v>0.67291666666666672</v>
      </c>
      <c r="G1586" t="s">
        <v>32</v>
      </c>
      <c r="H1586" t="s">
        <v>33</v>
      </c>
      <c r="I1586" t="s">
        <v>41</v>
      </c>
      <c r="J1586" t="s">
        <v>62</v>
      </c>
      <c r="K1586">
        <v>280</v>
      </c>
      <c r="L1586">
        <v>0</v>
      </c>
      <c r="M1586" t="s">
        <v>63</v>
      </c>
      <c r="N1586">
        <v>250</v>
      </c>
      <c r="O1586">
        <v>0</v>
      </c>
      <c r="P1586">
        <v>0</v>
      </c>
      <c r="Q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 t="s">
        <v>36</v>
      </c>
      <c r="AC1586" t="s">
        <v>687</v>
      </c>
      <c r="AD1586" t="str">
        <f t="shared" si="50"/>
        <v>CP</v>
      </c>
      <c r="AE1586" t="str">
        <f>_xlfn.XLOOKUP(D1586,Mapping!A:A,Mapping!D:D,0,0)</f>
        <v>Bin</v>
      </c>
      <c r="AF1586" t="str">
        <f t="shared" si="51"/>
        <v>OLD</v>
      </c>
    </row>
    <row r="1587" spans="1:32" x14ac:dyDescent="0.2">
      <c r="A1587" t="s">
        <v>1119</v>
      </c>
      <c r="B1587" t="s">
        <v>39</v>
      </c>
      <c r="C1587">
        <v>1012772802</v>
      </c>
      <c r="D1587" t="s">
        <v>597</v>
      </c>
      <c r="E1587" t="s">
        <v>31</v>
      </c>
      <c r="F1587" s="1">
        <v>0.67291666666666672</v>
      </c>
      <c r="G1587" t="s">
        <v>32</v>
      </c>
      <c r="H1587" t="s">
        <v>33</v>
      </c>
      <c r="I1587" t="s">
        <v>41</v>
      </c>
      <c r="J1587" t="s">
        <v>62</v>
      </c>
      <c r="K1587">
        <v>280</v>
      </c>
      <c r="L1587">
        <v>0</v>
      </c>
      <c r="M1587" t="s">
        <v>63</v>
      </c>
      <c r="N1587">
        <v>250</v>
      </c>
      <c r="O1587">
        <v>0</v>
      </c>
      <c r="P1587">
        <v>0</v>
      </c>
      <c r="Q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 t="s">
        <v>36</v>
      </c>
      <c r="AC1587" t="s">
        <v>687</v>
      </c>
      <c r="AD1587" t="str">
        <f t="shared" si="50"/>
        <v>CP</v>
      </c>
      <c r="AE1587" t="str">
        <f>_xlfn.XLOOKUP(D1587,Mapping!A:A,Mapping!D:D,0,0)</f>
        <v>Bin</v>
      </c>
      <c r="AF1587" t="str">
        <f t="shared" si="51"/>
        <v>OLD</v>
      </c>
    </row>
    <row r="1588" spans="1:32" x14ac:dyDescent="0.2">
      <c r="A1588" t="s">
        <v>1119</v>
      </c>
      <c r="B1588" t="s">
        <v>39</v>
      </c>
      <c r="C1588">
        <v>1012772812</v>
      </c>
      <c r="D1588" t="s">
        <v>598</v>
      </c>
      <c r="E1588" t="s">
        <v>31</v>
      </c>
      <c r="F1588" s="1">
        <v>0.67291666666666672</v>
      </c>
      <c r="G1588" t="s">
        <v>32</v>
      </c>
      <c r="H1588" t="s">
        <v>33</v>
      </c>
      <c r="I1588" t="s">
        <v>34</v>
      </c>
      <c r="J1588" t="s">
        <v>84</v>
      </c>
      <c r="K1588">
        <v>112</v>
      </c>
      <c r="L1588">
        <v>0</v>
      </c>
      <c r="M1588" t="s">
        <v>36</v>
      </c>
      <c r="N1588" t="s">
        <v>37</v>
      </c>
      <c r="O1588">
        <v>0</v>
      </c>
      <c r="P1588">
        <v>0</v>
      </c>
      <c r="Q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 t="s">
        <v>36</v>
      </c>
      <c r="AC1588" t="s">
        <v>687</v>
      </c>
      <c r="AD1588" t="str">
        <f t="shared" si="50"/>
        <v>CP</v>
      </c>
      <c r="AE1588" t="str">
        <f>_xlfn.XLOOKUP(D1588,Mapping!A:A,Mapping!D:D,0,0)</f>
        <v>Keyword - Preroll</v>
      </c>
      <c r="AF1588" t="str">
        <f t="shared" si="51"/>
        <v>OLD</v>
      </c>
    </row>
    <row r="1589" spans="1:32" x14ac:dyDescent="0.2">
      <c r="A1589" t="s">
        <v>1119</v>
      </c>
      <c r="B1589" t="s">
        <v>39</v>
      </c>
      <c r="C1589">
        <v>1012772872</v>
      </c>
      <c r="D1589" t="s">
        <v>599</v>
      </c>
      <c r="E1589" t="s">
        <v>31</v>
      </c>
      <c r="F1589" s="1">
        <v>0.67291666666666672</v>
      </c>
      <c r="G1589" t="s">
        <v>32</v>
      </c>
      <c r="H1589" t="s">
        <v>33</v>
      </c>
      <c r="I1589" t="s">
        <v>34</v>
      </c>
      <c r="J1589" t="s">
        <v>84</v>
      </c>
      <c r="K1589">
        <v>112</v>
      </c>
      <c r="L1589">
        <v>0</v>
      </c>
      <c r="M1589" t="s">
        <v>36</v>
      </c>
      <c r="N1589" t="s">
        <v>37</v>
      </c>
      <c r="O1589">
        <v>0</v>
      </c>
      <c r="P1589">
        <v>0</v>
      </c>
      <c r="Q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 t="s">
        <v>36</v>
      </c>
      <c r="AC1589" t="s">
        <v>687</v>
      </c>
      <c r="AD1589" t="str">
        <f t="shared" si="50"/>
        <v>CP</v>
      </c>
      <c r="AE1589" t="str">
        <f>_xlfn.XLOOKUP(D1589,Mapping!A:A,Mapping!D:D,0,0)</f>
        <v>Bin</v>
      </c>
      <c r="AF1589" t="str">
        <f t="shared" si="51"/>
        <v>OLD</v>
      </c>
    </row>
    <row r="1590" spans="1:32" x14ac:dyDescent="0.2">
      <c r="A1590" t="s">
        <v>1119</v>
      </c>
      <c r="B1590" t="s">
        <v>39</v>
      </c>
      <c r="C1590">
        <v>1012772882</v>
      </c>
      <c r="D1590" t="s">
        <v>600</v>
      </c>
      <c r="E1590" t="s">
        <v>31</v>
      </c>
      <c r="F1590" s="1">
        <v>0.67291666666666672</v>
      </c>
      <c r="G1590" t="s">
        <v>32</v>
      </c>
      <c r="H1590" t="s">
        <v>33</v>
      </c>
      <c r="I1590" t="s">
        <v>41</v>
      </c>
      <c r="J1590" t="s">
        <v>62</v>
      </c>
      <c r="K1590">
        <v>280</v>
      </c>
      <c r="L1590">
        <v>0</v>
      </c>
      <c r="M1590" t="s">
        <v>63</v>
      </c>
      <c r="N1590">
        <v>250</v>
      </c>
      <c r="O1590">
        <v>0</v>
      </c>
      <c r="P1590">
        <v>0</v>
      </c>
      <c r="Q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 t="s">
        <v>36</v>
      </c>
      <c r="AC1590" t="s">
        <v>687</v>
      </c>
      <c r="AD1590" t="str">
        <f t="shared" si="50"/>
        <v>CP</v>
      </c>
      <c r="AE1590" t="str">
        <f>_xlfn.XLOOKUP(D1590,Mapping!A:A,Mapping!D:D,0,0)</f>
        <v>Bin</v>
      </c>
      <c r="AF1590" t="str">
        <f t="shared" si="51"/>
        <v>OLD</v>
      </c>
    </row>
    <row r="1591" spans="1:32" x14ac:dyDescent="0.2">
      <c r="A1591" t="s">
        <v>1119</v>
      </c>
      <c r="B1591" t="s">
        <v>39</v>
      </c>
      <c r="C1591">
        <v>1012772892</v>
      </c>
      <c r="D1591" t="s">
        <v>601</v>
      </c>
      <c r="E1591" t="s">
        <v>31</v>
      </c>
      <c r="F1591" s="1">
        <v>0.67291666666666672</v>
      </c>
      <c r="G1591" t="s">
        <v>32</v>
      </c>
      <c r="H1591" t="s">
        <v>33</v>
      </c>
      <c r="I1591" t="s">
        <v>41</v>
      </c>
      <c r="J1591" t="s">
        <v>84</v>
      </c>
      <c r="K1591">
        <v>280</v>
      </c>
      <c r="L1591">
        <v>0</v>
      </c>
      <c r="M1591" t="s">
        <v>63</v>
      </c>
      <c r="N1591">
        <v>250</v>
      </c>
      <c r="O1591">
        <v>0</v>
      </c>
      <c r="P1591">
        <v>0</v>
      </c>
      <c r="Q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 t="s">
        <v>36</v>
      </c>
      <c r="AC1591" t="s">
        <v>687</v>
      </c>
      <c r="AD1591" t="str">
        <f t="shared" si="50"/>
        <v>CP</v>
      </c>
      <c r="AE1591" t="str">
        <f>_xlfn.XLOOKUP(D1591,Mapping!A:A,Mapping!D:D,0,0)</f>
        <v>Bin</v>
      </c>
      <c r="AF1591" t="str">
        <f t="shared" si="51"/>
        <v>OLD</v>
      </c>
    </row>
    <row r="1592" spans="1:32" x14ac:dyDescent="0.2">
      <c r="A1592" t="s">
        <v>1119</v>
      </c>
      <c r="B1592" t="s">
        <v>39</v>
      </c>
      <c r="C1592">
        <v>1012772902</v>
      </c>
      <c r="D1592" t="s">
        <v>602</v>
      </c>
      <c r="E1592" t="s">
        <v>31</v>
      </c>
      <c r="F1592" s="1">
        <v>0.67291666666666672</v>
      </c>
      <c r="G1592" t="s">
        <v>32</v>
      </c>
      <c r="H1592" t="s">
        <v>33</v>
      </c>
      <c r="I1592" t="s">
        <v>41</v>
      </c>
      <c r="J1592" t="s">
        <v>84</v>
      </c>
      <c r="K1592">
        <v>280</v>
      </c>
      <c r="L1592">
        <v>0</v>
      </c>
      <c r="M1592" t="s">
        <v>63</v>
      </c>
      <c r="N1592">
        <v>250</v>
      </c>
      <c r="O1592">
        <v>0</v>
      </c>
      <c r="P1592">
        <v>0</v>
      </c>
      <c r="Q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 t="s">
        <v>36</v>
      </c>
      <c r="AC1592" t="s">
        <v>687</v>
      </c>
      <c r="AD1592" t="str">
        <f t="shared" si="50"/>
        <v>CP</v>
      </c>
      <c r="AE1592" t="str">
        <f>_xlfn.XLOOKUP(D1592,Mapping!A:A,Mapping!D:D,0,0)</f>
        <v>Bin</v>
      </c>
      <c r="AF1592" t="str">
        <f t="shared" si="51"/>
        <v>OLD</v>
      </c>
    </row>
    <row r="1593" spans="1:32" x14ac:dyDescent="0.2">
      <c r="A1593" t="s">
        <v>1119</v>
      </c>
      <c r="B1593" t="s">
        <v>39</v>
      </c>
      <c r="C1593">
        <v>1012772912</v>
      </c>
      <c r="D1593" t="s">
        <v>603</v>
      </c>
      <c r="E1593" t="s">
        <v>31</v>
      </c>
      <c r="F1593" s="1">
        <v>0.67291666666666672</v>
      </c>
      <c r="G1593" t="s">
        <v>32</v>
      </c>
      <c r="H1593" t="s">
        <v>33</v>
      </c>
      <c r="I1593" t="s">
        <v>34</v>
      </c>
      <c r="J1593" t="s">
        <v>84</v>
      </c>
      <c r="K1593">
        <v>112</v>
      </c>
      <c r="L1593">
        <v>0</v>
      </c>
      <c r="M1593" t="s">
        <v>36</v>
      </c>
      <c r="N1593" t="s">
        <v>37</v>
      </c>
      <c r="O1593">
        <v>0</v>
      </c>
      <c r="P1593">
        <v>0</v>
      </c>
      <c r="Q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 t="s">
        <v>36</v>
      </c>
      <c r="AC1593" t="s">
        <v>687</v>
      </c>
      <c r="AD1593" t="str">
        <f t="shared" si="50"/>
        <v>CP</v>
      </c>
      <c r="AE1593" t="str">
        <f>_xlfn.XLOOKUP(D1593,Mapping!A:A,Mapping!D:D,0,0)</f>
        <v>Bin</v>
      </c>
      <c r="AF1593" t="str">
        <f t="shared" si="51"/>
        <v>OLD</v>
      </c>
    </row>
    <row r="1594" spans="1:32" x14ac:dyDescent="0.2">
      <c r="A1594" t="s">
        <v>1119</v>
      </c>
      <c r="B1594" t="s">
        <v>39</v>
      </c>
      <c r="C1594">
        <v>1012772922</v>
      </c>
      <c r="D1594" t="s">
        <v>604</v>
      </c>
      <c r="E1594" t="s">
        <v>31</v>
      </c>
      <c r="F1594" s="1">
        <v>0.67291666666666672</v>
      </c>
      <c r="G1594" t="s">
        <v>32</v>
      </c>
      <c r="H1594" t="s">
        <v>33</v>
      </c>
      <c r="I1594" t="s">
        <v>41</v>
      </c>
      <c r="J1594" t="s">
        <v>62</v>
      </c>
      <c r="K1594">
        <v>280</v>
      </c>
      <c r="L1594">
        <v>0</v>
      </c>
      <c r="M1594" t="s">
        <v>63</v>
      </c>
      <c r="N1594">
        <v>250</v>
      </c>
      <c r="O1594">
        <v>0</v>
      </c>
      <c r="P1594">
        <v>0</v>
      </c>
      <c r="Q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 t="s">
        <v>36</v>
      </c>
      <c r="AC1594" t="s">
        <v>687</v>
      </c>
      <c r="AD1594" t="str">
        <f t="shared" si="50"/>
        <v>CP</v>
      </c>
      <c r="AE1594" t="str">
        <f>_xlfn.XLOOKUP(D1594,Mapping!A:A,Mapping!D:D,0,0)</f>
        <v>Bin</v>
      </c>
      <c r="AF1594" t="str">
        <f t="shared" si="51"/>
        <v>OLD</v>
      </c>
    </row>
    <row r="1595" spans="1:32" x14ac:dyDescent="0.2">
      <c r="A1595" t="s">
        <v>1119</v>
      </c>
      <c r="B1595" t="s">
        <v>39</v>
      </c>
      <c r="C1595">
        <v>1012772932</v>
      </c>
      <c r="D1595" t="s">
        <v>605</v>
      </c>
      <c r="E1595" t="s">
        <v>31</v>
      </c>
      <c r="F1595" s="1">
        <v>0.67291666666666672</v>
      </c>
      <c r="G1595" t="s">
        <v>32</v>
      </c>
      <c r="H1595" t="s">
        <v>33</v>
      </c>
      <c r="I1595" t="s">
        <v>34</v>
      </c>
      <c r="J1595" t="s">
        <v>84</v>
      </c>
      <c r="K1595">
        <v>112</v>
      </c>
      <c r="L1595">
        <v>0</v>
      </c>
      <c r="M1595" t="s">
        <v>36</v>
      </c>
      <c r="N1595" t="s">
        <v>37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1.236</v>
      </c>
      <c r="U1595">
        <v>0</v>
      </c>
      <c r="V1595">
        <v>0</v>
      </c>
      <c r="W1595">
        <v>1</v>
      </c>
      <c r="X1595">
        <v>0</v>
      </c>
      <c r="Y1595" t="s">
        <v>36</v>
      </c>
      <c r="Z1595">
        <v>1</v>
      </c>
      <c r="AA1595">
        <v>1</v>
      </c>
      <c r="AB1595">
        <v>0</v>
      </c>
      <c r="AC1595" t="s">
        <v>687</v>
      </c>
      <c r="AD1595" t="str">
        <f t="shared" si="50"/>
        <v>CP</v>
      </c>
      <c r="AE1595" t="str">
        <f>_xlfn.XLOOKUP(D1595,Mapping!A:A,Mapping!D:D,0,0)</f>
        <v>Keyword - Preroll</v>
      </c>
      <c r="AF1595" t="str">
        <f t="shared" si="51"/>
        <v>OLD</v>
      </c>
    </row>
    <row r="1596" spans="1:32" x14ac:dyDescent="0.2">
      <c r="A1596" t="s">
        <v>1119</v>
      </c>
      <c r="B1596" t="s">
        <v>39</v>
      </c>
      <c r="C1596">
        <v>1012772942</v>
      </c>
      <c r="D1596" t="s">
        <v>607</v>
      </c>
      <c r="E1596" t="s">
        <v>31</v>
      </c>
      <c r="F1596" s="1">
        <v>0.67291666666666672</v>
      </c>
      <c r="G1596" t="s">
        <v>32</v>
      </c>
      <c r="H1596" t="s">
        <v>33</v>
      </c>
      <c r="I1596" t="s">
        <v>34</v>
      </c>
      <c r="J1596" t="s">
        <v>84</v>
      </c>
      <c r="K1596">
        <v>112</v>
      </c>
      <c r="L1596">
        <v>0</v>
      </c>
      <c r="M1596" t="s">
        <v>36</v>
      </c>
      <c r="N1596" t="s">
        <v>37</v>
      </c>
      <c r="O1596">
        <v>0</v>
      </c>
      <c r="P1596">
        <v>0</v>
      </c>
      <c r="Q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 t="s">
        <v>36</v>
      </c>
      <c r="AC1596" t="s">
        <v>687</v>
      </c>
      <c r="AD1596" t="str">
        <f t="shared" si="50"/>
        <v>CP</v>
      </c>
      <c r="AE1596" t="str">
        <f>_xlfn.XLOOKUP(D1596,Mapping!A:A,Mapping!D:D,0,0)</f>
        <v>Archive</v>
      </c>
      <c r="AF1596" t="str">
        <f t="shared" si="51"/>
        <v>OLD</v>
      </c>
    </row>
    <row r="1597" spans="1:32" x14ac:dyDescent="0.2">
      <c r="A1597" t="s">
        <v>1119</v>
      </c>
      <c r="B1597" t="s">
        <v>39</v>
      </c>
      <c r="C1597">
        <v>1012772952</v>
      </c>
      <c r="D1597" t="s">
        <v>608</v>
      </c>
      <c r="E1597" t="s">
        <v>31</v>
      </c>
      <c r="F1597" s="1">
        <v>0.67291666666666672</v>
      </c>
      <c r="G1597" t="s">
        <v>32</v>
      </c>
      <c r="H1597" t="s">
        <v>33</v>
      </c>
      <c r="I1597" t="s">
        <v>41</v>
      </c>
      <c r="J1597" t="s">
        <v>62</v>
      </c>
      <c r="K1597">
        <v>280</v>
      </c>
      <c r="L1597">
        <v>0</v>
      </c>
      <c r="M1597" t="s">
        <v>63</v>
      </c>
      <c r="N1597">
        <v>250</v>
      </c>
      <c r="O1597">
        <v>0</v>
      </c>
      <c r="P1597">
        <v>0</v>
      </c>
      <c r="Q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 t="s">
        <v>36</v>
      </c>
      <c r="AC1597" t="s">
        <v>687</v>
      </c>
      <c r="AD1597" t="str">
        <f t="shared" si="50"/>
        <v>CP</v>
      </c>
      <c r="AE1597" t="str">
        <f>_xlfn.XLOOKUP(D1597,Mapping!A:A,Mapping!D:D,0,0)</f>
        <v>Bin</v>
      </c>
      <c r="AF1597" t="str">
        <f t="shared" si="51"/>
        <v>OLD</v>
      </c>
    </row>
    <row r="1598" spans="1:32" x14ac:dyDescent="0.2">
      <c r="A1598" t="s">
        <v>1119</v>
      </c>
      <c r="B1598" t="s">
        <v>39</v>
      </c>
      <c r="C1598">
        <v>1012772962</v>
      </c>
      <c r="D1598" t="s">
        <v>609</v>
      </c>
      <c r="E1598" t="s">
        <v>31</v>
      </c>
      <c r="F1598" s="1">
        <v>0.67291666666666672</v>
      </c>
      <c r="G1598" t="s">
        <v>32</v>
      </c>
      <c r="H1598" t="s">
        <v>33</v>
      </c>
      <c r="I1598" t="s">
        <v>41</v>
      </c>
      <c r="J1598" t="s">
        <v>62</v>
      </c>
      <c r="K1598">
        <v>280</v>
      </c>
      <c r="L1598">
        <v>0</v>
      </c>
      <c r="M1598" t="s">
        <v>63</v>
      </c>
      <c r="N1598">
        <v>250</v>
      </c>
      <c r="O1598">
        <v>0</v>
      </c>
      <c r="P1598">
        <v>0</v>
      </c>
      <c r="Q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 t="s">
        <v>36</v>
      </c>
      <c r="AC1598" t="s">
        <v>687</v>
      </c>
      <c r="AD1598" t="str">
        <f t="shared" si="50"/>
        <v>CP</v>
      </c>
      <c r="AE1598" t="str">
        <f>_xlfn.XLOOKUP(D1598,Mapping!A:A,Mapping!D:D,0,0)</f>
        <v>Bin</v>
      </c>
      <c r="AF1598" t="str">
        <f t="shared" si="51"/>
        <v>OLD</v>
      </c>
    </row>
    <row r="1599" spans="1:32" x14ac:dyDescent="0.2">
      <c r="A1599" t="s">
        <v>1119</v>
      </c>
      <c r="B1599" t="s">
        <v>39</v>
      </c>
      <c r="C1599">
        <v>1012772972</v>
      </c>
      <c r="D1599" t="s">
        <v>610</v>
      </c>
      <c r="E1599" t="s">
        <v>31</v>
      </c>
      <c r="F1599" s="1">
        <v>0.67291666666666672</v>
      </c>
      <c r="G1599" t="s">
        <v>32</v>
      </c>
      <c r="H1599" t="s">
        <v>33</v>
      </c>
      <c r="I1599" t="s">
        <v>41</v>
      </c>
      <c r="J1599" t="s">
        <v>62</v>
      </c>
      <c r="K1599">
        <v>280</v>
      </c>
      <c r="L1599">
        <v>0</v>
      </c>
      <c r="M1599" t="s">
        <v>63</v>
      </c>
      <c r="N1599">
        <v>250</v>
      </c>
      <c r="O1599">
        <v>0</v>
      </c>
      <c r="P1599">
        <v>0</v>
      </c>
      <c r="Q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 t="s">
        <v>36</v>
      </c>
      <c r="AC1599" t="s">
        <v>687</v>
      </c>
      <c r="AD1599" t="str">
        <f t="shared" si="50"/>
        <v>CP</v>
      </c>
      <c r="AE1599" t="str">
        <f>_xlfn.XLOOKUP(D1599,Mapping!A:A,Mapping!D:D,0,0)</f>
        <v>Bin</v>
      </c>
      <c r="AF1599" t="str">
        <f t="shared" si="51"/>
        <v>OLD</v>
      </c>
    </row>
    <row r="1600" spans="1:32" x14ac:dyDescent="0.2">
      <c r="A1600" t="s">
        <v>1119</v>
      </c>
      <c r="B1600" t="s">
        <v>39</v>
      </c>
      <c r="C1600">
        <v>1012772982</v>
      </c>
      <c r="D1600" t="s">
        <v>611</v>
      </c>
      <c r="E1600" t="s">
        <v>31</v>
      </c>
      <c r="F1600" s="1">
        <v>0.67291666666666672</v>
      </c>
      <c r="G1600" t="s">
        <v>32</v>
      </c>
      <c r="H1600" t="s">
        <v>33</v>
      </c>
      <c r="I1600" t="s">
        <v>41</v>
      </c>
      <c r="J1600" t="s">
        <v>62</v>
      </c>
      <c r="K1600">
        <v>280</v>
      </c>
      <c r="L1600">
        <v>0</v>
      </c>
      <c r="M1600" t="s">
        <v>36</v>
      </c>
      <c r="N1600" t="s">
        <v>37</v>
      </c>
      <c r="O1600">
        <v>0</v>
      </c>
      <c r="P1600">
        <v>0</v>
      </c>
      <c r="Q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 t="s">
        <v>36</v>
      </c>
      <c r="AC1600" t="s">
        <v>687</v>
      </c>
      <c r="AD1600" t="str">
        <f t="shared" si="50"/>
        <v>CP</v>
      </c>
      <c r="AE1600" t="str">
        <f>_xlfn.XLOOKUP(D1600,Mapping!A:A,Mapping!D:D,0,0)</f>
        <v>Bin</v>
      </c>
      <c r="AF1600" t="str">
        <f t="shared" si="51"/>
        <v>OLD</v>
      </c>
    </row>
    <row r="1601" spans="1:32" x14ac:dyDescent="0.2">
      <c r="A1601" t="s">
        <v>1119</v>
      </c>
      <c r="B1601" t="s">
        <v>39</v>
      </c>
      <c r="C1601">
        <v>1012772992</v>
      </c>
      <c r="D1601" t="s">
        <v>612</v>
      </c>
      <c r="E1601" t="s">
        <v>31</v>
      </c>
      <c r="F1601" s="1">
        <v>0.67291666666666672</v>
      </c>
      <c r="G1601" t="s">
        <v>32</v>
      </c>
      <c r="H1601" t="s">
        <v>33</v>
      </c>
      <c r="I1601" t="s">
        <v>41</v>
      </c>
      <c r="J1601" t="s">
        <v>62</v>
      </c>
      <c r="K1601">
        <v>280</v>
      </c>
      <c r="L1601">
        <v>0</v>
      </c>
      <c r="M1601" t="s">
        <v>63</v>
      </c>
      <c r="N1601">
        <v>250</v>
      </c>
      <c r="O1601">
        <v>0</v>
      </c>
      <c r="P1601">
        <v>0</v>
      </c>
      <c r="Q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 t="s">
        <v>36</v>
      </c>
      <c r="AC1601" t="s">
        <v>687</v>
      </c>
      <c r="AD1601" t="str">
        <f t="shared" si="50"/>
        <v>CP</v>
      </c>
      <c r="AE1601" t="str">
        <f>_xlfn.XLOOKUP(D1601,Mapping!A:A,Mapping!D:D,0,0)</f>
        <v>Bin</v>
      </c>
      <c r="AF1601" t="str">
        <f t="shared" si="51"/>
        <v>OLD</v>
      </c>
    </row>
    <row r="1602" spans="1:32" x14ac:dyDescent="0.2">
      <c r="A1602" t="s">
        <v>1119</v>
      </c>
      <c r="B1602" t="s">
        <v>39</v>
      </c>
      <c r="C1602">
        <v>1012773002</v>
      </c>
      <c r="D1602" t="s">
        <v>613</v>
      </c>
      <c r="E1602" t="s">
        <v>31</v>
      </c>
      <c r="F1602" s="1">
        <v>0.67291666666666672</v>
      </c>
      <c r="G1602" t="s">
        <v>32</v>
      </c>
      <c r="H1602" t="s">
        <v>33</v>
      </c>
      <c r="I1602" t="s">
        <v>41</v>
      </c>
      <c r="J1602" t="s">
        <v>62</v>
      </c>
      <c r="K1602">
        <v>280</v>
      </c>
      <c r="L1602">
        <v>0</v>
      </c>
      <c r="M1602" t="s">
        <v>36</v>
      </c>
      <c r="N1602" t="s">
        <v>37</v>
      </c>
      <c r="O1602">
        <v>0</v>
      </c>
      <c r="P1602">
        <v>0</v>
      </c>
      <c r="Q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 t="s">
        <v>36</v>
      </c>
      <c r="AC1602" t="s">
        <v>687</v>
      </c>
      <c r="AD1602" t="str">
        <f t="shared" si="50"/>
        <v>CP</v>
      </c>
      <c r="AE1602" t="str">
        <f>_xlfn.XLOOKUP(D1602,Mapping!A:A,Mapping!D:D,0,0)</f>
        <v>Bin</v>
      </c>
      <c r="AF1602" t="str">
        <f t="shared" si="51"/>
        <v>OLD</v>
      </c>
    </row>
    <row r="1603" spans="1:32" x14ac:dyDescent="0.2">
      <c r="A1603" t="s">
        <v>1119</v>
      </c>
      <c r="B1603" t="s">
        <v>39</v>
      </c>
      <c r="C1603">
        <v>1012773012</v>
      </c>
      <c r="D1603" t="s">
        <v>614</v>
      </c>
      <c r="E1603" t="s">
        <v>31</v>
      </c>
      <c r="F1603" s="1">
        <v>0.67291666666666672</v>
      </c>
      <c r="G1603" t="s">
        <v>32</v>
      </c>
      <c r="H1603" t="s">
        <v>33</v>
      </c>
      <c r="I1603" t="s">
        <v>41</v>
      </c>
      <c r="J1603" t="s">
        <v>124</v>
      </c>
      <c r="K1603">
        <v>90</v>
      </c>
      <c r="L1603">
        <v>0</v>
      </c>
      <c r="M1603" t="s">
        <v>63</v>
      </c>
      <c r="N1603">
        <v>250</v>
      </c>
      <c r="O1603">
        <v>0</v>
      </c>
      <c r="P1603">
        <v>0</v>
      </c>
      <c r="Q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 t="s">
        <v>36</v>
      </c>
      <c r="AC1603" t="s">
        <v>687</v>
      </c>
      <c r="AD1603" t="str">
        <f t="shared" si="50"/>
        <v>CP</v>
      </c>
      <c r="AE1603" t="str">
        <f>_xlfn.XLOOKUP(D1603,Mapping!A:A,Mapping!D:D,0,0)</f>
        <v>Bin</v>
      </c>
      <c r="AF1603" t="str">
        <f t="shared" si="51"/>
        <v>OLD</v>
      </c>
    </row>
    <row r="1604" spans="1:32" x14ac:dyDescent="0.2">
      <c r="A1604" t="s">
        <v>1119</v>
      </c>
      <c r="B1604" t="s">
        <v>39</v>
      </c>
      <c r="C1604">
        <v>1012773022</v>
      </c>
      <c r="D1604" t="s">
        <v>615</v>
      </c>
      <c r="E1604" t="s">
        <v>31</v>
      </c>
      <c r="F1604" s="1">
        <v>0.67291666666666672</v>
      </c>
      <c r="G1604" t="s">
        <v>32</v>
      </c>
      <c r="H1604" t="s">
        <v>33</v>
      </c>
      <c r="I1604" t="s">
        <v>41</v>
      </c>
      <c r="J1604" t="s">
        <v>84</v>
      </c>
      <c r="K1604">
        <v>280</v>
      </c>
      <c r="L1604">
        <v>0</v>
      </c>
      <c r="M1604" t="s">
        <v>63</v>
      </c>
      <c r="N1604">
        <v>250</v>
      </c>
      <c r="O1604">
        <v>0</v>
      </c>
      <c r="P1604">
        <v>0</v>
      </c>
      <c r="Q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 t="s">
        <v>36</v>
      </c>
      <c r="AC1604" t="s">
        <v>687</v>
      </c>
      <c r="AD1604" t="str">
        <f t="shared" si="50"/>
        <v>CP</v>
      </c>
      <c r="AE1604" t="str">
        <f>_xlfn.XLOOKUP(D1604,Mapping!A:A,Mapping!D:D,0,0)</f>
        <v>Bin</v>
      </c>
      <c r="AF1604" t="str">
        <f t="shared" si="51"/>
        <v>OLD</v>
      </c>
    </row>
    <row r="1605" spans="1:32" x14ac:dyDescent="0.2">
      <c r="A1605" t="s">
        <v>1119</v>
      </c>
      <c r="B1605" t="s">
        <v>39</v>
      </c>
      <c r="C1605">
        <v>1012773032</v>
      </c>
      <c r="D1605" t="s">
        <v>616</v>
      </c>
      <c r="E1605" t="s">
        <v>31</v>
      </c>
      <c r="F1605" s="1">
        <v>0.67291666666666672</v>
      </c>
      <c r="G1605" t="s">
        <v>32</v>
      </c>
      <c r="H1605" t="s">
        <v>33</v>
      </c>
      <c r="I1605" t="s">
        <v>34</v>
      </c>
      <c r="J1605" t="s">
        <v>84</v>
      </c>
      <c r="K1605">
        <v>112</v>
      </c>
      <c r="L1605">
        <v>0</v>
      </c>
      <c r="M1605" t="s">
        <v>63</v>
      </c>
      <c r="N1605">
        <v>250</v>
      </c>
      <c r="O1605">
        <v>0</v>
      </c>
      <c r="P1605">
        <v>0</v>
      </c>
      <c r="Q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 t="s">
        <v>36</v>
      </c>
      <c r="AC1605" t="s">
        <v>687</v>
      </c>
      <c r="AD1605" t="str">
        <f t="shared" si="50"/>
        <v>CP</v>
      </c>
      <c r="AE1605" t="str">
        <f>_xlfn.XLOOKUP(D1605,Mapping!A:A,Mapping!D:D,0,0)</f>
        <v>Bin</v>
      </c>
      <c r="AF1605" t="str">
        <f t="shared" si="51"/>
        <v>OLD</v>
      </c>
    </row>
    <row r="1606" spans="1:32" x14ac:dyDescent="0.2">
      <c r="A1606" t="s">
        <v>1119</v>
      </c>
      <c r="B1606" t="s">
        <v>39</v>
      </c>
      <c r="C1606">
        <v>1012773042</v>
      </c>
      <c r="D1606" t="s">
        <v>617</v>
      </c>
      <c r="E1606" t="s">
        <v>31</v>
      </c>
      <c r="F1606" s="1">
        <v>0.67291666666666672</v>
      </c>
      <c r="G1606" t="s">
        <v>32</v>
      </c>
      <c r="H1606" t="s">
        <v>33</v>
      </c>
      <c r="I1606" t="s">
        <v>41</v>
      </c>
      <c r="J1606" t="s">
        <v>62</v>
      </c>
      <c r="K1606">
        <v>280</v>
      </c>
      <c r="L1606">
        <v>0</v>
      </c>
      <c r="M1606" t="s">
        <v>36</v>
      </c>
      <c r="N1606" t="s">
        <v>37</v>
      </c>
      <c r="O1606">
        <v>0</v>
      </c>
      <c r="P1606">
        <v>0</v>
      </c>
      <c r="Q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 t="s">
        <v>36</v>
      </c>
      <c r="AC1606" t="s">
        <v>687</v>
      </c>
      <c r="AD1606" t="str">
        <f t="shared" si="50"/>
        <v>CP</v>
      </c>
      <c r="AE1606" t="str">
        <f>_xlfn.XLOOKUP(D1606,Mapping!A:A,Mapping!D:D,0,0)</f>
        <v>Hentai</v>
      </c>
      <c r="AF1606" t="str">
        <f t="shared" si="51"/>
        <v>OLD</v>
      </c>
    </row>
    <row r="1607" spans="1:32" x14ac:dyDescent="0.2">
      <c r="A1607" t="s">
        <v>1119</v>
      </c>
      <c r="B1607" t="s">
        <v>39</v>
      </c>
      <c r="C1607">
        <v>1012773052</v>
      </c>
      <c r="D1607" t="s">
        <v>619</v>
      </c>
      <c r="E1607" t="s">
        <v>31</v>
      </c>
      <c r="F1607" s="1">
        <v>0.67291666666666672</v>
      </c>
      <c r="G1607" t="s">
        <v>32</v>
      </c>
      <c r="H1607" t="s">
        <v>33</v>
      </c>
      <c r="I1607" t="s">
        <v>41</v>
      </c>
      <c r="J1607" t="s">
        <v>62</v>
      </c>
      <c r="K1607">
        <v>280</v>
      </c>
      <c r="L1607">
        <v>0</v>
      </c>
      <c r="M1607" t="s">
        <v>36</v>
      </c>
      <c r="N1607" t="s">
        <v>37</v>
      </c>
      <c r="O1607">
        <v>0</v>
      </c>
      <c r="P1607">
        <v>0</v>
      </c>
      <c r="Q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 t="s">
        <v>36</v>
      </c>
      <c r="AC1607" t="s">
        <v>687</v>
      </c>
      <c r="AD1607" t="str">
        <f t="shared" si="50"/>
        <v>CP</v>
      </c>
      <c r="AE1607" t="str">
        <f>_xlfn.XLOOKUP(D1607,Mapping!A:A,Mapping!D:D,0,0)</f>
        <v>Bin</v>
      </c>
      <c r="AF1607" t="str">
        <f t="shared" si="51"/>
        <v>OLD</v>
      </c>
    </row>
    <row r="1608" spans="1:32" x14ac:dyDescent="0.2">
      <c r="A1608" t="s">
        <v>1119</v>
      </c>
      <c r="B1608" t="s">
        <v>29</v>
      </c>
      <c r="C1608">
        <v>1012773062</v>
      </c>
      <c r="D1608" t="s">
        <v>620</v>
      </c>
      <c r="E1608" t="s">
        <v>31</v>
      </c>
      <c r="F1608" s="1">
        <v>0.67291666666666672</v>
      </c>
      <c r="G1608" t="s">
        <v>32</v>
      </c>
      <c r="H1608" t="s">
        <v>33</v>
      </c>
      <c r="I1608" t="s">
        <v>41</v>
      </c>
      <c r="J1608" t="s">
        <v>62</v>
      </c>
      <c r="K1608">
        <v>280</v>
      </c>
      <c r="L1608">
        <v>0</v>
      </c>
      <c r="M1608" t="s">
        <v>36</v>
      </c>
      <c r="N1608" t="s">
        <v>37</v>
      </c>
      <c r="O1608">
        <v>554</v>
      </c>
      <c r="P1608">
        <v>19</v>
      </c>
      <c r="Q1608">
        <v>3.4296000000000002</v>
      </c>
      <c r="R1608">
        <v>0</v>
      </c>
      <c r="S1608">
        <v>0.94</v>
      </c>
      <c r="T1608">
        <v>1.6910000000000001</v>
      </c>
      <c r="U1608">
        <v>4.9000000000000002E-2</v>
      </c>
      <c r="V1608">
        <v>0</v>
      </c>
      <c r="W1608">
        <v>1</v>
      </c>
      <c r="X1608">
        <v>0</v>
      </c>
      <c r="Y1608" t="s">
        <v>36</v>
      </c>
      <c r="Z1608">
        <v>554</v>
      </c>
      <c r="AA1608">
        <v>493</v>
      </c>
      <c r="AB1608">
        <v>28</v>
      </c>
      <c r="AC1608" t="s">
        <v>687</v>
      </c>
      <c r="AD1608" t="str">
        <f t="shared" si="50"/>
        <v>CP</v>
      </c>
      <c r="AE1608" t="str">
        <f>_xlfn.XLOOKUP(D1608,Mapping!A:A,Mapping!D:D,0,0)</f>
        <v>Hentai</v>
      </c>
      <c r="AF1608" t="str">
        <f t="shared" si="51"/>
        <v>OLD</v>
      </c>
    </row>
    <row r="1609" spans="1:32" x14ac:dyDescent="0.2">
      <c r="A1609" t="s">
        <v>1119</v>
      </c>
      <c r="B1609" t="s">
        <v>39</v>
      </c>
      <c r="C1609">
        <v>1012773072</v>
      </c>
      <c r="D1609" t="s">
        <v>621</v>
      </c>
      <c r="E1609" t="s">
        <v>31</v>
      </c>
      <c r="F1609" s="1">
        <v>0.67291666666666672</v>
      </c>
      <c r="G1609" t="s">
        <v>32</v>
      </c>
      <c r="H1609" t="s">
        <v>33</v>
      </c>
      <c r="I1609" t="s">
        <v>41</v>
      </c>
      <c r="J1609" t="s">
        <v>62</v>
      </c>
      <c r="K1609">
        <v>280</v>
      </c>
      <c r="L1609">
        <v>0</v>
      </c>
      <c r="M1609" t="s">
        <v>63</v>
      </c>
      <c r="N1609">
        <v>250</v>
      </c>
      <c r="O1609">
        <v>0</v>
      </c>
      <c r="P1609">
        <v>0</v>
      </c>
      <c r="Q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 t="s">
        <v>36</v>
      </c>
      <c r="AC1609" t="s">
        <v>687</v>
      </c>
      <c r="AD1609" t="str">
        <f t="shared" si="50"/>
        <v>CP</v>
      </c>
      <c r="AE1609" t="str">
        <f>_xlfn.XLOOKUP(D1609,Mapping!A:A,Mapping!D:D,0,0)</f>
        <v>Bin</v>
      </c>
      <c r="AF1609" t="str">
        <f t="shared" si="51"/>
        <v>OLD</v>
      </c>
    </row>
    <row r="1610" spans="1:32" x14ac:dyDescent="0.2">
      <c r="A1610" t="s">
        <v>1119</v>
      </c>
      <c r="B1610" t="s">
        <v>39</v>
      </c>
      <c r="C1610">
        <v>1012773082</v>
      </c>
      <c r="D1610" t="s">
        <v>622</v>
      </c>
      <c r="E1610" t="s">
        <v>31</v>
      </c>
      <c r="F1610" s="1">
        <v>0.67291666666666672</v>
      </c>
      <c r="G1610" t="s">
        <v>32</v>
      </c>
      <c r="H1610" t="s">
        <v>33</v>
      </c>
      <c r="I1610" t="s">
        <v>41</v>
      </c>
      <c r="J1610" t="s">
        <v>62</v>
      </c>
      <c r="K1610">
        <v>280</v>
      </c>
      <c r="L1610">
        <v>0</v>
      </c>
      <c r="M1610" t="s">
        <v>36</v>
      </c>
      <c r="N1610" t="s">
        <v>37</v>
      </c>
      <c r="O1610">
        <v>0</v>
      </c>
      <c r="P1610">
        <v>0</v>
      </c>
      <c r="Q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 t="s">
        <v>36</v>
      </c>
      <c r="AC1610" t="s">
        <v>687</v>
      </c>
      <c r="AD1610" t="str">
        <f t="shared" si="50"/>
        <v>CP</v>
      </c>
      <c r="AE1610" t="str">
        <f>_xlfn.XLOOKUP(D1610,Mapping!A:A,Mapping!D:D,0,0)</f>
        <v>Bin</v>
      </c>
      <c r="AF1610" t="str">
        <f t="shared" si="51"/>
        <v>OLD</v>
      </c>
    </row>
    <row r="1611" spans="1:32" x14ac:dyDescent="0.2">
      <c r="A1611" t="s">
        <v>1119</v>
      </c>
      <c r="B1611" t="s">
        <v>39</v>
      </c>
      <c r="C1611">
        <v>1012773092</v>
      </c>
      <c r="D1611" t="s">
        <v>623</v>
      </c>
      <c r="E1611" t="s">
        <v>31</v>
      </c>
      <c r="F1611" s="1">
        <v>0.67291666666666672</v>
      </c>
      <c r="G1611" t="s">
        <v>32</v>
      </c>
      <c r="H1611" t="s">
        <v>33</v>
      </c>
      <c r="I1611" t="s">
        <v>34</v>
      </c>
      <c r="J1611" t="s">
        <v>84</v>
      </c>
      <c r="K1611">
        <v>112</v>
      </c>
      <c r="L1611">
        <v>0</v>
      </c>
      <c r="M1611" t="s">
        <v>36</v>
      </c>
      <c r="N1611" t="s">
        <v>37</v>
      </c>
      <c r="O1611">
        <v>0</v>
      </c>
      <c r="P1611">
        <v>0</v>
      </c>
      <c r="Q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 t="s">
        <v>36</v>
      </c>
      <c r="AC1611" t="s">
        <v>687</v>
      </c>
      <c r="AD1611" t="str">
        <f t="shared" si="50"/>
        <v>CP</v>
      </c>
      <c r="AE1611" t="str">
        <f>_xlfn.XLOOKUP(D1611,Mapping!A:A,Mapping!D:D,0,0)</f>
        <v>Bin</v>
      </c>
      <c r="AF1611" t="str">
        <f t="shared" si="51"/>
        <v>OLD</v>
      </c>
    </row>
    <row r="1612" spans="1:32" x14ac:dyDescent="0.2">
      <c r="A1612" t="s">
        <v>1119</v>
      </c>
      <c r="B1612" t="s">
        <v>29</v>
      </c>
      <c r="C1612">
        <v>1012773102</v>
      </c>
      <c r="D1612" t="s">
        <v>624</v>
      </c>
      <c r="E1612" t="s">
        <v>31</v>
      </c>
      <c r="F1612" s="1">
        <v>0.67291666666666672</v>
      </c>
      <c r="G1612" t="s">
        <v>32</v>
      </c>
      <c r="H1612" t="s">
        <v>33</v>
      </c>
      <c r="I1612" t="s">
        <v>41</v>
      </c>
      <c r="J1612" t="s">
        <v>62</v>
      </c>
      <c r="K1612">
        <v>130</v>
      </c>
      <c r="L1612">
        <v>0</v>
      </c>
      <c r="M1612" t="s">
        <v>36</v>
      </c>
      <c r="N1612" t="s">
        <v>37</v>
      </c>
      <c r="O1612">
        <v>14823</v>
      </c>
      <c r="P1612">
        <v>1323</v>
      </c>
      <c r="Q1612">
        <v>8.9253099999999996</v>
      </c>
      <c r="R1612">
        <v>0</v>
      </c>
      <c r="S1612">
        <v>29.94</v>
      </c>
      <c r="T1612">
        <v>2.02</v>
      </c>
      <c r="U1612">
        <v>2.3E-2</v>
      </c>
      <c r="V1612">
        <v>0</v>
      </c>
      <c r="W1612">
        <v>1</v>
      </c>
      <c r="X1612">
        <v>0</v>
      </c>
      <c r="Y1612" t="s">
        <v>63</v>
      </c>
      <c r="Z1612">
        <v>14823</v>
      </c>
      <c r="AA1612">
        <v>13357</v>
      </c>
      <c r="AB1612">
        <v>938</v>
      </c>
      <c r="AC1612" t="s">
        <v>687</v>
      </c>
      <c r="AD1612" t="str">
        <f t="shared" si="50"/>
        <v>CP</v>
      </c>
      <c r="AE1612" t="str">
        <f>_xlfn.XLOOKUP(D1612,Mapping!A:A,Mapping!D:D,0,0)</f>
        <v>Keyword - Preroll</v>
      </c>
      <c r="AF1612" t="str">
        <f t="shared" si="51"/>
        <v>OLD</v>
      </c>
    </row>
    <row r="1613" spans="1:32" x14ac:dyDescent="0.2">
      <c r="A1613" t="s">
        <v>1119</v>
      </c>
      <c r="B1613" t="s">
        <v>29</v>
      </c>
      <c r="C1613">
        <v>1012773112</v>
      </c>
      <c r="D1613" t="s">
        <v>625</v>
      </c>
      <c r="E1613" t="s">
        <v>31</v>
      </c>
      <c r="F1613" s="1">
        <v>0.67291666666666672</v>
      </c>
      <c r="G1613" t="s">
        <v>32</v>
      </c>
      <c r="H1613" t="s">
        <v>33</v>
      </c>
      <c r="I1613" t="s">
        <v>41</v>
      </c>
      <c r="J1613" t="s">
        <v>42</v>
      </c>
      <c r="K1613">
        <v>370</v>
      </c>
      <c r="L1613">
        <v>0</v>
      </c>
      <c r="M1613" t="s">
        <v>36</v>
      </c>
      <c r="N1613" t="s">
        <v>37</v>
      </c>
      <c r="O1613">
        <v>9159</v>
      </c>
      <c r="P1613">
        <v>461</v>
      </c>
      <c r="Q1613">
        <v>5.03329</v>
      </c>
      <c r="R1613">
        <v>0</v>
      </c>
      <c r="S1613">
        <v>23.28</v>
      </c>
      <c r="T1613">
        <v>2.5419999999999998</v>
      </c>
      <c r="U1613">
        <v>5.0999999999999997E-2</v>
      </c>
      <c r="V1613">
        <v>0</v>
      </c>
      <c r="W1613">
        <v>1</v>
      </c>
      <c r="X1613">
        <v>0</v>
      </c>
      <c r="Y1613" t="s">
        <v>36</v>
      </c>
      <c r="Z1613">
        <v>9159</v>
      </c>
      <c r="AA1613">
        <v>8205</v>
      </c>
      <c r="AB1613">
        <v>710</v>
      </c>
      <c r="AC1613" t="s">
        <v>687</v>
      </c>
      <c r="AD1613" t="str">
        <f t="shared" si="50"/>
        <v>CP</v>
      </c>
      <c r="AE1613" t="str">
        <f>_xlfn.XLOOKUP(D1613,Mapping!A:A,Mapping!D:D,0,0)</f>
        <v>AI</v>
      </c>
      <c r="AF1613" t="str">
        <f t="shared" si="51"/>
        <v>OLD</v>
      </c>
    </row>
    <row r="1614" spans="1:32" x14ac:dyDescent="0.2">
      <c r="A1614" t="s">
        <v>1119</v>
      </c>
      <c r="B1614" t="s">
        <v>29</v>
      </c>
      <c r="C1614">
        <v>1012773122</v>
      </c>
      <c r="D1614" t="s">
        <v>626</v>
      </c>
      <c r="E1614" t="s">
        <v>31</v>
      </c>
      <c r="F1614" s="1">
        <v>0.67291666666666672</v>
      </c>
      <c r="G1614" t="s">
        <v>32</v>
      </c>
      <c r="H1614" t="s">
        <v>33</v>
      </c>
      <c r="I1614" t="s">
        <v>41</v>
      </c>
      <c r="J1614" t="s">
        <v>42</v>
      </c>
      <c r="K1614">
        <v>370</v>
      </c>
      <c r="L1614">
        <v>0</v>
      </c>
      <c r="M1614" t="s">
        <v>36</v>
      </c>
      <c r="N1614" t="s">
        <v>37</v>
      </c>
      <c r="O1614">
        <v>9807</v>
      </c>
      <c r="P1614">
        <v>550</v>
      </c>
      <c r="Q1614">
        <v>5.6082400000000003</v>
      </c>
      <c r="R1614">
        <v>0</v>
      </c>
      <c r="S1614">
        <v>23.99</v>
      </c>
      <c r="T1614">
        <v>2.4470000000000001</v>
      </c>
      <c r="U1614">
        <v>4.3999999999999997E-2</v>
      </c>
      <c r="V1614">
        <v>0</v>
      </c>
      <c r="W1614">
        <v>1</v>
      </c>
      <c r="X1614">
        <v>0</v>
      </c>
      <c r="Y1614" t="s">
        <v>36</v>
      </c>
      <c r="Z1614">
        <v>9807</v>
      </c>
      <c r="AA1614">
        <v>8733</v>
      </c>
      <c r="AB1614">
        <v>798</v>
      </c>
      <c r="AC1614" t="s">
        <v>687</v>
      </c>
      <c r="AD1614" t="str">
        <f t="shared" si="50"/>
        <v>CP</v>
      </c>
      <c r="AE1614" t="str">
        <f>_xlfn.XLOOKUP(D1614,Mapping!A:A,Mapping!D:D,0,0)</f>
        <v>AI</v>
      </c>
      <c r="AF1614" t="str">
        <f t="shared" si="51"/>
        <v>OLD</v>
      </c>
    </row>
    <row r="1615" spans="1:32" x14ac:dyDescent="0.2">
      <c r="A1615" t="s">
        <v>1119</v>
      </c>
      <c r="B1615" t="s">
        <v>39</v>
      </c>
      <c r="C1615">
        <v>1012797382</v>
      </c>
      <c r="D1615" t="s">
        <v>627</v>
      </c>
      <c r="E1615" t="s">
        <v>31</v>
      </c>
      <c r="F1615" s="1">
        <v>0.67291666666666672</v>
      </c>
      <c r="G1615" t="s">
        <v>32</v>
      </c>
      <c r="H1615" t="s">
        <v>33</v>
      </c>
      <c r="I1615" t="s">
        <v>41</v>
      </c>
      <c r="J1615" t="s">
        <v>62</v>
      </c>
      <c r="K1615">
        <v>70</v>
      </c>
      <c r="L1615">
        <v>0</v>
      </c>
      <c r="M1615" t="s">
        <v>63</v>
      </c>
      <c r="N1615">
        <v>500</v>
      </c>
      <c r="O1615">
        <v>0</v>
      </c>
      <c r="P1615">
        <v>0</v>
      </c>
      <c r="Q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 t="s">
        <v>36</v>
      </c>
      <c r="AC1615" t="s">
        <v>687</v>
      </c>
      <c r="AD1615" t="str">
        <f t="shared" si="50"/>
        <v>CP</v>
      </c>
      <c r="AE1615" t="str">
        <f>_xlfn.XLOOKUP(D1615,Mapping!A:A,Mapping!D:D,0,0)</f>
        <v>Bin</v>
      </c>
      <c r="AF1615" t="str">
        <f t="shared" si="51"/>
        <v>OLD</v>
      </c>
    </row>
    <row r="1616" spans="1:32" x14ac:dyDescent="0.2">
      <c r="A1616" t="s">
        <v>1119</v>
      </c>
      <c r="B1616" t="s">
        <v>39</v>
      </c>
      <c r="C1616">
        <v>1012797402</v>
      </c>
      <c r="D1616" t="s">
        <v>597</v>
      </c>
      <c r="E1616" t="s">
        <v>31</v>
      </c>
      <c r="F1616" s="1">
        <v>0.67291666666666672</v>
      </c>
      <c r="G1616" t="s">
        <v>32</v>
      </c>
      <c r="H1616" t="s">
        <v>33</v>
      </c>
      <c r="I1616" t="s">
        <v>41</v>
      </c>
      <c r="J1616" t="s">
        <v>62</v>
      </c>
      <c r="K1616">
        <v>70</v>
      </c>
      <c r="L1616">
        <v>0</v>
      </c>
      <c r="M1616" t="s">
        <v>63</v>
      </c>
      <c r="N1616">
        <v>500</v>
      </c>
      <c r="O1616">
        <v>0</v>
      </c>
      <c r="P1616">
        <v>0</v>
      </c>
      <c r="Q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 t="s">
        <v>36</v>
      </c>
      <c r="AC1616" t="s">
        <v>687</v>
      </c>
      <c r="AD1616" t="str">
        <f t="shared" si="50"/>
        <v>CP</v>
      </c>
      <c r="AE1616" t="str">
        <f>_xlfn.XLOOKUP(D1616,Mapping!A:A,Mapping!D:D,0,0)</f>
        <v>Bin</v>
      </c>
      <c r="AF1616" t="str">
        <f t="shared" si="51"/>
        <v>OLD</v>
      </c>
    </row>
    <row r="1617" spans="1:32" x14ac:dyDescent="0.2">
      <c r="A1617" t="s">
        <v>1119</v>
      </c>
      <c r="B1617" t="s">
        <v>39</v>
      </c>
      <c r="C1617">
        <v>1012797422</v>
      </c>
      <c r="D1617" t="s">
        <v>305</v>
      </c>
      <c r="E1617" t="s">
        <v>31</v>
      </c>
      <c r="F1617" s="1">
        <v>0.67291666666666672</v>
      </c>
      <c r="G1617" t="s">
        <v>32</v>
      </c>
      <c r="H1617" t="s">
        <v>33</v>
      </c>
      <c r="I1617" t="s">
        <v>41</v>
      </c>
      <c r="J1617" t="s">
        <v>255</v>
      </c>
      <c r="K1617">
        <v>30</v>
      </c>
      <c r="L1617">
        <v>0</v>
      </c>
      <c r="M1617" t="s">
        <v>63</v>
      </c>
      <c r="N1617">
        <v>1000</v>
      </c>
      <c r="O1617">
        <v>0</v>
      </c>
      <c r="P1617">
        <v>0</v>
      </c>
      <c r="Q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 t="s">
        <v>36</v>
      </c>
      <c r="AC1617" t="s">
        <v>687</v>
      </c>
      <c r="AD1617" t="str">
        <f t="shared" si="50"/>
        <v>CP</v>
      </c>
      <c r="AE1617" t="str">
        <f>_xlfn.XLOOKUP(D1617,Mapping!A:A,Mapping!D:D,0,0)</f>
        <v>Bin</v>
      </c>
      <c r="AF1617" t="str">
        <f t="shared" si="51"/>
        <v>OLD</v>
      </c>
    </row>
    <row r="1618" spans="1:32" x14ac:dyDescent="0.2">
      <c r="A1618" t="s">
        <v>1119</v>
      </c>
      <c r="B1618" t="s">
        <v>39</v>
      </c>
      <c r="C1618">
        <v>1012797432</v>
      </c>
      <c r="D1618" t="s">
        <v>628</v>
      </c>
      <c r="E1618" t="s">
        <v>31</v>
      </c>
      <c r="F1618" s="1">
        <v>0.67291666666666672</v>
      </c>
      <c r="G1618" t="s">
        <v>32</v>
      </c>
      <c r="H1618" t="s">
        <v>33</v>
      </c>
      <c r="I1618" t="s">
        <v>41</v>
      </c>
      <c r="J1618" t="s">
        <v>62</v>
      </c>
      <c r="K1618">
        <v>70</v>
      </c>
      <c r="L1618">
        <v>0</v>
      </c>
      <c r="M1618" t="s">
        <v>63</v>
      </c>
      <c r="N1618">
        <v>500</v>
      </c>
      <c r="O1618">
        <v>0</v>
      </c>
      <c r="P1618">
        <v>0</v>
      </c>
      <c r="Q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 t="s">
        <v>36</v>
      </c>
      <c r="AC1618" t="s">
        <v>687</v>
      </c>
      <c r="AD1618" t="str">
        <f t="shared" si="50"/>
        <v>CP</v>
      </c>
      <c r="AE1618" t="str">
        <f>_xlfn.XLOOKUP(D1618,Mapping!A:A,Mapping!D:D,0,0)</f>
        <v>Bin</v>
      </c>
      <c r="AF1618" t="str">
        <f t="shared" si="51"/>
        <v>OLD</v>
      </c>
    </row>
    <row r="1619" spans="1:32" x14ac:dyDescent="0.2">
      <c r="A1619" t="s">
        <v>1119</v>
      </c>
      <c r="B1619" t="s">
        <v>39</v>
      </c>
      <c r="C1619">
        <v>1012797442</v>
      </c>
      <c r="D1619" t="s">
        <v>326</v>
      </c>
      <c r="E1619" t="s">
        <v>31</v>
      </c>
      <c r="F1619" s="1">
        <v>0.67291666666666672</v>
      </c>
      <c r="G1619" t="s">
        <v>32</v>
      </c>
      <c r="H1619" t="s">
        <v>33</v>
      </c>
      <c r="I1619" t="s">
        <v>41</v>
      </c>
      <c r="J1619" t="s">
        <v>62</v>
      </c>
      <c r="K1619">
        <v>70</v>
      </c>
      <c r="L1619">
        <v>0</v>
      </c>
      <c r="M1619" t="s">
        <v>63</v>
      </c>
      <c r="N1619">
        <v>1000</v>
      </c>
      <c r="O1619">
        <v>0</v>
      </c>
      <c r="P1619">
        <v>0</v>
      </c>
      <c r="Q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 t="s">
        <v>36</v>
      </c>
      <c r="AC1619" t="s">
        <v>687</v>
      </c>
      <c r="AD1619" t="str">
        <f t="shared" si="50"/>
        <v>CP</v>
      </c>
      <c r="AE1619" t="str">
        <f>_xlfn.XLOOKUP(D1619,Mapping!A:A,Mapping!D:D,0,0)</f>
        <v>Bin</v>
      </c>
      <c r="AF1619" t="str">
        <f t="shared" si="51"/>
        <v>OLD</v>
      </c>
    </row>
    <row r="1620" spans="1:32" x14ac:dyDescent="0.2">
      <c r="A1620" t="s">
        <v>1119</v>
      </c>
      <c r="B1620" t="s">
        <v>39</v>
      </c>
      <c r="C1620">
        <v>1012797452</v>
      </c>
      <c r="D1620" t="s">
        <v>411</v>
      </c>
      <c r="E1620" t="s">
        <v>31</v>
      </c>
      <c r="F1620" s="1">
        <v>0.67291666666666672</v>
      </c>
      <c r="G1620" t="s">
        <v>32</v>
      </c>
      <c r="H1620" t="s">
        <v>33</v>
      </c>
      <c r="I1620" t="s">
        <v>41</v>
      </c>
      <c r="J1620" t="s">
        <v>62</v>
      </c>
      <c r="K1620">
        <v>70</v>
      </c>
      <c r="L1620">
        <v>0</v>
      </c>
      <c r="M1620" t="s">
        <v>63</v>
      </c>
      <c r="N1620">
        <v>500</v>
      </c>
      <c r="O1620">
        <v>0</v>
      </c>
      <c r="P1620">
        <v>0</v>
      </c>
      <c r="Q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 t="s">
        <v>36</v>
      </c>
      <c r="AC1620" t="s">
        <v>687</v>
      </c>
      <c r="AD1620" t="str">
        <f t="shared" si="50"/>
        <v>CP</v>
      </c>
      <c r="AE1620" t="str">
        <f>_xlfn.XLOOKUP(D1620,Mapping!A:A,Mapping!D:D,0,0)</f>
        <v>Bin</v>
      </c>
      <c r="AF1620" t="str">
        <f t="shared" si="51"/>
        <v>OLD</v>
      </c>
    </row>
    <row r="1621" spans="1:32" x14ac:dyDescent="0.2">
      <c r="A1621" t="s">
        <v>1119</v>
      </c>
      <c r="B1621" t="s">
        <v>39</v>
      </c>
      <c r="C1621">
        <v>1012797462</v>
      </c>
      <c r="D1621" t="s">
        <v>629</v>
      </c>
      <c r="E1621" t="s">
        <v>31</v>
      </c>
      <c r="F1621" s="1">
        <v>0.67291666666666672</v>
      </c>
      <c r="G1621" t="s">
        <v>32</v>
      </c>
      <c r="H1621" t="s">
        <v>33</v>
      </c>
      <c r="I1621" t="s">
        <v>41</v>
      </c>
      <c r="J1621" t="s">
        <v>62</v>
      </c>
      <c r="K1621">
        <v>70</v>
      </c>
      <c r="L1621">
        <v>0</v>
      </c>
      <c r="M1621" t="s">
        <v>36</v>
      </c>
      <c r="N1621" t="s">
        <v>37</v>
      </c>
      <c r="O1621">
        <v>0</v>
      </c>
      <c r="P1621">
        <v>0</v>
      </c>
      <c r="Q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 t="s">
        <v>36</v>
      </c>
      <c r="AC1621" t="s">
        <v>687</v>
      </c>
      <c r="AD1621" t="str">
        <f t="shared" ref="AD1621:AD1684" si="52">LEFT(D1621,2)</f>
        <v>CP</v>
      </c>
      <c r="AE1621" t="str">
        <f>_xlfn.XLOOKUP(D1621,Mapping!A:A,Mapping!D:D,0,0)</f>
        <v>Archive</v>
      </c>
      <c r="AF1621" t="str">
        <f t="shared" ref="AF1621:AF1684" si="53">IFERROR(IF(SEARCH("_TJ",D1621)&gt;0,"TJ",NA()),IFERROR(IF(SEARCH("_JB",D1621)&gt;0,"JB",NA()),"OLD"))</f>
        <v>OLD</v>
      </c>
    </row>
    <row r="1622" spans="1:32" x14ac:dyDescent="0.2">
      <c r="A1622" t="s">
        <v>1119</v>
      </c>
      <c r="B1622" t="s">
        <v>39</v>
      </c>
      <c r="C1622">
        <v>1012797472</v>
      </c>
      <c r="D1622" t="s">
        <v>402</v>
      </c>
      <c r="E1622" t="s">
        <v>31</v>
      </c>
      <c r="F1622" s="1">
        <v>0.67291666666666672</v>
      </c>
      <c r="G1622" t="s">
        <v>32</v>
      </c>
      <c r="H1622" t="s">
        <v>33</v>
      </c>
      <c r="I1622" t="s">
        <v>41</v>
      </c>
      <c r="J1622" t="s">
        <v>62</v>
      </c>
      <c r="K1622">
        <v>70</v>
      </c>
      <c r="L1622">
        <v>0</v>
      </c>
      <c r="M1622" t="s">
        <v>63</v>
      </c>
      <c r="N1622">
        <v>1000</v>
      </c>
      <c r="O1622">
        <v>0</v>
      </c>
      <c r="P1622">
        <v>0</v>
      </c>
      <c r="Q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 t="s">
        <v>36</v>
      </c>
      <c r="AC1622" t="s">
        <v>687</v>
      </c>
      <c r="AD1622" t="str">
        <f t="shared" si="52"/>
        <v>CP</v>
      </c>
      <c r="AE1622" t="str">
        <f>_xlfn.XLOOKUP(D1622,Mapping!A:A,Mapping!D:D,0,0)</f>
        <v>Bin</v>
      </c>
      <c r="AF1622" t="str">
        <f t="shared" si="53"/>
        <v>OLD</v>
      </c>
    </row>
    <row r="1623" spans="1:32" x14ac:dyDescent="0.2">
      <c r="A1623" t="s">
        <v>1119</v>
      </c>
      <c r="B1623" t="s">
        <v>39</v>
      </c>
      <c r="C1623">
        <v>1012800202</v>
      </c>
      <c r="D1623" t="s">
        <v>630</v>
      </c>
      <c r="E1623" t="s">
        <v>31</v>
      </c>
      <c r="F1623" s="1">
        <v>0.67291666666666672</v>
      </c>
      <c r="G1623" t="s">
        <v>32</v>
      </c>
      <c r="H1623" t="s">
        <v>33</v>
      </c>
      <c r="I1623" t="s">
        <v>41</v>
      </c>
      <c r="J1623" t="s">
        <v>62</v>
      </c>
      <c r="K1623">
        <v>70</v>
      </c>
      <c r="L1623">
        <v>0</v>
      </c>
      <c r="M1623" t="s">
        <v>63</v>
      </c>
      <c r="N1623">
        <v>1000</v>
      </c>
      <c r="O1623">
        <v>0</v>
      </c>
      <c r="P1623">
        <v>0</v>
      </c>
      <c r="Q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 t="s">
        <v>36</v>
      </c>
      <c r="AC1623" t="s">
        <v>687</v>
      </c>
      <c r="AD1623" t="str">
        <f t="shared" si="52"/>
        <v>CP</v>
      </c>
      <c r="AE1623" t="str">
        <f>_xlfn.XLOOKUP(D1623,Mapping!A:A,Mapping!D:D,0,0)</f>
        <v>Bin</v>
      </c>
      <c r="AF1623" t="str">
        <f t="shared" si="53"/>
        <v>OLD</v>
      </c>
    </row>
    <row r="1624" spans="1:32" x14ac:dyDescent="0.2">
      <c r="A1624" t="s">
        <v>1119</v>
      </c>
      <c r="B1624" t="s">
        <v>39</v>
      </c>
      <c r="C1624">
        <v>1012800212</v>
      </c>
      <c r="D1624" t="s">
        <v>631</v>
      </c>
      <c r="E1624" t="s">
        <v>31</v>
      </c>
      <c r="F1624" s="1">
        <v>0.67291666666666672</v>
      </c>
      <c r="G1624" t="s">
        <v>32</v>
      </c>
      <c r="H1624" t="s">
        <v>33</v>
      </c>
      <c r="I1624" t="s">
        <v>41</v>
      </c>
      <c r="J1624" t="s">
        <v>62</v>
      </c>
      <c r="K1624">
        <v>70</v>
      </c>
      <c r="L1624">
        <v>0</v>
      </c>
      <c r="M1624" t="s">
        <v>36</v>
      </c>
      <c r="N1624" t="s">
        <v>37</v>
      </c>
      <c r="O1624">
        <v>0</v>
      </c>
      <c r="P1624">
        <v>0</v>
      </c>
      <c r="Q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 t="s">
        <v>36</v>
      </c>
      <c r="AC1624" t="s">
        <v>687</v>
      </c>
      <c r="AD1624" t="str">
        <f t="shared" si="52"/>
        <v>CP</v>
      </c>
      <c r="AE1624" t="str">
        <f>_xlfn.XLOOKUP(D1624,Mapping!A:A,Mapping!D:D,0,0)</f>
        <v>Ocean</v>
      </c>
      <c r="AF1624" t="str">
        <f t="shared" si="53"/>
        <v>OLD</v>
      </c>
    </row>
    <row r="1625" spans="1:32" x14ac:dyDescent="0.2">
      <c r="A1625" t="s">
        <v>1119</v>
      </c>
      <c r="B1625" t="s">
        <v>39</v>
      </c>
      <c r="C1625">
        <v>1012800222</v>
      </c>
      <c r="D1625" t="s">
        <v>632</v>
      </c>
      <c r="E1625" t="s">
        <v>31</v>
      </c>
      <c r="F1625" s="1">
        <v>0.67291666666666672</v>
      </c>
      <c r="G1625" t="s">
        <v>32</v>
      </c>
      <c r="H1625" t="s">
        <v>33</v>
      </c>
      <c r="I1625" t="s">
        <v>41</v>
      </c>
      <c r="J1625" t="s">
        <v>62</v>
      </c>
      <c r="K1625">
        <v>70</v>
      </c>
      <c r="L1625">
        <v>0</v>
      </c>
      <c r="M1625" t="s">
        <v>63</v>
      </c>
      <c r="N1625">
        <v>500</v>
      </c>
      <c r="O1625">
        <v>0</v>
      </c>
      <c r="P1625">
        <v>0</v>
      </c>
      <c r="Q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 t="s">
        <v>36</v>
      </c>
      <c r="AC1625" t="s">
        <v>687</v>
      </c>
      <c r="AD1625" t="str">
        <f t="shared" si="52"/>
        <v>CP</v>
      </c>
      <c r="AE1625" t="str">
        <f>_xlfn.XLOOKUP(D1625,Mapping!A:A,Mapping!D:D,0,0)</f>
        <v>Bin</v>
      </c>
      <c r="AF1625" t="str">
        <f t="shared" si="53"/>
        <v>OLD</v>
      </c>
    </row>
    <row r="1626" spans="1:32" x14ac:dyDescent="0.2">
      <c r="A1626" t="s">
        <v>1119</v>
      </c>
      <c r="B1626" t="s">
        <v>39</v>
      </c>
      <c r="C1626">
        <v>1012800232</v>
      </c>
      <c r="D1626" t="s">
        <v>633</v>
      </c>
      <c r="E1626" t="s">
        <v>31</v>
      </c>
      <c r="F1626" s="1">
        <v>0.67291666666666672</v>
      </c>
      <c r="G1626" t="s">
        <v>32</v>
      </c>
      <c r="H1626" t="s">
        <v>33</v>
      </c>
      <c r="I1626" t="s">
        <v>41</v>
      </c>
      <c r="J1626" t="s">
        <v>62</v>
      </c>
      <c r="K1626">
        <v>70</v>
      </c>
      <c r="L1626">
        <v>0</v>
      </c>
      <c r="M1626" t="s">
        <v>63</v>
      </c>
      <c r="N1626">
        <v>1000</v>
      </c>
      <c r="O1626">
        <v>0</v>
      </c>
      <c r="P1626">
        <v>0</v>
      </c>
      <c r="Q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 t="s">
        <v>36</v>
      </c>
      <c r="AC1626" t="s">
        <v>687</v>
      </c>
      <c r="AD1626" t="str">
        <f t="shared" si="52"/>
        <v>CP</v>
      </c>
      <c r="AE1626" t="str">
        <f>_xlfn.XLOOKUP(D1626,Mapping!A:A,Mapping!D:D,0,0)</f>
        <v>Bin</v>
      </c>
      <c r="AF1626" t="str">
        <f t="shared" si="53"/>
        <v>OLD</v>
      </c>
    </row>
    <row r="1627" spans="1:32" x14ac:dyDescent="0.2">
      <c r="A1627" t="s">
        <v>1119</v>
      </c>
      <c r="B1627" t="s">
        <v>39</v>
      </c>
      <c r="C1627">
        <v>1012800242</v>
      </c>
      <c r="D1627" t="s">
        <v>634</v>
      </c>
      <c r="E1627" t="s">
        <v>31</v>
      </c>
      <c r="F1627" s="1">
        <v>0.67291666666666672</v>
      </c>
      <c r="G1627" t="s">
        <v>32</v>
      </c>
      <c r="H1627" t="s">
        <v>33</v>
      </c>
      <c r="I1627" t="s">
        <v>41</v>
      </c>
      <c r="J1627" t="s">
        <v>62</v>
      </c>
      <c r="K1627">
        <v>70</v>
      </c>
      <c r="L1627">
        <v>0</v>
      </c>
      <c r="M1627" t="s">
        <v>63</v>
      </c>
      <c r="N1627">
        <v>500</v>
      </c>
      <c r="O1627">
        <v>0</v>
      </c>
      <c r="P1627">
        <v>0</v>
      </c>
      <c r="Q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 t="s">
        <v>36</v>
      </c>
      <c r="AC1627" t="s">
        <v>687</v>
      </c>
      <c r="AD1627" t="str">
        <f t="shared" si="52"/>
        <v>CP</v>
      </c>
      <c r="AE1627" t="str">
        <f>_xlfn.XLOOKUP(D1627,Mapping!A:A,Mapping!D:D,0,0)</f>
        <v>Bin</v>
      </c>
      <c r="AF1627" t="str">
        <f t="shared" si="53"/>
        <v>OLD</v>
      </c>
    </row>
    <row r="1628" spans="1:32" x14ac:dyDescent="0.2">
      <c r="A1628" t="s">
        <v>1119</v>
      </c>
      <c r="B1628" t="s">
        <v>39</v>
      </c>
      <c r="C1628">
        <v>1012800252</v>
      </c>
      <c r="D1628" t="s">
        <v>635</v>
      </c>
      <c r="E1628" t="s">
        <v>31</v>
      </c>
      <c r="F1628" s="1">
        <v>0.67291666666666672</v>
      </c>
      <c r="G1628" t="s">
        <v>32</v>
      </c>
      <c r="H1628" t="s">
        <v>33</v>
      </c>
      <c r="I1628" t="s">
        <v>41</v>
      </c>
      <c r="J1628" t="s">
        <v>255</v>
      </c>
      <c r="K1628">
        <v>30</v>
      </c>
      <c r="L1628">
        <v>0</v>
      </c>
      <c r="M1628" t="s">
        <v>63</v>
      </c>
      <c r="N1628">
        <v>500</v>
      </c>
      <c r="O1628">
        <v>0</v>
      </c>
      <c r="P1628">
        <v>0</v>
      </c>
      <c r="Q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 t="s">
        <v>36</v>
      </c>
      <c r="AC1628" t="s">
        <v>687</v>
      </c>
      <c r="AD1628" t="str">
        <f t="shared" si="52"/>
        <v>CP</v>
      </c>
      <c r="AE1628" t="str">
        <f>_xlfn.XLOOKUP(D1628,Mapping!A:A,Mapping!D:D,0,0)</f>
        <v>Bin</v>
      </c>
      <c r="AF1628" t="str">
        <f t="shared" si="53"/>
        <v>OLD</v>
      </c>
    </row>
    <row r="1629" spans="1:32" x14ac:dyDescent="0.2">
      <c r="A1629" t="s">
        <v>1119</v>
      </c>
      <c r="B1629" t="s">
        <v>39</v>
      </c>
      <c r="C1629">
        <v>1012800262</v>
      </c>
      <c r="D1629" t="s">
        <v>636</v>
      </c>
      <c r="E1629" t="s">
        <v>31</v>
      </c>
      <c r="F1629" s="1">
        <v>0.67291666666666672</v>
      </c>
      <c r="G1629" t="s">
        <v>32</v>
      </c>
      <c r="H1629" t="s">
        <v>33</v>
      </c>
      <c r="I1629" t="s">
        <v>41</v>
      </c>
      <c r="J1629" t="s">
        <v>62</v>
      </c>
      <c r="K1629">
        <v>70</v>
      </c>
      <c r="L1629">
        <v>0</v>
      </c>
      <c r="M1629" t="s">
        <v>63</v>
      </c>
      <c r="N1629">
        <v>500</v>
      </c>
      <c r="O1629">
        <v>0</v>
      </c>
      <c r="P1629">
        <v>0</v>
      </c>
      <c r="Q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 t="s">
        <v>36</v>
      </c>
      <c r="AC1629" t="s">
        <v>687</v>
      </c>
      <c r="AD1629" t="str">
        <f t="shared" si="52"/>
        <v>CP</v>
      </c>
      <c r="AE1629" t="str">
        <f>_xlfn.XLOOKUP(D1629,Mapping!A:A,Mapping!D:D,0,0)</f>
        <v>Bin</v>
      </c>
      <c r="AF1629" t="str">
        <f t="shared" si="53"/>
        <v>OLD</v>
      </c>
    </row>
    <row r="1630" spans="1:32" x14ac:dyDescent="0.2">
      <c r="A1630" t="s">
        <v>1119</v>
      </c>
      <c r="B1630" t="s">
        <v>39</v>
      </c>
      <c r="C1630">
        <v>1012800272</v>
      </c>
      <c r="D1630" t="s">
        <v>637</v>
      </c>
      <c r="E1630" t="s">
        <v>31</v>
      </c>
      <c r="F1630" s="1">
        <v>0.67291666666666672</v>
      </c>
      <c r="G1630" t="s">
        <v>32</v>
      </c>
      <c r="H1630" t="s">
        <v>33</v>
      </c>
      <c r="I1630" t="s">
        <v>41</v>
      </c>
      <c r="J1630" t="s">
        <v>255</v>
      </c>
      <c r="K1630">
        <v>70</v>
      </c>
      <c r="L1630">
        <v>0</v>
      </c>
      <c r="M1630" t="s">
        <v>63</v>
      </c>
      <c r="N1630">
        <v>1000</v>
      </c>
      <c r="O1630">
        <v>0</v>
      </c>
      <c r="P1630">
        <v>0</v>
      </c>
      <c r="Q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 t="s">
        <v>36</v>
      </c>
      <c r="AC1630" t="s">
        <v>687</v>
      </c>
      <c r="AD1630" t="str">
        <f t="shared" si="52"/>
        <v>CP</v>
      </c>
      <c r="AE1630" t="str">
        <f>_xlfn.XLOOKUP(D1630,Mapping!A:A,Mapping!D:D,0,0)</f>
        <v>Bin</v>
      </c>
      <c r="AF1630" t="str">
        <f t="shared" si="53"/>
        <v>OLD</v>
      </c>
    </row>
    <row r="1631" spans="1:32" x14ac:dyDescent="0.2">
      <c r="A1631" t="s">
        <v>1119</v>
      </c>
      <c r="B1631" t="s">
        <v>39</v>
      </c>
      <c r="C1631">
        <v>1012806532</v>
      </c>
      <c r="D1631" t="s">
        <v>82</v>
      </c>
      <c r="E1631" t="s">
        <v>31</v>
      </c>
      <c r="F1631" s="1">
        <v>0.67291666666666672</v>
      </c>
      <c r="G1631" t="s">
        <v>32</v>
      </c>
      <c r="H1631" t="s">
        <v>33</v>
      </c>
      <c r="I1631" t="s">
        <v>41</v>
      </c>
      <c r="J1631" t="s">
        <v>62</v>
      </c>
      <c r="K1631">
        <v>70</v>
      </c>
      <c r="L1631">
        <v>0</v>
      </c>
      <c r="M1631" t="s">
        <v>63</v>
      </c>
      <c r="N1631">
        <v>250</v>
      </c>
      <c r="O1631">
        <v>0</v>
      </c>
      <c r="P1631">
        <v>0</v>
      </c>
      <c r="Q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 t="s">
        <v>36</v>
      </c>
      <c r="AC1631" t="s">
        <v>687</v>
      </c>
      <c r="AD1631" t="str">
        <f t="shared" si="52"/>
        <v>CP</v>
      </c>
      <c r="AE1631" t="str">
        <f>_xlfn.XLOOKUP(D1631,Mapping!A:A,Mapping!D:D,0,0)</f>
        <v>Bin</v>
      </c>
      <c r="AF1631" t="str">
        <f t="shared" si="53"/>
        <v>OLD</v>
      </c>
    </row>
    <row r="1632" spans="1:32" x14ac:dyDescent="0.2">
      <c r="A1632" t="s">
        <v>1119</v>
      </c>
      <c r="B1632" t="s">
        <v>39</v>
      </c>
      <c r="C1632">
        <v>1012806542</v>
      </c>
      <c r="D1632" t="s">
        <v>638</v>
      </c>
      <c r="E1632" t="s">
        <v>31</v>
      </c>
      <c r="F1632" s="1">
        <v>0.67291666666666672</v>
      </c>
      <c r="G1632" t="s">
        <v>32</v>
      </c>
      <c r="H1632" t="s">
        <v>33</v>
      </c>
      <c r="I1632" t="s">
        <v>41</v>
      </c>
      <c r="J1632" t="s">
        <v>62</v>
      </c>
      <c r="K1632">
        <v>70</v>
      </c>
      <c r="L1632">
        <v>0</v>
      </c>
      <c r="M1632" t="s">
        <v>36</v>
      </c>
      <c r="N1632" t="s">
        <v>37</v>
      </c>
      <c r="O1632">
        <v>0</v>
      </c>
      <c r="P1632">
        <v>0</v>
      </c>
      <c r="Q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 t="s">
        <v>36</v>
      </c>
      <c r="AC1632" t="s">
        <v>687</v>
      </c>
      <c r="AD1632" t="str">
        <f t="shared" si="52"/>
        <v>CP</v>
      </c>
      <c r="AE1632" t="str">
        <f>_xlfn.XLOOKUP(D1632,Mapping!A:A,Mapping!D:D,0,0)</f>
        <v>Bin</v>
      </c>
      <c r="AF1632" t="str">
        <f t="shared" si="53"/>
        <v>OLD</v>
      </c>
    </row>
    <row r="1633" spans="1:32" x14ac:dyDescent="0.2">
      <c r="A1633" t="s">
        <v>1119</v>
      </c>
      <c r="B1633" t="s">
        <v>39</v>
      </c>
      <c r="C1633">
        <v>1012811242</v>
      </c>
      <c r="D1633" t="s">
        <v>639</v>
      </c>
      <c r="E1633" t="s">
        <v>31</v>
      </c>
      <c r="F1633" s="1">
        <v>0.67291666666666672</v>
      </c>
      <c r="G1633" t="s">
        <v>32</v>
      </c>
      <c r="H1633" t="s">
        <v>33</v>
      </c>
      <c r="I1633" t="s">
        <v>41</v>
      </c>
      <c r="J1633" t="s">
        <v>58</v>
      </c>
      <c r="K1633">
        <v>120</v>
      </c>
      <c r="L1633">
        <v>0</v>
      </c>
      <c r="M1633" t="s">
        <v>63</v>
      </c>
      <c r="N1633">
        <v>500</v>
      </c>
      <c r="O1633">
        <v>0</v>
      </c>
      <c r="P1633">
        <v>0</v>
      </c>
      <c r="Q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 t="s">
        <v>36</v>
      </c>
      <c r="AC1633" t="s">
        <v>687</v>
      </c>
      <c r="AD1633" t="str">
        <f t="shared" si="52"/>
        <v>CP</v>
      </c>
      <c r="AE1633" t="str">
        <f>_xlfn.XLOOKUP(D1633,Mapping!A:A,Mapping!D:D,0,0)</f>
        <v>Bin</v>
      </c>
      <c r="AF1633" t="str">
        <f t="shared" si="53"/>
        <v>OLD</v>
      </c>
    </row>
    <row r="1634" spans="1:32" x14ac:dyDescent="0.2">
      <c r="A1634" t="s">
        <v>1119</v>
      </c>
      <c r="B1634" t="s">
        <v>39</v>
      </c>
      <c r="C1634">
        <v>1012811252</v>
      </c>
      <c r="D1634" t="s">
        <v>640</v>
      </c>
      <c r="E1634" t="s">
        <v>31</v>
      </c>
      <c r="F1634" s="1">
        <v>0.67291666666666672</v>
      </c>
      <c r="G1634" t="s">
        <v>32</v>
      </c>
      <c r="H1634" t="s">
        <v>33</v>
      </c>
      <c r="I1634" t="s">
        <v>41</v>
      </c>
      <c r="J1634" t="s">
        <v>62</v>
      </c>
      <c r="K1634">
        <v>120</v>
      </c>
      <c r="L1634">
        <v>0</v>
      </c>
      <c r="M1634" t="s">
        <v>63</v>
      </c>
      <c r="N1634">
        <v>500</v>
      </c>
      <c r="O1634">
        <v>0</v>
      </c>
      <c r="P1634">
        <v>0</v>
      </c>
      <c r="Q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 t="s">
        <v>36</v>
      </c>
      <c r="AC1634" t="s">
        <v>687</v>
      </c>
      <c r="AD1634" t="str">
        <f t="shared" si="52"/>
        <v>CP</v>
      </c>
      <c r="AE1634" t="str">
        <f>_xlfn.XLOOKUP(D1634,Mapping!A:A,Mapping!D:D,0,0)</f>
        <v>Trans</v>
      </c>
      <c r="AF1634" t="str">
        <f t="shared" si="53"/>
        <v>OLD</v>
      </c>
    </row>
    <row r="1635" spans="1:32" x14ac:dyDescent="0.2">
      <c r="A1635" t="s">
        <v>1119</v>
      </c>
      <c r="B1635" t="s">
        <v>39</v>
      </c>
      <c r="C1635">
        <v>1012811262</v>
      </c>
      <c r="D1635" t="s">
        <v>122</v>
      </c>
      <c r="E1635" t="s">
        <v>31</v>
      </c>
      <c r="F1635" s="1">
        <v>0.67291666666666672</v>
      </c>
      <c r="G1635" t="s">
        <v>32</v>
      </c>
      <c r="H1635" t="s">
        <v>33</v>
      </c>
      <c r="I1635" t="s">
        <v>41</v>
      </c>
      <c r="J1635" t="s">
        <v>58</v>
      </c>
      <c r="K1635">
        <v>120</v>
      </c>
      <c r="L1635">
        <v>0</v>
      </c>
      <c r="M1635" t="s">
        <v>63</v>
      </c>
      <c r="N1635">
        <v>500</v>
      </c>
      <c r="O1635">
        <v>0</v>
      </c>
      <c r="P1635">
        <v>0</v>
      </c>
      <c r="Q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 t="s">
        <v>36</v>
      </c>
      <c r="AC1635" t="s">
        <v>687</v>
      </c>
      <c r="AD1635" t="str">
        <f t="shared" si="52"/>
        <v>CP</v>
      </c>
      <c r="AE1635" t="str">
        <f>_xlfn.XLOOKUP(D1635,Mapping!A:A,Mapping!D:D,0,0)</f>
        <v>Bin</v>
      </c>
      <c r="AF1635" t="str">
        <f t="shared" si="53"/>
        <v>OLD</v>
      </c>
    </row>
    <row r="1636" spans="1:32" x14ac:dyDescent="0.2">
      <c r="A1636" t="s">
        <v>1119</v>
      </c>
      <c r="B1636" t="s">
        <v>39</v>
      </c>
      <c r="C1636">
        <v>1012811272</v>
      </c>
      <c r="D1636" t="s">
        <v>641</v>
      </c>
      <c r="E1636" t="s">
        <v>31</v>
      </c>
      <c r="F1636" s="1">
        <v>0.67291666666666672</v>
      </c>
      <c r="G1636" t="s">
        <v>32</v>
      </c>
      <c r="H1636" t="s">
        <v>33</v>
      </c>
      <c r="I1636" t="s">
        <v>41</v>
      </c>
      <c r="J1636" t="s">
        <v>62</v>
      </c>
      <c r="K1636">
        <v>110</v>
      </c>
      <c r="L1636">
        <v>0</v>
      </c>
      <c r="M1636" t="s">
        <v>63</v>
      </c>
      <c r="N1636">
        <v>500</v>
      </c>
      <c r="O1636">
        <v>0</v>
      </c>
      <c r="P1636">
        <v>0</v>
      </c>
      <c r="Q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 t="s">
        <v>36</v>
      </c>
      <c r="AC1636" t="s">
        <v>687</v>
      </c>
      <c r="AD1636" t="str">
        <f t="shared" si="52"/>
        <v>CP</v>
      </c>
      <c r="AE1636" t="str">
        <f>_xlfn.XLOOKUP(D1636,Mapping!A:A,Mapping!D:D,0,0)</f>
        <v>Bin</v>
      </c>
      <c r="AF1636" t="str">
        <f t="shared" si="53"/>
        <v>OLD</v>
      </c>
    </row>
    <row r="1637" spans="1:32" x14ac:dyDescent="0.2">
      <c r="A1637" t="s">
        <v>1119</v>
      </c>
      <c r="B1637" t="s">
        <v>29</v>
      </c>
      <c r="C1637">
        <v>1012811552</v>
      </c>
      <c r="D1637" t="s">
        <v>642</v>
      </c>
      <c r="E1637" t="s">
        <v>31</v>
      </c>
      <c r="F1637" s="1">
        <v>0.67291666666666672</v>
      </c>
      <c r="G1637" t="s">
        <v>32</v>
      </c>
      <c r="H1637" t="s">
        <v>33</v>
      </c>
      <c r="I1637" t="s">
        <v>41</v>
      </c>
      <c r="J1637" t="s">
        <v>62</v>
      </c>
      <c r="K1637">
        <v>110</v>
      </c>
      <c r="L1637">
        <v>0</v>
      </c>
      <c r="M1637" t="s">
        <v>36</v>
      </c>
      <c r="N1637" t="s">
        <v>37</v>
      </c>
      <c r="O1637">
        <v>2708</v>
      </c>
      <c r="P1637">
        <v>146</v>
      </c>
      <c r="Q1637">
        <v>5.3914299999999997</v>
      </c>
      <c r="R1637">
        <v>0</v>
      </c>
      <c r="S1637">
        <v>5.71</v>
      </c>
      <c r="T1637">
        <v>2.1080000000000001</v>
      </c>
      <c r="U1637">
        <v>3.9E-2</v>
      </c>
      <c r="V1637">
        <v>0</v>
      </c>
      <c r="W1637">
        <v>1</v>
      </c>
      <c r="X1637">
        <v>0</v>
      </c>
      <c r="Y1637" t="s">
        <v>36</v>
      </c>
      <c r="Z1637">
        <v>2708</v>
      </c>
      <c r="AA1637">
        <v>2364</v>
      </c>
      <c r="AB1637">
        <v>177</v>
      </c>
      <c r="AC1637" t="s">
        <v>687</v>
      </c>
      <c r="AD1637" t="str">
        <f t="shared" si="52"/>
        <v>CP</v>
      </c>
      <c r="AE1637" t="str">
        <f>_xlfn.XLOOKUP(D1637,Mapping!A:A,Mapping!D:D,0,0)</f>
        <v>Hentai</v>
      </c>
      <c r="AF1637" t="str">
        <f t="shared" si="53"/>
        <v>OLD</v>
      </c>
    </row>
    <row r="1638" spans="1:32" x14ac:dyDescent="0.2">
      <c r="A1638" t="s">
        <v>1119</v>
      </c>
      <c r="B1638" t="s">
        <v>39</v>
      </c>
      <c r="C1638">
        <v>1012811562</v>
      </c>
      <c r="D1638" t="s">
        <v>620</v>
      </c>
      <c r="E1638" t="s">
        <v>31</v>
      </c>
      <c r="F1638" s="1">
        <v>0.67291666666666672</v>
      </c>
      <c r="G1638" t="s">
        <v>32</v>
      </c>
      <c r="H1638" t="s">
        <v>33</v>
      </c>
      <c r="I1638" t="s">
        <v>41</v>
      </c>
      <c r="J1638" t="s">
        <v>62</v>
      </c>
      <c r="K1638">
        <v>70</v>
      </c>
      <c r="L1638">
        <v>0</v>
      </c>
      <c r="M1638" t="s">
        <v>36</v>
      </c>
      <c r="N1638" t="s">
        <v>37</v>
      </c>
      <c r="O1638">
        <v>0</v>
      </c>
      <c r="P1638">
        <v>0</v>
      </c>
      <c r="Q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 t="s">
        <v>36</v>
      </c>
      <c r="AC1638" t="s">
        <v>687</v>
      </c>
      <c r="AD1638" t="str">
        <f t="shared" si="52"/>
        <v>CP</v>
      </c>
      <c r="AE1638" t="str">
        <f>_xlfn.XLOOKUP(D1638,Mapping!A:A,Mapping!D:D,0,0)</f>
        <v>Hentai</v>
      </c>
      <c r="AF1638" t="str">
        <f t="shared" si="53"/>
        <v>OLD</v>
      </c>
    </row>
    <row r="1639" spans="1:32" x14ac:dyDescent="0.2">
      <c r="A1639" t="s">
        <v>1119</v>
      </c>
      <c r="B1639" t="s">
        <v>29</v>
      </c>
      <c r="C1639">
        <v>1012811572</v>
      </c>
      <c r="D1639" t="s">
        <v>643</v>
      </c>
      <c r="E1639" t="s">
        <v>31</v>
      </c>
      <c r="F1639" s="1">
        <v>0.67291666666666672</v>
      </c>
      <c r="G1639" t="s">
        <v>32</v>
      </c>
      <c r="H1639" t="s">
        <v>33</v>
      </c>
      <c r="I1639" t="s">
        <v>34</v>
      </c>
      <c r="J1639" t="s">
        <v>84</v>
      </c>
      <c r="K1639">
        <v>56</v>
      </c>
      <c r="L1639">
        <v>0</v>
      </c>
      <c r="M1639" t="s">
        <v>36</v>
      </c>
      <c r="N1639" t="s">
        <v>37</v>
      </c>
      <c r="O1639">
        <v>3126</v>
      </c>
      <c r="P1639">
        <v>213</v>
      </c>
      <c r="Q1639">
        <v>6.8138199999999998</v>
      </c>
      <c r="R1639">
        <v>0</v>
      </c>
      <c r="S1639">
        <v>9.26</v>
      </c>
      <c r="T1639">
        <v>2.9620000000000002</v>
      </c>
      <c r="U1639">
        <v>4.2999999999999997E-2</v>
      </c>
      <c r="V1639">
        <v>0</v>
      </c>
      <c r="W1639">
        <v>1</v>
      </c>
      <c r="X1639">
        <v>0</v>
      </c>
      <c r="Y1639" t="s">
        <v>36</v>
      </c>
      <c r="Z1639">
        <v>3126</v>
      </c>
      <c r="AA1639">
        <v>2306</v>
      </c>
      <c r="AB1639">
        <v>362</v>
      </c>
      <c r="AC1639" t="s">
        <v>687</v>
      </c>
      <c r="AD1639" t="str">
        <f t="shared" si="52"/>
        <v>CP</v>
      </c>
      <c r="AE1639" t="str">
        <f>_xlfn.XLOOKUP(D1639,Mapping!A:A,Mapping!D:D,0,0)</f>
        <v>Hentai</v>
      </c>
      <c r="AF1639" t="str">
        <f t="shared" si="53"/>
        <v>OLD</v>
      </c>
    </row>
    <row r="1640" spans="1:32" x14ac:dyDescent="0.2">
      <c r="A1640" t="s">
        <v>1119</v>
      </c>
      <c r="B1640" t="s">
        <v>29</v>
      </c>
      <c r="C1640">
        <v>1012811582</v>
      </c>
      <c r="D1640" t="s">
        <v>644</v>
      </c>
      <c r="E1640" t="s">
        <v>31</v>
      </c>
      <c r="F1640" s="1">
        <v>0.67291666666666672</v>
      </c>
      <c r="G1640" t="s">
        <v>32</v>
      </c>
      <c r="H1640" t="s">
        <v>33</v>
      </c>
      <c r="I1640" t="s">
        <v>41</v>
      </c>
      <c r="J1640" t="s">
        <v>62</v>
      </c>
      <c r="K1640">
        <v>130</v>
      </c>
      <c r="L1640">
        <v>0</v>
      </c>
      <c r="M1640" t="s">
        <v>36</v>
      </c>
      <c r="N1640" t="s">
        <v>37</v>
      </c>
      <c r="O1640">
        <v>24035</v>
      </c>
      <c r="P1640">
        <v>1319</v>
      </c>
      <c r="Q1640">
        <v>5.4878299999999998</v>
      </c>
      <c r="R1640">
        <v>3</v>
      </c>
      <c r="S1640">
        <v>49.15</v>
      </c>
      <c r="T1640">
        <v>2.0449999999999999</v>
      </c>
      <c r="U1640">
        <v>3.6999999999999998E-2</v>
      </c>
      <c r="V1640">
        <v>16.384</v>
      </c>
      <c r="W1640">
        <v>1</v>
      </c>
      <c r="X1640">
        <v>0</v>
      </c>
      <c r="Y1640" t="s">
        <v>36</v>
      </c>
      <c r="Z1640">
        <v>24035</v>
      </c>
      <c r="AA1640">
        <v>21268</v>
      </c>
      <c r="AB1640">
        <v>1953</v>
      </c>
      <c r="AC1640" t="s">
        <v>687</v>
      </c>
      <c r="AD1640" t="str">
        <f t="shared" si="52"/>
        <v>CP</v>
      </c>
      <c r="AE1640" t="str">
        <f>_xlfn.XLOOKUP(D1640,Mapping!A:A,Mapping!D:D,0,0)</f>
        <v>Hentai</v>
      </c>
      <c r="AF1640" t="str">
        <f t="shared" si="53"/>
        <v>OLD</v>
      </c>
    </row>
    <row r="1641" spans="1:32" x14ac:dyDescent="0.2">
      <c r="A1641" t="s">
        <v>1119</v>
      </c>
      <c r="B1641" t="s">
        <v>39</v>
      </c>
      <c r="C1641">
        <v>1012811592</v>
      </c>
      <c r="D1641" t="s">
        <v>645</v>
      </c>
      <c r="E1641" t="s">
        <v>31</v>
      </c>
      <c r="F1641" s="1">
        <v>0.67291666666666672</v>
      </c>
      <c r="G1641" t="s">
        <v>32</v>
      </c>
      <c r="H1641" t="s">
        <v>33</v>
      </c>
      <c r="I1641" t="s">
        <v>34</v>
      </c>
      <c r="J1641" t="s">
        <v>84</v>
      </c>
      <c r="K1641">
        <v>36</v>
      </c>
      <c r="L1641">
        <v>0</v>
      </c>
      <c r="M1641" t="s">
        <v>36</v>
      </c>
      <c r="N1641" t="s">
        <v>37</v>
      </c>
      <c r="O1641">
        <v>0</v>
      </c>
      <c r="P1641">
        <v>0</v>
      </c>
      <c r="Q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 t="s">
        <v>36</v>
      </c>
      <c r="AC1641" t="s">
        <v>687</v>
      </c>
      <c r="AD1641" t="str">
        <f t="shared" si="52"/>
        <v>CP</v>
      </c>
      <c r="AE1641" t="str">
        <f>_xlfn.XLOOKUP(D1641,Mapping!A:A,Mapping!D:D,0,0)</f>
        <v>Hentai</v>
      </c>
      <c r="AF1641" t="str">
        <f t="shared" si="53"/>
        <v>OLD</v>
      </c>
    </row>
    <row r="1642" spans="1:32" x14ac:dyDescent="0.2">
      <c r="A1642" t="s">
        <v>1119</v>
      </c>
      <c r="B1642" t="s">
        <v>39</v>
      </c>
      <c r="C1642">
        <v>1012811602</v>
      </c>
      <c r="D1642" t="s">
        <v>646</v>
      </c>
      <c r="E1642" t="s">
        <v>31</v>
      </c>
      <c r="F1642" s="1">
        <v>0.67291666666666672</v>
      </c>
      <c r="G1642" t="s">
        <v>32</v>
      </c>
      <c r="H1642" t="s">
        <v>33</v>
      </c>
      <c r="I1642" t="s">
        <v>41</v>
      </c>
      <c r="J1642" t="s">
        <v>62</v>
      </c>
      <c r="K1642">
        <v>70</v>
      </c>
      <c r="L1642">
        <v>0</v>
      </c>
      <c r="M1642" t="s">
        <v>36</v>
      </c>
      <c r="N1642" t="s">
        <v>37</v>
      </c>
      <c r="O1642">
        <v>0</v>
      </c>
      <c r="P1642">
        <v>0</v>
      </c>
      <c r="Q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 t="s">
        <v>36</v>
      </c>
      <c r="AC1642" t="s">
        <v>687</v>
      </c>
      <c r="AD1642" t="str">
        <f t="shared" si="52"/>
        <v>CP</v>
      </c>
      <c r="AE1642" t="str">
        <f>_xlfn.XLOOKUP(D1642,Mapping!A:A,Mapping!D:D,0,0)</f>
        <v>Hentai</v>
      </c>
      <c r="AF1642" t="str">
        <f t="shared" si="53"/>
        <v>OLD</v>
      </c>
    </row>
    <row r="1643" spans="1:32" x14ac:dyDescent="0.2">
      <c r="A1643" t="s">
        <v>1119</v>
      </c>
      <c r="B1643" t="s">
        <v>39</v>
      </c>
      <c r="C1643">
        <v>1012811612</v>
      </c>
      <c r="D1643" t="s">
        <v>617</v>
      </c>
      <c r="E1643" t="s">
        <v>31</v>
      </c>
      <c r="F1643" s="1">
        <v>0.67291666666666672</v>
      </c>
      <c r="G1643" t="s">
        <v>32</v>
      </c>
      <c r="H1643" t="s">
        <v>33</v>
      </c>
      <c r="I1643" t="s">
        <v>41</v>
      </c>
      <c r="J1643" t="s">
        <v>62</v>
      </c>
      <c r="K1643">
        <v>70</v>
      </c>
      <c r="L1643">
        <v>0</v>
      </c>
      <c r="M1643" t="s">
        <v>36</v>
      </c>
      <c r="N1643" t="s">
        <v>37</v>
      </c>
      <c r="O1643">
        <v>0</v>
      </c>
      <c r="P1643">
        <v>0</v>
      </c>
      <c r="Q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 t="s">
        <v>36</v>
      </c>
      <c r="AC1643" t="s">
        <v>687</v>
      </c>
      <c r="AD1643" t="str">
        <f t="shared" si="52"/>
        <v>CP</v>
      </c>
      <c r="AE1643" t="str">
        <f>_xlfn.XLOOKUP(D1643,Mapping!A:A,Mapping!D:D,0,0)</f>
        <v>Hentai</v>
      </c>
      <c r="AF1643" t="str">
        <f t="shared" si="53"/>
        <v>OLD</v>
      </c>
    </row>
    <row r="1644" spans="1:32" x14ac:dyDescent="0.2">
      <c r="A1644" t="s">
        <v>1119</v>
      </c>
      <c r="B1644" t="s">
        <v>29</v>
      </c>
      <c r="C1644">
        <v>1012811622</v>
      </c>
      <c r="D1644" t="s">
        <v>647</v>
      </c>
      <c r="E1644" t="s">
        <v>31</v>
      </c>
      <c r="F1644" s="1">
        <v>0.67291666666666672</v>
      </c>
      <c r="G1644" t="s">
        <v>32</v>
      </c>
      <c r="H1644" t="s">
        <v>33</v>
      </c>
      <c r="I1644" t="s">
        <v>34</v>
      </c>
      <c r="J1644" t="s">
        <v>84</v>
      </c>
      <c r="K1644">
        <v>64</v>
      </c>
      <c r="L1644">
        <v>0</v>
      </c>
      <c r="M1644" t="s">
        <v>36</v>
      </c>
      <c r="N1644" t="s">
        <v>37</v>
      </c>
      <c r="O1644">
        <v>17082</v>
      </c>
      <c r="P1644">
        <v>1030</v>
      </c>
      <c r="Q1644">
        <v>6.0297400000000003</v>
      </c>
      <c r="R1644">
        <v>1</v>
      </c>
      <c r="S1644">
        <v>64.81</v>
      </c>
      <c r="T1644">
        <v>3.794</v>
      </c>
      <c r="U1644">
        <v>6.3E-2</v>
      </c>
      <c r="V1644">
        <v>64.808999999999997</v>
      </c>
      <c r="W1644">
        <v>1</v>
      </c>
      <c r="X1644">
        <v>0</v>
      </c>
      <c r="Y1644" t="s">
        <v>36</v>
      </c>
      <c r="Z1644">
        <v>17082</v>
      </c>
      <c r="AA1644">
        <v>13653</v>
      </c>
      <c r="AB1644">
        <v>1893</v>
      </c>
      <c r="AC1644" t="s">
        <v>687</v>
      </c>
      <c r="AD1644" t="str">
        <f t="shared" si="52"/>
        <v>CP</v>
      </c>
      <c r="AE1644" t="str">
        <f>_xlfn.XLOOKUP(D1644,Mapping!A:A,Mapping!D:D,0,0)</f>
        <v>Hentai</v>
      </c>
      <c r="AF1644" t="str">
        <f t="shared" si="53"/>
        <v>OLD</v>
      </c>
    </row>
    <row r="1645" spans="1:32" x14ac:dyDescent="0.2">
      <c r="A1645" t="s">
        <v>1119</v>
      </c>
      <c r="B1645" t="s">
        <v>29</v>
      </c>
      <c r="C1645">
        <v>1012811632</v>
      </c>
      <c r="D1645" t="s">
        <v>648</v>
      </c>
      <c r="E1645" t="s">
        <v>31</v>
      </c>
      <c r="F1645" s="1">
        <v>0.67291666666666672</v>
      </c>
      <c r="G1645" t="s">
        <v>32</v>
      </c>
      <c r="H1645" t="s">
        <v>33</v>
      </c>
      <c r="I1645" t="s">
        <v>41</v>
      </c>
      <c r="J1645" t="s">
        <v>62</v>
      </c>
      <c r="K1645">
        <v>120</v>
      </c>
      <c r="L1645">
        <v>0</v>
      </c>
      <c r="M1645" t="s">
        <v>36</v>
      </c>
      <c r="N1645" t="s">
        <v>37</v>
      </c>
      <c r="O1645">
        <v>31354</v>
      </c>
      <c r="P1645">
        <v>1860</v>
      </c>
      <c r="Q1645">
        <v>5.9322600000000003</v>
      </c>
      <c r="R1645">
        <v>0</v>
      </c>
      <c r="S1645">
        <v>62.75</v>
      </c>
      <c r="T1645">
        <v>2.0009999999999999</v>
      </c>
      <c r="U1645">
        <v>3.4000000000000002E-2</v>
      </c>
      <c r="V1645">
        <v>0</v>
      </c>
      <c r="W1645">
        <v>1</v>
      </c>
      <c r="X1645">
        <v>0</v>
      </c>
      <c r="Y1645" t="s">
        <v>36</v>
      </c>
      <c r="Z1645">
        <v>31354</v>
      </c>
      <c r="AA1645">
        <v>27964</v>
      </c>
      <c r="AB1645">
        <v>2250</v>
      </c>
      <c r="AC1645" t="s">
        <v>687</v>
      </c>
      <c r="AD1645" t="str">
        <f t="shared" si="52"/>
        <v>CP</v>
      </c>
      <c r="AE1645" t="str">
        <f>_xlfn.XLOOKUP(D1645,Mapping!A:A,Mapping!D:D,0,0)</f>
        <v>Hentai</v>
      </c>
      <c r="AF1645" t="str">
        <f t="shared" si="53"/>
        <v>OLD</v>
      </c>
    </row>
    <row r="1646" spans="1:32" x14ac:dyDescent="0.2">
      <c r="A1646" t="s">
        <v>1119</v>
      </c>
      <c r="B1646" t="s">
        <v>39</v>
      </c>
      <c r="C1646">
        <v>1012811642</v>
      </c>
      <c r="D1646" t="s">
        <v>649</v>
      </c>
      <c r="E1646" t="s">
        <v>31</v>
      </c>
      <c r="F1646" s="1">
        <v>0.67291666666666672</v>
      </c>
      <c r="G1646" t="s">
        <v>32</v>
      </c>
      <c r="H1646" t="s">
        <v>33</v>
      </c>
      <c r="I1646" t="s">
        <v>41</v>
      </c>
      <c r="J1646" t="s">
        <v>62</v>
      </c>
      <c r="K1646">
        <v>70</v>
      </c>
      <c r="L1646">
        <v>0</v>
      </c>
      <c r="M1646" t="s">
        <v>36</v>
      </c>
      <c r="N1646" t="s">
        <v>37</v>
      </c>
      <c r="O1646">
        <v>0</v>
      </c>
      <c r="P1646">
        <v>0</v>
      </c>
      <c r="Q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 t="s">
        <v>36</v>
      </c>
      <c r="AC1646" t="s">
        <v>687</v>
      </c>
      <c r="AD1646" t="str">
        <f t="shared" si="52"/>
        <v>CP</v>
      </c>
      <c r="AE1646" t="str">
        <f>_xlfn.XLOOKUP(D1646,Mapping!A:A,Mapping!D:D,0,0)</f>
        <v>Hentai</v>
      </c>
      <c r="AF1646" t="str">
        <f t="shared" si="53"/>
        <v>OLD</v>
      </c>
    </row>
    <row r="1647" spans="1:32" x14ac:dyDescent="0.2">
      <c r="A1647" t="s">
        <v>1119</v>
      </c>
      <c r="B1647" t="s">
        <v>39</v>
      </c>
      <c r="C1647">
        <v>1012811652</v>
      </c>
      <c r="D1647" t="s">
        <v>650</v>
      </c>
      <c r="E1647" t="s">
        <v>31</v>
      </c>
      <c r="F1647" s="1">
        <v>0.67291666666666672</v>
      </c>
      <c r="G1647" t="s">
        <v>32</v>
      </c>
      <c r="H1647" t="s">
        <v>33</v>
      </c>
      <c r="I1647" t="s">
        <v>41</v>
      </c>
      <c r="J1647" t="s">
        <v>62</v>
      </c>
      <c r="K1647">
        <v>70</v>
      </c>
      <c r="L1647">
        <v>0</v>
      </c>
      <c r="M1647" t="s">
        <v>36</v>
      </c>
      <c r="N1647" t="s">
        <v>37</v>
      </c>
      <c r="O1647">
        <v>0</v>
      </c>
      <c r="P1647">
        <v>0</v>
      </c>
      <c r="Q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 t="s">
        <v>36</v>
      </c>
      <c r="AC1647" t="s">
        <v>687</v>
      </c>
      <c r="AD1647" t="str">
        <f t="shared" si="52"/>
        <v>CP</v>
      </c>
      <c r="AE1647" t="str">
        <f>_xlfn.XLOOKUP(D1647,Mapping!A:A,Mapping!D:D,0,0)</f>
        <v>Hentai</v>
      </c>
      <c r="AF1647" t="str">
        <f t="shared" si="53"/>
        <v>OLD</v>
      </c>
    </row>
    <row r="1648" spans="1:32" x14ac:dyDescent="0.2">
      <c r="A1648" t="s">
        <v>1119</v>
      </c>
      <c r="B1648" t="s">
        <v>39</v>
      </c>
      <c r="C1648">
        <v>1012811662</v>
      </c>
      <c r="D1648" t="s">
        <v>651</v>
      </c>
      <c r="E1648" t="s">
        <v>31</v>
      </c>
      <c r="F1648" s="1">
        <v>0.67291666666666672</v>
      </c>
      <c r="G1648" t="s">
        <v>32</v>
      </c>
      <c r="H1648" t="s">
        <v>33</v>
      </c>
      <c r="I1648" t="s">
        <v>34</v>
      </c>
      <c r="J1648" t="s">
        <v>84</v>
      </c>
      <c r="K1648">
        <v>36</v>
      </c>
      <c r="L1648">
        <v>0</v>
      </c>
      <c r="M1648" t="s">
        <v>36</v>
      </c>
      <c r="N1648" t="s">
        <v>37</v>
      </c>
      <c r="O1648">
        <v>0</v>
      </c>
      <c r="P1648">
        <v>0</v>
      </c>
      <c r="Q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 t="s">
        <v>36</v>
      </c>
      <c r="AC1648" t="s">
        <v>687</v>
      </c>
      <c r="AD1648" t="str">
        <f t="shared" si="52"/>
        <v>CP</v>
      </c>
      <c r="AE1648" t="str">
        <f>_xlfn.XLOOKUP(D1648,Mapping!A:A,Mapping!D:D,0,0)</f>
        <v>Hentai</v>
      </c>
      <c r="AF1648" t="str">
        <f t="shared" si="53"/>
        <v>OLD</v>
      </c>
    </row>
    <row r="1649" spans="1:32" x14ac:dyDescent="0.2">
      <c r="A1649" t="s">
        <v>1119</v>
      </c>
      <c r="B1649" t="s">
        <v>29</v>
      </c>
      <c r="C1649">
        <v>1012811672</v>
      </c>
      <c r="D1649" t="s">
        <v>652</v>
      </c>
      <c r="E1649" t="s">
        <v>31</v>
      </c>
      <c r="F1649" s="1">
        <v>0.67291666666666672</v>
      </c>
      <c r="G1649" t="s">
        <v>32</v>
      </c>
      <c r="H1649" t="s">
        <v>33</v>
      </c>
      <c r="I1649" t="s">
        <v>34</v>
      </c>
      <c r="J1649" t="s">
        <v>84</v>
      </c>
      <c r="K1649">
        <v>52</v>
      </c>
      <c r="L1649">
        <v>0</v>
      </c>
      <c r="M1649" t="s">
        <v>36</v>
      </c>
      <c r="N1649" t="s">
        <v>37</v>
      </c>
      <c r="O1649">
        <v>3346</v>
      </c>
      <c r="P1649">
        <v>167</v>
      </c>
      <c r="Q1649">
        <v>4.9910300000000003</v>
      </c>
      <c r="R1649">
        <v>0</v>
      </c>
      <c r="S1649">
        <v>12.71</v>
      </c>
      <c r="T1649">
        <v>3.798</v>
      </c>
      <c r="U1649">
        <v>7.5999999999999998E-2</v>
      </c>
      <c r="V1649">
        <v>0</v>
      </c>
      <c r="W1649">
        <v>1</v>
      </c>
      <c r="X1649">
        <v>0</v>
      </c>
      <c r="Y1649" t="s">
        <v>36</v>
      </c>
      <c r="Z1649">
        <v>3346</v>
      </c>
      <c r="AA1649">
        <v>2639</v>
      </c>
      <c r="AB1649">
        <v>373</v>
      </c>
      <c r="AC1649" t="s">
        <v>687</v>
      </c>
      <c r="AD1649" t="str">
        <f t="shared" si="52"/>
        <v>CP</v>
      </c>
      <c r="AE1649" t="str">
        <f>_xlfn.XLOOKUP(D1649,Mapping!A:A,Mapping!D:D,0,0)</f>
        <v>Hentai</v>
      </c>
      <c r="AF1649" t="str">
        <f t="shared" si="53"/>
        <v>OLD</v>
      </c>
    </row>
    <row r="1650" spans="1:32" x14ac:dyDescent="0.2">
      <c r="A1650" t="s">
        <v>1119</v>
      </c>
      <c r="B1650" t="s">
        <v>29</v>
      </c>
      <c r="C1650">
        <v>1012811682</v>
      </c>
      <c r="D1650" t="s">
        <v>653</v>
      </c>
      <c r="E1650" t="s">
        <v>31</v>
      </c>
      <c r="F1650" s="1">
        <v>0.67291666666666672</v>
      </c>
      <c r="G1650" t="s">
        <v>32</v>
      </c>
      <c r="H1650" t="s">
        <v>33</v>
      </c>
      <c r="I1650" t="s">
        <v>41</v>
      </c>
      <c r="J1650" t="s">
        <v>62</v>
      </c>
      <c r="K1650">
        <v>70</v>
      </c>
      <c r="L1650">
        <v>0</v>
      </c>
      <c r="M1650" t="s">
        <v>36</v>
      </c>
      <c r="N1650" t="s">
        <v>37</v>
      </c>
      <c r="O1650">
        <v>596</v>
      </c>
      <c r="P1650">
        <v>45</v>
      </c>
      <c r="Q1650">
        <v>7.5503400000000003</v>
      </c>
      <c r="R1650">
        <v>0</v>
      </c>
      <c r="S1650">
        <v>0.86</v>
      </c>
      <c r="T1650">
        <v>1.4410000000000001</v>
      </c>
      <c r="U1650">
        <v>1.9E-2</v>
      </c>
      <c r="V1650">
        <v>0</v>
      </c>
      <c r="W1650">
        <v>1</v>
      </c>
      <c r="X1650">
        <v>0</v>
      </c>
      <c r="Y1650" t="s">
        <v>36</v>
      </c>
      <c r="Z1650">
        <v>596</v>
      </c>
      <c r="AA1650">
        <v>533</v>
      </c>
      <c r="AB1650">
        <v>56</v>
      </c>
      <c r="AC1650" t="s">
        <v>687</v>
      </c>
      <c r="AD1650" t="str">
        <f t="shared" si="52"/>
        <v>CP</v>
      </c>
      <c r="AE1650" t="str">
        <f>_xlfn.XLOOKUP(D1650,Mapping!A:A,Mapping!D:D,0,0)</f>
        <v>Hentai</v>
      </c>
      <c r="AF1650" t="str">
        <f t="shared" si="53"/>
        <v>OLD</v>
      </c>
    </row>
    <row r="1651" spans="1:32" x14ac:dyDescent="0.2">
      <c r="A1651" t="s">
        <v>1119</v>
      </c>
      <c r="B1651" t="s">
        <v>29</v>
      </c>
      <c r="C1651">
        <v>1012811692</v>
      </c>
      <c r="D1651" t="s">
        <v>654</v>
      </c>
      <c r="E1651" t="s">
        <v>31</v>
      </c>
      <c r="F1651" s="1">
        <v>0.67291666666666672</v>
      </c>
      <c r="G1651" t="s">
        <v>32</v>
      </c>
      <c r="H1651" t="s">
        <v>33</v>
      </c>
      <c r="I1651" t="s">
        <v>41</v>
      </c>
      <c r="J1651" t="s">
        <v>62</v>
      </c>
      <c r="K1651">
        <v>70</v>
      </c>
      <c r="L1651">
        <v>0</v>
      </c>
      <c r="M1651" t="s">
        <v>36</v>
      </c>
      <c r="N1651" t="s">
        <v>37</v>
      </c>
      <c r="O1651">
        <v>250</v>
      </c>
      <c r="P1651">
        <v>19</v>
      </c>
      <c r="Q1651">
        <v>7.6</v>
      </c>
      <c r="R1651">
        <v>0</v>
      </c>
      <c r="S1651">
        <v>0.53</v>
      </c>
      <c r="T1651">
        <v>2.1160000000000001</v>
      </c>
      <c r="U1651">
        <v>2.8000000000000001E-2</v>
      </c>
      <c r="V1651">
        <v>0</v>
      </c>
      <c r="W1651">
        <v>1</v>
      </c>
      <c r="X1651">
        <v>0</v>
      </c>
      <c r="Y1651" t="s">
        <v>36</v>
      </c>
      <c r="Z1651">
        <v>250</v>
      </c>
      <c r="AA1651">
        <v>230</v>
      </c>
      <c r="AB1651">
        <v>13</v>
      </c>
      <c r="AC1651" t="s">
        <v>687</v>
      </c>
      <c r="AD1651" t="str">
        <f t="shared" si="52"/>
        <v>CP</v>
      </c>
      <c r="AE1651" t="str">
        <f>_xlfn.XLOOKUP(D1651,Mapping!A:A,Mapping!D:D,0,0)</f>
        <v>Hentai</v>
      </c>
      <c r="AF1651" t="str">
        <f t="shared" si="53"/>
        <v>OLD</v>
      </c>
    </row>
    <row r="1652" spans="1:32" x14ac:dyDescent="0.2">
      <c r="A1652" t="s">
        <v>1119</v>
      </c>
      <c r="B1652" t="s">
        <v>29</v>
      </c>
      <c r="C1652">
        <v>1012811702</v>
      </c>
      <c r="D1652" t="s">
        <v>655</v>
      </c>
      <c r="E1652" t="s">
        <v>31</v>
      </c>
      <c r="F1652" t="s">
        <v>246</v>
      </c>
      <c r="G1652" t="s">
        <v>247</v>
      </c>
      <c r="H1652" t="s">
        <v>33</v>
      </c>
      <c r="I1652" t="s">
        <v>41</v>
      </c>
      <c r="J1652" t="s">
        <v>62</v>
      </c>
      <c r="K1652">
        <v>416</v>
      </c>
      <c r="L1652">
        <v>0</v>
      </c>
      <c r="M1652" t="s">
        <v>36</v>
      </c>
      <c r="N1652" t="s">
        <v>37</v>
      </c>
      <c r="O1652">
        <v>477154</v>
      </c>
      <c r="P1652">
        <v>597</v>
      </c>
      <c r="Q1652">
        <v>0.12512000000000001</v>
      </c>
      <c r="R1652">
        <v>2</v>
      </c>
      <c r="S1652">
        <v>80.180000000000007</v>
      </c>
      <c r="T1652">
        <v>0.16800000000000001</v>
      </c>
      <c r="U1652">
        <v>0.13400000000000001</v>
      </c>
      <c r="V1652">
        <v>40.091000000000001</v>
      </c>
      <c r="W1652">
        <v>2</v>
      </c>
      <c r="X1652">
        <v>0</v>
      </c>
      <c r="Y1652" t="s">
        <v>36</v>
      </c>
      <c r="Z1652">
        <v>0</v>
      </c>
      <c r="AA1652">
        <v>0</v>
      </c>
      <c r="AB1652">
        <v>0</v>
      </c>
      <c r="AC1652" t="s">
        <v>687</v>
      </c>
      <c r="AD1652" t="str">
        <f t="shared" si="52"/>
        <v>OL</v>
      </c>
      <c r="AE1652" t="str">
        <f>_xlfn.XLOOKUP(D1652,Mapping!A:A,Mapping!D:D,0,0)</f>
        <v>Hentai</v>
      </c>
      <c r="AF1652" t="str">
        <f t="shared" si="53"/>
        <v>OLD</v>
      </c>
    </row>
    <row r="1653" spans="1:32" x14ac:dyDescent="0.2">
      <c r="A1653" t="s">
        <v>1119</v>
      </c>
      <c r="B1653" t="s">
        <v>29</v>
      </c>
      <c r="C1653">
        <v>1012811712</v>
      </c>
      <c r="D1653" t="s">
        <v>656</v>
      </c>
      <c r="E1653" t="s">
        <v>31</v>
      </c>
      <c r="F1653" t="s">
        <v>246</v>
      </c>
      <c r="G1653" t="s">
        <v>247</v>
      </c>
      <c r="H1653" t="s">
        <v>33</v>
      </c>
      <c r="I1653" t="s">
        <v>41</v>
      </c>
      <c r="J1653" t="s">
        <v>62</v>
      </c>
      <c r="K1653">
        <v>416</v>
      </c>
      <c r="L1653">
        <v>0</v>
      </c>
      <c r="M1653" t="s">
        <v>36</v>
      </c>
      <c r="N1653" t="s">
        <v>37</v>
      </c>
      <c r="O1653">
        <v>248539</v>
      </c>
      <c r="P1653">
        <v>474</v>
      </c>
      <c r="Q1653">
        <v>0.19070999999999999</v>
      </c>
      <c r="R1653">
        <v>0</v>
      </c>
      <c r="S1653">
        <v>43.98</v>
      </c>
      <c r="T1653">
        <v>0.17699999999999999</v>
      </c>
      <c r="U1653">
        <v>9.2999999999999999E-2</v>
      </c>
      <c r="V1653">
        <v>0</v>
      </c>
      <c r="W1653">
        <v>2</v>
      </c>
      <c r="X1653">
        <v>0</v>
      </c>
      <c r="Y1653" t="s">
        <v>36</v>
      </c>
      <c r="Z1653">
        <v>0</v>
      </c>
      <c r="AA1653">
        <v>0</v>
      </c>
      <c r="AB1653">
        <v>0</v>
      </c>
      <c r="AC1653" t="s">
        <v>687</v>
      </c>
      <c r="AD1653" t="str">
        <f t="shared" si="52"/>
        <v>OL</v>
      </c>
      <c r="AE1653" t="str">
        <f>_xlfn.XLOOKUP(D1653,Mapping!A:A,Mapping!D:D,0,0)</f>
        <v>Hentai</v>
      </c>
      <c r="AF1653" t="str">
        <f t="shared" si="53"/>
        <v>OLD</v>
      </c>
    </row>
    <row r="1654" spans="1:32" x14ac:dyDescent="0.2">
      <c r="A1654" t="s">
        <v>1119</v>
      </c>
      <c r="B1654" t="s">
        <v>39</v>
      </c>
      <c r="C1654">
        <v>1012811722</v>
      </c>
      <c r="D1654" t="s">
        <v>657</v>
      </c>
      <c r="E1654" t="s">
        <v>31</v>
      </c>
      <c r="F1654" t="s">
        <v>246</v>
      </c>
      <c r="G1654" t="s">
        <v>247</v>
      </c>
      <c r="H1654" t="s">
        <v>33</v>
      </c>
      <c r="I1654" t="s">
        <v>34</v>
      </c>
      <c r="J1654" t="s">
        <v>84</v>
      </c>
      <c r="K1654">
        <v>396</v>
      </c>
      <c r="L1654">
        <v>0</v>
      </c>
      <c r="M1654" t="s">
        <v>36</v>
      </c>
      <c r="N1654" t="s">
        <v>37</v>
      </c>
      <c r="O1654">
        <v>0</v>
      </c>
      <c r="P1654">
        <v>0</v>
      </c>
      <c r="Q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 t="s">
        <v>36</v>
      </c>
      <c r="AC1654" t="s">
        <v>687</v>
      </c>
      <c r="AD1654" t="str">
        <f t="shared" si="52"/>
        <v>CP</v>
      </c>
      <c r="AE1654" t="str">
        <f>_xlfn.XLOOKUP(D1654,Mapping!A:A,Mapping!D:D,0,0)</f>
        <v>Hentai</v>
      </c>
      <c r="AF1654" t="str">
        <f t="shared" si="53"/>
        <v>OLD</v>
      </c>
    </row>
    <row r="1655" spans="1:32" x14ac:dyDescent="0.2">
      <c r="A1655" t="s">
        <v>1119</v>
      </c>
      <c r="B1655" t="s">
        <v>29</v>
      </c>
      <c r="C1655">
        <v>1012811772</v>
      </c>
      <c r="D1655" t="s">
        <v>658</v>
      </c>
      <c r="E1655" t="s">
        <v>31</v>
      </c>
      <c r="F1655" t="s">
        <v>246</v>
      </c>
      <c r="G1655" t="s">
        <v>247</v>
      </c>
      <c r="H1655" t="s">
        <v>33</v>
      </c>
      <c r="I1655" t="s">
        <v>34</v>
      </c>
      <c r="J1655" t="s">
        <v>84</v>
      </c>
      <c r="K1655">
        <v>396</v>
      </c>
      <c r="L1655">
        <v>0</v>
      </c>
      <c r="M1655" t="s">
        <v>36</v>
      </c>
      <c r="N1655" t="s">
        <v>37</v>
      </c>
      <c r="O1655">
        <v>24545</v>
      </c>
      <c r="P1655">
        <v>36</v>
      </c>
      <c r="Q1655">
        <v>0.14666999999999999</v>
      </c>
      <c r="R1655">
        <v>0</v>
      </c>
      <c r="S1655">
        <v>3.5</v>
      </c>
      <c r="T1655">
        <v>0.14299999999999999</v>
      </c>
      <c r="U1655">
        <v>9.7000000000000003E-2</v>
      </c>
      <c r="V1655">
        <v>0</v>
      </c>
      <c r="W1655">
        <v>2</v>
      </c>
      <c r="X1655">
        <v>0</v>
      </c>
      <c r="Y1655" t="s">
        <v>36</v>
      </c>
      <c r="Z1655">
        <v>0</v>
      </c>
      <c r="AA1655">
        <v>0</v>
      </c>
      <c r="AB1655">
        <v>0</v>
      </c>
      <c r="AC1655" t="s">
        <v>687</v>
      </c>
      <c r="AD1655" t="str">
        <f t="shared" si="52"/>
        <v>OL</v>
      </c>
      <c r="AE1655" t="str">
        <f>_xlfn.XLOOKUP(D1655,Mapping!A:A,Mapping!D:D,0,0)</f>
        <v>Hentai</v>
      </c>
      <c r="AF1655" t="str">
        <f t="shared" si="53"/>
        <v>OLD</v>
      </c>
    </row>
    <row r="1656" spans="1:32" x14ac:dyDescent="0.2">
      <c r="A1656" t="s">
        <v>1119</v>
      </c>
      <c r="B1656" t="s">
        <v>29</v>
      </c>
      <c r="C1656">
        <v>1012811782</v>
      </c>
      <c r="D1656" t="s">
        <v>659</v>
      </c>
      <c r="E1656" t="s">
        <v>31</v>
      </c>
      <c r="F1656" t="s">
        <v>246</v>
      </c>
      <c r="G1656" t="s">
        <v>247</v>
      </c>
      <c r="H1656" t="s">
        <v>33</v>
      </c>
      <c r="I1656" t="s">
        <v>41</v>
      </c>
      <c r="J1656" t="s">
        <v>62</v>
      </c>
      <c r="K1656">
        <v>416</v>
      </c>
      <c r="L1656">
        <v>0</v>
      </c>
      <c r="M1656" t="s">
        <v>36</v>
      </c>
      <c r="N1656" t="s">
        <v>37</v>
      </c>
      <c r="O1656">
        <v>48866</v>
      </c>
      <c r="P1656">
        <v>90</v>
      </c>
      <c r="Q1656">
        <v>0.18418000000000001</v>
      </c>
      <c r="R1656">
        <v>0</v>
      </c>
      <c r="S1656">
        <v>6.82</v>
      </c>
      <c r="T1656">
        <v>0.14000000000000001</v>
      </c>
      <c r="U1656">
        <v>7.5999999999999998E-2</v>
      </c>
      <c r="V1656">
        <v>0</v>
      </c>
      <c r="W1656">
        <v>2</v>
      </c>
      <c r="X1656">
        <v>0</v>
      </c>
      <c r="Y1656" t="s">
        <v>36</v>
      </c>
      <c r="Z1656">
        <v>0</v>
      </c>
      <c r="AA1656">
        <v>0</v>
      </c>
      <c r="AB1656">
        <v>0</v>
      </c>
      <c r="AC1656" t="s">
        <v>687</v>
      </c>
      <c r="AD1656" t="str">
        <f t="shared" si="52"/>
        <v>OL</v>
      </c>
      <c r="AE1656" t="str">
        <f>_xlfn.XLOOKUP(D1656,Mapping!A:A,Mapping!D:D,0,0)</f>
        <v>Hentai</v>
      </c>
      <c r="AF1656" t="str">
        <f t="shared" si="53"/>
        <v>OLD</v>
      </c>
    </row>
    <row r="1657" spans="1:32" x14ac:dyDescent="0.2">
      <c r="A1657" t="s">
        <v>1119</v>
      </c>
      <c r="B1657" t="s">
        <v>29</v>
      </c>
      <c r="C1657">
        <v>1012811792</v>
      </c>
      <c r="D1657" t="s">
        <v>660</v>
      </c>
      <c r="E1657" t="s">
        <v>31</v>
      </c>
      <c r="F1657" t="s">
        <v>246</v>
      </c>
      <c r="G1657" t="s">
        <v>247</v>
      </c>
      <c r="H1657" t="s">
        <v>33</v>
      </c>
      <c r="I1657" t="s">
        <v>41</v>
      </c>
      <c r="J1657" t="s">
        <v>62</v>
      </c>
      <c r="K1657">
        <v>416</v>
      </c>
      <c r="L1657">
        <v>0</v>
      </c>
      <c r="M1657" t="s">
        <v>36</v>
      </c>
      <c r="N1657" t="s">
        <v>37</v>
      </c>
      <c r="O1657">
        <v>65562</v>
      </c>
      <c r="P1657">
        <v>66</v>
      </c>
      <c r="Q1657">
        <v>0.10067</v>
      </c>
      <c r="R1657">
        <v>0</v>
      </c>
      <c r="S1657">
        <v>8.61</v>
      </c>
      <c r="T1657">
        <v>0.13100000000000001</v>
      </c>
      <c r="U1657">
        <v>0.13</v>
      </c>
      <c r="V1657">
        <v>0</v>
      </c>
      <c r="W1657">
        <v>2</v>
      </c>
      <c r="X1657">
        <v>0</v>
      </c>
      <c r="Y1657" t="s">
        <v>36</v>
      </c>
      <c r="Z1657">
        <v>0</v>
      </c>
      <c r="AA1657">
        <v>0</v>
      </c>
      <c r="AB1657">
        <v>0</v>
      </c>
      <c r="AC1657" t="s">
        <v>687</v>
      </c>
      <c r="AD1657" t="str">
        <f t="shared" si="52"/>
        <v>OL</v>
      </c>
      <c r="AE1657" t="str">
        <f>_xlfn.XLOOKUP(D1657,Mapping!A:A,Mapping!D:D,0,0)</f>
        <v>Hentai</v>
      </c>
      <c r="AF1657" t="str">
        <f t="shared" si="53"/>
        <v>OLD</v>
      </c>
    </row>
    <row r="1658" spans="1:32" x14ac:dyDescent="0.2">
      <c r="A1658" t="s">
        <v>1119</v>
      </c>
      <c r="B1658" t="s">
        <v>29</v>
      </c>
      <c r="C1658">
        <v>1012811802</v>
      </c>
      <c r="D1658" t="s">
        <v>661</v>
      </c>
      <c r="E1658" t="s">
        <v>31</v>
      </c>
      <c r="F1658" t="s">
        <v>246</v>
      </c>
      <c r="G1658" t="s">
        <v>247</v>
      </c>
      <c r="H1658" t="s">
        <v>33</v>
      </c>
      <c r="I1658" t="s">
        <v>41</v>
      </c>
      <c r="J1658" t="s">
        <v>62</v>
      </c>
      <c r="K1658">
        <v>416</v>
      </c>
      <c r="L1658">
        <v>0</v>
      </c>
      <c r="M1658" t="s">
        <v>36</v>
      </c>
      <c r="N1658" t="s">
        <v>37</v>
      </c>
      <c r="O1658">
        <v>140990</v>
      </c>
      <c r="P1658">
        <v>181</v>
      </c>
      <c r="Q1658">
        <v>0.12837999999999999</v>
      </c>
      <c r="R1658">
        <v>0</v>
      </c>
      <c r="S1658">
        <v>27.29</v>
      </c>
      <c r="T1658">
        <v>0.19400000000000001</v>
      </c>
      <c r="U1658">
        <v>0.151</v>
      </c>
      <c r="V1658">
        <v>0</v>
      </c>
      <c r="W1658">
        <v>1</v>
      </c>
      <c r="X1658">
        <v>0</v>
      </c>
      <c r="Y1658" t="s">
        <v>36</v>
      </c>
      <c r="Z1658">
        <v>0</v>
      </c>
      <c r="AA1658">
        <v>0</v>
      </c>
      <c r="AB1658">
        <v>0</v>
      </c>
      <c r="AC1658" t="s">
        <v>687</v>
      </c>
      <c r="AD1658" t="str">
        <f t="shared" si="52"/>
        <v>CP</v>
      </c>
      <c r="AE1658" t="str">
        <f>_xlfn.XLOOKUP(D1658,Mapping!A:A,Mapping!D:D,0,0)</f>
        <v>Hentai</v>
      </c>
      <c r="AF1658" t="str">
        <f t="shared" si="53"/>
        <v>OLD</v>
      </c>
    </row>
    <row r="1659" spans="1:32" x14ac:dyDescent="0.2">
      <c r="A1659" t="s">
        <v>1119</v>
      </c>
      <c r="B1659" t="s">
        <v>29</v>
      </c>
      <c r="C1659">
        <v>1012811812</v>
      </c>
      <c r="D1659" t="s">
        <v>662</v>
      </c>
      <c r="E1659" t="s">
        <v>31</v>
      </c>
      <c r="F1659" t="s">
        <v>246</v>
      </c>
      <c r="G1659" t="s">
        <v>247</v>
      </c>
      <c r="H1659" t="s">
        <v>33</v>
      </c>
      <c r="I1659" t="s">
        <v>41</v>
      </c>
      <c r="J1659" t="s">
        <v>62</v>
      </c>
      <c r="K1659">
        <v>416</v>
      </c>
      <c r="L1659">
        <v>0</v>
      </c>
      <c r="M1659" t="s">
        <v>36</v>
      </c>
      <c r="N1659" t="s">
        <v>37</v>
      </c>
      <c r="O1659">
        <v>60908</v>
      </c>
      <c r="P1659">
        <v>136</v>
      </c>
      <c r="Q1659">
        <v>0.22328999999999999</v>
      </c>
      <c r="R1659">
        <v>0</v>
      </c>
      <c r="S1659">
        <v>16.940000000000001</v>
      </c>
      <c r="T1659">
        <v>0.27800000000000002</v>
      </c>
      <c r="U1659">
        <v>0.125</v>
      </c>
      <c r="V1659">
        <v>0</v>
      </c>
      <c r="W1659">
        <v>2</v>
      </c>
      <c r="X1659">
        <v>0</v>
      </c>
      <c r="Y1659" t="s">
        <v>36</v>
      </c>
      <c r="Z1659">
        <v>0</v>
      </c>
      <c r="AA1659">
        <v>0</v>
      </c>
      <c r="AB1659">
        <v>0</v>
      </c>
      <c r="AC1659" t="s">
        <v>687</v>
      </c>
      <c r="AD1659" t="str">
        <f t="shared" si="52"/>
        <v>OL</v>
      </c>
      <c r="AE1659" t="str">
        <f>_xlfn.XLOOKUP(D1659,Mapping!A:A,Mapping!D:D,0,0)</f>
        <v>Hentai</v>
      </c>
      <c r="AF1659" t="str">
        <f t="shared" si="53"/>
        <v>OLD</v>
      </c>
    </row>
    <row r="1660" spans="1:32" x14ac:dyDescent="0.2">
      <c r="A1660" t="s">
        <v>1119</v>
      </c>
      <c r="B1660" t="s">
        <v>29</v>
      </c>
      <c r="C1660">
        <v>1012811822</v>
      </c>
      <c r="D1660" t="s">
        <v>663</v>
      </c>
      <c r="E1660" t="s">
        <v>31</v>
      </c>
      <c r="F1660" t="s">
        <v>246</v>
      </c>
      <c r="G1660" t="s">
        <v>247</v>
      </c>
      <c r="H1660" t="s">
        <v>33</v>
      </c>
      <c r="I1660" t="s">
        <v>34</v>
      </c>
      <c r="J1660" t="s">
        <v>84</v>
      </c>
      <c r="K1660">
        <v>396</v>
      </c>
      <c r="L1660">
        <v>0</v>
      </c>
      <c r="M1660" t="s">
        <v>36</v>
      </c>
      <c r="N1660" t="s">
        <v>37</v>
      </c>
      <c r="O1660">
        <v>45377</v>
      </c>
      <c r="P1660">
        <v>66</v>
      </c>
      <c r="Q1660">
        <v>0.14545</v>
      </c>
      <c r="R1660">
        <v>0</v>
      </c>
      <c r="S1660">
        <v>6.49</v>
      </c>
      <c r="T1660">
        <v>0.14299999999999999</v>
      </c>
      <c r="U1660">
        <v>9.8000000000000004E-2</v>
      </c>
      <c r="V1660">
        <v>0</v>
      </c>
      <c r="W1660">
        <v>2</v>
      </c>
      <c r="X1660">
        <v>0</v>
      </c>
      <c r="Y1660" t="s">
        <v>36</v>
      </c>
      <c r="Z1660">
        <v>0</v>
      </c>
      <c r="AA1660">
        <v>0</v>
      </c>
      <c r="AB1660">
        <v>0</v>
      </c>
      <c r="AC1660" t="s">
        <v>687</v>
      </c>
      <c r="AD1660" t="str">
        <f t="shared" si="52"/>
        <v>OL</v>
      </c>
      <c r="AE1660" t="str">
        <f>_xlfn.XLOOKUP(D1660,Mapping!A:A,Mapping!D:D,0,0)</f>
        <v>Hentai</v>
      </c>
      <c r="AF1660" t="str">
        <f t="shared" si="53"/>
        <v>OLD</v>
      </c>
    </row>
    <row r="1661" spans="1:32" x14ac:dyDescent="0.2">
      <c r="A1661" t="s">
        <v>1119</v>
      </c>
      <c r="B1661" t="s">
        <v>29</v>
      </c>
      <c r="C1661">
        <v>1012811832</v>
      </c>
      <c r="D1661" t="s">
        <v>664</v>
      </c>
      <c r="E1661" t="s">
        <v>31</v>
      </c>
      <c r="F1661" t="s">
        <v>246</v>
      </c>
      <c r="G1661" t="s">
        <v>247</v>
      </c>
      <c r="H1661" t="s">
        <v>33</v>
      </c>
      <c r="I1661" t="s">
        <v>34</v>
      </c>
      <c r="J1661" t="s">
        <v>84</v>
      </c>
      <c r="K1661">
        <v>396</v>
      </c>
      <c r="L1661">
        <v>0</v>
      </c>
      <c r="M1661" t="s">
        <v>36</v>
      </c>
      <c r="N1661" t="s">
        <v>37</v>
      </c>
      <c r="O1661">
        <v>7733</v>
      </c>
      <c r="P1661">
        <v>7</v>
      </c>
      <c r="Q1661">
        <v>9.0520000000000003E-2</v>
      </c>
      <c r="R1661">
        <v>0</v>
      </c>
      <c r="S1661">
        <v>1.1000000000000001</v>
      </c>
      <c r="T1661">
        <v>0.14199999999999999</v>
      </c>
      <c r="U1661">
        <v>0.157</v>
      </c>
      <c r="V1661">
        <v>0</v>
      </c>
      <c r="W1661">
        <v>2</v>
      </c>
      <c r="X1661">
        <v>0</v>
      </c>
      <c r="Y1661" t="s">
        <v>36</v>
      </c>
      <c r="Z1661">
        <v>0</v>
      </c>
      <c r="AA1661">
        <v>0</v>
      </c>
      <c r="AB1661">
        <v>0</v>
      </c>
      <c r="AC1661" t="s">
        <v>687</v>
      </c>
      <c r="AD1661" t="str">
        <f t="shared" si="52"/>
        <v>OL</v>
      </c>
      <c r="AE1661" t="str">
        <f>_xlfn.XLOOKUP(D1661,Mapping!A:A,Mapping!D:D,0,0)</f>
        <v>Hentai</v>
      </c>
      <c r="AF1661" t="str">
        <f t="shared" si="53"/>
        <v>OLD</v>
      </c>
    </row>
    <row r="1662" spans="1:32" x14ac:dyDescent="0.2">
      <c r="A1662" t="s">
        <v>1119</v>
      </c>
      <c r="B1662" t="s">
        <v>29</v>
      </c>
      <c r="C1662">
        <v>1012811842</v>
      </c>
      <c r="D1662" t="s">
        <v>665</v>
      </c>
      <c r="E1662" t="s">
        <v>31</v>
      </c>
      <c r="F1662" t="s">
        <v>246</v>
      </c>
      <c r="G1662" t="s">
        <v>247</v>
      </c>
      <c r="H1662" t="s">
        <v>33</v>
      </c>
      <c r="I1662" t="s">
        <v>41</v>
      </c>
      <c r="J1662" t="s">
        <v>62</v>
      </c>
      <c r="K1662">
        <v>416</v>
      </c>
      <c r="L1662">
        <v>0</v>
      </c>
      <c r="M1662" t="s">
        <v>36</v>
      </c>
      <c r="N1662" t="s">
        <v>37</v>
      </c>
      <c r="O1662">
        <v>15669</v>
      </c>
      <c r="P1662">
        <v>38</v>
      </c>
      <c r="Q1662">
        <v>0.24252000000000001</v>
      </c>
      <c r="R1662">
        <v>0</v>
      </c>
      <c r="S1662">
        <v>2.2000000000000002</v>
      </c>
      <c r="T1662">
        <v>0.14000000000000001</v>
      </c>
      <c r="U1662">
        <v>5.8000000000000003E-2</v>
      </c>
      <c r="V1662">
        <v>0</v>
      </c>
      <c r="W1662">
        <v>2</v>
      </c>
      <c r="X1662">
        <v>0</v>
      </c>
      <c r="Y1662" t="s">
        <v>36</v>
      </c>
      <c r="Z1662">
        <v>0</v>
      </c>
      <c r="AA1662">
        <v>0</v>
      </c>
      <c r="AB1662">
        <v>0</v>
      </c>
      <c r="AC1662" t="s">
        <v>687</v>
      </c>
      <c r="AD1662" t="str">
        <f t="shared" si="52"/>
        <v>OL</v>
      </c>
      <c r="AE1662" t="str">
        <f>_xlfn.XLOOKUP(D1662,Mapping!A:A,Mapping!D:D,0,0)</f>
        <v>Hentai</v>
      </c>
      <c r="AF1662" t="str">
        <f t="shared" si="53"/>
        <v>OLD</v>
      </c>
    </row>
    <row r="1663" spans="1:32" x14ac:dyDescent="0.2">
      <c r="A1663" t="s">
        <v>1119</v>
      </c>
      <c r="B1663" t="s">
        <v>29</v>
      </c>
      <c r="C1663">
        <v>1012811852</v>
      </c>
      <c r="D1663" t="s">
        <v>666</v>
      </c>
      <c r="E1663" t="s">
        <v>31</v>
      </c>
      <c r="F1663" t="s">
        <v>246</v>
      </c>
      <c r="G1663" t="s">
        <v>247</v>
      </c>
      <c r="H1663" t="s">
        <v>33</v>
      </c>
      <c r="I1663" t="s">
        <v>41</v>
      </c>
      <c r="J1663" t="s">
        <v>62</v>
      </c>
      <c r="K1663">
        <v>416</v>
      </c>
      <c r="L1663">
        <v>0</v>
      </c>
      <c r="M1663" t="s">
        <v>36</v>
      </c>
      <c r="N1663" t="s">
        <v>37</v>
      </c>
      <c r="O1663">
        <v>10625</v>
      </c>
      <c r="P1663">
        <v>16</v>
      </c>
      <c r="Q1663">
        <v>0.15059</v>
      </c>
      <c r="R1663">
        <v>1</v>
      </c>
      <c r="S1663">
        <v>1.48</v>
      </c>
      <c r="T1663">
        <v>0.13900000000000001</v>
      </c>
      <c r="U1663">
        <v>9.1999999999999998E-2</v>
      </c>
      <c r="V1663">
        <v>1.476</v>
      </c>
      <c r="W1663">
        <v>2</v>
      </c>
      <c r="X1663">
        <v>0</v>
      </c>
      <c r="Y1663" t="s">
        <v>36</v>
      </c>
      <c r="Z1663">
        <v>0</v>
      </c>
      <c r="AA1663">
        <v>0</v>
      </c>
      <c r="AB1663">
        <v>0</v>
      </c>
      <c r="AC1663" t="s">
        <v>687</v>
      </c>
      <c r="AD1663" t="str">
        <f t="shared" si="52"/>
        <v>OL</v>
      </c>
      <c r="AE1663" t="str">
        <f>_xlfn.XLOOKUP(D1663,Mapping!A:A,Mapping!D:D,0,0)</f>
        <v>Hentai</v>
      </c>
      <c r="AF1663" t="str">
        <f t="shared" si="53"/>
        <v>OLD</v>
      </c>
    </row>
    <row r="1664" spans="1:32" x14ac:dyDescent="0.2">
      <c r="A1664" t="s">
        <v>1119</v>
      </c>
      <c r="B1664" t="s">
        <v>29</v>
      </c>
      <c r="C1664">
        <v>1012811862</v>
      </c>
      <c r="D1664" t="s">
        <v>667</v>
      </c>
      <c r="E1664" t="s">
        <v>31</v>
      </c>
      <c r="F1664" t="s">
        <v>246</v>
      </c>
      <c r="G1664" t="s">
        <v>247</v>
      </c>
      <c r="H1664" t="s">
        <v>33</v>
      </c>
      <c r="I1664" t="s">
        <v>41</v>
      </c>
      <c r="J1664" t="s">
        <v>62</v>
      </c>
      <c r="K1664">
        <v>416</v>
      </c>
      <c r="L1664">
        <v>0</v>
      </c>
      <c r="M1664" t="s">
        <v>36</v>
      </c>
      <c r="N1664" t="s">
        <v>37</v>
      </c>
      <c r="O1664">
        <v>25678</v>
      </c>
      <c r="P1664">
        <v>32</v>
      </c>
      <c r="Q1664">
        <v>0.12461999999999999</v>
      </c>
      <c r="R1664">
        <v>0</v>
      </c>
      <c r="S1664">
        <v>3.16</v>
      </c>
      <c r="T1664">
        <v>0.123</v>
      </c>
      <c r="U1664">
        <v>9.9000000000000005E-2</v>
      </c>
      <c r="V1664">
        <v>0</v>
      </c>
      <c r="W1664">
        <v>2</v>
      </c>
      <c r="X1664">
        <v>0</v>
      </c>
      <c r="Y1664" t="s">
        <v>36</v>
      </c>
      <c r="Z1664">
        <v>0</v>
      </c>
      <c r="AA1664">
        <v>0</v>
      </c>
      <c r="AB1664">
        <v>0</v>
      </c>
      <c r="AC1664" t="s">
        <v>687</v>
      </c>
      <c r="AD1664" t="str">
        <f t="shared" si="52"/>
        <v>OL</v>
      </c>
      <c r="AE1664" t="str">
        <f>_xlfn.XLOOKUP(D1664,Mapping!A:A,Mapping!D:D,0,0)</f>
        <v>Hentai</v>
      </c>
      <c r="AF1664" t="str">
        <f t="shared" si="53"/>
        <v>OLD</v>
      </c>
    </row>
    <row r="1665" spans="1:32" x14ac:dyDescent="0.2">
      <c r="A1665" t="s">
        <v>1119</v>
      </c>
      <c r="B1665" t="s">
        <v>29</v>
      </c>
      <c r="C1665">
        <v>1012811872</v>
      </c>
      <c r="D1665" t="s">
        <v>668</v>
      </c>
      <c r="E1665" t="s">
        <v>31</v>
      </c>
      <c r="F1665" t="s">
        <v>246</v>
      </c>
      <c r="G1665" t="s">
        <v>247</v>
      </c>
      <c r="H1665" t="s">
        <v>33</v>
      </c>
      <c r="I1665" t="s">
        <v>41</v>
      </c>
      <c r="J1665" t="s">
        <v>62</v>
      </c>
      <c r="K1665">
        <v>416</v>
      </c>
      <c r="L1665">
        <v>0</v>
      </c>
      <c r="M1665" t="s">
        <v>36</v>
      </c>
      <c r="N1665" t="s">
        <v>37</v>
      </c>
      <c r="O1665">
        <v>22136</v>
      </c>
      <c r="P1665">
        <v>64</v>
      </c>
      <c r="Q1665">
        <v>0.28911999999999999</v>
      </c>
      <c r="R1665">
        <v>1</v>
      </c>
      <c r="S1665">
        <v>2.85</v>
      </c>
      <c r="T1665">
        <v>0.129</v>
      </c>
      <c r="U1665">
        <v>4.4999999999999998E-2</v>
      </c>
      <c r="V1665">
        <v>2.851</v>
      </c>
      <c r="W1665">
        <v>1</v>
      </c>
      <c r="X1665">
        <v>0</v>
      </c>
      <c r="Y1665" t="s">
        <v>36</v>
      </c>
      <c r="Z1665">
        <v>0</v>
      </c>
      <c r="AA1665">
        <v>0</v>
      </c>
      <c r="AB1665">
        <v>0</v>
      </c>
      <c r="AC1665" t="s">
        <v>687</v>
      </c>
      <c r="AD1665" t="str">
        <f t="shared" si="52"/>
        <v>CP</v>
      </c>
      <c r="AE1665" t="str">
        <f>_xlfn.XLOOKUP(D1665,Mapping!A:A,Mapping!D:D,0,0)</f>
        <v>Hentai</v>
      </c>
      <c r="AF1665" t="str">
        <f t="shared" si="53"/>
        <v>OLD</v>
      </c>
    </row>
    <row r="1666" spans="1:32" x14ac:dyDescent="0.2">
      <c r="A1666" t="s">
        <v>1119</v>
      </c>
      <c r="B1666" t="s">
        <v>29</v>
      </c>
      <c r="C1666">
        <v>1012811882</v>
      </c>
      <c r="D1666" t="s">
        <v>669</v>
      </c>
      <c r="E1666" t="s">
        <v>31</v>
      </c>
      <c r="F1666" t="s">
        <v>246</v>
      </c>
      <c r="G1666" t="s">
        <v>247</v>
      </c>
      <c r="H1666" t="s">
        <v>33</v>
      </c>
      <c r="I1666" t="s">
        <v>34</v>
      </c>
      <c r="J1666" t="s">
        <v>84</v>
      </c>
      <c r="K1666">
        <v>396</v>
      </c>
      <c r="L1666">
        <v>0</v>
      </c>
      <c r="M1666" t="s">
        <v>36</v>
      </c>
      <c r="N1666" t="s">
        <v>37</v>
      </c>
      <c r="O1666">
        <v>8665</v>
      </c>
      <c r="P1666">
        <v>17</v>
      </c>
      <c r="Q1666">
        <v>0.19619</v>
      </c>
      <c r="R1666">
        <v>0</v>
      </c>
      <c r="S1666">
        <v>1.27</v>
      </c>
      <c r="T1666">
        <v>0.14699999999999999</v>
      </c>
      <c r="U1666">
        <v>7.4999999999999997E-2</v>
      </c>
      <c r="V1666">
        <v>0</v>
      </c>
      <c r="W1666">
        <v>2</v>
      </c>
      <c r="X1666">
        <v>0</v>
      </c>
      <c r="Y1666" t="s">
        <v>36</v>
      </c>
      <c r="Z1666">
        <v>0</v>
      </c>
      <c r="AA1666">
        <v>0</v>
      </c>
      <c r="AB1666">
        <v>0</v>
      </c>
      <c r="AC1666" t="s">
        <v>687</v>
      </c>
      <c r="AD1666" t="str">
        <f t="shared" si="52"/>
        <v>OL</v>
      </c>
      <c r="AE1666" t="str">
        <f>_xlfn.XLOOKUP(D1666,Mapping!A:A,Mapping!D:D,0,0)</f>
        <v>Hentai</v>
      </c>
      <c r="AF1666" t="str">
        <f t="shared" si="53"/>
        <v>OLD</v>
      </c>
    </row>
    <row r="1667" spans="1:32" x14ac:dyDescent="0.2">
      <c r="A1667" t="s">
        <v>1119</v>
      </c>
      <c r="B1667" t="s">
        <v>39</v>
      </c>
      <c r="C1667">
        <v>1012811912</v>
      </c>
      <c r="D1667" t="s">
        <v>670</v>
      </c>
      <c r="E1667" t="s">
        <v>31</v>
      </c>
      <c r="F1667" t="s">
        <v>671</v>
      </c>
      <c r="G1667" t="s">
        <v>247</v>
      </c>
      <c r="H1667" t="s">
        <v>33</v>
      </c>
      <c r="I1667" t="s">
        <v>41</v>
      </c>
      <c r="J1667" t="s">
        <v>62</v>
      </c>
      <c r="K1667">
        <v>81</v>
      </c>
      <c r="L1667">
        <v>0</v>
      </c>
      <c r="M1667" t="s">
        <v>36</v>
      </c>
      <c r="N1667" t="s">
        <v>37</v>
      </c>
      <c r="O1667">
        <v>0</v>
      </c>
      <c r="P1667">
        <v>0</v>
      </c>
      <c r="Q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 t="s">
        <v>36</v>
      </c>
      <c r="AC1667" t="s">
        <v>687</v>
      </c>
      <c r="AD1667" t="str">
        <f t="shared" si="52"/>
        <v>CP</v>
      </c>
      <c r="AE1667" t="str">
        <f>_xlfn.XLOOKUP(D1667,Mapping!A:A,Mapping!D:D,0,0)</f>
        <v>Hentai</v>
      </c>
      <c r="AF1667" t="str">
        <f t="shared" si="53"/>
        <v>OLD</v>
      </c>
    </row>
    <row r="1668" spans="1:32" x14ac:dyDescent="0.2">
      <c r="A1668" t="s">
        <v>1119</v>
      </c>
      <c r="B1668" t="s">
        <v>39</v>
      </c>
      <c r="C1668">
        <v>1012811942</v>
      </c>
      <c r="D1668" t="s">
        <v>672</v>
      </c>
      <c r="E1668" t="s">
        <v>31</v>
      </c>
      <c r="F1668" t="s">
        <v>671</v>
      </c>
      <c r="G1668" t="s">
        <v>247</v>
      </c>
      <c r="H1668" t="s">
        <v>33</v>
      </c>
      <c r="I1668" t="s">
        <v>34</v>
      </c>
      <c r="J1668" t="s">
        <v>84</v>
      </c>
      <c r="K1668">
        <v>48</v>
      </c>
      <c r="L1668">
        <v>0</v>
      </c>
      <c r="M1668" t="s">
        <v>36</v>
      </c>
      <c r="N1668" t="s">
        <v>37</v>
      </c>
      <c r="O1668">
        <v>0</v>
      </c>
      <c r="P1668">
        <v>0</v>
      </c>
      <c r="Q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 t="s">
        <v>36</v>
      </c>
      <c r="AC1668" t="s">
        <v>687</v>
      </c>
      <c r="AD1668" t="str">
        <f t="shared" si="52"/>
        <v>CP</v>
      </c>
      <c r="AE1668" t="str">
        <f>_xlfn.XLOOKUP(D1668,Mapping!A:A,Mapping!D:D,0,0)</f>
        <v>Hentai</v>
      </c>
      <c r="AF1668" t="str">
        <f t="shared" si="53"/>
        <v>OLD</v>
      </c>
    </row>
    <row r="1669" spans="1:32" x14ac:dyDescent="0.2">
      <c r="A1669" t="s">
        <v>1119</v>
      </c>
      <c r="B1669" t="s">
        <v>29</v>
      </c>
      <c r="C1669">
        <v>1012811972</v>
      </c>
      <c r="D1669" t="s">
        <v>673</v>
      </c>
      <c r="E1669" t="s">
        <v>31</v>
      </c>
      <c r="F1669" t="s">
        <v>671</v>
      </c>
      <c r="G1669" t="s">
        <v>247</v>
      </c>
      <c r="H1669" t="s">
        <v>33</v>
      </c>
      <c r="I1669" t="s">
        <v>41</v>
      </c>
      <c r="J1669" t="s">
        <v>62</v>
      </c>
      <c r="K1669">
        <v>81</v>
      </c>
      <c r="L1669">
        <v>0</v>
      </c>
      <c r="M1669" t="s">
        <v>36</v>
      </c>
      <c r="N1669" t="s">
        <v>37</v>
      </c>
      <c r="O1669">
        <v>510780</v>
      </c>
      <c r="P1669">
        <v>234</v>
      </c>
      <c r="Q1669">
        <v>4.5809999999999997E-2</v>
      </c>
      <c r="R1669">
        <v>2</v>
      </c>
      <c r="S1669">
        <v>34.29</v>
      </c>
      <c r="T1669">
        <v>6.7000000000000004E-2</v>
      </c>
      <c r="U1669">
        <v>0.14699999999999999</v>
      </c>
      <c r="V1669">
        <v>17.146000000000001</v>
      </c>
      <c r="W1669">
        <v>2</v>
      </c>
      <c r="X1669">
        <v>0</v>
      </c>
      <c r="Y1669" t="s">
        <v>36</v>
      </c>
      <c r="Z1669">
        <v>0</v>
      </c>
      <c r="AA1669">
        <v>0</v>
      </c>
      <c r="AB1669">
        <v>0</v>
      </c>
      <c r="AC1669" t="s">
        <v>687</v>
      </c>
      <c r="AD1669" t="str">
        <f t="shared" si="52"/>
        <v>OL</v>
      </c>
      <c r="AE1669" t="str">
        <f>_xlfn.XLOOKUP(D1669,Mapping!A:A,Mapping!D:D,0,0)</f>
        <v>Hentai</v>
      </c>
      <c r="AF1669" t="str">
        <f t="shared" si="53"/>
        <v>OLD</v>
      </c>
    </row>
    <row r="1670" spans="1:32" x14ac:dyDescent="0.2">
      <c r="A1670" t="s">
        <v>1119</v>
      </c>
      <c r="B1670" t="s">
        <v>29</v>
      </c>
      <c r="C1670">
        <v>1012811992</v>
      </c>
      <c r="D1670" t="s">
        <v>674</v>
      </c>
      <c r="E1670" t="s">
        <v>31</v>
      </c>
      <c r="F1670" t="s">
        <v>671</v>
      </c>
      <c r="G1670" t="s">
        <v>247</v>
      </c>
      <c r="H1670" t="s">
        <v>33</v>
      </c>
      <c r="I1670" t="s">
        <v>41</v>
      </c>
      <c r="J1670" t="s">
        <v>62</v>
      </c>
      <c r="K1670">
        <v>81</v>
      </c>
      <c r="L1670">
        <v>0</v>
      </c>
      <c r="M1670" t="s">
        <v>36</v>
      </c>
      <c r="N1670" t="s">
        <v>37</v>
      </c>
      <c r="O1670">
        <v>70363</v>
      </c>
      <c r="P1670">
        <v>21</v>
      </c>
      <c r="Q1670">
        <v>2.9850000000000002E-2</v>
      </c>
      <c r="R1670">
        <v>0</v>
      </c>
      <c r="S1670">
        <v>4.5199999999999996</v>
      </c>
      <c r="T1670">
        <v>6.4000000000000001E-2</v>
      </c>
      <c r="U1670">
        <v>0.215</v>
      </c>
      <c r="V1670">
        <v>0</v>
      </c>
      <c r="W1670">
        <v>2</v>
      </c>
      <c r="X1670">
        <v>0</v>
      </c>
      <c r="Y1670" t="s">
        <v>36</v>
      </c>
      <c r="Z1670">
        <v>0</v>
      </c>
      <c r="AA1670">
        <v>0</v>
      </c>
      <c r="AB1670">
        <v>0</v>
      </c>
      <c r="AC1670" t="s">
        <v>687</v>
      </c>
      <c r="AD1670" t="str">
        <f t="shared" si="52"/>
        <v>OL</v>
      </c>
      <c r="AE1670" t="str">
        <f>_xlfn.XLOOKUP(D1670,Mapping!A:A,Mapping!D:D,0,0)</f>
        <v>Hentai</v>
      </c>
      <c r="AF1670" t="str">
        <f t="shared" si="53"/>
        <v>OLD</v>
      </c>
    </row>
    <row r="1671" spans="1:32" x14ac:dyDescent="0.2">
      <c r="A1671" t="s">
        <v>1119</v>
      </c>
      <c r="B1671" t="s">
        <v>39</v>
      </c>
      <c r="C1671">
        <v>1012812002</v>
      </c>
      <c r="D1671" t="s">
        <v>675</v>
      </c>
      <c r="E1671" t="s">
        <v>31</v>
      </c>
      <c r="F1671" t="s">
        <v>671</v>
      </c>
      <c r="G1671" t="s">
        <v>247</v>
      </c>
      <c r="H1671" t="s">
        <v>33</v>
      </c>
      <c r="I1671" t="s">
        <v>34</v>
      </c>
      <c r="J1671" t="s">
        <v>84</v>
      </c>
      <c r="K1671">
        <v>48</v>
      </c>
      <c r="L1671">
        <v>0</v>
      </c>
      <c r="M1671" t="s">
        <v>36</v>
      </c>
      <c r="N1671" t="s">
        <v>37</v>
      </c>
      <c r="O1671">
        <v>0</v>
      </c>
      <c r="P1671">
        <v>0</v>
      </c>
      <c r="Q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 t="s">
        <v>36</v>
      </c>
      <c r="AC1671" t="s">
        <v>687</v>
      </c>
      <c r="AD1671" t="str">
        <f t="shared" si="52"/>
        <v>CP</v>
      </c>
      <c r="AE1671" t="str">
        <f>_xlfn.XLOOKUP(D1671,Mapping!A:A,Mapping!D:D,0,0)</f>
        <v>Hentai</v>
      </c>
      <c r="AF1671" t="str">
        <f t="shared" si="53"/>
        <v>OLD</v>
      </c>
    </row>
    <row r="1672" spans="1:32" x14ac:dyDescent="0.2">
      <c r="A1672" t="s">
        <v>1119</v>
      </c>
      <c r="B1672" t="s">
        <v>29</v>
      </c>
      <c r="C1672">
        <v>1012812012</v>
      </c>
      <c r="D1672" t="s">
        <v>676</v>
      </c>
      <c r="E1672" t="s">
        <v>31</v>
      </c>
      <c r="F1672" t="s">
        <v>671</v>
      </c>
      <c r="G1672" t="s">
        <v>247</v>
      </c>
      <c r="H1672" t="s">
        <v>33</v>
      </c>
      <c r="I1672" t="s">
        <v>41</v>
      </c>
      <c r="J1672" t="s">
        <v>62</v>
      </c>
      <c r="K1672">
        <v>81</v>
      </c>
      <c r="L1672">
        <v>0</v>
      </c>
      <c r="M1672" t="s">
        <v>36</v>
      </c>
      <c r="N1672" t="s">
        <v>37</v>
      </c>
      <c r="O1672">
        <v>70333</v>
      </c>
      <c r="P1672">
        <v>22</v>
      </c>
      <c r="Q1672">
        <v>3.1280000000000002E-2</v>
      </c>
      <c r="R1672">
        <v>0</v>
      </c>
      <c r="S1672">
        <v>4.68</v>
      </c>
      <c r="T1672">
        <v>6.7000000000000004E-2</v>
      </c>
      <c r="U1672">
        <v>0.21299999999999999</v>
      </c>
      <c r="V1672">
        <v>0</v>
      </c>
      <c r="W1672">
        <v>2</v>
      </c>
      <c r="X1672">
        <v>0</v>
      </c>
      <c r="Y1672" t="s">
        <v>36</v>
      </c>
      <c r="Z1672">
        <v>0</v>
      </c>
      <c r="AA1672">
        <v>0</v>
      </c>
      <c r="AB1672">
        <v>0</v>
      </c>
      <c r="AC1672" t="s">
        <v>687</v>
      </c>
      <c r="AD1672" t="str">
        <f t="shared" si="52"/>
        <v>OL</v>
      </c>
      <c r="AE1672" t="str">
        <f>_xlfn.XLOOKUP(D1672,Mapping!A:A,Mapping!D:D,0,0)</f>
        <v>Hentai</v>
      </c>
      <c r="AF1672" t="str">
        <f t="shared" si="53"/>
        <v>OLD</v>
      </c>
    </row>
    <row r="1673" spans="1:32" x14ac:dyDescent="0.2">
      <c r="A1673" t="s">
        <v>1119</v>
      </c>
      <c r="B1673" t="s">
        <v>29</v>
      </c>
      <c r="C1673">
        <v>1012812022</v>
      </c>
      <c r="D1673" t="s">
        <v>677</v>
      </c>
      <c r="E1673" t="s">
        <v>31</v>
      </c>
      <c r="F1673" t="s">
        <v>671</v>
      </c>
      <c r="G1673" t="s">
        <v>247</v>
      </c>
      <c r="H1673" t="s">
        <v>33</v>
      </c>
      <c r="I1673" t="s">
        <v>41</v>
      </c>
      <c r="J1673" t="s">
        <v>62</v>
      </c>
      <c r="K1673">
        <v>81</v>
      </c>
      <c r="L1673">
        <v>0</v>
      </c>
      <c r="M1673" t="s">
        <v>36</v>
      </c>
      <c r="N1673" t="s">
        <v>37</v>
      </c>
      <c r="O1673">
        <v>28827</v>
      </c>
      <c r="P1673">
        <v>7</v>
      </c>
      <c r="Q1673">
        <v>2.4279999999999999E-2</v>
      </c>
      <c r="R1673">
        <v>0</v>
      </c>
      <c r="S1673">
        <v>1.94</v>
      </c>
      <c r="T1673">
        <v>6.7000000000000004E-2</v>
      </c>
      <c r="U1673">
        <v>0.27700000000000002</v>
      </c>
      <c r="V1673">
        <v>0</v>
      </c>
      <c r="W1673">
        <v>2</v>
      </c>
      <c r="X1673">
        <v>0</v>
      </c>
      <c r="Y1673" t="s">
        <v>36</v>
      </c>
      <c r="Z1673">
        <v>0</v>
      </c>
      <c r="AA1673">
        <v>0</v>
      </c>
      <c r="AB1673">
        <v>0</v>
      </c>
      <c r="AC1673" t="s">
        <v>687</v>
      </c>
      <c r="AD1673" t="str">
        <f t="shared" si="52"/>
        <v>OL</v>
      </c>
      <c r="AE1673" t="str">
        <f>_xlfn.XLOOKUP(D1673,Mapping!A:A,Mapping!D:D,0,0)</f>
        <v>Hentai</v>
      </c>
      <c r="AF1673" t="str">
        <f t="shared" si="53"/>
        <v>OLD</v>
      </c>
    </row>
    <row r="1674" spans="1:32" x14ac:dyDescent="0.2">
      <c r="A1674" t="s">
        <v>1119</v>
      </c>
      <c r="B1674" t="s">
        <v>29</v>
      </c>
      <c r="C1674">
        <v>1012812032</v>
      </c>
      <c r="D1674" t="s">
        <v>678</v>
      </c>
      <c r="E1674" t="s">
        <v>31</v>
      </c>
      <c r="F1674" t="s">
        <v>671</v>
      </c>
      <c r="G1674" t="s">
        <v>247</v>
      </c>
      <c r="H1674" t="s">
        <v>33</v>
      </c>
      <c r="I1674" t="s">
        <v>34</v>
      </c>
      <c r="J1674" t="s">
        <v>84</v>
      </c>
      <c r="K1674">
        <v>48</v>
      </c>
      <c r="L1674">
        <v>0</v>
      </c>
      <c r="M1674" t="s">
        <v>36</v>
      </c>
      <c r="N1674" t="s">
        <v>37</v>
      </c>
      <c r="O1674">
        <v>11571</v>
      </c>
      <c r="P1674">
        <v>20</v>
      </c>
      <c r="Q1674">
        <v>0.17285</v>
      </c>
      <c r="R1674">
        <v>0</v>
      </c>
      <c r="S1674">
        <v>2.41</v>
      </c>
      <c r="T1674">
        <v>0.20799999999999999</v>
      </c>
      <c r="U1674">
        <v>0.12</v>
      </c>
      <c r="V1674">
        <v>0</v>
      </c>
      <c r="W1674">
        <v>1</v>
      </c>
      <c r="X1674">
        <v>0</v>
      </c>
      <c r="Y1674" t="s">
        <v>36</v>
      </c>
      <c r="Z1674">
        <v>0</v>
      </c>
      <c r="AA1674">
        <v>0</v>
      </c>
      <c r="AB1674">
        <v>0</v>
      </c>
      <c r="AC1674" t="s">
        <v>687</v>
      </c>
      <c r="AD1674" t="str">
        <f t="shared" si="52"/>
        <v>CP</v>
      </c>
      <c r="AE1674" t="str">
        <f>_xlfn.XLOOKUP(D1674,Mapping!A:A,Mapping!D:D,0,0)</f>
        <v>Hentai</v>
      </c>
      <c r="AF1674" t="str">
        <f t="shared" si="53"/>
        <v>OLD</v>
      </c>
    </row>
    <row r="1675" spans="1:32" x14ac:dyDescent="0.2">
      <c r="A1675" t="s">
        <v>1119</v>
      </c>
      <c r="B1675" t="s">
        <v>29</v>
      </c>
      <c r="C1675">
        <v>1012812042</v>
      </c>
      <c r="D1675" t="s">
        <v>679</v>
      </c>
      <c r="E1675" t="s">
        <v>31</v>
      </c>
      <c r="F1675" t="s">
        <v>671</v>
      </c>
      <c r="G1675" t="s">
        <v>247</v>
      </c>
      <c r="H1675" t="s">
        <v>33</v>
      </c>
      <c r="I1675" t="s">
        <v>41</v>
      </c>
      <c r="J1675" t="s">
        <v>62</v>
      </c>
      <c r="K1675">
        <v>81</v>
      </c>
      <c r="L1675">
        <v>0</v>
      </c>
      <c r="M1675" t="s">
        <v>36</v>
      </c>
      <c r="N1675" t="s">
        <v>37</v>
      </c>
      <c r="O1675">
        <v>30118</v>
      </c>
      <c r="P1675">
        <v>9</v>
      </c>
      <c r="Q1675">
        <v>2.988E-2</v>
      </c>
      <c r="R1675">
        <v>0</v>
      </c>
      <c r="S1675">
        <v>1.98</v>
      </c>
      <c r="T1675">
        <v>6.6000000000000003E-2</v>
      </c>
      <c r="U1675">
        <v>0.22</v>
      </c>
      <c r="V1675">
        <v>0</v>
      </c>
      <c r="W1675">
        <v>2</v>
      </c>
      <c r="X1675">
        <v>0</v>
      </c>
      <c r="Y1675" t="s">
        <v>36</v>
      </c>
      <c r="Z1675">
        <v>0</v>
      </c>
      <c r="AA1675">
        <v>0</v>
      </c>
      <c r="AB1675">
        <v>0</v>
      </c>
      <c r="AC1675" t="s">
        <v>687</v>
      </c>
      <c r="AD1675" t="str">
        <f t="shared" si="52"/>
        <v>OL</v>
      </c>
      <c r="AE1675" t="str">
        <f>_xlfn.XLOOKUP(D1675,Mapping!A:A,Mapping!D:D,0,0)</f>
        <v>Hentai</v>
      </c>
      <c r="AF1675" t="str">
        <f t="shared" si="53"/>
        <v>OLD</v>
      </c>
    </row>
    <row r="1676" spans="1:32" x14ac:dyDescent="0.2">
      <c r="A1676" t="s">
        <v>1119</v>
      </c>
      <c r="B1676" t="s">
        <v>39</v>
      </c>
      <c r="C1676">
        <v>1012812062</v>
      </c>
      <c r="D1676" t="s">
        <v>680</v>
      </c>
      <c r="E1676" t="s">
        <v>31</v>
      </c>
      <c r="F1676" t="s">
        <v>671</v>
      </c>
      <c r="G1676" t="s">
        <v>247</v>
      </c>
      <c r="H1676" t="s">
        <v>33</v>
      </c>
      <c r="I1676" t="s">
        <v>34</v>
      </c>
      <c r="J1676" t="s">
        <v>84</v>
      </c>
      <c r="K1676">
        <v>48</v>
      </c>
      <c r="L1676">
        <v>0</v>
      </c>
      <c r="M1676" t="s">
        <v>36</v>
      </c>
      <c r="N1676" t="s">
        <v>37</v>
      </c>
      <c r="O1676">
        <v>0</v>
      </c>
      <c r="P1676">
        <v>0</v>
      </c>
      <c r="Q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 t="s">
        <v>36</v>
      </c>
      <c r="AC1676" t="s">
        <v>687</v>
      </c>
      <c r="AD1676" t="str">
        <f t="shared" si="52"/>
        <v>CP</v>
      </c>
      <c r="AE1676" t="str">
        <f>_xlfn.XLOOKUP(D1676,Mapping!A:A,Mapping!D:D,0,0)</f>
        <v>Hentai</v>
      </c>
      <c r="AF1676" t="str">
        <f t="shared" si="53"/>
        <v>OLD</v>
      </c>
    </row>
    <row r="1677" spans="1:32" x14ac:dyDescent="0.2">
      <c r="A1677" t="s">
        <v>1119</v>
      </c>
      <c r="B1677" t="s">
        <v>39</v>
      </c>
      <c r="C1677">
        <v>1012812072</v>
      </c>
      <c r="D1677" t="s">
        <v>681</v>
      </c>
      <c r="E1677" t="s">
        <v>31</v>
      </c>
      <c r="F1677" t="s">
        <v>671</v>
      </c>
      <c r="G1677" t="s">
        <v>247</v>
      </c>
      <c r="H1677" t="s">
        <v>33</v>
      </c>
      <c r="I1677" t="s">
        <v>41</v>
      </c>
      <c r="J1677" t="s">
        <v>62</v>
      </c>
      <c r="K1677">
        <v>81</v>
      </c>
      <c r="L1677">
        <v>0</v>
      </c>
      <c r="M1677" t="s">
        <v>36</v>
      </c>
      <c r="N1677" t="s">
        <v>37</v>
      </c>
      <c r="O1677">
        <v>0</v>
      </c>
      <c r="P1677">
        <v>0</v>
      </c>
      <c r="Q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 t="s">
        <v>36</v>
      </c>
      <c r="AC1677" t="s">
        <v>687</v>
      </c>
      <c r="AD1677" t="str">
        <f t="shared" si="52"/>
        <v>CP</v>
      </c>
      <c r="AE1677" t="str">
        <f>_xlfn.XLOOKUP(D1677,Mapping!A:A,Mapping!D:D,0,0)</f>
        <v>Hentai</v>
      </c>
      <c r="AF1677" t="str">
        <f t="shared" si="53"/>
        <v>OLD</v>
      </c>
    </row>
    <row r="1678" spans="1:32" x14ac:dyDescent="0.2">
      <c r="A1678" t="s">
        <v>1119</v>
      </c>
      <c r="B1678" t="s">
        <v>39</v>
      </c>
      <c r="C1678">
        <v>1012812082</v>
      </c>
      <c r="D1678" t="s">
        <v>682</v>
      </c>
      <c r="E1678" t="s">
        <v>31</v>
      </c>
      <c r="F1678" t="s">
        <v>671</v>
      </c>
      <c r="G1678" t="s">
        <v>247</v>
      </c>
      <c r="H1678" t="s">
        <v>33</v>
      </c>
      <c r="I1678" t="s">
        <v>41</v>
      </c>
      <c r="J1678" t="s">
        <v>62</v>
      </c>
      <c r="K1678">
        <v>81</v>
      </c>
      <c r="L1678">
        <v>0</v>
      </c>
      <c r="M1678" t="s">
        <v>36</v>
      </c>
      <c r="N1678" t="s">
        <v>37</v>
      </c>
      <c r="O1678">
        <v>0</v>
      </c>
      <c r="P1678">
        <v>0</v>
      </c>
      <c r="Q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 t="s">
        <v>36</v>
      </c>
      <c r="AC1678" t="s">
        <v>687</v>
      </c>
      <c r="AD1678" t="str">
        <f t="shared" si="52"/>
        <v>CP</v>
      </c>
      <c r="AE1678" t="str">
        <f>_xlfn.XLOOKUP(D1678,Mapping!A:A,Mapping!D:D,0,0)</f>
        <v>Hentai</v>
      </c>
      <c r="AF1678" t="str">
        <f t="shared" si="53"/>
        <v>OLD</v>
      </c>
    </row>
    <row r="1679" spans="1:32" x14ac:dyDescent="0.2">
      <c r="A1679" t="s">
        <v>1119</v>
      </c>
      <c r="B1679" t="s">
        <v>29</v>
      </c>
      <c r="C1679">
        <v>1012812092</v>
      </c>
      <c r="D1679" t="s">
        <v>683</v>
      </c>
      <c r="E1679" t="s">
        <v>31</v>
      </c>
      <c r="F1679" t="s">
        <v>671</v>
      </c>
      <c r="G1679" t="s">
        <v>247</v>
      </c>
      <c r="H1679" t="s">
        <v>33</v>
      </c>
      <c r="I1679" t="s">
        <v>41</v>
      </c>
      <c r="J1679" t="s">
        <v>62</v>
      </c>
      <c r="K1679">
        <v>81</v>
      </c>
      <c r="L1679">
        <v>0</v>
      </c>
      <c r="M1679" t="s">
        <v>36</v>
      </c>
      <c r="N1679" t="s">
        <v>37</v>
      </c>
      <c r="O1679">
        <v>20115</v>
      </c>
      <c r="P1679">
        <v>9</v>
      </c>
      <c r="Q1679">
        <v>4.4740000000000002E-2</v>
      </c>
      <c r="R1679">
        <v>0</v>
      </c>
      <c r="S1679">
        <v>1.35</v>
      </c>
      <c r="T1679">
        <v>6.7000000000000004E-2</v>
      </c>
      <c r="U1679">
        <v>0.15</v>
      </c>
      <c r="V1679">
        <v>0</v>
      </c>
      <c r="W1679">
        <v>2</v>
      </c>
      <c r="X1679">
        <v>0</v>
      </c>
      <c r="Y1679" t="s">
        <v>36</v>
      </c>
      <c r="Z1679">
        <v>0</v>
      </c>
      <c r="AA1679">
        <v>0</v>
      </c>
      <c r="AB1679">
        <v>0</v>
      </c>
      <c r="AC1679" t="s">
        <v>687</v>
      </c>
      <c r="AD1679" t="str">
        <f t="shared" si="52"/>
        <v>OL</v>
      </c>
      <c r="AE1679" t="str">
        <f>_xlfn.XLOOKUP(D1679,Mapping!A:A,Mapping!D:D,0,0)</f>
        <v>Hentai</v>
      </c>
      <c r="AF1679" t="str">
        <f t="shared" si="53"/>
        <v>OLD</v>
      </c>
    </row>
    <row r="1680" spans="1:32" x14ac:dyDescent="0.2">
      <c r="A1680" t="s">
        <v>1119</v>
      </c>
      <c r="B1680" t="s">
        <v>29</v>
      </c>
      <c r="C1680">
        <v>1012812102</v>
      </c>
      <c r="D1680" t="s">
        <v>684</v>
      </c>
      <c r="E1680" t="s">
        <v>31</v>
      </c>
      <c r="F1680" t="s">
        <v>671</v>
      </c>
      <c r="G1680" t="s">
        <v>247</v>
      </c>
      <c r="H1680" t="s">
        <v>33</v>
      </c>
      <c r="I1680" t="s">
        <v>41</v>
      </c>
      <c r="J1680" t="s">
        <v>62</v>
      </c>
      <c r="K1680">
        <v>81</v>
      </c>
      <c r="L1680">
        <v>0</v>
      </c>
      <c r="M1680" t="s">
        <v>36</v>
      </c>
      <c r="N1680" t="s">
        <v>37</v>
      </c>
      <c r="O1680">
        <v>14059</v>
      </c>
      <c r="P1680">
        <v>1</v>
      </c>
      <c r="Q1680">
        <v>7.11E-3</v>
      </c>
      <c r="R1680">
        <v>0</v>
      </c>
      <c r="S1680">
        <v>0.96</v>
      </c>
      <c r="T1680">
        <v>6.8000000000000005E-2</v>
      </c>
      <c r="U1680">
        <v>0.95799999999999996</v>
      </c>
      <c r="V1680">
        <v>0</v>
      </c>
      <c r="W1680">
        <v>2</v>
      </c>
      <c r="X1680">
        <v>0</v>
      </c>
      <c r="Y1680" t="s">
        <v>36</v>
      </c>
      <c r="Z1680">
        <v>0</v>
      </c>
      <c r="AA1680">
        <v>0</v>
      </c>
      <c r="AB1680">
        <v>0</v>
      </c>
      <c r="AC1680" t="s">
        <v>687</v>
      </c>
      <c r="AD1680" t="str">
        <f t="shared" si="52"/>
        <v>OL</v>
      </c>
      <c r="AE1680" t="str">
        <f>_xlfn.XLOOKUP(D1680,Mapping!A:A,Mapping!D:D,0,0)</f>
        <v>Hentai</v>
      </c>
      <c r="AF1680" t="str">
        <f t="shared" si="53"/>
        <v>OLD</v>
      </c>
    </row>
    <row r="1681" spans="1:32" x14ac:dyDescent="0.2">
      <c r="A1681" t="s">
        <v>1119</v>
      </c>
      <c r="B1681" t="s">
        <v>29</v>
      </c>
      <c r="C1681">
        <v>1012812112</v>
      </c>
      <c r="D1681" t="s">
        <v>685</v>
      </c>
      <c r="E1681" t="s">
        <v>31</v>
      </c>
      <c r="F1681" t="s">
        <v>671</v>
      </c>
      <c r="G1681" t="s">
        <v>247</v>
      </c>
      <c r="H1681" t="s">
        <v>33</v>
      </c>
      <c r="I1681" t="s">
        <v>34</v>
      </c>
      <c r="J1681" t="s">
        <v>84</v>
      </c>
      <c r="K1681">
        <v>48</v>
      </c>
      <c r="L1681">
        <v>0</v>
      </c>
      <c r="M1681" t="s">
        <v>36</v>
      </c>
      <c r="N1681" t="s">
        <v>37</v>
      </c>
      <c r="O1681">
        <v>9708</v>
      </c>
      <c r="P1681">
        <v>16</v>
      </c>
      <c r="Q1681">
        <v>0.16481000000000001</v>
      </c>
      <c r="R1681">
        <v>0</v>
      </c>
      <c r="S1681">
        <v>1.79</v>
      </c>
      <c r="T1681">
        <v>0.184</v>
      </c>
      <c r="U1681">
        <v>0.112</v>
      </c>
      <c r="V1681">
        <v>0</v>
      </c>
      <c r="W1681">
        <v>2</v>
      </c>
      <c r="X1681">
        <v>0</v>
      </c>
      <c r="Y1681" t="s">
        <v>36</v>
      </c>
      <c r="Z1681">
        <v>0</v>
      </c>
      <c r="AA1681">
        <v>0</v>
      </c>
      <c r="AB1681">
        <v>0</v>
      </c>
      <c r="AC1681" t="s">
        <v>687</v>
      </c>
      <c r="AD1681" t="str">
        <f t="shared" si="52"/>
        <v>OL</v>
      </c>
      <c r="AE1681" t="str">
        <f>_xlfn.XLOOKUP(D1681,Mapping!A:A,Mapping!D:D,0,0)</f>
        <v>Hentai</v>
      </c>
      <c r="AF1681" t="str">
        <f t="shared" si="53"/>
        <v>OLD</v>
      </c>
    </row>
    <row r="1682" spans="1:32" x14ac:dyDescent="0.2">
      <c r="A1682" t="s">
        <v>1119</v>
      </c>
      <c r="B1682" t="s">
        <v>39</v>
      </c>
      <c r="C1682">
        <v>1012820322</v>
      </c>
      <c r="D1682" t="s">
        <v>686</v>
      </c>
      <c r="E1682" t="s">
        <v>31</v>
      </c>
      <c r="F1682" s="1">
        <v>0.67291666666666672</v>
      </c>
      <c r="G1682" t="s">
        <v>32</v>
      </c>
      <c r="H1682" t="s">
        <v>33</v>
      </c>
      <c r="I1682" t="s">
        <v>41</v>
      </c>
      <c r="J1682" t="s">
        <v>58</v>
      </c>
      <c r="K1682">
        <v>50</v>
      </c>
      <c r="L1682">
        <v>0</v>
      </c>
      <c r="M1682" t="s">
        <v>63</v>
      </c>
      <c r="N1682">
        <v>500</v>
      </c>
      <c r="O1682">
        <v>0</v>
      </c>
      <c r="P1682">
        <v>0</v>
      </c>
      <c r="Q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 t="s">
        <v>36</v>
      </c>
      <c r="AC1682" t="s">
        <v>687</v>
      </c>
      <c r="AD1682" t="str">
        <f t="shared" si="52"/>
        <v>CP</v>
      </c>
      <c r="AE1682" t="str">
        <f>_xlfn.XLOOKUP(D1682,Mapping!A:A,Mapping!D:D,0,0)</f>
        <v>General</v>
      </c>
      <c r="AF1682" t="str">
        <f t="shared" si="53"/>
        <v>OLD</v>
      </c>
    </row>
    <row r="1683" spans="1:32" x14ac:dyDescent="0.2">
      <c r="A1683" t="s">
        <v>1119</v>
      </c>
      <c r="B1683" t="s">
        <v>39</v>
      </c>
      <c r="C1683">
        <v>1012820332</v>
      </c>
      <c r="D1683" t="s">
        <v>688</v>
      </c>
      <c r="E1683" t="s">
        <v>31</v>
      </c>
      <c r="F1683" s="1">
        <v>0.67291666666666672</v>
      </c>
      <c r="G1683" t="s">
        <v>32</v>
      </c>
      <c r="H1683" t="s">
        <v>33</v>
      </c>
      <c r="I1683" t="s">
        <v>41</v>
      </c>
      <c r="J1683" t="s">
        <v>58</v>
      </c>
      <c r="K1683">
        <v>50</v>
      </c>
      <c r="L1683">
        <v>0</v>
      </c>
      <c r="M1683" t="s">
        <v>63</v>
      </c>
      <c r="N1683">
        <v>500</v>
      </c>
      <c r="O1683">
        <v>0</v>
      </c>
      <c r="P1683">
        <v>0</v>
      </c>
      <c r="Q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 t="s">
        <v>36</v>
      </c>
      <c r="AC1683" t="s">
        <v>687</v>
      </c>
      <c r="AD1683" t="str">
        <f t="shared" si="52"/>
        <v>CP</v>
      </c>
      <c r="AE1683" t="str">
        <f>_xlfn.XLOOKUP(D1683,Mapping!A:A,Mapping!D:D,0,0)</f>
        <v>General</v>
      </c>
      <c r="AF1683" t="str">
        <f t="shared" si="53"/>
        <v>OLD</v>
      </c>
    </row>
    <row r="1684" spans="1:32" x14ac:dyDescent="0.2">
      <c r="A1684" t="s">
        <v>1119</v>
      </c>
      <c r="B1684" t="s">
        <v>39</v>
      </c>
      <c r="C1684">
        <v>1012850562</v>
      </c>
      <c r="D1684" t="s">
        <v>689</v>
      </c>
      <c r="E1684" t="s">
        <v>31</v>
      </c>
      <c r="F1684" s="1">
        <v>0.67291666666666672</v>
      </c>
      <c r="G1684" t="s">
        <v>32</v>
      </c>
      <c r="H1684" t="s">
        <v>33</v>
      </c>
      <c r="I1684" t="s">
        <v>34</v>
      </c>
      <c r="J1684" t="s">
        <v>35</v>
      </c>
      <c r="K1684">
        <v>45</v>
      </c>
      <c r="L1684">
        <v>0</v>
      </c>
      <c r="M1684" t="s">
        <v>36</v>
      </c>
      <c r="N1684" t="s">
        <v>37</v>
      </c>
      <c r="O1684">
        <v>0</v>
      </c>
      <c r="P1684">
        <v>0</v>
      </c>
      <c r="Q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 t="s">
        <v>36</v>
      </c>
      <c r="AC1684" t="s">
        <v>687</v>
      </c>
      <c r="AD1684" t="str">
        <f t="shared" si="52"/>
        <v>CP</v>
      </c>
      <c r="AE1684" t="str">
        <f>_xlfn.XLOOKUP(D1684,Mapping!A:A,Mapping!D:D,0,0)</f>
        <v>Bin</v>
      </c>
      <c r="AF1684" t="str">
        <f t="shared" si="53"/>
        <v>OLD</v>
      </c>
    </row>
    <row r="1685" spans="1:32" x14ac:dyDescent="0.2">
      <c r="A1685" t="s">
        <v>1119</v>
      </c>
      <c r="B1685" t="s">
        <v>690</v>
      </c>
      <c r="C1685">
        <v>1012853592</v>
      </c>
      <c r="D1685" t="s">
        <v>52</v>
      </c>
      <c r="E1685" t="s">
        <v>31</v>
      </c>
      <c r="F1685" s="1">
        <v>0.67291666666666672</v>
      </c>
      <c r="G1685" t="s">
        <v>32</v>
      </c>
      <c r="H1685" t="s">
        <v>33</v>
      </c>
      <c r="I1685" t="s">
        <v>41</v>
      </c>
      <c r="J1685" t="s">
        <v>691</v>
      </c>
      <c r="K1685">
        <v>460</v>
      </c>
      <c r="L1685">
        <v>0</v>
      </c>
      <c r="M1685" t="s">
        <v>36</v>
      </c>
      <c r="N1685" t="s">
        <v>37</v>
      </c>
      <c r="O1685">
        <v>0</v>
      </c>
      <c r="P1685">
        <v>0</v>
      </c>
      <c r="Q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 t="s">
        <v>36</v>
      </c>
      <c r="AC1685" t="s">
        <v>687</v>
      </c>
      <c r="AD1685" t="str">
        <f t="shared" ref="AD1685:AD1748" si="54">LEFT(D1685,2)</f>
        <v>CP</v>
      </c>
      <c r="AE1685" t="str">
        <f>_xlfn.XLOOKUP(D1685,Mapping!A:A,Mapping!D:D,0,0)</f>
        <v>Bin</v>
      </c>
      <c r="AF1685" t="str">
        <f t="shared" ref="AF1685:AF1748" si="55">IFERROR(IF(SEARCH("_TJ",D1685)&gt;0,"TJ",NA()),IFERROR(IF(SEARCH("_JB",D1685)&gt;0,"JB",NA()),"OLD"))</f>
        <v>OLD</v>
      </c>
    </row>
    <row r="1686" spans="1:32" x14ac:dyDescent="0.2">
      <c r="A1686" t="s">
        <v>1119</v>
      </c>
      <c r="B1686" t="s">
        <v>39</v>
      </c>
      <c r="C1686">
        <v>1012853732</v>
      </c>
      <c r="D1686" t="s">
        <v>692</v>
      </c>
      <c r="E1686" t="s">
        <v>31</v>
      </c>
      <c r="F1686" s="1">
        <v>0.38611111111111113</v>
      </c>
      <c r="G1686" t="s">
        <v>32</v>
      </c>
      <c r="H1686" t="s">
        <v>33</v>
      </c>
      <c r="I1686" t="s">
        <v>41</v>
      </c>
      <c r="J1686" t="s">
        <v>691</v>
      </c>
      <c r="K1686">
        <v>6</v>
      </c>
      <c r="L1686">
        <v>0</v>
      </c>
      <c r="M1686" t="s">
        <v>36</v>
      </c>
      <c r="N1686" t="s">
        <v>37</v>
      </c>
      <c r="O1686">
        <v>0</v>
      </c>
      <c r="P1686">
        <v>0</v>
      </c>
      <c r="Q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 t="s">
        <v>36</v>
      </c>
      <c r="AC1686" t="s">
        <v>687</v>
      </c>
      <c r="AD1686" t="str">
        <f t="shared" si="54"/>
        <v>CP</v>
      </c>
      <c r="AE1686" t="str">
        <f>_xlfn.XLOOKUP(D1686,Mapping!A:A,Mapping!D:D,0,0)</f>
        <v>Bin</v>
      </c>
      <c r="AF1686" t="str">
        <f t="shared" si="55"/>
        <v>OLD</v>
      </c>
    </row>
    <row r="1687" spans="1:32" x14ac:dyDescent="0.2">
      <c r="A1687" t="s">
        <v>1119</v>
      </c>
      <c r="B1687" t="s">
        <v>39</v>
      </c>
      <c r="C1687">
        <v>1012853752</v>
      </c>
      <c r="D1687" t="s">
        <v>693</v>
      </c>
      <c r="E1687" t="s">
        <v>31</v>
      </c>
      <c r="F1687" s="1">
        <v>0.38611111111111113</v>
      </c>
      <c r="G1687" t="s">
        <v>32</v>
      </c>
      <c r="H1687" t="s">
        <v>33</v>
      </c>
      <c r="I1687" t="s">
        <v>41</v>
      </c>
      <c r="J1687" t="s">
        <v>691</v>
      </c>
      <c r="K1687">
        <v>6</v>
      </c>
      <c r="L1687">
        <v>0</v>
      </c>
      <c r="M1687" t="s">
        <v>36</v>
      </c>
      <c r="N1687" t="s">
        <v>37</v>
      </c>
      <c r="O1687">
        <v>0</v>
      </c>
      <c r="P1687">
        <v>0</v>
      </c>
      <c r="Q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 t="s">
        <v>36</v>
      </c>
      <c r="AC1687" t="s">
        <v>687</v>
      </c>
      <c r="AD1687" t="str">
        <f t="shared" si="54"/>
        <v>CP</v>
      </c>
      <c r="AE1687" t="str">
        <f>_xlfn.XLOOKUP(D1687,Mapping!A:A,Mapping!D:D,0,0)</f>
        <v>Bin</v>
      </c>
      <c r="AF1687" t="str">
        <f t="shared" si="55"/>
        <v>OLD</v>
      </c>
    </row>
    <row r="1688" spans="1:32" x14ac:dyDescent="0.2">
      <c r="A1688" t="s">
        <v>1119</v>
      </c>
      <c r="B1688" t="s">
        <v>39</v>
      </c>
      <c r="C1688">
        <v>1012854242</v>
      </c>
      <c r="D1688" t="s">
        <v>694</v>
      </c>
      <c r="E1688" t="s">
        <v>31</v>
      </c>
      <c r="F1688" s="1">
        <v>0.38611111111111113</v>
      </c>
      <c r="G1688" t="s">
        <v>32</v>
      </c>
      <c r="H1688" t="s">
        <v>33</v>
      </c>
      <c r="I1688" t="s">
        <v>41</v>
      </c>
      <c r="J1688" t="s">
        <v>691</v>
      </c>
      <c r="K1688">
        <v>12</v>
      </c>
      <c r="L1688">
        <v>0</v>
      </c>
      <c r="M1688" t="s">
        <v>36</v>
      </c>
      <c r="N1688" t="s">
        <v>37</v>
      </c>
      <c r="O1688">
        <v>0</v>
      </c>
      <c r="P1688">
        <v>0</v>
      </c>
      <c r="Q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 t="s">
        <v>36</v>
      </c>
      <c r="AC1688" t="s">
        <v>687</v>
      </c>
      <c r="AD1688" t="str">
        <f t="shared" si="54"/>
        <v>CP</v>
      </c>
      <c r="AE1688" t="str">
        <f>_xlfn.XLOOKUP(D1688,Mapping!A:A,Mapping!D:D,0,0)</f>
        <v>Bin</v>
      </c>
      <c r="AF1688" t="str">
        <f t="shared" si="55"/>
        <v>OLD</v>
      </c>
    </row>
    <row r="1689" spans="1:32" x14ac:dyDescent="0.2">
      <c r="A1689" t="s">
        <v>1119</v>
      </c>
      <c r="B1689" t="s">
        <v>39</v>
      </c>
      <c r="C1689">
        <v>1012854252</v>
      </c>
      <c r="D1689" t="s">
        <v>695</v>
      </c>
      <c r="E1689" t="s">
        <v>31</v>
      </c>
      <c r="F1689" s="1">
        <v>0.38611111111111113</v>
      </c>
      <c r="G1689" t="s">
        <v>32</v>
      </c>
      <c r="H1689" t="s">
        <v>33</v>
      </c>
      <c r="I1689" t="s">
        <v>41</v>
      </c>
      <c r="J1689" t="s">
        <v>691</v>
      </c>
      <c r="K1689">
        <v>6</v>
      </c>
      <c r="L1689">
        <v>0</v>
      </c>
      <c r="M1689" t="s">
        <v>36</v>
      </c>
      <c r="N1689" t="s">
        <v>37</v>
      </c>
      <c r="O1689">
        <v>0</v>
      </c>
      <c r="P1689">
        <v>0</v>
      </c>
      <c r="Q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 t="s">
        <v>36</v>
      </c>
      <c r="AC1689" t="s">
        <v>687</v>
      </c>
      <c r="AD1689" t="str">
        <f t="shared" si="54"/>
        <v>CP</v>
      </c>
      <c r="AE1689" t="str">
        <f>_xlfn.XLOOKUP(D1689,Mapping!A:A,Mapping!D:D,0,0)</f>
        <v>Bin</v>
      </c>
      <c r="AF1689" t="str">
        <f t="shared" si="55"/>
        <v>OLD</v>
      </c>
    </row>
    <row r="1690" spans="1:32" x14ac:dyDescent="0.2">
      <c r="A1690" t="s">
        <v>1119</v>
      </c>
      <c r="B1690" t="s">
        <v>39</v>
      </c>
      <c r="C1690">
        <v>1012854262</v>
      </c>
      <c r="D1690" t="s">
        <v>696</v>
      </c>
      <c r="E1690" t="s">
        <v>31</v>
      </c>
      <c r="F1690" s="1">
        <v>0.38611111111111113</v>
      </c>
      <c r="G1690" t="s">
        <v>32</v>
      </c>
      <c r="H1690" t="s">
        <v>33</v>
      </c>
      <c r="I1690" t="s">
        <v>41</v>
      </c>
      <c r="J1690" t="s">
        <v>691</v>
      </c>
      <c r="K1690">
        <v>12</v>
      </c>
      <c r="L1690">
        <v>0</v>
      </c>
      <c r="M1690" t="s">
        <v>36</v>
      </c>
      <c r="N1690" t="s">
        <v>37</v>
      </c>
      <c r="O1690">
        <v>0</v>
      </c>
      <c r="P1690">
        <v>0</v>
      </c>
      <c r="Q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 t="s">
        <v>36</v>
      </c>
      <c r="AC1690" t="s">
        <v>687</v>
      </c>
      <c r="AD1690" t="str">
        <f t="shared" si="54"/>
        <v>CP</v>
      </c>
      <c r="AE1690" t="str">
        <f>_xlfn.XLOOKUP(D1690,Mapping!A:A,Mapping!D:D,0,0)</f>
        <v>Bin</v>
      </c>
      <c r="AF1690" t="str">
        <f t="shared" si="55"/>
        <v>OLD</v>
      </c>
    </row>
    <row r="1691" spans="1:32" x14ac:dyDescent="0.2">
      <c r="A1691" t="s">
        <v>1119</v>
      </c>
      <c r="B1691" t="s">
        <v>39</v>
      </c>
      <c r="C1691">
        <v>1012854272</v>
      </c>
      <c r="D1691" t="s">
        <v>697</v>
      </c>
      <c r="E1691" t="s">
        <v>31</v>
      </c>
      <c r="F1691" s="1">
        <v>0.38611111111111113</v>
      </c>
      <c r="G1691" t="s">
        <v>32</v>
      </c>
      <c r="H1691" t="s">
        <v>33</v>
      </c>
      <c r="I1691" t="s">
        <v>41</v>
      </c>
      <c r="J1691" t="s">
        <v>691</v>
      </c>
      <c r="K1691">
        <v>12</v>
      </c>
      <c r="L1691">
        <v>0</v>
      </c>
      <c r="M1691" t="s">
        <v>36</v>
      </c>
      <c r="N1691" t="s">
        <v>37</v>
      </c>
      <c r="O1691">
        <v>0</v>
      </c>
      <c r="P1691">
        <v>0</v>
      </c>
      <c r="Q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 t="s">
        <v>36</v>
      </c>
      <c r="AC1691" t="s">
        <v>687</v>
      </c>
      <c r="AD1691" t="str">
        <f t="shared" si="54"/>
        <v>CP</v>
      </c>
      <c r="AE1691" t="str">
        <f>_xlfn.XLOOKUP(D1691,Mapping!A:A,Mapping!D:D,0,0)</f>
        <v>Bin</v>
      </c>
      <c r="AF1691" t="str">
        <f t="shared" si="55"/>
        <v>OLD</v>
      </c>
    </row>
    <row r="1692" spans="1:32" x14ac:dyDescent="0.2">
      <c r="A1692" t="s">
        <v>1119</v>
      </c>
      <c r="B1692" t="s">
        <v>39</v>
      </c>
      <c r="C1692">
        <v>1012854282</v>
      </c>
      <c r="D1692" t="s">
        <v>698</v>
      </c>
      <c r="E1692" t="s">
        <v>31</v>
      </c>
      <c r="F1692" s="1">
        <v>0.38611111111111113</v>
      </c>
      <c r="G1692" t="s">
        <v>32</v>
      </c>
      <c r="H1692" t="s">
        <v>33</v>
      </c>
      <c r="I1692" t="s">
        <v>41</v>
      </c>
      <c r="J1692" t="s">
        <v>691</v>
      </c>
      <c r="K1692">
        <v>12</v>
      </c>
      <c r="L1692">
        <v>0</v>
      </c>
      <c r="M1692" t="s">
        <v>36</v>
      </c>
      <c r="N1692" t="s">
        <v>37</v>
      </c>
      <c r="O1692">
        <v>0</v>
      </c>
      <c r="P1692">
        <v>0</v>
      </c>
      <c r="Q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 t="s">
        <v>36</v>
      </c>
      <c r="AC1692" t="s">
        <v>687</v>
      </c>
      <c r="AD1692" t="str">
        <f t="shared" si="54"/>
        <v>CP</v>
      </c>
      <c r="AE1692" t="str">
        <f>_xlfn.XLOOKUP(D1692,Mapping!A:A,Mapping!D:D,0,0)</f>
        <v>Bin</v>
      </c>
      <c r="AF1692" t="str">
        <f t="shared" si="55"/>
        <v>OLD</v>
      </c>
    </row>
    <row r="1693" spans="1:32" x14ac:dyDescent="0.2">
      <c r="A1693" t="s">
        <v>1119</v>
      </c>
      <c r="B1693" t="s">
        <v>39</v>
      </c>
      <c r="C1693">
        <v>1012854302</v>
      </c>
      <c r="D1693" t="s">
        <v>699</v>
      </c>
      <c r="E1693" t="s">
        <v>31</v>
      </c>
      <c r="F1693" s="1">
        <v>0.38611111111111113</v>
      </c>
      <c r="G1693" t="s">
        <v>32</v>
      </c>
      <c r="H1693" t="s">
        <v>33</v>
      </c>
      <c r="I1693" t="s">
        <v>41</v>
      </c>
      <c r="J1693" t="s">
        <v>691</v>
      </c>
      <c r="K1693">
        <v>12</v>
      </c>
      <c r="L1693">
        <v>0</v>
      </c>
      <c r="M1693" t="s">
        <v>36</v>
      </c>
      <c r="N1693" t="s">
        <v>37</v>
      </c>
      <c r="O1693">
        <v>0</v>
      </c>
      <c r="P1693">
        <v>0</v>
      </c>
      <c r="Q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 t="s">
        <v>36</v>
      </c>
      <c r="AC1693" t="s">
        <v>687</v>
      </c>
      <c r="AD1693" t="str">
        <f t="shared" si="54"/>
        <v>CP</v>
      </c>
      <c r="AE1693" t="str">
        <f>_xlfn.XLOOKUP(D1693,Mapping!A:A,Mapping!D:D,0,0)</f>
        <v>Bin</v>
      </c>
      <c r="AF1693" t="str">
        <f t="shared" si="55"/>
        <v>OLD</v>
      </c>
    </row>
    <row r="1694" spans="1:32" x14ac:dyDescent="0.2">
      <c r="A1694" t="s">
        <v>1119</v>
      </c>
      <c r="B1694" t="s">
        <v>690</v>
      </c>
      <c r="C1694">
        <v>1012854322</v>
      </c>
      <c r="D1694" t="s">
        <v>700</v>
      </c>
      <c r="E1694" t="s">
        <v>31</v>
      </c>
      <c r="F1694" s="1">
        <v>0.67291666666666672</v>
      </c>
      <c r="G1694" t="s">
        <v>32</v>
      </c>
      <c r="H1694" t="s">
        <v>33</v>
      </c>
      <c r="I1694" t="s">
        <v>41</v>
      </c>
      <c r="J1694" t="s">
        <v>691</v>
      </c>
      <c r="K1694">
        <v>920</v>
      </c>
      <c r="L1694">
        <v>0</v>
      </c>
      <c r="M1694" t="s">
        <v>36</v>
      </c>
      <c r="N1694" t="s">
        <v>37</v>
      </c>
      <c r="O1694">
        <v>0</v>
      </c>
      <c r="P1694">
        <v>0</v>
      </c>
      <c r="Q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 t="s">
        <v>36</v>
      </c>
      <c r="AC1694" t="s">
        <v>687</v>
      </c>
      <c r="AD1694" t="str">
        <f t="shared" si="54"/>
        <v>CP</v>
      </c>
      <c r="AE1694" t="str">
        <f>_xlfn.XLOOKUP(D1694,Mapping!A:A,Mapping!D:D,0,0)</f>
        <v>AI</v>
      </c>
      <c r="AF1694" t="str">
        <f t="shared" si="55"/>
        <v>OLD</v>
      </c>
    </row>
    <row r="1695" spans="1:32" x14ac:dyDescent="0.2">
      <c r="A1695" t="s">
        <v>1119</v>
      </c>
      <c r="B1695" t="s">
        <v>39</v>
      </c>
      <c r="C1695">
        <v>1012854332</v>
      </c>
      <c r="D1695" t="s">
        <v>701</v>
      </c>
      <c r="E1695" t="s">
        <v>31</v>
      </c>
      <c r="F1695" s="1">
        <v>0.67291666666666672</v>
      </c>
      <c r="G1695" t="s">
        <v>32</v>
      </c>
      <c r="H1695" t="s">
        <v>33</v>
      </c>
      <c r="I1695" t="s">
        <v>41</v>
      </c>
      <c r="J1695" t="s">
        <v>691</v>
      </c>
      <c r="K1695">
        <v>920</v>
      </c>
      <c r="L1695">
        <v>0</v>
      </c>
      <c r="M1695" t="s">
        <v>36</v>
      </c>
      <c r="N1695" t="s">
        <v>37</v>
      </c>
      <c r="O1695">
        <v>0</v>
      </c>
      <c r="P1695">
        <v>0</v>
      </c>
      <c r="Q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 t="s">
        <v>36</v>
      </c>
      <c r="AC1695" t="s">
        <v>687</v>
      </c>
      <c r="AD1695" t="str">
        <f t="shared" si="54"/>
        <v>CP</v>
      </c>
      <c r="AE1695" t="str">
        <f>_xlfn.XLOOKUP(D1695,Mapping!A:A,Mapping!D:D,0,0)</f>
        <v>Bin</v>
      </c>
      <c r="AF1695" t="str">
        <f t="shared" si="55"/>
        <v>OLD</v>
      </c>
    </row>
    <row r="1696" spans="1:32" x14ac:dyDescent="0.2">
      <c r="A1696" t="s">
        <v>1119</v>
      </c>
      <c r="B1696" t="s">
        <v>690</v>
      </c>
      <c r="C1696">
        <v>1012854342</v>
      </c>
      <c r="D1696" t="s">
        <v>702</v>
      </c>
      <c r="E1696" t="s">
        <v>31</v>
      </c>
      <c r="F1696" s="1">
        <v>0.67291666666666672</v>
      </c>
      <c r="G1696" t="s">
        <v>32</v>
      </c>
      <c r="H1696" t="s">
        <v>33</v>
      </c>
      <c r="I1696" t="s">
        <v>41</v>
      </c>
      <c r="J1696" t="s">
        <v>691</v>
      </c>
      <c r="K1696">
        <v>460</v>
      </c>
      <c r="L1696">
        <v>0</v>
      </c>
      <c r="M1696" t="s">
        <v>36</v>
      </c>
      <c r="N1696" t="s">
        <v>37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0.52500000000000002</v>
      </c>
      <c r="U1696">
        <v>0</v>
      </c>
      <c r="V1696">
        <v>0</v>
      </c>
      <c r="W1696">
        <v>1</v>
      </c>
      <c r="X1696">
        <v>0</v>
      </c>
      <c r="Y1696" t="s">
        <v>36</v>
      </c>
      <c r="Z1696">
        <v>1</v>
      </c>
      <c r="AA1696">
        <v>0</v>
      </c>
      <c r="AB1696">
        <v>1</v>
      </c>
      <c r="AC1696" t="s">
        <v>687</v>
      </c>
      <c r="AD1696" t="str">
        <f t="shared" si="54"/>
        <v>CP</v>
      </c>
      <c r="AE1696" t="str">
        <f>_xlfn.XLOOKUP(D1696,Mapping!A:A,Mapping!D:D,0,0)</f>
        <v>AI</v>
      </c>
      <c r="AF1696" t="str">
        <f t="shared" si="55"/>
        <v>OLD</v>
      </c>
    </row>
    <row r="1697" spans="1:32" x14ac:dyDescent="0.2">
      <c r="A1697" t="s">
        <v>1119</v>
      </c>
      <c r="B1697" t="s">
        <v>39</v>
      </c>
      <c r="C1697">
        <v>1012854352</v>
      </c>
      <c r="D1697" t="s">
        <v>703</v>
      </c>
      <c r="E1697" t="s">
        <v>31</v>
      </c>
      <c r="F1697" s="1">
        <v>0.67291666666666672</v>
      </c>
      <c r="G1697" t="s">
        <v>32</v>
      </c>
      <c r="H1697" t="s">
        <v>33</v>
      </c>
      <c r="I1697" t="s">
        <v>41</v>
      </c>
      <c r="J1697" t="s">
        <v>691</v>
      </c>
      <c r="K1697">
        <v>920</v>
      </c>
      <c r="L1697">
        <v>0</v>
      </c>
      <c r="M1697" t="s">
        <v>36</v>
      </c>
      <c r="N1697" t="s">
        <v>37</v>
      </c>
      <c r="O1697">
        <v>0</v>
      </c>
      <c r="P1697">
        <v>0</v>
      </c>
      <c r="Q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 t="s">
        <v>36</v>
      </c>
      <c r="AC1697" t="s">
        <v>687</v>
      </c>
      <c r="AD1697" t="str">
        <f t="shared" si="54"/>
        <v>CP</v>
      </c>
      <c r="AE1697" t="str">
        <f>_xlfn.XLOOKUP(D1697,Mapping!A:A,Mapping!D:D,0,0)</f>
        <v>Bin</v>
      </c>
      <c r="AF1697" t="str">
        <f t="shared" si="55"/>
        <v>OLD</v>
      </c>
    </row>
    <row r="1698" spans="1:32" x14ac:dyDescent="0.2">
      <c r="A1698" t="s">
        <v>1119</v>
      </c>
      <c r="B1698" t="s">
        <v>690</v>
      </c>
      <c r="C1698">
        <v>1012854472</v>
      </c>
      <c r="D1698" t="s">
        <v>704</v>
      </c>
      <c r="E1698" t="s">
        <v>31</v>
      </c>
      <c r="F1698" s="1">
        <v>0.67291666666666672</v>
      </c>
      <c r="G1698" t="s">
        <v>32</v>
      </c>
      <c r="H1698" t="s">
        <v>33</v>
      </c>
      <c r="I1698" t="s">
        <v>34</v>
      </c>
      <c r="J1698" t="s">
        <v>35</v>
      </c>
      <c r="K1698">
        <v>252</v>
      </c>
      <c r="L1698">
        <v>0</v>
      </c>
      <c r="M1698" t="s">
        <v>36</v>
      </c>
      <c r="N1698" t="s">
        <v>37</v>
      </c>
      <c r="O1698">
        <v>11</v>
      </c>
      <c r="P1698">
        <v>0</v>
      </c>
      <c r="Q1698">
        <v>0</v>
      </c>
      <c r="R1698">
        <v>0</v>
      </c>
      <c r="S1698">
        <v>0.01</v>
      </c>
      <c r="T1698">
        <v>0.59</v>
      </c>
      <c r="U1698">
        <v>0</v>
      </c>
      <c r="V1698">
        <v>0</v>
      </c>
      <c r="W1698">
        <v>1</v>
      </c>
      <c r="X1698">
        <v>0</v>
      </c>
      <c r="Y1698" t="s">
        <v>36</v>
      </c>
      <c r="Z1698">
        <v>11</v>
      </c>
      <c r="AA1698">
        <v>5</v>
      </c>
      <c r="AB1698">
        <v>3</v>
      </c>
      <c r="AC1698" t="s">
        <v>687</v>
      </c>
      <c r="AD1698" t="str">
        <f t="shared" si="54"/>
        <v>CP</v>
      </c>
      <c r="AE1698" t="str">
        <f>_xlfn.XLOOKUP(D1698,Mapping!A:A,Mapping!D:D,0,0)</f>
        <v>AI</v>
      </c>
      <c r="AF1698" t="str">
        <f t="shared" si="55"/>
        <v>OLD</v>
      </c>
    </row>
    <row r="1699" spans="1:32" x14ac:dyDescent="0.2">
      <c r="A1699" t="s">
        <v>1119</v>
      </c>
      <c r="B1699" t="s">
        <v>39</v>
      </c>
      <c r="C1699">
        <v>1012854502</v>
      </c>
      <c r="D1699" t="s">
        <v>705</v>
      </c>
      <c r="E1699" t="s">
        <v>31</v>
      </c>
      <c r="F1699" s="1">
        <v>0.67291666666666672</v>
      </c>
      <c r="G1699" t="s">
        <v>32</v>
      </c>
      <c r="H1699" t="s">
        <v>33</v>
      </c>
      <c r="I1699" t="s">
        <v>34</v>
      </c>
      <c r="J1699" t="s">
        <v>35</v>
      </c>
      <c r="K1699">
        <v>560</v>
      </c>
      <c r="L1699">
        <v>0</v>
      </c>
      <c r="M1699" t="s">
        <v>36</v>
      </c>
      <c r="N1699" t="s">
        <v>37</v>
      </c>
      <c r="O1699">
        <v>0</v>
      </c>
      <c r="P1699">
        <v>0</v>
      </c>
      <c r="Q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 t="s">
        <v>36</v>
      </c>
      <c r="AC1699" t="s">
        <v>687</v>
      </c>
      <c r="AD1699" t="str">
        <f t="shared" si="54"/>
        <v>CP</v>
      </c>
      <c r="AE1699" t="str">
        <f>_xlfn.XLOOKUP(D1699,Mapping!A:A,Mapping!D:D,0,0)</f>
        <v>Bin</v>
      </c>
      <c r="AF1699" t="str">
        <f t="shared" si="55"/>
        <v>OLD</v>
      </c>
    </row>
    <row r="1700" spans="1:32" x14ac:dyDescent="0.2">
      <c r="A1700" t="s">
        <v>1119</v>
      </c>
      <c r="B1700" t="s">
        <v>39</v>
      </c>
      <c r="C1700">
        <v>1012854662</v>
      </c>
      <c r="D1700" t="s">
        <v>706</v>
      </c>
      <c r="E1700" t="s">
        <v>31</v>
      </c>
      <c r="F1700" t="s">
        <v>707</v>
      </c>
      <c r="G1700" t="s">
        <v>247</v>
      </c>
      <c r="H1700" t="s">
        <v>33</v>
      </c>
      <c r="I1700" t="s">
        <v>34</v>
      </c>
      <c r="J1700" t="s">
        <v>35</v>
      </c>
      <c r="K1700">
        <v>6</v>
      </c>
      <c r="L1700">
        <v>0</v>
      </c>
      <c r="M1700" t="s">
        <v>36</v>
      </c>
      <c r="N1700" t="s">
        <v>37</v>
      </c>
      <c r="O1700">
        <v>0</v>
      </c>
      <c r="P1700">
        <v>0</v>
      </c>
      <c r="Q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 t="s">
        <v>63</v>
      </c>
      <c r="AC1700" t="s">
        <v>687</v>
      </c>
      <c r="AD1700" t="str">
        <f t="shared" si="54"/>
        <v>CP</v>
      </c>
      <c r="AE1700" t="str">
        <f>_xlfn.XLOOKUP(D1700,Mapping!A:A,Mapping!D:D,0,0)</f>
        <v>Bin</v>
      </c>
      <c r="AF1700" t="str">
        <f t="shared" si="55"/>
        <v>OLD</v>
      </c>
    </row>
    <row r="1701" spans="1:32" x14ac:dyDescent="0.2">
      <c r="A1701" t="s">
        <v>1119</v>
      </c>
      <c r="B1701" t="s">
        <v>39</v>
      </c>
      <c r="C1701">
        <v>1012854692</v>
      </c>
      <c r="D1701" t="s">
        <v>708</v>
      </c>
      <c r="E1701" t="s">
        <v>31</v>
      </c>
      <c r="F1701" t="s">
        <v>707</v>
      </c>
      <c r="G1701" t="s">
        <v>247</v>
      </c>
      <c r="H1701" t="s">
        <v>33</v>
      </c>
      <c r="I1701" t="s">
        <v>34</v>
      </c>
      <c r="J1701" t="s">
        <v>35</v>
      </c>
      <c r="K1701">
        <v>10</v>
      </c>
      <c r="L1701">
        <v>0</v>
      </c>
      <c r="M1701" t="s">
        <v>36</v>
      </c>
      <c r="N1701" t="s">
        <v>37</v>
      </c>
      <c r="O1701">
        <v>0</v>
      </c>
      <c r="P1701">
        <v>0</v>
      </c>
      <c r="Q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 t="s">
        <v>63</v>
      </c>
      <c r="AC1701" t="s">
        <v>687</v>
      </c>
      <c r="AD1701" t="str">
        <f t="shared" si="54"/>
        <v>CP</v>
      </c>
      <c r="AE1701" t="str">
        <f>_xlfn.XLOOKUP(D1701,Mapping!A:A,Mapping!D:D,0,0)</f>
        <v>Bin</v>
      </c>
      <c r="AF1701" t="str">
        <f t="shared" si="55"/>
        <v>OLD</v>
      </c>
    </row>
    <row r="1702" spans="1:32" x14ac:dyDescent="0.2">
      <c r="A1702" t="s">
        <v>1119</v>
      </c>
      <c r="B1702" t="s">
        <v>39</v>
      </c>
      <c r="C1702">
        <v>1012854712</v>
      </c>
      <c r="D1702" t="s">
        <v>709</v>
      </c>
      <c r="E1702" t="s">
        <v>31</v>
      </c>
      <c r="F1702" t="s">
        <v>707</v>
      </c>
      <c r="G1702" t="s">
        <v>247</v>
      </c>
      <c r="H1702" t="s">
        <v>33</v>
      </c>
      <c r="I1702" t="s">
        <v>34</v>
      </c>
      <c r="J1702" t="s">
        <v>35</v>
      </c>
      <c r="K1702">
        <v>10</v>
      </c>
      <c r="L1702">
        <v>0</v>
      </c>
      <c r="M1702" t="s">
        <v>36</v>
      </c>
      <c r="N1702" t="s">
        <v>37</v>
      </c>
      <c r="O1702">
        <v>0</v>
      </c>
      <c r="P1702">
        <v>0</v>
      </c>
      <c r="Q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 t="s">
        <v>63</v>
      </c>
      <c r="AC1702" t="s">
        <v>687</v>
      </c>
      <c r="AD1702" t="str">
        <f t="shared" si="54"/>
        <v>CP</v>
      </c>
      <c r="AE1702" t="str">
        <f>_xlfn.XLOOKUP(D1702,Mapping!A:A,Mapping!D:D,0,0)</f>
        <v>Bin</v>
      </c>
      <c r="AF1702" t="str">
        <f t="shared" si="55"/>
        <v>OLD</v>
      </c>
    </row>
    <row r="1703" spans="1:32" x14ac:dyDescent="0.2">
      <c r="A1703" t="s">
        <v>1119</v>
      </c>
      <c r="B1703" t="s">
        <v>39</v>
      </c>
      <c r="C1703">
        <v>1012854722</v>
      </c>
      <c r="D1703" t="s">
        <v>710</v>
      </c>
      <c r="E1703" t="s">
        <v>31</v>
      </c>
      <c r="F1703" t="s">
        <v>707</v>
      </c>
      <c r="G1703" t="s">
        <v>247</v>
      </c>
      <c r="H1703" t="s">
        <v>33</v>
      </c>
      <c r="I1703" t="s">
        <v>34</v>
      </c>
      <c r="J1703" t="s">
        <v>35</v>
      </c>
      <c r="K1703">
        <v>10</v>
      </c>
      <c r="L1703">
        <v>0</v>
      </c>
      <c r="M1703" t="s">
        <v>36</v>
      </c>
      <c r="N1703" t="s">
        <v>37</v>
      </c>
      <c r="O1703">
        <v>0</v>
      </c>
      <c r="P1703">
        <v>0</v>
      </c>
      <c r="Q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 t="s">
        <v>63</v>
      </c>
      <c r="AC1703" t="s">
        <v>687</v>
      </c>
      <c r="AD1703" t="str">
        <f t="shared" si="54"/>
        <v>CP</v>
      </c>
      <c r="AE1703" t="str">
        <f>_xlfn.XLOOKUP(D1703,Mapping!A:A,Mapping!D:D,0,0)</f>
        <v>Bin</v>
      </c>
      <c r="AF1703" t="str">
        <f t="shared" si="55"/>
        <v>OLD</v>
      </c>
    </row>
    <row r="1704" spans="1:32" x14ac:dyDescent="0.2">
      <c r="A1704" t="s">
        <v>1119</v>
      </c>
      <c r="B1704" t="s">
        <v>39</v>
      </c>
      <c r="C1704">
        <v>1012854732</v>
      </c>
      <c r="D1704" t="s">
        <v>711</v>
      </c>
      <c r="E1704" t="s">
        <v>31</v>
      </c>
      <c r="F1704" t="s">
        <v>707</v>
      </c>
      <c r="G1704" t="s">
        <v>247</v>
      </c>
      <c r="H1704" t="s">
        <v>33</v>
      </c>
      <c r="I1704" t="s">
        <v>34</v>
      </c>
      <c r="J1704" t="s">
        <v>35</v>
      </c>
      <c r="K1704">
        <v>10</v>
      </c>
      <c r="L1704">
        <v>0</v>
      </c>
      <c r="M1704" t="s">
        <v>36</v>
      </c>
      <c r="N1704" t="s">
        <v>37</v>
      </c>
      <c r="O1704">
        <v>0</v>
      </c>
      <c r="P1704">
        <v>0</v>
      </c>
      <c r="Q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 t="s">
        <v>63</v>
      </c>
      <c r="AC1704" t="s">
        <v>687</v>
      </c>
      <c r="AD1704" t="str">
        <f t="shared" si="54"/>
        <v>CP</v>
      </c>
      <c r="AE1704" t="str">
        <f>_xlfn.XLOOKUP(D1704,Mapping!A:A,Mapping!D:D,0,0)</f>
        <v>Bin</v>
      </c>
      <c r="AF1704" t="str">
        <f t="shared" si="55"/>
        <v>OLD</v>
      </c>
    </row>
    <row r="1705" spans="1:32" x14ac:dyDescent="0.2">
      <c r="A1705" t="s">
        <v>1119</v>
      </c>
      <c r="B1705" t="s">
        <v>39</v>
      </c>
      <c r="C1705">
        <v>1012854742</v>
      </c>
      <c r="D1705" t="s">
        <v>712</v>
      </c>
      <c r="E1705" t="s">
        <v>31</v>
      </c>
      <c r="F1705" t="s">
        <v>707</v>
      </c>
      <c r="G1705" t="s">
        <v>247</v>
      </c>
      <c r="H1705" t="s">
        <v>33</v>
      </c>
      <c r="I1705" t="s">
        <v>34</v>
      </c>
      <c r="J1705" t="s">
        <v>35</v>
      </c>
      <c r="K1705">
        <v>10</v>
      </c>
      <c r="L1705">
        <v>0</v>
      </c>
      <c r="M1705" t="s">
        <v>36</v>
      </c>
      <c r="N1705" t="s">
        <v>37</v>
      </c>
      <c r="O1705">
        <v>0</v>
      </c>
      <c r="P1705">
        <v>0</v>
      </c>
      <c r="Q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 t="s">
        <v>63</v>
      </c>
      <c r="AC1705" t="s">
        <v>687</v>
      </c>
      <c r="AD1705" t="str">
        <f t="shared" si="54"/>
        <v>CP</v>
      </c>
      <c r="AE1705" t="str">
        <f>_xlfn.XLOOKUP(D1705,Mapping!A:A,Mapping!D:D,0,0)</f>
        <v>Bin</v>
      </c>
      <c r="AF1705" t="str">
        <f t="shared" si="55"/>
        <v>OLD</v>
      </c>
    </row>
    <row r="1706" spans="1:32" x14ac:dyDescent="0.2">
      <c r="A1706" t="s">
        <v>1119</v>
      </c>
      <c r="B1706" t="s">
        <v>39</v>
      </c>
      <c r="C1706">
        <v>1012854792</v>
      </c>
      <c r="D1706" t="s">
        <v>713</v>
      </c>
      <c r="E1706" t="s">
        <v>31</v>
      </c>
      <c r="F1706" t="s">
        <v>707</v>
      </c>
      <c r="G1706" t="s">
        <v>247</v>
      </c>
      <c r="H1706" t="s">
        <v>33</v>
      </c>
      <c r="I1706" t="s">
        <v>41</v>
      </c>
      <c r="J1706" t="s">
        <v>691</v>
      </c>
      <c r="K1706">
        <v>4</v>
      </c>
      <c r="L1706">
        <v>0</v>
      </c>
      <c r="M1706" t="s">
        <v>36</v>
      </c>
      <c r="N1706" t="s">
        <v>37</v>
      </c>
      <c r="O1706">
        <v>0</v>
      </c>
      <c r="P1706">
        <v>0</v>
      </c>
      <c r="Q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 t="s">
        <v>36</v>
      </c>
      <c r="AC1706" t="s">
        <v>687</v>
      </c>
      <c r="AD1706" t="str">
        <f t="shared" si="54"/>
        <v>CP</v>
      </c>
      <c r="AE1706" t="str">
        <f>_xlfn.XLOOKUP(D1706,Mapping!A:A,Mapping!D:D,0,0)</f>
        <v>Bin</v>
      </c>
      <c r="AF1706" t="str">
        <f t="shared" si="55"/>
        <v>OLD</v>
      </c>
    </row>
    <row r="1707" spans="1:32" x14ac:dyDescent="0.2">
      <c r="A1707" t="s">
        <v>1119</v>
      </c>
      <c r="B1707" t="s">
        <v>39</v>
      </c>
      <c r="C1707">
        <v>1012854842</v>
      </c>
      <c r="D1707" t="s">
        <v>714</v>
      </c>
      <c r="E1707" t="s">
        <v>31</v>
      </c>
      <c r="F1707" t="s">
        <v>707</v>
      </c>
      <c r="G1707" t="s">
        <v>247</v>
      </c>
      <c r="H1707" t="s">
        <v>33</v>
      </c>
      <c r="I1707" t="s">
        <v>41</v>
      </c>
      <c r="J1707" t="s">
        <v>691</v>
      </c>
      <c r="K1707">
        <v>6</v>
      </c>
      <c r="L1707">
        <v>0</v>
      </c>
      <c r="M1707" t="s">
        <v>36</v>
      </c>
      <c r="N1707" t="s">
        <v>37</v>
      </c>
      <c r="O1707">
        <v>0</v>
      </c>
      <c r="P1707">
        <v>0</v>
      </c>
      <c r="Q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 t="s">
        <v>36</v>
      </c>
      <c r="AC1707" t="s">
        <v>687</v>
      </c>
      <c r="AD1707" t="str">
        <f t="shared" si="54"/>
        <v>CP</v>
      </c>
      <c r="AE1707" t="str">
        <f>_xlfn.XLOOKUP(D1707,Mapping!A:A,Mapping!D:D,0,0)</f>
        <v>Bin</v>
      </c>
      <c r="AF1707" t="str">
        <f t="shared" si="55"/>
        <v>OLD</v>
      </c>
    </row>
    <row r="1708" spans="1:32" x14ac:dyDescent="0.2">
      <c r="A1708" t="s">
        <v>1119</v>
      </c>
      <c r="B1708" t="s">
        <v>39</v>
      </c>
      <c r="C1708">
        <v>1012858692</v>
      </c>
      <c r="D1708" t="s">
        <v>715</v>
      </c>
      <c r="E1708" t="s">
        <v>31</v>
      </c>
      <c r="F1708" s="1">
        <v>0.67291666666666672</v>
      </c>
      <c r="G1708" t="s">
        <v>32</v>
      </c>
      <c r="H1708" t="s">
        <v>33</v>
      </c>
      <c r="I1708" t="s">
        <v>34</v>
      </c>
      <c r="J1708" t="s">
        <v>716</v>
      </c>
      <c r="K1708">
        <v>280</v>
      </c>
      <c r="L1708">
        <v>0</v>
      </c>
      <c r="M1708" t="s">
        <v>63</v>
      </c>
      <c r="N1708">
        <v>250</v>
      </c>
      <c r="O1708">
        <v>0</v>
      </c>
      <c r="P1708">
        <v>0</v>
      </c>
      <c r="Q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 t="s">
        <v>36</v>
      </c>
      <c r="AC1708" t="s">
        <v>687</v>
      </c>
      <c r="AD1708" t="str">
        <f t="shared" si="54"/>
        <v>CP</v>
      </c>
      <c r="AE1708" t="str">
        <f>_xlfn.XLOOKUP(D1708,Mapping!A:A,Mapping!D:D,0,0)</f>
        <v>Bin</v>
      </c>
      <c r="AF1708" t="str">
        <f t="shared" si="55"/>
        <v>OLD</v>
      </c>
    </row>
    <row r="1709" spans="1:32" x14ac:dyDescent="0.2">
      <c r="A1709" t="s">
        <v>1119</v>
      </c>
      <c r="B1709" t="s">
        <v>39</v>
      </c>
      <c r="C1709">
        <v>1012860402</v>
      </c>
      <c r="D1709" t="s">
        <v>717</v>
      </c>
      <c r="E1709" t="s">
        <v>31</v>
      </c>
      <c r="F1709" s="1">
        <v>0.67291666666666672</v>
      </c>
      <c r="G1709" t="s">
        <v>32</v>
      </c>
      <c r="H1709" t="s">
        <v>33</v>
      </c>
      <c r="I1709" t="s">
        <v>34</v>
      </c>
      <c r="J1709" t="s">
        <v>716</v>
      </c>
      <c r="K1709">
        <v>280</v>
      </c>
      <c r="L1709">
        <v>0</v>
      </c>
      <c r="M1709" t="s">
        <v>63</v>
      </c>
      <c r="N1709">
        <v>250</v>
      </c>
      <c r="O1709">
        <v>0</v>
      </c>
      <c r="P1709">
        <v>0</v>
      </c>
      <c r="Q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 t="s">
        <v>36</v>
      </c>
      <c r="AC1709" t="s">
        <v>687</v>
      </c>
      <c r="AD1709" t="str">
        <f t="shared" si="54"/>
        <v>CP</v>
      </c>
      <c r="AE1709" t="str">
        <f>_xlfn.XLOOKUP(D1709,Mapping!A:A,Mapping!D:D,0,0)</f>
        <v>Bin</v>
      </c>
      <c r="AF1709" t="str">
        <f t="shared" si="55"/>
        <v>OLD</v>
      </c>
    </row>
    <row r="1710" spans="1:32" x14ac:dyDescent="0.2">
      <c r="A1710" t="s">
        <v>1119</v>
      </c>
      <c r="B1710" t="s">
        <v>39</v>
      </c>
      <c r="C1710">
        <v>1012863632</v>
      </c>
      <c r="D1710" t="s">
        <v>718</v>
      </c>
      <c r="E1710" t="s">
        <v>31</v>
      </c>
      <c r="F1710" s="1">
        <v>0.67291666666666672</v>
      </c>
      <c r="G1710" t="s">
        <v>32</v>
      </c>
      <c r="H1710" t="s">
        <v>33</v>
      </c>
      <c r="I1710" t="s">
        <v>34</v>
      </c>
      <c r="J1710" t="s">
        <v>719</v>
      </c>
      <c r="K1710">
        <v>252</v>
      </c>
      <c r="L1710">
        <v>0</v>
      </c>
      <c r="M1710" t="s">
        <v>63</v>
      </c>
      <c r="N1710">
        <v>250</v>
      </c>
      <c r="O1710">
        <v>0</v>
      </c>
      <c r="P1710">
        <v>0</v>
      </c>
      <c r="Q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 t="s">
        <v>36</v>
      </c>
      <c r="AC1710" t="s">
        <v>687</v>
      </c>
      <c r="AD1710" t="str">
        <f t="shared" si="54"/>
        <v>CP</v>
      </c>
      <c r="AE1710" t="str">
        <f>_xlfn.XLOOKUP(D1710,Mapping!A:A,Mapping!D:D,0,0)</f>
        <v>Bin</v>
      </c>
      <c r="AF1710" t="str">
        <f t="shared" si="55"/>
        <v>OLD</v>
      </c>
    </row>
    <row r="1711" spans="1:32" x14ac:dyDescent="0.2">
      <c r="A1711" t="s">
        <v>1119</v>
      </c>
      <c r="B1711" t="s">
        <v>29</v>
      </c>
      <c r="C1711">
        <v>1012865892</v>
      </c>
      <c r="D1711" t="s">
        <v>720</v>
      </c>
      <c r="E1711" t="s">
        <v>31</v>
      </c>
      <c r="F1711" s="1">
        <v>0.67291666666666672</v>
      </c>
      <c r="G1711" t="s">
        <v>32</v>
      </c>
      <c r="H1711" t="s">
        <v>33</v>
      </c>
      <c r="I1711" t="s">
        <v>41</v>
      </c>
      <c r="J1711" t="s">
        <v>62</v>
      </c>
      <c r="K1711">
        <v>560</v>
      </c>
      <c r="L1711">
        <v>0</v>
      </c>
      <c r="M1711" t="s">
        <v>36</v>
      </c>
      <c r="N1711" t="s">
        <v>37</v>
      </c>
      <c r="O1711">
        <v>96</v>
      </c>
      <c r="P1711">
        <v>4</v>
      </c>
      <c r="Q1711">
        <v>4.1666699999999999</v>
      </c>
      <c r="R1711">
        <v>0</v>
      </c>
      <c r="S1711">
        <v>7.0000000000000007E-2</v>
      </c>
      <c r="T1711">
        <v>0.77800000000000002</v>
      </c>
      <c r="U1711">
        <v>1.9E-2</v>
      </c>
      <c r="V1711">
        <v>0</v>
      </c>
      <c r="W1711">
        <v>1</v>
      </c>
      <c r="X1711">
        <v>0</v>
      </c>
      <c r="Y1711" t="s">
        <v>36</v>
      </c>
      <c r="Z1711">
        <v>96</v>
      </c>
      <c r="AA1711">
        <v>84</v>
      </c>
      <c r="AB1711">
        <v>10</v>
      </c>
      <c r="AC1711" t="s">
        <v>687</v>
      </c>
      <c r="AD1711" t="str">
        <f t="shared" si="54"/>
        <v>CP</v>
      </c>
      <c r="AE1711" t="str">
        <f>_xlfn.XLOOKUP(D1711,Mapping!A:A,Mapping!D:D,0,0)</f>
        <v>Keyword - Preroll</v>
      </c>
      <c r="AF1711" t="str">
        <f t="shared" si="55"/>
        <v>OLD</v>
      </c>
    </row>
    <row r="1712" spans="1:32" x14ac:dyDescent="0.2">
      <c r="A1712" t="s">
        <v>1119</v>
      </c>
      <c r="B1712" t="s">
        <v>29</v>
      </c>
      <c r="C1712">
        <v>1012865902</v>
      </c>
      <c r="D1712" t="s">
        <v>721</v>
      </c>
      <c r="E1712" t="s">
        <v>31</v>
      </c>
      <c r="F1712" s="1">
        <v>0.67291666666666672</v>
      </c>
      <c r="G1712" t="s">
        <v>32</v>
      </c>
      <c r="H1712" t="s">
        <v>33</v>
      </c>
      <c r="I1712" t="s">
        <v>41</v>
      </c>
      <c r="J1712" t="s">
        <v>62</v>
      </c>
      <c r="K1712">
        <v>560</v>
      </c>
      <c r="L1712">
        <v>0</v>
      </c>
      <c r="M1712" t="s">
        <v>36</v>
      </c>
      <c r="N1712" t="s">
        <v>37</v>
      </c>
      <c r="O1712">
        <v>4465</v>
      </c>
      <c r="P1712">
        <v>258</v>
      </c>
      <c r="Q1712">
        <v>5.7782799999999996</v>
      </c>
      <c r="R1712">
        <v>0</v>
      </c>
      <c r="S1712">
        <v>5.99</v>
      </c>
      <c r="T1712">
        <v>1.341</v>
      </c>
      <c r="U1712">
        <v>2.3E-2</v>
      </c>
      <c r="V1712">
        <v>0</v>
      </c>
      <c r="W1712">
        <v>1</v>
      </c>
      <c r="X1712">
        <v>0</v>
      </c>
      <c r="Y1712" t="s">
        <v>36</v>
      </c>
      <c r="Z1712">
        <v>4465</v>
      </c>
      <c r="AA1712">
        <v>3975</v>
      </c>
      <c r="AB1712">
        <v>309</v>
      </c>
      <c r="AC1712" t="s">
        <v>687</v>
      </c>
      <c r="AD1712" t="str">
        <f t="shared" si="54"/>
        <v>CP</v>
      </c>
      <c r="AE1712" t="str">
        <f>_xlfn.XLOOKUP(D1712,Mapping!A:A,Mapping!D:D,0,0)</f>
        <v>Keyword - Preroll</v>
      </c>
      <c r="AF1712" t="str">
        <f t="shared" si="55"/>
        <v>OLD</v>
      </c>
    </row>
    <row r="1713" spans="1:32" x14ac:dyDescent="0.2">
      <c r="A1713" t="s">
        <v>1119</v>
      </c>
      <c r="B1713" t="s">
        <v>39</v>
      </c>
      <c r="C1713">
        <v>1012865912</v>
      </c>
      <c r="D1713" t="s">
        <v>511</v>
      </c>
      <c r="E1713" t="s">
        <v>31</v>
      </c>
      <c r="F1713" s="1">
        <v>0.67291666666666672</v>
      </c>
      <c r="G1713" t="s">
        <v>32</v>
      </c>
      <c r="H1713" t="s">
        <v>33</v>
      </c>
      <c r="I1713" t="s">
        <v>41</v>
      </c>
      <c r="J1713" t="s">
        <v>62</v>
      </c>
      <c r="K1713">
        <v>560</v>
      </c>
      <c r="L1713">
        <v>0</v>
      </c>
      <c r="M1713" t="s">
        <v>36</v>
      </c>
      <c r="N1713" t="s">
        <v>37</v>
      </c>
      <c r="O1713">
        <v>0</v>
      </c>
      <c r="P1713">
        <v>0</v>
      </c>
      <c r="Q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 t="s">
        <v>36</v>
      </c>
      <c r="AC1713" t="s">
        <v>687</v>
      </c>
      <c r="AD1713" t="str">
        <f t="shared" si="54"/>
        <v>CP</v>
      </c>
      <c r="AE1713" t="str">
        <f>_xlfn.XLOOKUP(D1713,Mapping!A:A,Mapping!D:D,0,0)</f>
        <v>Keyword - Preroll</v>
      </c>
      <c r="AF1713" t="str">
        <f t="shared" si="55"/>
        <v>OLD</v>
      </c>
    </row>
    <row r="1714" spans="1:32" x14ac:dyDescent="0.2">
      <c r="A1714" t="s">
        <v>1119</v>
      </c>
      <c r="B1714" t="s">
        <v>29</v>
      </c>
      <c r="C1714">
        <v>1012865922</v>
      </c>
      <c r="D1714" t="s">
        <v>722</v>
      </c>
      <c r="E1714" t="s">
        <v>31</v>
      </c>
      <c r="F1714" s="1">
        <v>0.67291666666666672</v>
      </c>
      <c r="G1714" t="s">
        <v>32</v>
      </c>
      <c r="H1714" t="s">
        <v>33</v>
      </c>
      <c r="I1714" t="s">
        <v>41</v>
      </c>
      <c r="J1714" t="s">
        <v>62</v>
      </c>
      <c r="K1714">
        <v>560</v>
      </c>
      <c r="L1714">
        <v>0</v>
      </c>
      <c r="M1714" t="s">
        <v>36</v>
      </c>
      <c r="N1714" t="s">
        <v>37</v>
      </c>
      <c r="O1714">
        <v>104</v>
      </c>
      <c r="P1714">
        <v>4</v>
      </c>
      <c r="Q1714">
        <v>3.8461500000000002</v>
      </c>
      <c r="R1714">
        <v>0</v>
      </c>
      <c r="S1714">
        <v>0.09</v>
      </c>
      <c r="T1714">
        <v>0.84899999999999998</v>
      </c>
      <c r="U1714">
        <v>2.1999999999999999E-2</v>
      </c>
      <c r="V1714">
        <v>0</v>
      </c>
      <c r="W1714">
        <v>1</v>
      </c>
      <c r="X1714">
        <v>0</v>
      </c>
      <c r="Y1714" t="s">
        <v>36</v>
      </c>
      <c r="Z1714">
        <v>104</v>
      </c>
      <c r="AA1714">
        <v>86</v>
      </c>
      <c r="AB1714">
        <v>17</v>
      </c>
      <c r="AC1714" t="s">
        <v>687</v>
      </c>
      <c r="AD1714" t="str">
        <f t="shared" si="54"/>
        <v>CP</v>
      </c>
      <c r="AE1714" t="str">
        <f>_xlfn.XLOOKUP(D1714,Mapping!A:A,Mapping!D:D,0,0)</f>
        <v>Keyword - Preroll</v>
      </c>
      <c r="AF1714" t="str">
        <f t="shared" si="55"/>
        <v>OLD</v>
      </c>
    </row>
    <row r="1715" spans="1:32" x14ac:dyDescent="0.2">
      <c r="A1715" t="s">
        <v>1119</v>
      </c>
      <c r="B1715" t="s">
        <v>29</v>
      </c>
      <c r="C1715">
        <v>1012866372</v>
      </c>
      <c r="D1715" t="s">
        <v>354</v>
      </c>
      <c r="E1715" t="s">
        <v>31</v>
      </c>
      <c r="F1715" s="1">
        <v>0.67291666666666672</v>
      </c>
      <c r="G1715" t="s">
        <v>32</v>
      </c>
      <c r="H1715" t="s">
        <v>33</v>
      </c>
      <c r="I1715" t="s">
        <v>34</v>
      </c>
      <c r="J1715" t="s">
        <v>84</v>
      </c>
      <c r="K1715">
        <v>72</v>
      </c>
      <c r="L1715">
        <v>0</v>
      </c>
      <c r="M1715" t="s">
        <v>36</v>
      </c>
      <c r="N1715" t="s">
        <v>37</v>
      </c>
      <c r="O1715">
        <v>14539</v>
      </c>
      <c r="P1715">
        <v>601</v>
      </c>
      <c r="Q1715">
        <v>4.1337099999999998</v>
      </c>
      <c r="R1715">
        <v>0</v>
      </c>
      <c r="S1715">
        <v>40.590000000000003</v>
      </c>
      <c r="T1715">
        <v>2.7919999999999998</v>
      </c>
      <c r="U1715">
        <v>6.8000000000000005E-2</v>
      </c>
      <c r="V1715">
        <v>0</v>
      </c>
      <c r="W1715">
        <v>1</v>
      </c>
      <c r="X1715">
        <v>0</v>
      </c>
      <c r="Y1715" t="s">
        <v>36</v>
      </c>
      <c r="Z1715">
        <v>14539</v>
      </c>
      <c r="AA1715">
        <v>11365</v>
      </c>
      <c r="AB1715">
        <v>1738</v>
      </c>
      <c r="AC1715" t="s">
        <v>687</v>
      </c>
      <c r="AD1715" t="str">
        <f t="shared" si="54"/>
        <v>CP</v>
      </c>
      <c r="AE1715" t="str">
        <f>_xlfn.XLOOKUP(D1715,Mapping!A:A,Mapping!D:D,0,0)</f>
        <v>Keyword - Preroll</v>
      </c>
      <c r="AF1715" t="str">
        <f t="shared" si="55"/>
        <v>OLD</v>
      </c>
    </row>
    <row r="1716" spans="1:32" x14ac:dyDescent="0.2">
      <c r="A1716" t="s">
        <v>1119</v>
      </c>
      <c r="B1716" t="s">
        <v>29</v>
      </c>
      <c r="C1716">
        <v>1012866382</v>
      </c>
      <c r="D1716" t="s">
        <v>351</v>
      </c>
      <c r="E1716" t="s">
        <v>31</v>
      </c>
      <c r="F1716" s="1">
        <v>0.67291666666666672</v>
      </c>
      <c r="G1716" t="s">
        <v>32</v>
      </c>
      <c r="H1716" t="s">
        <v>33</v>
      </c>
      <c r="I1716" t="s">
        <v>34</v>
      </c>
      <c r="J1716" t="s">
        <v>723</v>
      </c>
      <c r="K1716">
        <v>72</v>
      </c>
      <c r="L1716">
        <v>0</v>
      </c>
      <c r="M1716" t="s">
        <v>63</v>
      </c>
      <c r="N1716">
        <v>250</v>
      </c>
      <c r="O1716">
        <v>30900</v>
      </c>
      <c r="P1716">
        <v>1428</v>
      </c>
      <c r="Q1716">
        <v>4.6213600000000001</v>
      </c>
      <c r="R1716">
        <v>1</v>
      </c>
      <c r="S1716">
        <v>47</v>
      </c>
      <c r="T1716">
        <v>1.5209999999999999</v>
      </c>
      <c r="U1716">
        <v>3.3000000000000002E-2</v>
      </c>
      <c r="V1716">
        <v>46.999000000000002</v>
      </c>
      <c r="W1716">
        <v>1</v>
      </c>
      <c r="X1716">
        <v>0</v>
      </c>
      <c r="Y1716" t="s">
        <v>36</v>
      </c>
      <c r="Z1716">
        <v>30900</v>
      </c>
      <c r="AA1716">
        <v>23989</v>
      </c>
      <c r="AB1716">
        <v>3989</v>
      </c>
      <c r="AC1716" t="s">
        <v>687</v>
      </c>
      <c r="AD1716" t="str">
        <f t="shared" si="54"/>
        <v>CP</v>
      </c>
      <c r="AE1716" t="str">
        <f>_xlfn.XLOOKUP(D1716,Mapping!A:A,Mapping!D:D,0,0)</f>
        <v>Keyword - Preroll</v>
      </c>
      <c r="AF1716" t="str">
        <f t="shared" si="55"/>
        <v>OLD</v>
      </c>
    </row>
    <row r="1717" spans="1:32" x14ac:dyDescent="0.2">
      <c r="A1717" t="s">
        <v>1119</v>
      </c>
      <c r="B1717" t="s">
        <v>29</v>
      </c>
      <c r="C1717">
        <v>1012866392</v>
      </c>
      <c r="D1717" t="s">
        <v>724</v>
      </c>
      <c r="E1717" t="s">
        <v>31</v>
      </c>
      <c r="F1717" s="1">
        <v>0.67291666666666672</v>
      </c>
      <c r="G1717" t="s">
        <v>32</v>
      </c>
      <c r="H1717" t="s">
        <v>33</v>
      </c>
      <c r="I1717" t="s">
        <v>34</v>
      </c>
      <c r="J1717" t="s">
        <v>84</v>
      </c>
      <c r="K1717">
        <v>72</v>
      </c>
      <c r="L1717">
        <v>0</v>
      </c>
      <c r="M1717" t="s">
        <v>63</v>
      </c>
      <c r="N1717">
        <v>250</v>
      </c>
      <c r="O1717">
        <v>331</v>
      </c>
      <c r="P1717">
        <v>17</v>
      </c>
      <c r="Q1717">
        <v>5.1359500000000002</v>
      </c>
      <c r="R1717">
        <v>0</v>
      </c>
      <c r="S1717">
        <v>0.41</v>
      </c>
      <c r="T1717">
        <v>1.2490000000000001</v>
      </c>
      <c r="U1717">
        <v>2.4E-2</v>
      </c>
      <c r="V1717">
        <v>0</v>
      </c>
      <c r="W1717">
        <v>1</v>
      </c>
      <c r="X1717">
        <v>0</v>
      </c>
      <c r="Y1717" t="s">
        <v>36</v>
      </c>
      <c r="Z1717">
        <v>331</v>
      </c>
      <c r="AA1717">
        <v>244</v>
      </c>
      <c r="AB1717">
        <v>48</v>
      </c>
      <c r="AC1717" t="s">
        <v>687</v>
      </c>
      <c r="AD1717" t="str">
        <f t="shared" si="54"/>
        <v>CP</v>
      </c>
      <c r="AE1717" t="str">
        <f>_xlfn.XLOOKUP(D1717,Mapping!A:A,Mapping!D:D,0,0)</f>
        <v>Keyword - Preroll</v>
      </c>
      <c r="AF1717" t="str">
        <f t="shared" si="55"/>
        <v>OLD</v>
      </c>
    </row>
    <row r="1718" spans="1:32" x14ac:dyDescent="0.2">
      <c r="A1718" t="s">
        <v>1119</v>
      </c>
      <c r="B1718" t="s">
        <v>29</v>
      </c>
      <c r="C1718">
        <v>1012866402</v>
      </c>
      <c r="D1718" t="s">
        <v>595</v>
      </c>
      <c r="E1718" t="s">
        <v>31</v>
      </c>
      <c r="F1718" s="1">
        <v>0.67291666666666672</v>
      </c>
      <c r="G1718" t="s">
        <v>32</v>
      </c>
      <c r="H1718" t="s">
        <v>33</v>
      </c>
      <c r="I1718" t="s">
        <v>34</v>
      </c>
      <c r="J1718" t="s">
        <v>84</v>
      </c>
      <c r="K1718">
        <v>72</v>
      </c>
      <c r="L1718">
        <v>0</v>
      </c>
      <c r="M1718" t="s">
        <v>36</v>
      </c>
      <c r="N1718" t="s">
        <v>37</v>
      </c>
      <c r="O1718">
        <v>55909</v>
      </c>
      <c r="P1718">
        <v>2518</v>
      </c>
      <c r="Q1718">
        <v>4.5037500000000001</v>
      </c>
      <c r="R1718">
        <v>0</v>
      </c>
      <c r="S1718">
        <v>72.05</v>
      </c>
      <c r="T1718">
        <v>1.2889999999999999</v>
      </c>
      <c r="U1718">
        <v>2.9000000000000001E-2</v>
      </c>
      <c r="V1718">
        <v>0</v>
      </c>
      <c r="W1718">
        <v>1</v>
      </c>
      <c r="X1718">
        <v>0</v>
      </c>
      <c r="Y1718" t="s">
        <v>36</v>
      </c>
      <c r="Z1718">
        <v>55909</v>
      </c>
      <c r="AA1718">
        <v>43154</v>
      </c>
      <c r="AB1718">
        <v>6929</v>
      </c>
      <c r="AC1718" t="s">
        <v>687</v>
      </c>
      <c r="AD1718" t="str">
        <f t="shared" si="54"/>
        <v>CP</v>
      </c>
      <c r="AE1718" t="str">
        <f>_xlfn.XLOOKUP(D1718,Mapping!A:A,Mapping!D:D,0,0)</f>
        <v>Keyword - Preroll</v>
      </c>
      <c r="AF1718" t="str">
        <f t="shared" si="55"/>
        <v>OLD</v>
      </c>
    </row>
    <row r="1719" spans="1:32" x14ac:dyDescent="0.2">
      <c r="A1719" t="s">
        <v>1119</v>
      </c>
      <c r="B1719" t="s">
        <v>39</v>
      </c>
      <c r="C1719">
        <v>1012866412</v>
      </c>
      <c r="D1719" t="s">
        <v>725</v>
      </c>
      <c r="E1719" t="s">
        <v>31</v>
      </c>
      <c r="F1719" s="1">
        <v>0.67291666666666672</v>
      </c>
      <c r="G1719" t="s">
        <v>32</v>
      </c>
      <c r="H1719" t="s">
        <v>33</v>
      </c>
      <c r="I1719" t="s">
        <v>41</v>
      </c>
      <c r="J1719" t="s">
        <v>62</v>
      </c>
      <c r="K1719">
        <v>162</v>
      </c>
      <c r="L1719">
        <v>0</v>
      </c>
      <c r="M1719" t="s">
        <v>63</v>
      </c>
      <c r="N1719">
        <v>250</v>
      </c>
      <c r="O1719">
        <v>0</v>
      </c>
      <c r="P1719">
        <v>0</v>
      </c>
      <c r="Q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 t="s">
        <v>36</v>
      </c>
      <c r="AC1719" t="s">
        <v>687</v>
      </c>
      <c r="AD1719" t="str">
        <f t="shared" si="54"/>
        <v>CP</v>
      </c>
      <c r="AE1719" t="str">
        <f>_xlfn.XLOOKUP(D1719,Mapping!A:A,Mapping!D:D,0,0)</f>
        <v>Missionary</v>
      </c>
      <c r="AF1719" t="str">
        <f t="shared" si="55"/>
        <v>OLD</v>
      </c>
    </row>
    <row r="1720" spans="1:32" x14ac:dyDescent="0.2">
      <c r="A1720" t="s">
        <v>1119</v>
      </c>
      <c r="B1720" t="s">
        <v>39</v>
      </c>
      <c r="C1720">
        <v>1012866422</v>
      </c>
      <c r="D1720" t="s">
        <v>636</v>
      </c>
      <c r="E1720" t="s">
        <v>31</v>
      </c>
      <c r="F1720" s="1">
        <v>0.67291666666666672</v>
      </c>
      <c r="G1720" t="s">
        <v>32</v>
      </c>
      <c r="H1720" t="s">
        <v>33</v>
      </c>
      <c r="I1720" t="s">
        <v>41</v>
      </c>
      <c r="J1720" t="s">
        <v>62</v>
      </c>
      <c r="K1720">
        <v>162</v>
      </c>
      <c r="L1720">
        <v>0</v>
      </c>
      <c r="M1720" t="s">
        <v>63</v>
      </c>
      <c r="N1720">
        <v>250</v>
      </c>
      <c r="O1720">
        <v>0</v>
      </c>
      <c r="P1720">
        <v>0</v>
      </c>
      <c r="Q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 t="s">
        <v>36</v>
      </c>
      <c r="AC1720" t="s">
        <v>687</v>
      </c>
      <c r="AD1720" t="str">
        <f t="shared" si="54"/>
        <v>CP</v>
      </c>
      <c r="AE1720" t="str">
        <f>_xlfn.XLOOKUP(D1720,Mapping!A:A,Mapping!D:D,0,0)</f>
        <v>Bin</v>
      </c>
      <c r="AF1720" t="str">
        <f t="shared" si="55"/>
        <v>OLD</v>
      </c>
    </row>
    <row r="1721" spans="1:32" x14ac:dyDescent="0.2">
      <c r="A1721" t="s">
        <v>1119</v>
      </c>
      <c r="B1721" t="s">
        <v>39</v>
      </c>
      <c r="C1721">
        <v>1012866432</v>
      </c>
      <c r="D1721" t="s">
        <v>726</v>
      </c>
      <c r="E1721" t="s">
        <v>31</v>
      </c>
      <c r="F1721" s="1">
        <v>0.67291666666666672</v>
      </c>
      <c r="G1721" t="s">
        <v>32</v>
      </c>
      <c r="H1721" t="s">
        <v>33</v>
      </c>
      <c r="I1721" t="s">
        <v>41</v>
      </c>
      <c r="J1721" t="s">
        <v>62</v>
      </c>
      <c r="K1721">
        <v>162</v>
      </c>
      <c r="L1721">
        <v>0</v>
      </c>
      <c r="M1721" t="s">
        <v>63</v>
      </c>
      <c r="N1721">
        <v>250</v>
      </c>
      <c r="O1721">
        <v>0</v>
      </c>
      <c r="P1721">
        <v>0</v>
      </c>
      <c r="Q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 t="s">
        <v>36</v>
      </c>
      <c r="AC1721" t="s">
        <v>687</v>
      </c>
      <c r="AD1721" t="str">
        <f t="shared" si="54"/>
        <v>CP</v>
      </c>
      <c r="AE1721" t="str">
        <f>_xlfn.XLOOKUP(D1721,Mapping!A:A,Mapping!D:D,0,0)</f>
        <v>Missionary</v>
      </c>
      <c r="AF1721" t="str">
        <f t="shared" si="55"/>
        <v>OLD</v>
      </c>
    </row>
    <row r="1722" spans="1:32" x14ac:dyDescent="0.2">
      <c r="A1722" t="s">
        <v>1119</v>
      </c>
      <c r="B1722" t="s">
        <v>39</v>
      </c>
      <c r="C1722">
        <v>1012866442</v>
      </c>
      <c r="D1722" t="s">
        <v>727</v>
      </c>
      <c r="E1722" t="s">
        <v>31</v>
      </c>
      <c r="F1722" s="1">
        <v>0.67291666666666672</v>
      </c>
      <c r="G1722" t="s">
        <v>32</v>
      </c>
      <c r="H1722" t="s">
        <v>33</v>
      </c>
      <c r="I1722" t="s">
        <v>41</v>
      </c>
      <c r="J1722" t="s">
        <v>62</v>
      </c>
      <c r="K1722">
        <v>162</v>
      </c>
      <c r="L1722">
        <v>0</v>
      </c>
      <c r="M1722" t="s">
        <v>63</v>
      </c>
      <c r="N1722">
        <v>250</v>
      </c>
      <c r="O1722">
        <v>0</v>
      </c>
      <c r="P1722">
        <v>0</v>
      </c>
      <c r="Q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 t="s">
        <v>36</v>
      </c>
      <c r="AC1722" t="s">
        <v>687</v>
      </c>
      <c r="AD1722" t="str">
        <f t="shared" si="54"/>
        <v>CP</v>
      </c>
      <c r="AE1722" t="str">
        <f>_xlfn.XLOOKUP(D1722,Mapping!A:A,Mapping!D:D,0,0)</f>
        <v>Missionary</v>
      </c>
      <c r="AF1722" t="str">
        <f t="shared" si="55"/>
        <v>OLD</v>
      </c>
    </row>
    <row r="1723" spans="1:32" x14ac:dyDescent="0.2">
      <c r="A1723" t="s">
        <v>1119</v>
      </c>
      <c r="B1723" t="s">
        <v>39</v>
      </c>
      <c r="C1723">
        <v>1012866452</v>
      </c>
      <c r="D1723" t="s">
        <v>728</v>
      </c>
      <c r="E1723" t="s">
        <v>31</v>
      </c>
      <c r="F1723" s="1">
        <v>0.67291666666666672</v>
      </c>
      <c r="G1723" t="s">
        <v>32</v>
      </c>
      <c r="H1723" t="s">
        <v>33</v>
      </c>
      <c r="I1723" t="s">
        <v>41</v>
      </c>
      <c r="J1723" t="s">
        <v>62</v>
      </c>
      <c r="K1723">
        <v>81</v>
      </c>
      <c r="L1723">
        <v>0</v>
      </c>
      <c r="M1723" t="s">
        <v>63</v>
      </c>
      <c r="N1723">
        <v>250</v>
      </c>
      <c r="O1723">
        <v>0</v>
      </c>
      <c r="P1723">
        <v>0</v>
      </c>
      <c r="Q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 t="s">
        <v>36</v>
      </c>
      <c r="AC1723" t="s">
        <v>687</v>
      </c>
      <c r="AD1723" t="str">
        <f t="shared" si="54"/>
        <v>CP</v>
      </c>
      <c r="AE1723" t="str">
        <f>_xlfn.XLOOKUP(D1723,Mapping!A:A,Mapping!D:D,0,0)</f>
        <v>Missionary</v>
      </c>
      <c r="AF1723" t="str">
        <f t="shared" si="55"/>
        <v>OLD</v>
      </c>
    </row>
    <row r="1724" spans="1:32" x14ac:dyDescent="0.2">
      <c r="A1724" t="s">
        <v>1119</v>
      </c>
      <c r="B1724" t="s">
        <v>39</v>
      </c>
      <c r="C1724">
        <v>1012866462</v>
      </c>
      <c r="D1724" t="s">
        <v>349</v>
      </c>
      <c r="E1724" t="s">
        <v>31</v>
      </c>
      <c r="F1724" s="1">
        <v>0.67291666666666672</v>
      </c>
      <c r="G1724" t="s">
        <v>32</v>
      </c>
      <c r="H1724" t="s">
        <v>33</v>
      </c>
      <c r="I1724" t="s">
        <v>41</v>
      </c>
      <c r="J1724" t="s">
        <v>62</v>
      </c>
      <c r="K1724">
        <v>81</v>
      </c>
      <c r="L1724">
        <v>0</v>
      </c>
      <c r="M1724" t="s">
        <v>63</v>
      </c>
      <c r="N1724">
        <v>250</v>
      </c>
      <c r="O1724">
        <v>0</v>
      </c>
      <c r="P1724">
        <v>0</v>
      </c>
      <c r="Q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 t="s">
        <v>36</v>
      </c>
      <c r="AC1724" t="s">
        <v>687</v>
      </c>
      <c r="AD1724" t="str">
        <f t="shared" si="54"/>
        <v>CP</v>
      </c>
      <c r="AE1724" t="str">
        <f>_xlfn.XLOOKUP(D1724,Mapping!A:A,Mapping!D:D,0,0)</f>
        <v>Bin</v>
      </c>
      <c r="AF1724" t="str">
        <f t="shared" si="55"/>
        <v>OLD</v>
      </c>
    </row>
    <row r="1725" spans="1:32" x14ac:dyDescent="0.2">
      <c r="A1725" t="s">
        <v>1119</v>
      </c>
      <c r="B1725" t="s">
        <v>39</v>
      </c>
      <c r="C1725">
        <v>1012866472</v>
      </c>
      <c r="D1725" t="s">
        <v>597</v>
      </c>
      <c r="E1725" t="s">
        <v>31</v>
      </c>
      <c r="F1725" s="1">
        <v>0.67291666666666672</v>
      </c>
      <c r="G1725" t="s">
        <v>32</v>
      </c>
      <c r="H1725" t="s">
        <v>33</v>
      </c>
      <c r="I1725" t="s">
        <v>41</v>
      </c>
      <c r="J1725" t="s">
        <v>62</v>
      </c>
      <c r="K1725">
        <v>81</v>
      </c>
      <c r="L1725">
        <v>0</v>
      </c>
      <c r="M1725" t="s">
        <v>63</v>
      </c>
      <c r="N1725">
        <v>250</v>
      </c>
      <c r="O1725">
        <v>0</v>
      </c>
      <c r="P1725">
        <v>0</v>
      </c>
      <c r="Q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 t="s">
        <v>36</v>
      </c>
      <c r="AC1725" t="s">
        <v>687</v>
      </c>
      <c r="AD1725" t="str">
        <f t="shared" si="54"/>
        <v>CP</v>
      </c>
      <c r="AE1725" t="str">
        <f>_xlfn.XLOOKUP(D1725,Mapping!A:A,Mapping!D:D,0,0)</f>
        <v>Bin</v>
      </c>
      <c r="AF1725" t="str">
        <f t="shared" si="55"/>
        <v>OLD</v>
      </c>
    </row>
    <row r="1726" spans="1:32" x14ac:dyDescent="0.2">
      <c r="A1726" t="s">
        <v>1119</v>
      </c>
      <c r="B1726" t="s">
        <v>39</v>
      </c>
      <c r="C1726">
        <v>1012866482</v>
      </c>
      <c r="D1726" t="s">
        <v>352</v>
      </c>
      <c r="E1726" t="s">
        <v>31</v>
      </c>
      <c r="F1726" s="1">
        <v>0.67291666666666672</v>
      </c>
      <c r="G1726" t="s">
        <v>32</v>
      </c>
      <c r="H1726" t="s">
        <v>33</v>
      </c>
      <c r="I1726" t="s">
        <v>41</v>
      </c>
      <c r="J1726" t="s">
        <v>62</v>
      </c>
      <c r="K1726">
        <v>81</v>
      </c>
      <c r="L1726">
        <v>0</v>
      </c>
      <c r="M1726" t="s">
        <v>63</v>
      </c>
      <c r="N1726">
        <v>250</v>
      </c>
      <c r="O1726">
        <v>0</v>
      </c>
      <c r="P1726">
        <v>0</v>
      </c>
      <c r="Q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 t="s">
        <v>36</v>
      </c>
      <c r="AC1726" t="s">
        <v>687</v>
      </c>
      <c r="AD1726" t="str">
        <f t="shared" si="54"/>
        <v>CP</v>
      </c>
      <c r="AE1726" t="str">
        <f>_xlfn.XLOOKUP(D1726,Mapping!A:A,Mapping!D:D,0,0)</f>
        <v>Bin</v>
      </c>
      <c r="AF1726" t="str">
        <f t="shared" si="55"/>
        <v>OLD</v>
      </c>
    </row>
    <row r="1727" spans="1:32" x14ac:dyDescent="0.2">
      <c r="A1727" t="s">
        <v>1119</v>
      </c>
      <c r="B1727" t="s">
        <v>39</v>
      </c>
      <c r="C1727">
        <v>1012866492</v>
      </c>
      <c r="D1727" t="s">
        <v>355</v>
      </c>
      <c r="E1727" t="s">
        <v>31</v>
      </c>
      <c r="F1727" s="1">
        <v>0.67291666666666672</v>
      </c>
      <c r="G1727" t="s">
        <v>32</v>
      </c>
      <c r="H1727" t="s">
        <v>33</v>
      </c>
      <c r="I1727" t="s">
        <v>41</v>
      </c>
      <c r="J1727" t="s">
        <v>62</v>
      </c>
      <c r="K1727">
        <v>162</v>
      </c>
      <c r="L1727">
        <v>0</v>
      </c>
      <c r="M1727" t="s">
        <v>63</v>
      </c>
      <c r="N1727">
        <v>250</v>
      </c>
      <c r="O1727">
        <v>0</v>
      </c>
      <c r="P1727">
        <v>0</v>
      </c>
      <c r="Q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 t="s">
        <v>36</v>
      </c>
      <c r="AC1727" t="s">
        <v>687</v>
      </c>
      <c r="AD1727" t="str">
        <f t="shared" si="54"/>
        <v>CP</v>
      </c>
      <c r="AE1727" t="str">
        <f>_xlfn.XLOOKUP(D1727,Mapping!A:A,Mapping!D:D,0,0)</f>
        <v>Bin</v>
      </c>
      <c r="AF1727" t="str">
        <f t="shared" si="55"/>
        <v>OLD</v>
      </c>
    </row>
    <row r="1728" spans="1:32" x14ac:dyDescent="0.2">
      <c r="A1728" t="s">
        <v>1119</v>
      </c>
      <c r="B1728" t="s">
        <v>39</v>
      </c>
      <c r="C1728">
        <v>1012866502</v>
      </c>
      <c r="D1728" t="s">
        <v>729</v>
      </c>
      <c r="E1728" t="s">
        <v>31</v>
      </c>
      <c r="F1728" s="1">
        <v>0.67291666666666672</v>
      </c>
      <c r="G1728" t="s">
        <v>32</v>
      </c>
      <c r="H1728" t="s">
        <v>33</v>
      </c>
      <c r="I1728" t="s">
        <v>41</v>
      </c>
      <c r="J1728" t="s">
        <v>62</v>
      </c>
      <c r="K1728">
        <v>120</v>
      </c>
      <c r="L1728">
        <v>0</v>
      </c>
      <c r="M1728" t="s">
        <v>36</v>
      </c>
      <c r="N1728" t="s">
        <v>37</v>
      </c>
      <c r="O1728">
        <v>0</v>
      </c>
      <c r="P1728">
        <v>0</v>
      </c>
      <c r="Q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 t="s">
        <v>36</v>
      </c>
      <c r="AC1728" t="s">
        <v>687</v>
      </c>
      <c r="AD1728" t="str">
        <f t="shared" si="54"/>
        <v>CP</v>
      </c>
      <c r="AE1728" t="str">
        <f>_xlfn.XLOOKUP(D1728,Mapping!A:A,Mapping!D:D,0,0)</f>
        <v>Bin</v>
      </c>
      <c r="AF1728" t="str">
        <f t="shared" si="55"/>
        <v>OLD</v>
      </c>
    </row>
    <row r="1729" spans="1:32" x14ac:dyDescent="0.2">
      <c r="A1729" t="s">
        <v>1119</v>
      </c>
      <c r="B1729" t="s">
        <v>39</v>
      </c>
      <c r="C1729">
        <v>1012866512</v>
      </c>
      <c r="D1729" t="s">
        <v>431</v>
      </c>
      <c r="E1729" t="s">
        <v>31</v>
      </c>
      <c r="F1729" s="1">
        <v>0.67291666666666672</v>
      </c>
      <c r="G1729" t="s">
        <v>32</v>
      </c>
      <c r="H1729" t="s">
        <v>33</v>
      </c>
      <c r="I1729" t="s">
        <v>41</v>
      </c>
      <c r="J1729" t="s">
        <v>62</v>
      </c>
      <c r="K1729">
        <v>62</v>
      </c>
      <c r="L1729">
        <v>89</v>
      </c>
      <c r="M1729" t="s">
        <v>36</v>
      </c>
      <c r="N1729" t="s">
        <v>37</v>
      </c>
      <c r="O1729">
        <v>13998</v>
      </c>
      <c r="P1729">
        <v>757</v>
      </c>
      <c r="Q1729">
        <v>5.4079199999999998</v>
      </c>
      <c r="R1729">
        <v>1</v>
      </c>
      <c r="S1729">
        <v>31.3</v>
      </c>
      <c r="T1729">
        <v>2.2360000000000002</v>
      </c>
      <c r="U1729">
        <v>4.1000000000000002E-2</v>
      </c>
      <c r="V1729">
        <v>31.303000000000001</v>
      </c>
      <c r="W1729">
        <v>1</v>
      </c>
      <c r="X1729">
        <v>0</v>
      </c>
      <c r="Y1729" t="s">
        <v>36</v>
      </c>
      <c r="Z1729">
        <v>13998</v>
      </c>
      <c r="AA1729">
        <v>12743</v>
      </c>
      <c r="AB1729">
        <v>835</v>
      </c>
      <c r="AC1729" t="s">
        <v>687</v>
      </c>
      <c r="AD1729" t="str">
        <f t="shared" si="54"/>
        <v>CP</v>
      </c>
      <c r="AE1729" t="str">
        <f>_xlfn.XLOOKUP(D1729,Mapping!A:A,Mapping!D:D,0,0)</f>
        <v>Trans</v>
      </c>
      <c r="AF1729" t="str">
        <f t="shared" si="55"/>
        <v>OLD</v>
      </c>
    </row>
    <row r="1730" spans="1:32" x14ac:dyDescent="0.2">
      <c r="A1730" t="s">
        <v>1119</v>
      </c>
      <c r="B1730" t="s">
        <v>39</v>
      </c>
      <c r="C1730">
        <v>1012866522</v>
      </c>
      <c r="D1730" t="s">
        <v>430</v>
      </c>
      <c r="E1730" t="s">
        <v>31</v>
      </c>
      <c r="F1730" s="1">
        <v>0.67291666666666672</v>
      </c>
      <c r="G1730" t="s">
        <v>32</v>
      </c>
      <c r="H1730" t="s">
        <v>33</v>
      </c>
      <c r="I1730" t="s">
        <v>41</v>
      </c>
      <c r="J1730" t="s">
        <v>62</v>
      </c>
      <c r="K1730">
        <v>240</v>
      </c>
      <c r="L1730">
        <v>0</v>
      </c>
      <c r="M1730" t="s">
        <v>36</v>
      </c>
      <c r="N1730" t="s">
        <v>37</v>
      </c>
      <c r="O1730">
        <v>0</v>
      </c>
      <c r="P1730">
        <v>0</v>
      </c>
      <c r="Q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 t="s">
        <v>36</v>
      </c>
      <c r="AC1730" t="s">
        <v>687</v>
      </c>
      <c r="AD1730" t="str">
        <f t="shared" si="54"/>
        <v>CP</v>
      </c>
      <c r="AE1730" t="str">
        <f>_xlfn.XLOOKUP(D1730,Mapping!A:A,Mapping!D:D,0,0)</f>
        <v>Bin</v>
      </c>
      <c r="AF1730" t="str">
        <f t="shared" si="55"/>
        <v>OLD</v>
      </c>
    </row>
    <row r="1731" spans="1:32" x14ac:dyDescent="0.2">
      <c r="A1731" t="s">
        <v>1119</v>
      </c>
      <c r="B1731" t="s">
        <v>29</v>
      </c>
      <c r="C1731">
        <v>1012866532</v>
      </c>
      <c r="D1731" t="s">
        <v>730</v>
      </c>
      <c r="E1731" t="s">
        <v>31</v>
      </c>
      <c r="F1731" s="1">
        <v>0.67291666666666672</v>
      </c>
      <c r="G1731" t="s">
        <v>32</v>
      </c>
      <c r="H1731" t="s">
        <v>33</v>
      </c>
      <c r="I1731" t="s">
        <v>41</v>
      </c>
      <c r="J1731" t="s">
        <v>62</v>
      </c>
      <c r="K1731">
        <v>240</v>
      </c>
      <c r="L1731">
        <v>0</v>
      </c>
      <c r="M1731" t="s">
        <v>36</v>
      </c>
      <c r="N1731" t="s">
        <v>37</v>
      </c>
      <c r="O1731">
        <v>363</v>
      </c>
      <c r="P1731">
        <v>20</v>
      </c>
      <c r="Q1731">
        <v>5.5096400000000001</v>
      </c>
      <c r="R1731">
        <v>0</v>
      </c>
      <c r="S1731">
        <v>0.25</v>
      </c>
      <c r="T1731">
        <v>0.68500000000000005</v>
      </c>
      <c r="U1731">
        <v>1.2E-2</v>
      </c>
      <c r="V1731">
        <v>0</v>
      </c>
      <c r="W1731">
        <v>1</v>
      </c>
      <c r="X1731">
        <v>0</v>
      </c>
      <c r="Y1731" t="s">
        <v>36</v>
      </c>
      <c r="Z1731">
        <v>363</v>
      </c>
      <c r="AA1731">
        <v>324</v>
      </c>
      <c r="AB1731">
        <v>25</v>
      </c>
      <c r="AC1731" t="s">
        <v>687</v>
      </c>
      <c r="AD1731" t="str">
        <f t="shared" si="54"/>
        <v>CP</v>
      </c>
      <c r="AE1731" t="str">
        <f>_xlfn.XLOOKUP(D1731,Mapping!A:A,Mapping!D:D,0,0)</f>
        <v>Trans</v>
      </c>
      <c r="AF1731" t="str">
        <f t="shared" si="55"/>
        <v>OLD</v>
      </c>
    </row>
    <row r="1732" spans="1:32" x14ac:dyDescent="0.2">
      <c r="A1732" t="s">
        <v>1119</v>
      </c>
      <c r="B1732" t="s">
        <v>690</v>
      </c>
      <c r="C1732">
        <v>1012866542</v>
      </c>
      <c r="D1732" t="s">
        <v>425</v>
      </c>
      <c r="E1732" t="s">
        <v>31</v>
      </c>
      <c r="F1732" s="1">
        <v>0.67291666666666672</v>
      </c>
      <c r="G1732" t="s">
        <v>32</v>
      </c>
      <c r="H1732" t="s">
        <v>33</v>
      </c>
      <c r="I1732" t="s">
        <v>41</v>
      </c>
      <c r="J1732" t="s">
        <v>62</v>
      </c>
      <c r="K1732">
        <v>240</v>
      </c>
      <c r="L1732">
        <v>0</v>
      </c>
      <c r="M1732" t="s">
        <v>36</v>
      </c>
      <c r="N1732" t="s">
        <v>37</v>
      </c>
      <c r="O1732">
        <v>0</v>
      </c>
      <c r="P1732">
        <v>0</v>
      </c>
      <c r="Q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 t="s">
        <v>36</v>
      </c>
      <c r="AC1732" t="s">
        <v>687</v>
      </c>
      <c r="AD1732" t="str">
        <f t="shared" si="54"/>
        <v>CP</v>
      </c>
      <c r="AE1732" t="str">
        <f>_xlfn.XLOOKUP(D1732,Mapping!A:A,Mapping!D:D,0,0)</f>
        <v>Bin</v>
      </c>
      <c r="AF1732" t="str">
        <f t="shared" si="55"/>
        <v>OLD</v>
      </c>
    </row>
    <row r="1733" spans="1:32" x14ac:dyDescent="0.2">
      <c r="A1733" t="s">
        <v>1119</v>
      </c>
      <c r="B1733" t="s">
        <v>29</v>
      </c>
      <c r="C1733">
        <v>1012866552</v>
      </c>
      <c r="D1733" t="s">
        <v>731</v>
      </c>
      <c r="E1733" t="s">
        <v>31</v>
      </c>
      <c r="F1733" s="1">
        <v>0.67291666666666672</v>
      </c>
      <c r="G1733" t="s">
        <v>32</v>
      </c>
      <c r="H1733" t="s">
        <v>33</v>
      </c>
      <c r="I1733" t="s">
        <v>41</v>
      </c>
      <c r="J1733" t="s">
        <v>62</v>
      </c>
      <c r="K1733">
        <v>240</v>
      </c>
      <c r="L1733">
        <v>0</v>
      </c>
      <c r="M1733" t="s">
        <v>36</v>
      </c>
      <c r="N1733" t="s">
        <v>37</v>
      </c>
      <c r="O1733">
        <v>184</v>
      </c>
      <c r="P1733">
        <v>6</v>
      </c>
      <c r="Q1733">
        <v>3.2608700000000002</v>
      </c>
      <c r="R1733">
        <v>0</v>
      </c>
      <c r="S1733">
        <v>0.12</v>
      </c>
      <c r="T1733">
        <v>0.63600000000000001</v>
      </c>
      <c r="U1733">
        <v>0.02</v>
      </c>
      <c r="V1733">
        <v>0</v>
      </c>
      <c r="W1733">
        <v>1</v>
      </c>
      <c r="X1733">
        <v>0</v>
      </c>
      <c r="Y1733" t="s">
        <v>36</v>
      </c>
      <c r="Z1733">
        <v>184</v>
      </c>
      <c r="AA1733">
        <v>172</v>
      </c>
      <c r="AB1733">
        <v>9</v>
      </c>
      <c r="AC1733" t="s">
        <v>687</v>
      </c>
      <c r="AD1733" t="str">
        <f t="shared" si="54"/>
        <v>CP</v>
      </c>
      <c r="AE1733" t="str">
        <f>_xlfn.XLOOKUP(D1733,Mapping!A:A,Mapping!D:D,0,0)</f>
        <v>Trans</v>
      </c>
      <c r="AF1733" t="str">
        <f t="shared" si="55"/>
        <v>OLD</v>
      </c>
    </row>
    <row r="1734" spans="1:32" x14ac:dyDescent="0.2">
      <c r="A1734" t="s">
        <v>1119</v>
      </c>
      <c r="B1734" t="s">
        <v>39</v>
      </c>
      <c r="C1734">
        <v>1012866562</v>
      </c>
      <c r="D1734" t="s">
        <v>424</v>
      </c>
      <c r="E1734" t="s">
        <v>31</v>
      </c>
      <c r="F1734" s="1">
        <v>0.67291666666666672</v>
      </c>
      <c r="G1734" t="s">
        <v>32</v>
      </c>
      <c r="H1734" t="s">
        <v>33</v>
      </c>
      <c r="I1734" t="s">
        <v>41</v>
      </c>
      <c r="J1734" t="s">
        <v>62</v>
      </c>
      <c r="K1734">
        <v>240</v>
      </c>
      <c r="L1734">
        <v>0</v>
      </c>
      <c r="M1734" t="s">
        <v>36</v>
      </c>
      <c r="N1734" t="s">
        <v>37</v>
      </c>
      <c r="O1734">
        <v>0</v>
      </c>
      <c r="P1734">
        <v>0</v>
      </c>
      <c r="Q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 t="s">
        <v>36</v>
      </c>
      <c r="AC1734" t="s">
        <v>687</v>
      </c>
      <c r="AD1734" t="str">
        <f t="shared" si="54"/>
        <v>CP</v>
      </c>
      <c r="AE1734" t="str">
        <f>_xlfn.XLOOKUP(D1734,Mapping!A:A,Mapping!D:D,0,0)</f>
        <v>Bin</v>
      </c>
      <c r="AF1734" t="str">
        <f t="shared" si="55"/>
        <v>OLD</v>
      </c>
    </row>
    <row r="1735" spans="1:32" x14ac:dyDescent="0.2">
      <c r="A1735" t="s">
        <v>1119</v>
      </c>
      <c r="B1735" t="s">
        <v>39</v>
      </c>
      <c r="C1735">
        <v>1012866572</v>
      </c>
      <c r="D1735" t="s">
        <v>732</v>
      </c>
      <c r="E1735" t="s">
        <v>31</v>
      </c>
      <c r="F1735" s="1">
        <v>0.67291666666666672</v>
      </c>
      <c r="G1735" t="s">
        <v>32</v>
      </c>
      <c r="H1735" t="s">
        <v>33</v>
      </c>
      <c r="I1735" t="s">
        <v>41</v>
      </c>
      <c r="J1735" t="s">
        <v>62</v>
      </c>
      <c r="K1735">
        <v>240</v>
      </c>
      <c r="L1735">
        <v>0</v>
      </c>
      <c r="M1735" t="s">
        <v>36</v>
      </c>
      <c r="N1735" t="s">
        <v>37</v>
      </c>
      <c r="O1735">
        <v>0</v>
      </c>
      <c r="P1735">
        <v>0</v>
      </c>
      <c r="Q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 t="s">
        <v>36</v>
      </c>
      <c r="AC1735" t="s">
        <v>687</v>
      </c>
      <c r="AD1735" t="str">
        <f t="shared" si="54"/>
        <v>CP</v>
      </c>
      <c r="AE1735" t="str">
        <f>_xlfn.XLOOKUP(D1735,Mapping!A:A,Mapping!D:D,0,0)</f>
        <v>Trans</v>
      </c>
      <c r="AF1735" t="str">
        <f t="shared" si="55"/>
        <v>OLD</v>
      </c>
    </row>
    <row r="1736" spans="1:32" x14ac:dyDescent="0.2">
      <c r="A1736" t="s">
        <v>1119</v>
      </c>
      <c r="B1736" t="s">
        <v>29</v>
      </c>
      <c r="C1736">
        <v>1012866582</v>
      </c>
      <c r="D1736" t="s">
        <v>733</v>
      </c>
      <c r="E1736" t="s">
        <v>31</v>
      </c>
      <c r="F1736" s="1">
        <v>0.67291666666666672</v>
      </c>
      <c r="G1736" t="s">
        <v>32</v>
      </c>
      <c r="H1736" t="s">
        <v>33</v>
      </c>
      <c r="I1736" t="s">
        <v>41</v>
      </c>
      <c r="J1736" t="s">
        <v>62</v>
      </c>
      <c r="K1736">
        <v>240</v>
      </c>
      <c r="L1736">
        <v>0</v>
      </c>
      <c r="M1736" t="s">
        <v>36</v>
      </c>
      <c r="N1736" t="s">
        <v>37</v>
      </c>
      <c r="O1736">
        <v>79</v>
      </c>
      <c r="P1736">
        <v>4</v>
      </c>
      <c r="Q1736">
        <v>5.0632900000000003</v>
      </c>
      <c r="R1736">
        <v>0</v>
      </c>
      <c r="S1736">
        <v>0.03</v>
      </c>
      <c r="T1736">
        <v>0.377</v>
      </c>
      <c r="U1736">
        <v>7.0000000000000001E-3</v>
      </c>
      <c r="V1736">
        <v>0</v>
      </c>
      <c r="W1736">
        <v>1</v>
      </c>
      <c r="X1736">
        <v>0</v>
      </c>
      <c r="Y1736" t="s">
        <v>36</v>
      </c>
      <c r="Z1736">
        <v>79</v>
      </c>
      <c r="AA1736">
        <v>70</v>
      </c>
      <c r="AB1736">
        <v>4</v>
      </c>
      <c r="AC1736" t="s">
        <v>687</v>
      </c>
      <c r="AD1736" t="str">
        <f t="shared" si="54"/>
        <v>CP</v>
      </c>
      <c r="AE1736" t="str">
        <f>_xlfn.XLOOKUP(D1736,Mapping!A:A,Mapping!D:D,0,0)</f>
        <v>Trans</v>
      </c>
      <c r="AF1736" t="str">
        <f t="shared" si="55"/>
        <v>OLD</v>
      </c>
    </row>
    <row r="1737" spans="1:32" x14ac:dyDescent="0.2">
      <c r="A1737" t="s">
        <v>1119</v>
      </c>
      <c r="B1737" t="s">
        <v>29</v>
      </c>
      <c r="C1737">
        <v>1012866592</v>
      </c>
      <c r="D1737" t="s">
        <v>734</v>
      </c>
      <c r="E1737" t="s">
        <v>31</v>
      </c>
      <c r="F1737" s="1">
        <v>0.67291666666666672</v>
      </c>
      <c r="G1737" t="s">
        <v>32</v>
      </c>
      <c r="H1737" t="s">
        <v>33</v>
      </c>
      <c r="I1737" t="s">
        <v>41</v>
      </c>
      <c r="J1737" t="s">
        <v>62</v>
      </c>
      <c r="K1737">
        <v>240</v>
      </c>
      <c r="L1737">
        <v>0</v>
      </c>
      <c r="M1737" t="s">
        <v>36</v>
      </c>
      <c r="N1737" t="s">
        <v>37</v>
      </c>
      <c r="O1737">
        <v>29</v>
      </c>
      <c r="P1737">
        <v>3</v>
      </c>
      <c r="Q1737">
        <v>10.34483</v>
      </c>
      <c r="R1737">
        <v>0</v>
      </c>
      <c r="S1737">
        <v>0.01</v>
      </c>
      <c r="T1737">
        <v>0.42899999999999999</v>
      </c>
      <c r="U1737">
        <v>4.0000000000000001E-3</v>
      </c>
      <c r="V1737">
        <v>0</v>
      </c>
      <c r="W1737">
        <v>1</v>
      </c>
      <c r="X1737">
        <v>0</v>
      </c>
      <c r="Y1737" t="s">
        <v>36</v>
      </c>
      <c r="Z1737">
        <v>29</v>
      </c>
      <c r="AA1737">
        <v>25</v>
      </c>
      <c r="AB1737">
        <v>1</v>
      </c>
      <c r="AC1737" t="s">
        <v>687</v>
      </c>
      <c r="AD1737" t="str">
        <f t="shared" si="54"/>
        <v>CP</v>
      </c>
      <c r="AE1737" t="str">
        <f>_xlfn.XLOOKUP(D1737,Mapping!A:A,Mapping!D:D,0,0)</f>
        <v>Trans</v>
      </c>
      <c r="AF1737" t="str">
        <f t="shared" si="55"/>
        <v>OLD</v>
      </c>
    </row>
    <row r="1738" spans="1:32" x14ac:dyDescent="0.2">
      <c r="A1738" t="s">
        <v>1119</v>
      </c>
      <c r="B1738" t="s">
        <v>29</v>
      </c>
      <c r="C1738">
        <v>1012866602</v>
      </c>
      <c r="D1738" t="s">
        <v>735</v>
      </c>
      <c r="E1738" t="s">
        <v>31</v>
      </c>
      <c r="F1738" s="1">
        <v>0.67291666666666672</v>
      </c>
      <c r="G1738" t="s">
        <v>32</v>
      </c>
      <c r="H1738" t="s">
        <v>33</v>
      </c>
      <c r="I1738" t="s">
        <v>34</v>
      </c>
      <c r="J1738" t="s">
        <v>84</v>
      </c>
      <c r="K1738">
        <v>416</v>
      </c>
      <c r="L1738">
        <v>0</v>
      </c>
      <c r="M1738" t="s">
        <v>36</v>
      </c>
      <c r="N1738" t="s">
        <v>37</v>
      </c>
      <c r="O1738">
        <v>369</v>
      </c>
      <c r="P1738">
        <v>11</v>
      </c>
      <c r="Q1738">
        <v>2.9810300000000001</v>
      </c>
      <c r="R1738">
        <v>0</v>
      </c>
      <c r="S1738">
        <v>0.36</v>
      </c>
      <c r="T1738">
        <v>0.97899999999999998</v>
      </c>
      <c r="U1738">
        <v>3.3000000000000002E-2</v>
      </c>
      <c r="V1738">
        <v>0</v>
      </c>
      <c r="W1738">
        <v>1</v>
      </c>
      <c r="X1738">
        <v>0</v>
      </c>
      <c r="Y1738" t="s">
        <v>36</v>
      </c>
      <c r="Z1738">
        <v>369</v>
      </c>
      <c r="AA1738">
        <v>273</v>
      </c>
      <c r="AB1738">
        <v>60</v>
      </c>
      <c r="AC1738" t="s">
        <v>687</v>
      </c>
      <c r="AD1738" t="str">
        <f t="shared" si="54"/>
        <v>CP</v>
      </c>
      <c r="AE1738" t="str">
        <f>_xlfn.XLOOKUP(D1738,Mapping!A:A,Mapping!D:D,0,0)</f>
        <v>Trans</v>
      </c>
      <c r="AF1738" t="str">
        <f t="shared" si="55"/>
        <v>OLD</v>
      </c>
    </row>
    <row r="1739" spans="1:32" x14ac:dyDescent="0.2">
      <c r="A1739" t="s">
        <v>1119</v>
      </c>
      <c r="B1739" t="s">
        <v>39</v>
      </c>
      <c r="C1739">
        <v>1012866612</v>
      </c>
      <c r="D1739" t="s">
        <v>736</v>
      </c>
      <c r="E1739" t="s">
        <v>31</v>
      </c>
      <c r="F1739" s="1">
        <v>0.67291666666666672</v>
      </c>
      <c r="G1739" t="s">
        <v>32</v>
      </c>
      <c r="H1739" t="s">
        <v>33</v>
      </c>
      <c r="I1739" t="s">
        <v>737</v>
      </c>
      <c r="J1739" t="s">
        <v>84</v>
      </c>
      <c r="K1739">
        <v>168</v>
      </c>
      <c r="L1739">
        <v>0</v>
      </c>
      <c r="M1739" t="s">
        <v>63</v>
      </c>
      <c r="N1739">
        <v>250</v>
      </c>
      <c r="O1739">
        <v>0</v>
      </c>
      <c r="P1739">
        <v>0</v>
      </c>
      <c r="Q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 t="s">
        <v>63</v>
      </c>
      <c r="AC1739" t="s">
        <v>687</v>
      </c>
      <c r="AD1739" t="str">
        <f t="shared" si="54"/>
        <v>CP</v>
      </c>
      <c r="AE1739" t="str">
        <f>_xlfn.XLOOKUP(D1739,Mapping!A:A,Mapping!D:D,0,0)</f>
        <v>Tests</v>
      </c>
      <c r="AF1739" t="str">
        <f t="shared" si="55"/>
        <v>OLD</v>
      </c>
    </row>
    <row r="1740" spans="1:32" x14ac:dyDescent="0.2">
      <c r="A1740" t="s">
        <v>1119</v>
      </c>
      <c r="B1740" t="s">
        <v>29</v>
      </c>
      <c r="C1740">
        <v>1012866632</v>
      </c>
      <c r="D1740" t="s">
        <v>738</v>
      </c>
      <c r="E1740" t="s">
        <v>31</v>
      </c>
      <c r="F1740" s="1">
        <v>0.67291666666666672</v>
      </c>
      <c r="G1740" t="s">
        <v>32</v>
      </c>
      <c r="H1740" t="s">
        <v>33</v>
      </c>
      <c r="I1740" t="s">
        <v>737</v>
      </c>
      <c r="J1740" t="s">
        <v>84</v>
      </c>
      <c r="K1740">
        <v>168</v>
      </c>
      <c r="L1740">
        <v>0</v>
      </c>
      <c r="M1740" t="s">
        <v>63</v>
      </c>
      <c r="N1740">
        <v>250</v>
      </c>
      <c r="O1740">
        <v>1699</v>
      </c>
      <c r="P1740">
        <v>106</v>
      </c>
      <c r="Q1740">
        <v>6.2389599999999996</v>
      </c>
      <c r="R1740">
        <v>0</v>
      </c>
      <c r="S1740">
        <v>3.89</v>
      </c>
      <c r="T1740">
        <v>2.29</v>
      </c>
      <c r="U1740">
        <v>3.6999999999999998E-2</v>
      </c>
      <c r="V1740">
        <v>0</v>
      </c>
      <c r="W1740">
        <v>1</v>
      </c>
      <c r="X1740">
        <v>0</v>
      </c>
      <c r="Y1740" t="s">
        <v>63</v>
      </c>
      <c r="Z1740">
        <v>1699</v>
      </c>
      <c r="AA1740">
        <v>1462</v>
      </c>
      <c r="AB1740">
        <v>156</v>
      </c>
      <c r="AC1740" t="s">
        <v>687</v>
      </c>
      <c r="AD1740" t="str">
        <f t="shared" si="54"/>
        <v>CP</v>
      </c>
      <c r="AE1740" t="str">
        <f>_xlfn.XLOOKUP(D1740,Mapping!A:A,Mapping!D:D,0,0)</f>
        <v>Keyword - Preroll</v>
      </c>
      <c r="AF1740" t="str">
        <f t="shared" si="55"/>
        <v>OLD</v>
      </c>
    </row>
    <row r="1741" spans="1:32" x14ac:dyDescent="0.2">
      <c r="A1741" t="s">
        <v>1119</v>
      </c>
      <c r="B1741" t="s">
        <v>29</v>
      </c>
      <c r="C1741">
        <v>1012866642</v>
      </c>
      <c r="D1741" t="s">
        <v>739</v>
      </c>
      <c r="E1741" t="s">
        <v>31</v>
      </c>
      <c r="F1741" s="1">
        <v>0.67291666666666672</v>
      </c>
      <c r="G1741" t="s">
        <v>32</v>
      </c>
      <c r="H1741" t="s">
        <v>33</v>
      </c>
      <c r="I1741" t="s">
        <v>737</v>
      </c>
      <c r="J1741" t="s">
        <v>84</v>
      </c>
      <c r="K1741">
        <v>168</v>
      </c>
      <c r="L1741">
        <v>0</v>
      </c>
      <c r="M1741" t="s">
        <v>36</v>
      </c>
      <c r="N1741" t="s">
        <v>37</v>
      </c>
      <c r="O1741">
        <v>141247</v>
      </c>
      <c r="P1741">
        <v>7337</v>
      </c>
      <c r="Q1741">
        <v>5.1944499999999998</v>
      </c>
      <c r="R1741">
        <v>9</v>
      </c>
      <c r="S1741">
        <v>321.58999999999997</v>
      </c>
      <c r="T1741">
        <v>2.2770000000000001</v>
      </c>
      <c r="U1741">
        <v>4.3999999999999997E-2</v>
      </c>
      <c r="V1741">
        <v>35.731999999999999</v>
      </c>
      <c r="W1741">
        <v>1</v>
      </c>
      <c r="X1741">
        <v>0</v>
      </c>
      <c r="Y1741" t="s">
        <v>63</v>
      </c>
      <c r="Z1741">
        <v>141247</v>
      </c>
      <c r="AA1741">
        <v>125165</v>
      </c>
      <c r="AB1741">
        <v>10718</v>
      </c>
      <c r="AC1741" t="s">
        <v>687</v>
      </c>
      <c r="AD1741" t="str">
        <f t="shared" si="54"/>
        <v>CP</v>
      </c>
      <c r="AE1741" t="str">
        <f>_xlfn.XLOOKUP(D1741,Mapping!A:A,Mapping!D:D,0,0)</f>
        <v>Keyword - Preroll</v>
      </c>
      <c r="AF1741" t="str">
        <f t="shared" si="55"/>
        <v>OLD</v>
      </c>
    </row>
    <row r="1742" spans="1:32" x14ac:dyDescent="0.2">
      <c r="A1742" t="s">
        <v>1119</v>
      </c>
      <c r="B1742" t="s">
        <v>39</v>
      </c>
      <c r="C1742">
        <v>1012866652</v>
      </c>
      <c r="D1742" t="s">
        <v>740</v>
      </c>
      <c r="E1742" t="s">
        <v>31</v>
      </c>
      <c r="F1742" s="1">
        <v>0.67291666666666672</v>
      </c>
      <c r="G1742" t="s">
        <v>32</v>
      </c>
      <c r="H1742" t="s">
        <v>33</v>
      </c>
      <c r="I1742" t="s">
        <v>737</v>
      </c>
      <c r="J1742" t="s">
        <v>84</v>
      </c>
      <c r="K1742">
        <v>168</v>
      </c>
      <c r="L1742">
        <v>0</v>
      </c>
      <c r="M1742" t="s">
        <v>36</v>
      </c>
      <c r="N1742" t="s">
        <v>37</v>
      </c>
      <c r="O1742">
        <v>0</v>
      </c>
      <c r="P1742">
        <v>0</v>
      </c>
      <c r="Q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 t="s">
        <v>63</v>
      </c>
      <c r="AC1742" t="s">
        <v>687</v>
      </c>
      <c r="AD1742" t="str">
        <f t="shared" si="54"/>
        <v>CP</v>
      </c>
      <c r="AE1742" t="str">
        <f>_xlfn.XLOOKUP(D1742,Mapping!A:A,Mapping!D:D,0,0)</f>
        <v>Tests</v>
      </c>
      <c r="AF1742" t="str">
        <f t="shared" si="55"/>
        <v>OLD</v>
      </c>
    </row>
    <row r="1743" spans="1:32" x14ac:dyDescent="0.2">
      <c r="A1743" t="s">
        <v>1119</v>
      </c>
      <c r="B1743" t="s">
        <v>39</v>
      </c>
      <c r="C1743">
        <v>1012866662</v>
      </c>
      <c r="D1743" t="s">
        <v>741</v>
      </c>
      <c r="E1743" t="s">
        <v>31</v>
      </c>
      <c r="F1743" s="1">
        <v>0.67291666666666672</v>
      </c>
      <c r="G1743" t="s">
        <v>32</v>
      </c>
      <c r="H1743" t="s">
        <v>33</v>
      </c>
      <c r="I1743" t="s">
        <v>737</v>
      </c>
      <c r="J1743" t="s">
        <v>84</v>
      </c>
      <c r="K1743">
        <v>168</v>
      </c>
      <c r="L1743">
        <v>0</v>
      </c>
      <c r="M1743" t="s">
        <v>63</v>
      </c>
      <c r="N1743">
        <v>250</v>
      </c>
      <c r="O1743">
        <v>0</v>
      </c>
      <c r="P1743">
        <v>0</v>
      </c>
      <c r="Q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 t="s">
        <v>63</v>
      </c>
      <c r="AC1743" t="s">
        <v>687</v>
      </c>
      <c r="AD1743" t="str">
        <f t="shared" si="54"/>
        <v>CP</v>
      </c>
      <c r="AE1743" t="str">
        <f>_xlfn.XLOOKUP(D1743,Mapping!A:A,Mapping!D:D,0,0)</f>
        <v>Tests</v>
      </c>
      <c r="AF1743" t="str">
        <f t="shared" si="55"/>
        <v>OLD</v>
      </c>
    </row>
    <row r="1744" spans="1:32" x14ac:dyDescent="0.2">
      <c r="A1744" t="s">
        <v>1119</v>
      </c>
      <c r="B1744" t="s">
        <v>29</v>
      </c>
      <c r="C1744">
        <v>1012866672</v>
      </c>
      <c r="D1744" t="s">
        <v>742</v>
      </c>
      <c r="E1744" t="s">
        <v>31</v>
      </c>
      <c r="F1744" s="1">
        <v>0.67291666666666672</v>
      </c>
      <c r="G1744" t="s">
        <v>32</v>
      </c>
      <c r="H1744" t="s">
        <v>33</v>
      </c>
      <c r="I1744" t="s">
        <v>737</v>
      </c>
      <c r="J1744" t="s">
        <v>84</v>
      </c>
      <c r="K1744">
        <v>168</v>
      </c>
      <c r="L1744">
        <v>0</v>
      </c>
      <c r="M1744" t="s">
        <v>63</v>
      </c>
      <c r="N1744">
        <v>250</v>
      </c>
      <c r="O1744">
        <v>1008</v>
      </c>
      <c r="P1744">
        <v>64</v>
      </c>
      <c r="Q1744">
        <v>6.3492100000000002</v>
      </c>
      <c r="R1744">
        <v>0</v>
      </c>
      <c r="S1744">
        <v>2.29</v>
      </c>
      <c r="T1744">
        <v>2.2709999999999999</v>
      </c>
      <c r="U1744">
        <v>3.5999999999999997E-2</v>
      </c>
      <c r="V1744">
        <v>0</v>
      </c>
      <c r="W1744">
        <v>1</v>
      </c>
      <c r="X1744">
        <v>0</v>
      </c>
      <c r="Y1744" t="s">
        <v>63</v>
      </c>
      <c r="Z1744">
        <v>1008</v>
      </c>
      <c r="AA1744">
        <v>894</v>
      </c>
      <c r="AB1744">
        <v>69</v>
      </c>
      <c r="AC1744" t="s">
        <v>687</v>
      </c>
      <c r="AD1744" t="str">
        <f t="shared" si="54"/>
        <v>CP</v>
      </c>
      <c r="AE1744" t="str">
        <f>_xlfn.XLOOKUP(D1744,Mapping!A:A,Mapping!D:D,0,0)</f>
        <v>Keyword - Preroll</v>
      </c>
      <c r="AF1744" t="str">
        <f t="shared" si="55"/>
        <v>OLD</v>
      </c>
    </row>
    <row r="1745" spans="1:32" x14ac:dyDescent="0.2">
      <c r="A1745" t="s">
        <v>1119</v>
      </c>
      <c r="B1745" t="s">
        <v>39</v>
      </c>
      <c r="C1745">
        <v>1012867202</v>
      </c>
      <c r="D1745" t="s">
        <v>743</v>
      </c>
      <c r="E1745" t="s">
        <v>31</v>
      </c>
      <c r="F1745" s="1">
        <v>0.67291666666666672</v>
      </c>
      <c r="G1745" t="s">
        <v>32</v>
      </c>
      <c r="H1745" t="s">
        <v>33</v>
      </c>
      <c r="I1745" t="s">
        <v>737</v>
      </c>
      <c r="J1745" t="s">
        <v>35</v>
      </c>
      <c r="K1745">
        <v>168</v>
      </c>
      <c r="L1745">
        <v>0</v>
      </c>
      <c r="M1745" t="s">
        <v>63</v>
      </c>
      <c r="N1745">
        <v>250</v>
      </c>
      <c r="O1745">
        <v>0</v>
      </c>
      <c r="P1745">
        <v>0</v>
      </c>
      <c r="Q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 t="s">
        <v>63</v>
      </c>
      <c r="AC1745" t="s">
        <v>687</v>
      </c>
      <c r="AD1745" t="str">
        <f t="shared" si="54"/>
        <v>CP</v>
      </c>
      <c r="AE1745" t="str">
        <f>_xlfn.XLOOKUP(D1745,Mapping!A:A,Mapping!D:D,0,0)</f>
        <v>Tests</v>
      </c>
      <c r="AF1745" t="str">
        <f t="shared" si="55"/>
        <v>OLD</v>
      </c>
    </row>
    <row r="1746" spans="1:32" x14ac:dyDescent="0.2">
      <c r="A1746" t="s">
        <v>1119</v>
      </c>
      <c r="B1746" t="s">
        <v>39</v>
      </c>
      <c r="C1746">
        <v>1012867212</v>
      </c>
      <c r="D1746" t="s">
        <v>744</v>
      </c>
      <c r="E1746" t="s">
        <v>31</v>
      </c>
      <c r="F1746" s="1">
        <v>0.67291666666666672</v>
      </c>
      <c r="G1746" t="s">
        <v>32</v>
      </c>
      <c r="H1746" t="s">
        <v>33</v>
      </c>
      <c r="I1746" t="s">
        <v>737</v>
      </c>
      <c r="J1746" t="s">
        <v>35</v>
      </c>
      <c r="K1746">
        <v>168</v>
      </c>
      <c r="L1746">
        <v>0</v>
      </c>
      <c r="M1746" t="s">
        <v>63</v>
      </c>
      <c r="N1746">
        <v>250</v>
      </c>
      <c r="O1746">
        <v>0</v>
      </c>
      <c r="P1746">
        <v>0</v>
      </c>
      <c r="Q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 t="s">
        <v>63</v>
      </c>
      <c r="AC1746" t="s">
        <v>687</v>
      </c>
      <c r="AD1746" t="str">
        <f t="shared" si="54"/>
        <v>CP</v>
      </c>
      <c r="AE1746" t="str">
        <f>_xlfn.XLOOKUP(D1746,Mapping!A:A,Mapping!D:D,0,0)</f>
        <v>Bin</v>
      </c>
      <c r="AF1746" t="str">
        <f t="shared" si="55"/>
        <v>OLD</v>
      </c>
    </row>
    <row r="1747" spans="1:32" x14ac:dyDescent="0.2">
      <c r="A1747" t="s">
        <v>1119</v>
      </c>
      <c r="B1747" t="s">
        <v>39</v>
      </c>
      <c r="C1747">
        <v>1012867222</v>
      </c>
      <c r="D1747" t="s">
        <v>745</v>
      </c>
      <c r="E1747" t="s">
        <v>31</v>
      </c>
      <c r="F1747" s="1">
        <v>0.67291666666666672</v>
      </c>
      <c r="G1747" t="s">
        <v>32</v>
      </c>
      <c r="H1747" t="s">
        <v>33</v>
      </c>
      <c r="I1747" t="s">
        <v>737</v>
      </c>
      <c r="J1747" t="s">
        <v>35</v>
      </c>
      <c r="K1747">
        <v>168</v>
      </c>
      <c r="L1747">
        <v>0</v>
      </c>
      <c r="M1747" t="s">
        <v>63</v>
      </c>
      <c r="N1747">
        <v>250</v>
      </c>
      <c r="O1747">
        <v>0</v>
      </c>
      <c r="P1747">
        <v>0</v>
      </c>
      <c r="Q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 t="s">
        <v>63</v>
      </c>
      <c r="AC1747" t="s">
        <v>687</v>
      </c>
      <c r="AD1747" t="str">
        <f t="shared" si="54"/>
        <v>CP</v>
      </c>
      <c r="AE1747" t="str">
        <f>_xlfn.XLOOKUP(D1747,Mapping!A:A,Mapping!D:D,0,0)</f>
        <v>Tests</v>
      </c>
      <c r="AF1747" t="str">
        <f t="shared" si="55"/>
        <v>OLD</v>
      </c>
    </row>
    <row r="1748" spans="1:32" x14ac:dyDescent="0.2">
      <c r="A1748" t="s">
        <v>1119</v>
      </c>
      <c r="B1748" t="s">
        <v>39</v>
      </c>
      <c r="C1748">
        <v>1012867232</v>
      </c>
      <c r="D1748" t="s">
        <v>746</v>
      </c>
      <c r="E1748" t="s">
        <v>31</v>
      </c>
      <c r="F1748" s="1">
        <v>0.67291666666666672</v>
      </c>
      <c r="G1748" t="s">
        <v>32</v>
      </c>
      <c r="H1748" t="s">
        <v>33</v>
      </c>
      <c r="I1748" t="s">
        <v>737</v>
      </c>
      <c r="J1748" t="s">
        <v>35</v>
      </c>
      <c r="K1748">
        <v>168</v>
      </c>
      <c r="L1748">
        <v>0</v>
      </c>
      <c r="M1748" t="s">
        <v>63</v>
      </c>
      <c r="N1748">
        <v>250</v>
      </c>
      <c r="O1748">
        <v>0</v>
      </c>
      <c r="P1748">
        <v>0</v>
      </c>
      <c r="Q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 t="s">
        <v>63</v>
      </c>
      <c r="AC1748" t="s">
        <v>687</v>
      </c>
      <c r="AD1748" t="str">
        <f t="shared" si="54"/>
        <v>CP</v>
      </c>
      <c r="AE1748" t="str">
        <f>_xlfn.XLOOKUP(D1748,Mapping!A:A,Mapping!D:D,0,0)</f>
        <v>Bin</v>
      </c>
      <c r="AF1748" t="str">
        <f t="shared" si="55"/>
        <v>OLD</v>
      </c>
    </row>
    <row r="1749" spans="1:32" x14ac:dyDescent="0.2">
      <c r="A1749" t="s">
        <v>1119</v>
      </c>
      <c r="B1749" t="s">
        <v>39</v>
      </c>
      <c r="C1749">
        <v>1012867242</v>
      </c>
      <c r="D1749" t="s">
        <v>747</v>
      </c>
      <c r="E1749" t="s">
        <v>31</v>
      </c>
      <c r="F1749" s="1">
        <v>0.67291666666666672</v>
      </c>
      <c r="G1749" t="s">
        <v>32</v>
      </c>
      <c r="H1749" t="s">
        <v>33</v>
      </c>
      <c r="I1749" t="s">
        <v>737</v>
      </c>
      <c r="J1749" t="s">
        <v>35</v>
      </c>
      <c r="K1749">
        <v>168</v>
      </c>
      <c r="L1749">
        <v>0</v>
      </c>
      <c r="M1749" t="s">
        <v>63</v>
      </c>
      <c r="N1749">
        <v>250</v>
      </c>
      <c r="O1749">
        <v>0</v>
      </c>
      <c r="P1749">
        <v>0</v>
      </c>
      <c r="Q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 t="s">
        <v>63</v>
      </c>
      <c r="AC1749" t="s">
        <v>687</v>
      </c>
      <c r="AD1749" t="str">
        <f t="shared" ref="AD1749:AD1812" si="56">LEFT(D1749,2)</f>
        <v>CP</v>
      </c>
      <c r="AE1749" t="str">
        <f>_xlfn.XLOOKUP(D1749,Mapping!A:A,Mapping!D:D,0,0)</f>
        <v>Tests</v>
      </c>
      <c r="AF1749" t="str">
        <f t="shared" ref="AF1749:AF1812" si="57">IFERROR(IF(SEARCH("_TJ",D1749)&gt;0,"TJ",NA()),IFERROR(IF(SEARCH("_JB",D1749)&gt;0,"JB",NA()),"OLD"))</f>
        <v>OLD</v>
      </c>
    </row>
    <row r="1750" spans="1:32" x14ac:dyDescent="0.2">
      <c r="A1750" t="s">
        <v>1119</v>
      </c>
      <c r="B1750" t="s">
        <v>39</v>
      </c>
      <c r="C1750">
        <v>1012867252</v>
      </c>
      <c r="D1750" t="s">
        <v>748</v>
      </c>
      <c r="E1750" t="s">
        <v>31</v>
      </c>
      <c r="F1750" s="1">
        <v>0.67291666666666672</v>
      </c>
      <c r="G1750" t="s">
        <v>32</v>
      </c>
      <c r="H1750" t="s">
        <v>33</v>
      </c>
      <c r="I1750" t="s">
        <v>737</v>
      </c>
      <c r="J1750" t="s">
        <v>35</v>
      </c>
      <c r="K1750">
        <v>168</v>
      </c>
      <c r="L1750">
        <v>0</v>
      </c>
      <c r="M1750" t="s">
        <v>63</v>
      </c>
      <c r="N1750">
        <v>250</v>
      </c>
      <c r="O1750">
        <v>0</v>
      </c>
      <c r="P1750">
        <v>0</v>
      </c>
      <c r="Q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 t="s">
        <v>63</v>
      </c>
      <c r="AC1750" t="s">
        <v>687</v>
      </c>
      <c r="AD1750" t="str">
        <f t="shared" si="56"/>
        <v>CP</v>
      </c>
      <c r="AE1750" t="str">
        <f>_xlfn.XLOOKUP(D1750,Mapping!A:A,Mapping!D:D,0,0)</f>
        <v>Bin</v>
      </c>
      <c r="AF1750" t="str">
        <f t="shared" si="57"/>
        <v>OLD</v>
      </c>
    </row>
    <row r="1751" spans="1:32" x14ac:dyDescent="0.2">
      <c r="A1751" t="s">
        <v>1119</v>
      </c>
      <c r="B1751" t="s">
        <v>39</v>
      </c>
      <c r="C1751">
        <v>1012867262</v>
      </c>
      <c r="D1751" t="s">
        <v>749</v>
      </c>
      <c r="E1751" t="s">
        <v>31</v>
      </c>
      <c r="F1751" s="1">
        <v>0.67291666666666672</v>
      </c>
      <c r="G1751" t="s">
        <v>32</v>
      </c>
      <c r="H1751" t="s">
        <v>33</v>
      </c>
      <c r="I1751" t="s">
        <v>737</v>
      </c>
      <c r="J1751" t="s">
        <v>35</v>
      </c>
      <c r="K1751">
        <v>168</v>
      </c>
      <c r="L1751">
        <v>0</v>
      </c>
      <c r="M1751" t="s">
        <v>63</v>
      </c>
      <c r="N1751">
        <v>250</v>
      </c>
      <c r="O1751">
        <v>0</v>
      </c>
      <c r="P1751">
        <v>0</v>
      </c>
      <c r="Q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 t="s">
        <v>63</v>
      </c>
      <c r="AC1751" t="s">
        <v>687</v>
      </c>
      <c r="AD1751" t="str">
        <f t="shared" si="56"/>
        <v>CP</v>
      </c>
      <c r="AE1751" t="str">
        <f>_xlfn.XLOOKUP(D1751,Mapping!A:A,Mapping!D:D,0,0)</f>
        <v>Tests</v>
      </c>
      <c r="AF1751" t="str">
        <f t="shared" si="57"/>
        <v>OLD</v>
      </c>
    </row>
    <row r="1752" spans="1:32" x14ac:dyDescent="0.2">
      <c r="A1752" t="s">
        <v>1119</v>
      </c>
      <c r="B1752" t="s">
        <v>39</v>
      </c>
      <c r="C1752">
        <v>1012867272</v>
      </c>
      <c r="D1752" t="s">
        <v>750</v>
      </c>
      <c r="E1752" t="s">
        <v>31</v>
      </c>
      <c r="F1752" s="1">
        <v>0.67291666666666672</v>
      </c>
      <c r="G1752" t="s">
        <v>32</v>
      </c>
      <c r="H1752" t="s">
        <v>33</v>
      </c>
      <c r="I1752" t="s">
        <v>737</v>
      </c>
      <c r="J1752" t="s">
        <v>35</v>
      </c>
      <c r="K1752">
        <v>168</v>
      </c>
      <c r="L1752">
        <v>0</v>
      </c>
      <c r="M1752" t="s">
        <v>63</v>
      </c>
      <c r="N1752">
        <v>250</v>
      </c>
      <c r="O1752">
        <v>0</v>
      </c>
      <c r="P1752">
        <v>0</v>
      </c>
      <c r="Q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 t="s">
        <v>63</v>
      </c>
      <c r="AC1752" t="s">
        <v>687</v>
      </c>
      <c r="AD1752" t="str">
        <f t="shared" si="56"/>
        <v>CP</v>
      </c>
      <c r="AE1752" t="str">
        <f>_xlfn.XLOOKUP(D1752,Mapping!A:A,Mapping!D:D,0,0)</f>
        <v>Tests</v>
      </c>
      <c r="AF1752" t="str">
        <f t="shared" si="57"/>
        <v>OLD</v>
      </c>
    </row>
    <row r="1753" spans="1:32" x14ac:dyDescent="0.2">
      <c r="A1753" t="s">
        <v>1119</v>
      </c>
      <c r="B1753" t="s">
        <v>29</v>
      </c>
      <c r="C1753">
        <v>1012869782</v>
      </c>
      <c r="D1753" t="s">
        <v>751</v>
      </c>
      <c r="E1753" t="s">
        <v>31</v>
      </c>
      <c r="F1753" s="1">
        <v>0.67291666666666672</v>
      </c>
      <c r="G1753" t="s">
        <v>32</v>
      </c>
      <c r="H1753" t="s">
        <v>33</v>
      </c>
      <c r="I1753" t="s">
        <v>34</v>
      </c>
      <c r="J1753" t="s">
        <v>84</v>
      </c>
      <c r="K1753">
        <v>104</v>
      </c>
      <c r="L1753">
        <v>0</v>
      </c>
      <c r="M1753" t="s">
        <v>36</v>
      </c>
      <c r="N1753" t="s">
        <v>37</v>
      </c>
      <c r="O1753">
        <v>3208</v>
      </c>
      <c r="P1753">
        <v>174</v>
      </c>
      <c r="Q1753">
        <v>5.42394</v>
      </c>
      <c r="R1753">
        <v>0</v>
      </c>
      <c r="S1753">
        <v>7.99</v>
      </c>
      <c r="T1753">
        <v>2.4889999999999999</v>
      </c>
      <c r="U1753">
        <v>4.5999999999999999E-2</v>
      </c>
      <c r="V1753">
        <v>0</v>
      </c>
      <c r="W1753">
        <v>1</v>
      </c>
      <c r="X1753">
        <v>0</v>
      </c>
      <c r="Y1753" t="s">
        <v>36</v>
      </c>
      <c r="Z1753">
        <v>3208</v>
      </c>
      <c r="AA1753">
        <v>2525</v>
      </c>
      <c r="AB1753">
        <v>352</v>
      </c>
      <c r="AC1753" t="s">
        <v>687</v>
      </c>
      <c r="AD1753" t="str">
        <f t="shared" si="56"/>
        <v>CP</v>
      </c>
      <c r="AE1753" t="str">
        <f>_xlfn.XLOOKUP(D1753,Mapping!A:A,Mapping!D:D,0,0)</f>
        <v>Keyword - Preroll</v>
      </c>
      <c r="AF1753" t="str">
        <f t="shared" si="57"/>
        <v>OLD</v>
      </c>
    </row>
    <row r="1754" spans="1:32" x14ac:dyDescent="0.2">
      <c r="A1754" t="s">
        <v>1119</v>
      </c>
      <c r="B1754" t="s">
        <v>29</v>
      </c>
      <c r="C1754">
        <v>1012869792</v>
      </c>
      <c r="D1754" t="s">
        <v>97</v>
      </c>
      <c r="E1754" t="s">
        <v>31</v>
      </c>
      <c r="F1754" s="1">
        <v>0.67291666666666672</v>
      </c>
      <c r="G1754" t="s">
        <v>32</v>
      </c>
      <c r="H1754" t="s">
        <v>33</v>
      </c>
      <c r="I1754" t="s">
        <v>34</v>
      </c>
      <c r="J1754" t="s">
        <v>84</v>
      </c>
      <c r="K1754">
        <v>104</v>
      </c>
      <c r="L1754">
        <v>0</v>
      </c>
      <c r="M1754" t="s">
        <v>36</v>
      </c>
      <c r="N1754" t="s">
        <v>37</v>
      </c>
      <c r="O1754">
        <v>1536</v>
      </c>
      <c r="P1754">
        <v>84</v>
      </c>
      <c r="Q1754">
        <v>5.46875</v>
      </c>
      <c r="R1754">
        <v>0</v>
      </c>
      <c r="S1754">
        <v>3.96</v>
      </c>
      <c r="T1754">
        <v>2.5750000000000002</v>
      </c>
      <c r="U1754">
        <v>4.7E-2</v>
      </c>
      <c r="V1754">
        <v>0</v>
      </c>
      <c r="W1754">
        <v>1</v>
      </c>
      <c r="X1754">
        <v>0</v>
      </c>
      <c r="Y1754" t="s">
        <v>36</v>
      </c>
      <c r="Z1754">
        <v>1536</v>
      </c>
      <c r="AA1754">
        <v>1082</v>
      </c>
      <c r="AB1754">
        <v>164</v>
      </c>
      <c r="AC1754" t="s">
        <v>687</v>
      </c>
      <c r="AD1754" t="str">
        <f t="shared" si="56"/>
        <v>CP</v>
      </c>
      <c r="AE1754" t="str">
        <f>_xlfn.XLOOKUP(D1754,Mapping!A:A,Mapping!D:D,0,0)</f>
        <v>Keyword - Preroll</v>
      </c>
      <c r="AF1754" t="str">
        <f t="shared" si="57"/>
        <v>OLD</v>
      </c>
    </row>
    <row r="1755" spans="1:32" x14ac:dyDescent="0.2">
      <c r="A1755" t="s">
        <v>1119</v>
      </c>
      <c r="B1755" t="s">
        <v>29</v>
      </c>
      <c r="C1755">
        <v>1012869802</v>
      </c>
      <c r="D1755" t="s">
        <v>103</v>
      </c>
      <c r="E1755" t="s">
        <v>31</v>
      </c>
      <c r="F1755" s="1">
        <v>0.67291666666666672</v>
      </c>
      <c r="G1755" t="s">
        <v>32</v>
      </c>
      <c r="H1755" t="s">
        <v>33</v>
      </c>
      <c r="I1755" t="s">
        <v>34</v>
      </c>
      <c r="J1755" t="s">
        <v>84</v>
      </c>
      <c r="K1755">
        <v>104</v>
      </c>
      <c r="L1755">
        <v>0</v>
      </c>
      <c r="M1755" t="s">
        <v>36</v>
      </c>
      <c r="N1755" t="s">
        <v>37</v>
      </c>
      <c r="O1755">
        <v>102</v>
      </c>
      <c r="P1755">
        <v>2</v>
      </c>
      <c r="Q1755">
        <v>1.96078</v>
      </c>
      <c r="R1755">
        <v>0</v>
      </c>
      <c r="S1755">
        <v>0.28999999999999998</v>
      </c>
      <c r="T1755">
        <v>2.7949999999999999</v>
      </c>
      <c r="U1755">
        <v>0.14299999999999999</v>
      </c>
      <c r="V1755">
        <v>0</v>
      </c>
      <c r="W1755">
        <v>1</v>
      </c>
      <c r="X1755">
        <v>0</v>
      </c>
      <c r="Y1755" t="s">
        <v>36</v>
      </c>
      <c r="Z1755">
        <v>102</v>
      </c>
      <c r="AA1755">
        <v>76</v>
      </c>
      <c r="AB1755">
        <v>8</v>
      </c>
      <c r="AC1755" t="s">
        <v>687</v>
      </c>
      <c r="AD1755" t="str">
        <f t="shared" si="56"/>
        <v>CP</v>
      </c>
      <c r="AE1755" t="str">
        <f>_xlfn.XLOOKUP(D1755,Mapping!A:A,Mapping!D:D,0,0)</f>
        <v>Keyword - Preroll</v>
      </c>
      <c r="AF1755" t="str">
        <f t="shared" si="57"/>
        <v>OLD</v>
      </c>
    </row>
    <row r="1756" spans="1:32" x14ac:dyDescent="0.2">
      <c r="A1756" t="s">
        <v>1119</v>
      </c>
      <c r="B1756" t="s">
        <v>29</v>
      </c>
      <c r="C1756">
        <v>1012869812</v>
      </c>
      <c r="D1756" t="s">
        <v>752</v>
      </c>
      <c r="E1756" t="s">
        <v>31</v>
      </c>
      <c r="F1756" s="1">
        <v>0.67291666666666672</v>
      </c>
      <c r="G1756" t="s">
        <v>32</v>
      </c>
      <c r="H1756" t="s">
        <v>33</v>
      </c>
      <c r="I1756" t="s">
        <v>34</v>
      </c>
      <c r="J1756" t="s">
        <v>84</v>
      </c>
      <c r="K1756">
        <v>104</v>
      </c>
      <c r="L1756">
        <v>0</v>
      </c>
      <c r="M1756" t="s">
        <v>36</v>
      </c>
      <c r="N1756" t="s">
        <v>37</v>
      </c>
      <c r="O1756">
        <v>60</v>
      </c>
      <c r="P1756">
        <v>4</v>
      </c>
      <c r="Q1756">
        <v>6.6666699999999999</v>
      </c>
      <c r="R1756">
        <v>0</v>
      </c>
      <c r="S1756">
        <v>0.04</v>
      </c>
      <c r="T1756">
        <v>0.58499999999999996</v>
      </c>
      <c r="U1756">
        <v>8.9999999999999993E-3</v>
      </c>
      <c r="V1756">
        <v>0</v>
      </c>
      <c r="W1756">
        <v>1</v>
      </c>
      <c r="X1756">
        <v>0</v>
      </c>
      <c r="Y1756" t="s">
        <v>36</v>
      </c>
      <c r="Z1756">
        <v>60</v>
      </c>
      <c r="AA1756">
        <v>38</v>
      </c>
      <c r="AB1756">
        <v>10</v>
      </c>
      <c r="AC1756" t="s">
        <v>687</v>
      </c>
      <c r="AD1756" t="str">
        <f t="shared" si="56"/>
        <v>CP</v>
      </c>
      <c r="AE1756" t="str">
        <f>_xlfn.XLOOKUP(D1756,Mapping!A:A,Mapping!D:D,0,0)</f>
        <v>Keyword - Preroll</v>
      </c>
      <c r="AF1756" t="str">
        <f t="shared" si="57"/>
        <v>OLD</v>
      </c>
    </row>
    <row r="1757" spans="1:32" x14ac:dyDescent="0.2">
      <c r="A1757" t="s">
        <v>1119</v>
      </c>
      <c r="B1757" t="s">
        <v>690</v>
      </c>
      <c r="C1757">
        <v>1012869822</v>
      </c>
      <c r="D1757" t="s">
        <v>753</v>
      </c>
      <c r="E1757" t="s">
        <v>31</v>
      </c>
      <c r="F1757" s="1">
        <v>0.67291666666666672</v>
      </c>
      <c r="G1757" t="s">
        <v>32</v>
      </c>
      <c r="H1757" t="s">
        <v>33</v>
      </c>
      <c r="I1757" t="s">
        <v>41</v>
      </c>
      <c r="J1757" t="s">
        <v>62</v>
      </c>
      <c r="K1757">
        <v>260</v>
      </c>
      <c r="L1757">
        <v>0</v>
      </c>
      <c r="M1757" t="s">
        <v>36</v>
      </c>
      <c r="N1757" t="s">
        <v>37</v>
      </c>
      <c r="O1757">
        <v>8</v>
      </c>
      <c r="P1757">
        <v>0</v>
      </c>
      <c r="Q1757">
        <v>0</v>
      </c>
      <c r="R1757">
        <v>0</v>
      </c>
      <c r="S1757">
        <v>0.01</v>
      </c>
      <c r="T1757">
        <v>0.66700000000000004</v>
      </c>
      <c r="U1757">
        <v>0</v>
      </c>
      <c r="V1757">
        <v>0</v>
      </c>
      <c r="W1757">
        <v>1</v>
      </c>
      <c r="X1757">
        <v>0</v>
      </c>
      <c r="Y1757" t="s">
        <v>36</v>
      </c>
      <c r="Z1757">
        <v>8</v>
      </c>
      <c r="AA1757">
        <v>8</v>
      </c>
      <c r="AB1757">
        <v>0</v>
      </c>
      <c r="AC1757" t="s">
        <v>687</v>
      </c>
      <c r="AD1757" t="str">
        <f t="shared" si="56"/>
        <v>CP</v>
      </c>
      <c r="AE1757" t="str">
        <f>_xlfn.XLOOKUP(D1757,Mapping!A:A,Mapping!D:D,0,0)</f>
        <v>Keyword - Preroll</v>
      </c>
      <c r="AF1757" t="str">
        <f t="shared" si="57"/>
        <v>OLD</v>
      </c>
    </row>
    <row r="1758" spans="1:32" x14ac:dyDescent="0.2">
      <c r="A1758" t="s">
        <v>1119</v>
      </c>
      <c r="B1758" t="s">
        <v>690</v>
      </c>
      <c r="C1758">
        <v>1012869832</v>
      </c>
      <c r="D1758" t="s">
        <v>754</v>
      </c>
      <c r="E1758" t="s">
        <v>31</v>
      </c>
      <c r="F1758" s="1">
        <v>0.67291666666666672</v>
      </c>
      <c r="G1758" t="s">
        <v>32</v>
      </c>
      <c r="H1758" t="s">
        <v>33</v>
      </c>
      <c r="I1758" t="s">
        <v>41</v>
      </c>
      <c r="J1758" t="s">
        <v>62</v>
      </c>
      <c r="K1758">
        <v>260</v>
      </c>
      <c r="L1758">
        <v>0</v>
      </c>
      <c r="M1758" t="s">
        <v>36</v>
      </c>
      <c r="N1758" t="s">
        <v>37</v>
      </c>
      <c r="O1758">
        <v>2</v>
      </c>
      <c r="P1758">
        <v>0</v>
      </c>
      <c r="Q1758">
        <v>0</v>
      </c>
      <c r="R1758">
        <v>0</v>
      </c>
      <c r="S1758">
        <v>0</v>
      </c>
      <c r="T1758">
        <v>0.59299999999999997</v>
      </c>
      <c r="U1758">
        <v>0</v>
      </c>
      <c r="V1758">
        <v>0</v>
      </c>
      <c r="W1758">
        <v>1</v>
      </c>
      <c r="X1758">
        <v>0</v>
      </c>
      <c r="Y1758" t="s">
        <v>36</v>
      </c>
      <c r="Z1758">
        <v>2</v>
      </c>
      <c r="AA1758">
        <v>1</v>
      </c>
      <c r="AB1758">
        <v>1</v>
      </c>
      <c r="AC1758" t="s">
        <v>687</v>
      </c>
      <c r="AD1758" t="str">
        <f t="shared" si="56"/>
        <v>CP</v>
      </c>
      <c r="AE1758" t="str">
        <f>_xlfn.XLOOKUP(D1758,Mapping!A:A,Mapping!D:D,0,0)</f>
        <v>Keyword - Preroll</v>
      </c>
      <c r="AF1758" t="str">
        <f t="shared" si="57"/>
        <v>OLD</v>
      </c>
    </row>
    <row r="1759" spans="1:32" x14ac:dyDescent="0.2">
      <c r="A1759" t="s">
        <v>1119</v>
      </c>
      <c r="B1759" t="s">
        <v>39</v>
      </c>
      <c r="C1759">
        <v>1012869842</v>
      </c>
      <c r="D1759" t="s">
        <v>755</v>
      </c>
      <c r="E1759" t="s">
        <v>31</v>
      </c>
      <c r="F1759" s="1">
        <v>0.67291666666666672</v>
      </c>
      <c r="G1759" t="s">
        <v>32</v>
      </c>
      <c r="H1759" t="s">
        <v>33</v>
      </c>
      <c r="I1759" t="s">
        <v>41</v>
      </c>
      <c r="J1759" t="s">
        <v>62</v>
      </c>
      <c r="K1759">
        <v>260</v>
      </c>
      <c r="L1759">
        <v>0</v>
      </c>
      <c r="M1759" t="s">
        <v>36</v>
      </c>
      <c r="N1759" t="s">
        <v>37</v>
      </c>
      <c r="O1759">
        <v>0</v>
      </c>
      <c r="P1759">
        <v>0</v>
      </c>
      <c r="Q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 t="s">
        <v>36</v>
      </c>
      <c r="AC1759" t="s">
        <v>687</v>
      </c>
      <c r="AD1759" t="str">
        <f t="shared" si="56"/>
        <v>CP</v>
      </c>
      <c r="AE1759" t="str">
        <f>_xlfn.XLOOKUP(D1759,Mapping!A:A,Mapping!D:D,0,0)</f>
        <v>Furry</v>
      </c>
      <c r="AF1759" t="str">
        <f t="shared" si="57"/>
        <v>OLD</v>
      </c>
    </row>
    <row r="1760" spans="1:32" x14ac:dyDescent="0.2">
      <c r="A1760" t="s">
        <v>1119</v>
      </c>
      <c r="B1760" t="s">
        <v>690</v>
      </c>
      <c r="C1760">
        <v>1012869852</v>
      </c>
      <c r="D1760" t="s">
        <v>756</v>
      </c>
      <c r="E1760" t="s">
        <v>31</v>
      </c>
      <c r="F1760" s="1">
        <v>0.67291666666666672</v>
      </c>
      <c r="G1760" t="s">
        <v>32</v>
      </c>
      <c r="H1760" t="s">
        <v>33</v>
      </c>
      <c r="I1760" t="s">
        <v>41</v>
      </c>
      <c r="J1760" t="s">
        <v>62</v>
      </c>
      <c r="K1760">
        <v>260</v>
      </c>
      <c r="L1760">
        <v>0</v>
      </c>
      <c r="M1760" t="s">
        <v>36</v>
      </c>
      <c r="N1760" t="s">
        <v>37</v>
      </c>
      <c r="O1760">
        <v>4</v>
      </c>
      <c r="P1760">
        <v>0</v>
      </c>
      <c r="Q1760">
        <v>0</v>
      </c>
      <c r="R1760">
        <v>0</v>
      </c>
      <c r="S1760">
        <v>0</v>
      </c>
      <c r="T1760">
        <v>0.224</v>
      </c>
      <c r="U1760">
        <v>0</v>
      </c>
      <c r="V1760">
        <v>0</v>
      </c>
      <c r="W1760">
        <v>1</v>
      </c>
      <c r="X1760">
        <v>0</v>
      </c>
      <c r="Y1760" t="s">
        <v>36</v>
      </c>
      <c r="Z1760">
        <v>4</v>
      </c>
      <c r="AA1760">
        <v>4</v>
      </c>
      <c r="AB1760">
        <v>0</v>
      </c>
      <c r="AC1760" t="s">
        <v>687</v>
      </c>
      <c r="AD1760" t="str">
        <f t="shared" si="56"/>
        <v>CP</v>
      </c>
      <c r="AE1760" t="str">
        <f>_xlfn.XLOOKUP(D1760,Mapping!A:A,Mapping!D:D,0,0)</f>
        <v>Keyword - Preroll</v>
      </c>
      <c r="AF1760" t="str">
        <f t="shared" si="57"/>
        <v>OLD</v>
      </c>
    </row>
    <row r="1761" spans="1:32" x14ac:dyDescent="0.2">
      <c r="A1761" t="s">
        <v>1119</v>
      </c>
      <c r="B1761" t="s">
        <v>29</v>
      </c>
      <c r="C1761">
        <v>1012869862</v>
      </c>
      <c r="D1761" t="s">
        <v>94</v>
      </c>
      <c r="E1761" t="s">
        <v>31</v>
      </c>
      <c r="F1761" s="1">
        <v>0.67291666666666672</v>
      </c>
      <c r="G1761" t="s">
        <v>32</v>
      </c>
      <c r="H1761" t="s">
        <v>33</v>
      </c>
      <c r="I1761" t="s">
        <v>41</v>
      </c>
      <c r="J1761" t="s">
        <v>62</v>
      </c>
      <c r="K1761">
        <v>130</v>
      </c>
      <c r="L1761">
        <v>0</v>
      </c>
      <c r="M1761" t="s">
        <v>36</v>
      </c>
      <c r="N1761" t="s">
        <v>37</v>
      </c>
      <c r="O1761">
        <v>2470</v>
      </c>
      <c r="P1761">
        <v>132</v>
      </c>
      <c r="Q1761">
        <v>5.3441299999999998</v>
      </c>
      <c r="R1761">
        <v>0</v>
      </c>
      <c r="S1761">
        <v>8.4600000000000009</v>
      </c>
      <c r="T1761">
        <v>3.4239999999999999</v>
      </c>
      <c r="U1761">
        <v>6.4000000000000001E-2</v>
      </c>
      <c r="V1761">
        <v>0</v>
      </c>
      <c r="W1761">
        <v>1</v>
      </c>
      <c r="X1761">
        <v>0</v>
      </c>
      <c r="Y1761" t="s">
        <v>36</v>
      </c>
      <c r="Z1761">
        <v>2470</v>
      </c>
      <c r="AA1761">
        <v>2236</v>
      </c>
      <c r="AB1761">
        <v>122</v>
      </c>
      <c r="AC1761" t="s">
        <v>687</v>
      </c>
      <c r="AD1761" t="str">
        <f t="shared" si="56"/>
        <v>CP</v>
      </c>
      <c r="AE1761" t="str">
        <f>_xlfn.XLOOKUP(D1761,Mapping!A:A,Mapping!D:D,0,0)</f>
        <v>Keyword - Preroll</v>
      </c>
      <c r="AF1761" t="str">
        <f t="shared" si="57"/>
        <v>OLD</v>
      </c>
    </row>
    <row r="1762" spans="1:32" x14ac:dyDescent="0.2">
      <c r="A1762" t="s">
        <v>1119</v>
      </c>
      <c r="B1762" t="s">
        <v>690</v>
      </c>
      <c r="C1762">
        <v>1012869872</v>
      </c>
      <c r="D1762" t="s">
        <v>101</v>
      </c>
      <c r="E1762" t="s">
        <v>31</v>
      </c>
      <c r="F1762" s="1">
        <v>0.67291666666666672</v>
      </c>
      <c r="G1762" t="s">
        <v>32</v>
      </c>
      <c r="H1762" t="s">
        <v>33</v>
      </c>
      <c r="I1762" t="s">
        <v>41</v>
      </c>
      <c r="J1762" t="s">
        <v>62</v>
      </c>
      <c r="K1762">
        <v>260</v>
      </c>
      <c r="L1762">
        <v>0</v>
      </c>
      <c r="M1762" t="s">
        <v>36</v>
      </c>
      <c r="N1762" t="s">
        <v>37</v>
      </c>
      <c r="O1762">
        <v>26</v>
      </c>
      <c r="P1762">
        <v>2</v>
      </c>
      <c r="Q1762">
        <v>7.69231</v>
      </c>
      <c r="R1762">
        <v>0</v>
      </c>
      <c r="S1762">
        <v>0.02</v>
      </c>
      <c r="T1762">
        <v>0.746</v>
      </c>
      <c r="U1762">
        <v>0.01</v>
      </c>
      <c r="V1762">
        <v>0</v>
      </c>
      <c r="W1762">
        <v>1</v>
      </c>
      <c r="X1762">
        <v>0</v>
      </c>
      <c r="Y1762" t="s">
        <v>36</v>
      </c>
      <c r="Z1762">
        <v>26</v>
      </c>
      <c r="AA1762">
        <v>22</v>
      </c>
      <c r="AB1762">
        <v>2</v>
      </c>
      <c r="AC1762" t="s">
        <v>687</v>
      </c>
      <c r="AD1762" t="str">
        <f t="shared" si="56"/>
        <v>CP</v>
      </c>
      <c r="AE1762" t="str">
        <f>_xlfn.XLOOKUP(D1762,Mapping!A:A,Mapping!D:D,0,0)</f>
        <v>Keyword - Preroll</v>
      </c>
      <c r="AF1762" t="str">
        <f t="shared" si="57"/>
        <v>OLD</v>
      </c>
    </row>
    <row r="1763" spans="1:32" x14ac:dyDescent="0.2">
      <c r="A1763" t="s">
        <v>1119</v>
      </c>
      <c r="B1763" t="s">
        <v>690</v>
      </c>
      <c r="C1763">
        <v>1012869882</v>
      </c>
      <c r="D1763" t="s">
        <v>104</v>
      </c>
      <c r="E1763" t="s">
        <v>31</v>
      </c>
      <c r="F1763" s="1">
        <v>0.67291666666666672</v>
      </c>
      <c r="G1763" t="s">
        <v>32</v>
      </c>
      <c r="H1763" t="s">
        <v>33</v>
      </c>
      <c r="I1763" t="s">
        <v>41</v>
      </c>
      <c r="J1763" t="s">
        <v>62</v>
      </c>
      <c r="K1763">
        <v>260</v>
      </c>
      <c r="L1763">
        <v>0</v>
      </c>
      <c r="M1763" t="s">
        <v>36</v>
      </c>
      <c r="N1763" t="s">
        <v>37</v>
      </c>
      <c r="O1763">
        <v>0</v>
      </c>
      <c r="P1763">
        <v>0</v>
      </c>
      <c r="Q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 t="s">
        <v>36</v>
      </c>
      <c r="AC1763" t="s">
        <v>687</v>
      </c>
      <c r="AD1763" t="str">
        <f t="shared" si="56"/>
        <v>CP</v>
      </c>
      <c r="AE1763" t="str">
        <f>_xlfn.XLOOKUP(D1763,Mapping!A:A,Mapping!D:D,0,0)</f>
        <v>Bin</v>
      </c>
      <c r="AF1763" t="str">
        <f t="shared" si="57"/>
        <v>OLD</v>
      </c>
    </row>
    <row r="1764" spans="1:32" x14ac:dyDescent="0.2">
      <c r="A1764" t="s">
        <v>1119</v>
      </c>
      <c r="B1764" t="s">
        <v>39</v>
      </c>
      <c r="C1764">
        <v>1012869902</v>
      </c>
      <c r="D1764" t="s">
        <v>621</v>
      </c>
      <c r="E1764" t="s">
        <v>31</v>
      </c>
      <c r="F1764" s="1">
        <v>0.67291666666666672</v>
      </c>
      <c r="G1764" t="s">
        <v>32</v>
      </c>
      <c r="H1764" t="s">
        <v>33</v>
      </c>
      <c r="I1764" t="s">
        <v>41</v>
      </c>
      <c r="J1764" t="s">
        <v>62</v>
      </c>
      <c r="K1764">
        <v>260</v>
      </c>
      <c r="L1764">
        <v>0</v>
      </c>
      <c r="M1764" t="s">
        <v>36</v>
      </c>
      <c r="N1764" t="s">
        <v>37</v>
      </c>
      <c r="O1764">
        <v>0</v>
      </c>
      <c r="P1764">
        <v>0</v>
      </c>
      <c r="Q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 t="s">
        <v>36</v>
      </c>
      <c r="AC1764" t="s">
        <v>687</v>
      </c>
      <c r="AD1764" t="str">
        <f t="shared" si="56"/>
        <v>CP</v>
      </c>
      <c r="AE1764" t="str">
        <f>_xlfn.XLOOKUP(D1764,Mapping!A:A,Mapping!D:D,0,0)</f>
        <v>Bin</v>
      </c>
      <c r="AF1764" t="str">
        <f t="shared" si="57"/>
        <v>OLD</v>
      </c>
    </row>
    <row r="1765" spans="1:32" x14ac:dyDescent="0.2">
      <c r="A1765" t="s">
        <v>1119</v>
      </c>
      <c r="B1765" t="s">
        <v>690</v>
      </c>
      <c r="C1765">
        <v>1012869912</v>
      </c>
      <c r="D1765" t="s">
        <v>757</v>
      </c>
      <c r="E1765" t="s">
        <v>31</v>
      </c>
      <c r="F1765" s="1">
        <v>0.67291666666666672</v>
      </c>
      <c r="G1765" t="s">
        <v>32</v>
      </c>
      <c r="H1765" t="s">
        <v>33</v>
      </c>
      <c r="I1765" t="s">
        <v>41</v>
      </c>
      <c r="J1765" t="s">
        <v>62</v>
      </c>
      <c r="K1765">
        <v>260</v>
      </c>
      <c r="L1765">
        <v>0</v>
      </c>
      <c r="M1765" t="s">
        <v>36</v>
      </c>
      <c r="N1765" t="s">
        <v>37</v>
      </c>
      <c r="O1765">
        <v>4</v>
      </c>
      <c r="P1765">
        <v>0</v>
      </c>
      <c r="Q1765">
        <v>0</v>
      </c>
      <c r="R1765">
        <v>0</v>
      </c>
      <c r="S1765">
        <v>0</v>
      </c>
      <c r="T1765">
        <v>0.36599999999999999</v>
      </c>
      <c r="U1765">
        <v>0</v>
      </c>
      <c r="V1765">
        <v>0</v>
      </c>
      <c r="W1765">
        <v>1</v>
      </c>
      <c r="X1765">
        <v>0</v>
      </c>
      <c r="Y1765" t="s">
        <v>36</v>
      </c>
      <c r="Z1765">
        <v>4</v>
      </c>
      <c r="AA1765">
        <v>4</v>
      </c>
      <c r="AB1765">
        <v>0</v>
      </c>
      <c r="AC1765" t="s">
        <v>687</v>
      </c>
      <c r="AD1765" t="str">
        <f t="shared" si="56"/>
        <v>CP</v>
      </c>
      <c r="AE1765" t="str">
        <f>_xlfn.XLOOKUP(D1765,Mapping!A:A,Mapping!D:D,0,0)</f>
        <v>Keyword - Preroll</v>
      </c>
      <c r="AF1765" t="str">
        <f t="shared" si="57"/>
        <v>OLD</v>
      </c>
    </row>
    <row r="1766" spans="1:32" x14ac:dyDescent="0.2">
      <c r="A1766" t="s">
        <v>1119</v>
      </c>
      <c r="B1766" t="s">
        <v>29</v>
      </c>
      <c r="C1766">
        <v>1012905942</v>
      </c>
      <c r="D1766" t="s">
        <v>758</v>
      </c>
      <c r="E1766" t="s">
        <v>31</v>
      </c>
      <c r="F1766" s="1">
        <v>0.67291666666666672</v>
      </c>
      <c r="G1766" t="s">
        <v>32</v>
      </c>
      <c r="H1766" t="s">
        <v>33</v>
      </c>
      <c r="I1766" t="s">
        <v>41</v>
      </c>
      <c r="J1766" t="s">
        <v>759</v>
      </c>
      <c r="K1766">
        <v>129</v>
      </c>
      <c r="L1766">
        <v>0</v>
      </c>
      <c r="M1766" t="s">
        <v>36</v>
      </c>
      <c r="N1766" t="s">
        <v>37</v>
      </c>
      <c r="O1766">
        <v>65455</v>
      </c>
      <c r="P1766">
        <v>3259</v>
      </c>
      <c r="Q1766">
        <v>4.97898</v>
      </c>
      <c r="R1766">
        <v>1</v>
      </c>
      <c r="S1766">
        <v>145.56</v>
      </c>
      <c r="T1766">
        <v>2.2240000000000002</v>
      </c>
      <c r="U1766">
        <v>4.4999999999999998E-2</v>
      </c>
      <c r="V1766">
        <v>145.55699999999999</v>
      </c>
      <c r="W1766">
        <v>1</v>
      </c>
      <c r="X1766">
        <v>0</v>
      </c>
      <c r="Y1766" t="s">
        <v>63</v>
      </c>
      <c r="Z1766">
        <v>65455</v>
      </c>
      <c r="AA1766">
        <v>57239</v>
      </c>
      <c r="AB1766">
        <v>5917</v>
      </c>
      <c r="AC1766" t="s">
        <v>687</v>
      </c>
      <c r="AD1766" t="str">
        <f t="shared" si="56"/>
        <v>CP</v>
      </c>
      <c r="AE1766" t="str">
        <f>_xlfn.XLOOKUP(D1766,Mapping!A:A,Mapping!D:D,0,0)</f>
        <v>Remarketing</v>
      </c>
      <c r="AF1766" t="str">
        <f t="shared" si="57"/>
        <v>OLD</v>
      </c>
    </row>
    <row r="1767" spans="1:32" x14ac:dyDescent="0.2">
      <c r="A1767" t="s">
        <v>1119</v>
      </c>
      <c r="B1767" t="s">
        <v>29</v>
      </c>
      <c r="C1767">
        <v>1012905952</v>
      </c>
      <c r="D1767" t="s">
        <v>761</v>
      </c>
      <c r="E1767" t="s">
        <v>31</v>
      </c>
      <c r="F1767" s="1">
        <v>0.67291666666666672</v>
      </c>
      <c r="G1767" t="s">
        <v>32</v>
      </c>
      <c r="H1767" t="s">
        <v>33</v>
      </c>
      <c r="I1767" t="s">
        <v>41</v>
      </c>
      <c r="J1767" t="s">
        <v>759</v>
      </c>
      <c r="K1767">
        <v>129</v>
      </c>
      <c r="L1767">
        <v>0</v>
      </c>
      <c r="M1767" t="s">
        <v>63</v>
      </c>
      <c r="N1767">
        <v>250</v>
      </c>
      <c r="O1767">
        <v>458</v>
      </c>
      <c r="P1767">
        <v>13</v>
      </c>
      <c r="Q1767">
        <v>2.8384299999999998</v>
      </c>
      <c r="R1767">
        <v>0</v>
      </c>
      <c r="S1767">
        <v>0.53</v>
      </c>
      <c r="T1767">
        <v>1.167</v>
      </c>
      <c r="U1767">
        <v>4.1000000000000002E-2</v>
      </c>
      <c r="V1767">
        <v>0</v>
      </c>
      <c r="W1767">
        <v>1</v>
      </c>
      <c r="X1767">
        <v>0</v>
      </c>
      <c r="Y1767" t="s">
        <v>63</v>
      </c>
      <c r="Z1767">
        <v>458</v>
      </c>
      <c r="AA1767">
        <v>419</v>
      </c>
      <c r="AB1767">
        <v>26</v>
      </c>
      <c r="AC1767" t="s">
        <v>687</v>
      </c>
      <c r="AD1767" t="str">
        <f t="shared" si="56"/>
        <v>CP</v>
      </c>
      <c r="AE1767" t="str">
        <f>_xlfn.XLOOKUP(D1767,Mapping!A:A,Mapping!D:D,0,0)</f>
        <v>Remarketing</v>
      </c>
      <c r="AF1767" t="str">
        <f t="shared" si="57"/>
        <v>OLD</v>
      </c>
    </row>
    <row r="1768" spans="1:32" x14ac:dyDescent="0.2">
      <c r="A1768" t="s">
        <v>1119</v>
      </c>
      <c r="B1768" t="s">
        <v>29</v>
      </c>
      <c r="C1768">
        <v>1012905962</v>
      </c>
      <c r="D1768" t="s">
        <v>762</v>
      </c>
      <c r="E1768" t="s">
        <v>31</v>
      </c>
      <c r="F1768" s="1">
        <v>0.67291666666666672</v>
      </c>
      <c r="G1768" t="s">
        <v>32</v>
      </c>
      <c r="H1768" t="s">
        <v>33</v>
      </c>
      <c r="I1768" t="s">
        <v>41</v>
      </c>
      <c r="J1768" t="s">
        <v>759</v>
      </c>
      <c r="K1768">
        <v>129</v>
      </c>
      <c r="L1768">
        <v>0</v>
      </c>
      <c r="M1768" t="s">
        <v>36</v>
      </c>
      <c r="N1768" t="s">
        <v>37</v>
      </c>
      <c r="O1768">
        <v>10175</v>
      </c>
      <c r="P1768">
        <v>529</v>
      </c>
      <c r="Q1768">
        <v>5.19902</v>
      </c>
      <c r="R1768">
        <v>0</v>
      </c>
      <c r="S1768">
        <v>12.17</v>
      </c>
      <c r="T1768">
        <v>1.196</v>
      </c>
      <c r="U1768">
        <v>2.3E-2</v>
      </c>
      <c r="V1768">
        <v>0</v>
      </c>
      <c r="W1768">
        <v>1</v>
      </c>
      <c r="X1768">
        <v>0</v>
      </c>
      <c r="Y1768" t="s">
        <v>63</v>
      </c>
      <c r="Z1768">
        <v>10175</v>
      </c>
      <c r="AA1768">
        <v>8952</v>
      </c>
      <c r="AB1768">
        <v>869</v>
      </c>
      <c r="AC1768" t="s">
        <v>687</v>
      </c>
      <c r="AD1768" t="str">
        <f t="shared" si="56"/>
        <v>CP</v>
      </c>
      <c r="AE1768" t="str">
        <f>_xlfn.XLOOKUP(D1768,Mapping!A:A,Mapping!D:D,0,0)</f>
        <v>Remarketing</v>
      </c>
      <c r="AF1768" t="str">
        <f t="shared" si="57"/>
        <v>OLD</v>
      </c>
    </row>
    <row r="1769" spans="1:32" x14ac:dyDescent="0.2">
      <c r="A1769" t="s">
        <v>1119</v>
      </c>
      <c r="B1769" t="s">
        <v>29</v>
      </c>
      <c r="C1769">
        <v>1012905982</v>
      </c>
      <c r="D1769" t="s">
        <v>763</v>
      </c>
      <c r="E1769" t="s">
        <v>31</v>
      </c>
      <c r="F1769" s="1">
        <v>0.67291666666666672</v>
      </c>
      <c r="G1769" t="s">
        <v>32</v>
      </c>
      <c r="H1769" t="s">
        <v>33</v>
      </c>
      <c r="I1769" t="s">
        <v>41</v>
      </c>
      <c r="J1769" t="s">
        <v>759</v>
      </c>
      <c r="K1769">
        <v>129</v>
      </c>
      <c r="L1769">
        <v>0</v>
      </c>
      <c r="M1769" t="s">
        <v>63</v>
      </c>
      <c r="N1769">
        <v>250</v>
      </c>
      <c r="O1769">
        <v>52</v>
      </c>
      <c r="P1769">
        <v>3</v>
      </c>
      <c r="Q1769">
        <v>5.7692300000000003</v>
      </c>
      <c r="R1769">
        <v>0</v>
      </c>
      <c r="S1769">
        <v>0.04</v>
      </c>
      <c r="T1769">
        <v>0.755</v>
      </c>
      <c r="U1769">
        <v>1.2999999999999999E-2</v>
      </c>
      <c r="V1769">
        <v>0</v>
      </c>
      <c r="W1769">
        <v>1</v>
      </c>
      <c r="X1769">
        <v>0</v>
      </c>
      <c r="Y1769" t="s">
        <v>63</v>
      </c>
      <c r="Z1769">
        <v>52</v>
      </c>
      <c r="AA1769">
        <v>39</v>
      </c>
      <c r="AB1769">
        <v>6</v>
      </c>
      <c r="AC1769" t="s">
        <v>687</v>
      </c>
      <c r="AD1769" t="str">
        <f t="shared" si="56"/>
        <v>CP</v>
      </c>
      <c r="AE1769" t="str">
        <f>_xlfn.XLOOKUP(D1769,Mapping!A:A,Mapping!D:D,0,0)</f>
        <v>Remarketing</v>
      </c>
      <c r="AF1769" t="str">
        <f t="shared" si="57"/>
        <v>OLD</v>
      </c>
    </row>
    <row r="1770" spans="1:32" x14ac:dyDescent="0.2">
      <c r="A1770" t="s">
        <v>1119</v>
      </c>
      <c r="B1770" t="s">
        <v>29</v>
      </c>
      <c r="C1770">
        <v>1012905992</v>
      </c>
      <c r="D1770" t="s">
        <v>764</v>
      </c>
      <c r="E1770" t="s">
        <v>31</v>
      </c>
      <c r="F1770" s="1">
        <v>0.67291666666666672</v>
      </c>
      <c r="G1770" t="s">
        <v>32</v>
      </c>
      <c r="H1770" t="s">
        <v>33</v>
      </c>
      <c r="I1770" t="s">
        <v>41</v>
      </c>
      <c r="J1770" t="s">
        <v>759</v>
      </c>
      <c r="K1770">
        <v>129</v>
      </c>
      <c r="L1770">
        <v>0</v>
      </c>
      <c r="M1770" t="s">
        <v>63</v>
      </c>
      <c r="N1770">
        <v>250</v>
      </c>
      <c r="O1770">
        <v>374</v>
      </c>
      <c r="P1770">
        <v>29</v>
      </c>
      <c r="Q1770">
        <v>7.7540100000000001</v>
      </c>
      <c r="R1770">
        <v>0</v>
      </c>
      <c r="S1770">
        <v>0.41</v>
      </c>
      <c r="T1770">
        <v>1.085</v>
      </c>
      <c r="U1770">
        <v>1.4E-2</v>
      </c>
      <c r="V1770">
        <v>0</v>
      </c>
      <c r="W1770">
        <v>1</v>
      </c>
      <c r="X1770">
        <v>0</v>
      </c>
      <c r="Y1770" t="s">
        <v>63</v>
      </c>
      <c r="Z1770">
        <v>374</v>
      </c>
      <c r="AA1770">
        <v>305</v>
      </c>
      <c r="AB1770">
        <v>34</v>
      </c>
      <c r="AC1770" t="s">
        <v>687</v>
      </c>
      <c r="AD1770" t="str">
        <f t="shared" si="56"/>
        <v>CP</v>
      </c>
      <c r="AE1770" t="str">
        <f>_xlfn.XLOOKUP(D1770,Mapping!A:A,Mapping!D:D,0,0)</f>
        <v>Remarketing</v>
      </c>
      <c r="AF1770" t="str">
        <f t="shared" si="57"/>
        <v>OLD</v>
      </c>
    </row>
    <row r="1771" spans="1:32" x14ac:dyDescent="0.2">
      <c r="A1771" t="s">
        <v>1119</v>
      </c>
      <c r="B1771" t="s">
        <v>29</v>
      </c>
      <c r="C1771">
        <v>1012906002</v>
      </c>
      <c r="D1771" t="s">
        <v>765</v>
      </c>
      <c r="E1771" t="s">
        <v>31</v>
      </c>
      <c r="F1771" s="1">
        <v>0.67291666666666672</v>
      </c>
      <c r="G1771" t="s">
        <v>32</v>
      </c>
      <c r="H1771" t="s">
        <v>33</v>
      </c>
      <c r="I1771" t="s">
        <v>41</v>
      </c>
      <c r="J1771" t="s">
        <v>759</v>
      </c>
      <c r="K1771">
        <v>129</v>
      </c>
      <c r="L1771">
        <v>0</v>
      </c>
      <c r="M1771" t="s">
        <v>63</v>
      </c>
      <c r="N1771">
        <v>250</v>
      </c>
      <c r="O1771">
        <v>1025</v>
      </c>
      <c r="P1771">
        <v>56</v>
      </c>
      <c r="Q1771">
        <v>5.4634099999999997</v>
      </c>
      <c r="R1771">
        <v>0</v>
      </c>
      <c r="S1771">
        <v>1.73</v>
      </c>
      <c r="T1771">
        <v>1.6839999999999999</v>
      </c>
      <c r="U1771">
        <v>3.1E-2</v>
      </c>
      <c r="V1771">
        <v>0</v>
      </c>
      <c r="W1771">
        <v>1</v>
      </c>
      <c r="X1771">
        <v>0</v>
      </c>
      <c r="Y1771" t="s">
        <v>63</v>
      </c>
      <c r="Z1771">
        <v>1025</v>
      </c>
      <c r="AA1771">
        <v>895</v>
      </c>
      <c r="AB1771">
        <v>95</v>
      </c>
      <c r="AC1771" t="s">
        <v>687</v>
      </c>
      <c r="AD1771" t="str">
        <f t="shared" si="56"/>
        <v>CP</v>
      </c>
      <c r="AE1771" t="str">
        <f>_xlfn.XLOOKUP(D1771,Mapping!A:A,Mapping!D:D,0,0)</f>
        <v>Remarketing</v>
      </c>
      <c r="AF1771" t="str">
        <f t="shared" si="57"/>
        <v>OLD</v>
      </c>
    </row>
    <row r="1772" spans="1:32" x14ac:dyDescent="0.2">
      <c r="A1772" t="s">
        <v>1119</v>
      </c>
      <c r="B1772" t="s">
        <v>29</v>
      </c>
      <c r="C1772">
        <v>1012906012</v>
      </c>
      <c r="D1772" t="s">
        <v>766</v>
      </c>
      <c r="E1772" t="s">
        <v>31</v>
      </c>
      <c r="F1772" s="1">
        <v>0.67291666666666672</v>
      </c>
      <c r="G1772" t="s">
        <v>32</v>
      </c>
      <c r="H1772" t="s">
        <v>33</v>
      </c>
      <c r="I1772" t="s">
        <v>41</v>
      </c>
      <c r="J1772" t="s">
        <v>759</v>
      </c>
      <c r="K1772">
        <v>129</v>
      </c>
      <c r="L1772">
        <v>0</v>
      </c>
      <c r="M1772" t="s">
        <v>63</v>
      </c>
      <c r="N1772">
        <v>250</v>
      </c>
      <c r="O1772">
        <v>2094</v>
      </c>
      <c r="P1772">
        <v>114</v>
      </c>
      <c r="Q1772">
        <v>5.4441300000000004</v>
      </c>
      <c r="R1772">
        <v>0</v>
      </c>
      <c r="S1772">
        <v>5.19</v>
      </c>
      <c r="T1772">
        <v>2.4790000000000001</v>
      </c>
      <c r="U1772">
        <v>4.5999999999999999E-2</v>
      </c>
      <c r="V1772">
        <v>0</v>
      </c>
      <c r="W1772">
        <v>1</v>
      </c>
      <c r="X1772">
        <v>0</v>
      </c>
      <c r="Y1772" t="s">
        <v>63</v>
      </c>
      <c r="Z1772">
        <v>2094</v>
      </c>
      <c r="AA1772">
        <v>1834</v>
      </c>
      <c r="AB1772">
        <v>185</v>
      </c>
      <c r="AC1772" t="s">
        <v>687</v>
      </c>
      <c r="AD1772" t="str">
        <f t="shared" si="56"/>
        <v>CP</v>
      </c>
      <c r="AE1772" t="str">
        <f>_xlfn.XLOOKUP(D1772,Mapping!A:A,Mapping!D:D,0,0)</f>
        <v>Remarketing</v>
      </c>
      <c r="AF1772" t="str">
        <f t="shared" si="57"/>
        <v>OLD</v>
      </c>
    </row>
    <row r="1773" spans="1:32" x14ac:dyDescent="0.2">
      <c r="A1773" t="s">
        <v>1119</v>
      </c>
      <c r="B1773" t="s">
        <v>39</v>
      </c>
      <c r="C1773">
        <v>1012914792</v>
      </c>
      <c r="D1773" t="s">
        <v>306</v>
      </c>
      <c r="E1773" t="s">
        <v>31</v>
      </c>
      <c r="F1773" s="1">
        <v>0.67291666666666672</v>
      </c>
      <c r="G1773" t="s">
        <v>32</v>
      </c>
      <c r="H1773" t="s">
        <v>33</v>
      </c>
      <c r="I1773" t="s">
        <v>34</v>
      </c>
      <c r="J1773" t="s">
        <v>84</v>
      </c>
      <c r="K1773">
        <v>100</v>
      </c>
      <c r="L1773">
        <v>0</v>
      </c>
      <c r="M1773" t="s">
        <v>63</v>
      </c>
      <c r="N1773">
        <v>250</v>
      </c>
      <c r="O1773">
        <v>0</v>
      </c>
      <c r="P1773">
        <v>0</v>
      </c>
      <c r="Q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 t="s">
        <v>36</v>
      </c>
      <c r="AC1773" t="s">
        <v>687</v>
      </c>
      <c r="AD1773" t="str">
        <f t="shared" si="56"/>
        <v>CP</v>
      </c>
      <c r="AE1773" t="str">
        <f>_xlfn.XLOOKUP(D1773,Mapping!A:A,Mapping!D:D,0,0)</f>
        <v>Archive</v>
      </c>
      <c r="AF1773" t="str">
        <f t="shared" si="57"/>
        <v>OLD</v>
      </c>
    </row>
    <row r="1774" spans="1:32" x14ac:dyDescent="0.2">
      <c r="A1774" t="s">
        <v>1119</v>
      </c>
      <c r="B1774" t="s">
        <v>39</v>
      </c>
      <c r="C1774">
        <v>1012914802</v>
      </c>
      <c r="D1774" t="s">
        <v>607</v>
      </c>
      <c r="E1774" t="s">
        <v>31</v>
      </c>
      <c r="F1774" s="1">
        <v>0.67291666666666672</v>
      </c>
      <c r="G1774" t="s">
        <v>32</v>
      </c>
      <c r="H1774" t="s">
        <v>33</v>
      </c>
      <c r="I1774" t="s">
        <v>34</v>
      </c>
      <c r="J1774" t="s">
        <v>84</v>
      </c>
      <c r="K1774">
        <v>100</v>
      </c>
      <c r="L1774">
        <v>0</v>
      </c>
      <c r="M1774" t="s">
        <v>63</v>
      </c>
      <c r="N1774">
        <v>250</v>
      </c>
      <c r="O1774">
        <v>0</v>
      </c>
      <c r="P1774">
        <v>0</v>
      </c>
      <c r="Q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 t="s">
        <v>36</v>
      </c>
      <c r="AC1774" t="s">
        <v>687</v>
      </c>
      <c r="AD1774" t="str">
        <f t="shared" si="56"/>
        <v>CP</v>
      </c>
      <c r="AE1774" t="str">
        <f>_xlfn.XLOOKUP(D1774,Mapping!A:A,Mapping!D:D,0,0)</f>
        <v>Archive</v>
      </c>
      <c r="AF1774" t="str">
        <f t="shared" si="57"/>
        <v>OLD</v>
      </c>
    </row>
    <row r="1775" spans="1:32" x14ac:dyDescent="0.2">
      <c r="A1775" t="s">
        <v>1119</v>
      </c>
      <c r="B1775" t="s">
        <v>39</v>
      </c>
      <c r="C1775">
        <v>1012914812</v>
      </c>
      <c r="D1775" t="s">
        <v>312</v>
      </c>
      <c r="E1775" t="s">
        <v>31</v>
      </c>
      <c r="F1775" s="1">
        <v>0.67291666666666672</v>
      </c>
      <c r="G1775" t="s">
        <v>32</v>
      </c>
      <c r="H1775" t="s">
        <v>33</v>
      </c>
      <c r="I1775" t="s">
        <v>34</v>
      </c>
      <c r="J1775" t="s">
        <v>84</v>
      </c>
      <c r="K1775">
        <v>100</v>
      </c>
      <c r="L1775">
        <v>0</v>
      </c>
      <c r="M1775" t="s">
        <v>63</v>
      </c>
      <c r="N1775">
        <v>250</v>
      </c>
      <c r="O1775">
        <v>0</v>
      </c>
      <c r="P1775">
        <v>0</v>
      </c>
      <c r="Q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 t="s">
        <v>36</v>
      </c>
      <c r="AC1775" t="s">
        <v>687</v>
      </c>
      <c r="AD1775" t="str">
        <f t="shared" si="56"/>
        <v>CP</v>
      </c>
      <c r="AE1775" t="str">
        <f>_xlfn.XLOOKUP(D1775,Mapping!A:A,Mapping!D:D,0,0)</f>
        <v>Bin</v>
      </c>
      <c r="AF1775" t="str">
        <f t="shared" si="57"/>
        <v>OLD</v>
      </c>
    </row>
    <row r="1776" spans="1:32" x14ac:dyDescent="0.2">
      <c r="A1776" t="s">
        <v>1119</v>
      </c>
      <c r="B1776" t="s">
        <v>29</v>
      </c>
      <c r="C1776">
        <v>1012914822</v>
      </c>
      <c r="D1776" t="s">
        <v>767</v>
      </c>
      <c r="E1776" t="s">
        <v>31</v>
      </c>
      <c r="F1776" s="1">
        <v>0.67291666666666672</v>
      </c>
      <c r="G1776" t="s">
        <v>32</v>
      </c>
      <c r="H1776" t="s">
        <v>33</v>
      </c>
      <c r="I1776" t="s">
        <v>34</v>
      </c>
      <c r="J1776" t="s">
        <v>84</v>
      </c>
      <c r="K1776">
        <v>100</v>
      </c>
      <c r="L1776">
        <v>0</v>
      </c>
      <c r="M1776" t="s">
        <v>63</v>
      </c>
      <c r="N1776">
        <v>250</v>
      </c>
      <c r="O1776">
        <v>844</v>
      </c>
      <c r="P1776">
        <v>35</v>
      </c>
      <c r="Q1776">
        <v>4.1469199999999997</v>
      </c>
      <c r="R1776">
        <v>0</v>
      </c>
      <c r="S1776">
        <v>0.81</v>
      </c>
      <c r="T1776">
        <v>0.95499999999999996</v>
      </c>
      <c r="U1776">
        <v>2.3E-2</v>
      </c>
      <c r="V1776">
        <v>0</v>
      </c>
      <c r="W1776">
        <v>1</v>
      </c>
      <c r="X1776">
        <v>0</v>
      </c>
      <c r="Y1776" t="s">
        <v>36</v>
      </c>
      <c r="Z1776">
        <v>844</v>
      </c>
      <c r="AA1776">
        <v>605</v>
      </c>
      <c r="AB1776">
        <v>115</v>
      </c>
      <c r="AC1776" t="s">
        <v>687</v>
      </c>
      <c r="AD1776" t="str">
        <f t="shared" si="56"/>
        <v>CP</v>
      </c>
      <c r="AE1776" t="str">
        <f>_xlfn.XLOOKUP(D1776,Mapping!A:A,Mapping!D:D,0,0)</f>
        <v>Keyword - Preroll</v>
      </c>
      <c r="AF1776" t="str">
        <f t="shared" si="57"/>
        <v>OLD</v>
      </c>
    </row>
    <row r="1777" spans="1:32" x14ac:dyDescent="0.2">
      <c r="A1777" t="s">
        <v>1119</v>
      </c>
      <c r="B1777" t="s">
        <v>39</v>
      </c>
      <c r="C1777">
        <v>1012914832</v>
      </c>
      <c r="D1777" t="s">
        <v>305</v>
      </c>
      <c r="E1777" t="s">
        <v>31</v>
      </c>
      <c r="F1777" s="1">
        <v>0.67291666666666672</v>
      </c>
      <c r="G1777" t="s">
        <v>32</v>
      </c>
      <c r="H1777" t="s">
        <v>33</v>
      </c>
      <c r="I1777" t="s">
        <v>41</v>
      </c>
      <c r="J1777" t="s">
        <v>62</v>
      </c>
      <c r="K1777">
        <v>90</v>
      </c>
      <c r="L1777">
        <v>0</v>
      </c>
      <c r="M1777" t="s">
        <v>63</v>
      </c>
      <c r="N1777">
        <v>250</v>
      </c>
      <c r="O1777">
        <v>0</v>
      </c>
      <c r="P1777">
        <v>0</v>
      </c>
      <c r="Q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 t="s">
        <v>36</v>
      </c>
      <c r="AC1777" t="s">
        <v>687</v>
      </c>
      <c r="AD1777" t="str">
        <f t="shared" si="56"/>
        <v>CP</v>
      </c>
      <c r="AE1777" t="str">
        <f>_xlfn.XLOOKUP(D1777,Mapping!A:A,Mapping!D:D,0,0)</f>
        <v>Bin</v>
      </c>
      <c r="AF1777" t="str">
        <f t="shared" si="57"/>
        <v>OLD</v>
      </c>
    </row>
    <row r="1778" spans="1:32" x14ac:dyDescent="0.2">
      <c r="A1778" t="s">
        <v>1119</v>
      </c>
      <c r="B1778" t="s">
        <v>39</v>
      </c>
      <c r="C1778">
        <v>1012914842</v>
      </c>
      <c r="D1778" t="s">
        <v>311</v>
      </c>
      <c r="E1778" t="s">
        <v>31</v>
      </c>
      <c r="F1778" s="1">
        <v>0.67291666666666672</v>
      </c>
      <c r="G1778" t="s">
        <v>32</v>
      </c>
      <c r="H1778" t="s">
        <v>33</v>
      </c>
      <c r="I1778" t="s">
        <v>41</v>
      </c>
      <c r="J1778" t="s">
        <v>62</v>
      </c>
      <c r="K1778">
        <v>90</v>
      </c>
      <c r="L1778">
        <v>0</v>
      </c>
      <c r="M1778" t="s">
        <v>63</v>
      </c>
      <c r="N1778">
        <v>250</v>
      </c>
      <c r="O1778">
        <v>0</v>
      </c>
      <c r="P1778">
        <v>0</v>
      </c>
      <c r="Q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 t="s">
        <v>36</v>
      </c>
      <c r="AC1778" t="s">
        <v>687</v>
      </c>
      <c r="AD1778" t="str">
        <f t="shared" si="56"/>
        <v>CP</v>
      </c>
      <c r="AE1778" t="str">
        <f>_xlfn.XLOOKUP(D1778,Mapping!A:A,Mapping!D:D,0,0)</f>
        <v>Bin</v>
      </c>
      <c r="AF1778" t="str">
        <f t="shared" si="57"/>
        <v>OLD</v>
      </c>
    </row>
    <row r="1779" spans="1:32" x14ac:dyDescent="0.2">
      <c r="A1779" t="s">
        <v>1119</v>
      </c>
      <c r="B1779" t="s">
        <v>39</v>
      </c>
      <c r="C1779">
        <v>1012914852</v>
      </c>
      <c r="D1779" t="s">
        <v>308</v>
      </c>
      <c r="E1779" t="s">
        <v>31</v>
      </c>
      <c r="F1779" s="1">
        <v>0.67291666666666672</v>
      </c>
      <c r="G1779" t="s">
        <v>32</v>
      </c>
      <c r="H1779" t="s">
        <v>33</v>
      </c>
      <c r="I1779" t="s">
        <v>41</v>
      </c>
      <c r="J1779" t="s">
        <v>62</v>
      </c>
      <c r="K1779">
        <v>90</v>
      </c>
      <c r="L1779">
        <v>0</v>
      </c>
      <c r="M1779" t="s">
        <v>63</v>
      </c>
      <c r="N1779">
        <v>250</v>
      </c>
      <c r="O1779">
        <v>0</v>
      </c>
      <c r="P1779">
        <v>0</v>
      </c>
      <c r="Q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 t="s">
        <v>36</v>
      </c>
      <c r="AC1779" t="s">
        <v>687</v>
      </c>
      <c r="AD1779" t="str">
        <f t="shared" si="56"/>
        <v>CP</v>
      </c>
      <c r="AE1779" t="str">
        <f>_xlfn.XLOOKUP(D1779,Mapping!A:A,Mapping!D:D,0,0)</f>
        <v>Bin</v>
      </c>
      <c r="AF1779" t="str">
        <f t="shared" si="57"/>
        <v>OLD</v>
      </c>
    </row>
    <row r="1780" spans="1:32" x14ac:dyDescent="0.2">
      <c r="A1780" t="s">
        <v>1119</v>
      </c>
      <c r="B1780" t="s">
        <v>39</v>
      </c>
      <c r="C1780">
        <v>1012914862</v>
      </c>
      <c r="D1780" t="s">
        <v>316</v>
      </c>
      <c r="E1780" t="s">
        <v>31</v>
      </c>
      <c r="F1780" s="1">
        <v>0.67291666666666672</v>
      </c>
      <c r="G1780" t="s">
        <v>32</v>
      </c>
      <c r="H1780" t="s">
        <v>33</v>
      </c>
      <c r="I1780" t="s">
        <v>41</v>
      </c>
      <c r="J1780" t="s">
        <v>62</v>
      </c>
      <c r="K1780">
        <v>90</v>
      </c>
      <c r="L1780">
        <v>0</v>
      </c>
      <c r="M1780" t="s">
        <v>63</v>
      </c>
      <c r="N1780">
        <v>250</v>
      </c>
      <c r="O1780">
        <v>0</v>
      </c>
      <c r="P1780">
        <v>0</v>
      </c>
      <c r="Q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 t="s">
        <v>36</v>
      </c>
      <c r="AC1780" t="s">
        <v>687</v>
      </c>
      <c r="AD1780" t="str">
        <f t="shared" si="56"/>
        <v>CP</v>
      </c>
      <c r="AE1780" t="str">
        <f>_xlfn.XLOOKUP(D1780,Mapping!A:A,Mapping!D:D,0,0)</f>
        <v>Bin</v>
      </c>
      <c r="AF1780" t="str">
        <f t="shared" si="57"/>
        <v>OLD</v>
      </c>
    </row>
    <row r="1781" spans="1:32" x14ac:dyDescent="0.2">
      <c r="A1781" t="s">
        <v>1119</v>
      </c>
      <c r="B1781" t="s">
        <v>29</v>
      </c>
      <c r="C1781">
        <v>1012914872</v>
      </c>
      <c r="D1781" t="s">
        <v>768</v>
      </c>
      <c r="E1781" t="s">
        <v>31</v>
      </c>
      <c r="F1781" s="1">
        <v>0.67291666666666672</v>
      </c>
      <c r="G1781" t="s">
        <v>32</v>
      </c>
      <c r="H1781" t="s">
        <v>33</v>
      </c>
      <c r="I1781" t="s">
        <v>41</v>
      </c>
      <c r="J1781" t="s">
        <v>62</v>
      </c>
      <c r="K1781">
        <v>90</v>
      </c>
      <c r="L1781">
        <v>0</v>
      </c>
      <c r="M1781" t="s">
        <v>63</v>
      </c>
      <c r="N1781">
        <v>250</v>
      </c>
      <c r="O1781">
        <v>2235</v>
      </c>
      <c r="P1781">
        <v>115</v>
      </c>
      <c r="Q1781">
        <v>5.14541</v>
      </c>
      <c r="R1781">
        <v>0</v>
      </c>
      <c r="S1781">
        <v>2.23</v>
      </c>
      <c r="T1781">
        <v>0.996</v>
      </c>
      <c r="U1781">
        <v>1.9E-2</v>
      </c>
      <c r="V1781">
        <v>0</v>
      </c>
      <c r="W1781">
        <v>1</v>
      </c>
      <c r="X1781">
        <v>0</v>
      </c>
      <c r="Y1781" t="s">
        <v>36</v>
      </c>
      <c r="Z1781">
        <v>2235</v>
      </c>
      <c r="AA1781">
        <v>1949</v>
      </c>
      <c r="AB1781">
        <v>199</v>
      </c>
      <c r="AC1781" t="s">
        <v>687</v>
      </c>
      <c r="AD1781" t="str">
        <f t="shared" si="56"/>
        <v>CP</v>
      </c>
      <c r="AE1781" t="str">
        <f>_xlfn.XLOOKUP(D1781,Mapping!A:A,Mapping!D:D,0,0)</f>
        <v>Keyword - Preroll</v>
      </c>
      <c r="AF1781" t="str">
        <f t="shared" si="57"/>
        <v>OLD</v>
      </c>
    </row>
    <row r="1782" spans="1:32" x14ac:dyDescent="0.2">
      <c r="A1782" t="s">
        <v>1119</v>
      </c>
      <c r="B1782" t="s">
        <v>39</v>
      </c>
      <c r="C1782">
        <v>1012914882</v>
      </c>
      <c r="D1782" t="s">
        <v>769</v>
      </c>
      <c r="E1782" t="s">
        <v>31</v>
      </c>
      <c r="F1782" s="1">
        <v>0.67291666666666672</v>
      </c>
      <c r="G1782" t="s">
        <v>32</v>
      </c>
      <c r="H1782" t="s">
        <v>33</v>
      </c>
      <c r="I1782" t="s">
        <v>41</v>
      </c>
      <c r="J1782" t="s">
        <v>62</v>
      </c>
      <c r="K1782">
        <v>90</v>
      </c>
      <c r="L1782">
        <v>0</v>
      </c>
      <c r="M1782" t="s">
        <v>63</v>
      </c>
      <c r="N1782">
        <v>250</v>
      </c>
      <c r="O1782">
        <v>0</v>
      </c>
      <c r="P1782">
        <v>0</v>
      </c>
      <c r="Q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 t="s">
        <v>36</v>
      </c>
      <c r="AC1782" t="s">
        <v>687</v>
      </c>
      <c r="AD1782" t="str">
        <f t="shared" si="56"/>
        <v>CP</v>
      </c>
      <c r="AE1782" t="str">
        <f>_xlfn.XLOOKUP(D1782,Mapping!A:A,Mapping!D:D,0,0)</f>
        <v>Blowjob</v>
      </c>
      <c r="AF1782" t="str">
        <f t="shared" si="57"/>
        <v>OLD</v>
      </c>
    </row>
    <row r="1783" spans="1:32" x14ac:dyDescent="0.2">
      <c r="A1783" t="s">
        <v>1119</v>
      </c>
      <c r="B1783" t="s">
        <v>39</v>
      </c>
      <c r="C1783">
        <v>1012914892</v>
      </c>
      <c r="D1783" t="s">
        <v>770</v>
      </c>
      <c r="E1783" t="s">
        <v>31</v>
      </c>
      <c r="F1783" s="1">
        <v>0.67291666666666672</v>
      </c>
      <c r="G1783" t="s">
        <v>32</v>
      </c>
      <c r="H1783" t="s">
        <v>33</v>
      </c>
      <c r="I1783" t="s">
        <v>41</v>
      </c>
      <c r="J1783" t="s">
        <v>62</v>
      </c>
      <c r="K1783">
        <v>90</v>
      </c>
      <c r="L1783">
        <v>0</v>
      </c>
      <c r="M1783" t="s">
        <v>63</v>
      </c>
      <c r="N1783">
        <v>250</v>
      </c>
      <c r="O1783">
        <v>0</v>
      </c>
      <c r="P1783">
        <v>0</v>
      </c>
      <c r="Q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 t="s">
        <v>36</v>
      </c>
      <c r="AC1783" t="s">
        <v>687</v>
      </c>
      <c r="AD1783" t="str">
        <f t="shared" si="56"/>
        <v>CP</v>
      </c>
      <c r="AE1783" t="str">
        <f>_xlfn.XLOOKUP(D1783,Mapping!A:A,Mapping!D:D,0,0)</f>
        <v>Blowjob</v>
      </c>
      <c r="AF1783" t="str">
        <f t="shared" si="57"/>
        <v>OLD</v>
      </c>
    </row>
    <row r="1784" spans="1:32" x14ac:dyDescent="0.2">
      <c r="A1784" t="s">
        <v>1119</v>
      </c>
      <c r="B1784" t="s">
        <v>39</v>
      </c>
      <c r="C1784">
        <v>1012914902</v>
      </c>
      <c r="D1784" t="s">
        <v>771</v>
      </c>
      <c r="E1784" t="s">
        <v>31</v>
      </c>
      <c r="F1784" s="1">
        <v>0.67291666666666672</v>
      </c>
      <c r="G1784" t="s">
        <v>32</v>
      </c>
      <c r="H1784" t="s">
        <v>33</v>
      </c>
      <c r="I1784" t="s">
        <v>41</v>
      </c>
      <c r="J1784" t="s">
        <v>62</v>
      </c>
      <c r="K1784">
        <v>90</v>
      </c>
      <c r="L1784">
        <v>0</v>
      </c>
      <c r="M1784" t="s">
        <v>63</v>
      </c>
      <c r="N1784">
        <v>250</v>
      </c>
      <c r="O1784">
        <v>0</v>
      </c>
      <c r="P1784">
        <v>0</v>
      </c>
      <c r="Q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 t="s">
        <v>36</v>
      </c>
      <c r="AC1784" t="s">
        <v>687</v>
      </c>
      <c r="AD1784" t="str">
        <f t="shared" si="56"/>
        <v>CP</v>
      </c>
      <c r="AE1784" t="str">
        <f>_xlfn.XLOOKUP(D1784,Mapping!A:A,Mapping!D:D,0,0)</f>
        <v>Blowjob</v>
      </c>
      <c r="AF1784" t="str">
        <f t="shared" si="57"/>
        <v>OLD</v>
      </c>
    </row>
    <row r="1785" spans="1:32" x14ac:dyDescent="0.2">
      <c r="A1785" t="s">
        <v>1119</v>
      </c>
      <c r="B1785" t="s">
        <v>39</v>
      </c>
      <c r="C1785">
        <v>1012914912</v>
      </c>
      <c r="D1785" t="s">
        <v>772</v>
      </c>
      <c r="E1785" t="s">
        <v>31</v>
      </c>
      <c r="F1785" s="1">
        <v>0.67291666666666672</v>
      </c>
      <c r="G1785" t="s">
        <v>32</v>
      </c>
      <c r="H1785" t="s">
        <v>33</v>
      </c>
      <c r="I1785" t="s">
        <v>41</v>
      </c>
      <c r="J1785" t="s">
        <v>62</v>
      </c>
      <c r="K1785">
        <v>90</v>
      </c>
      <c r="L1785">
        <v>0</v>
      </c>
      <c r="M1785" t="s">
        <v>63</v>
      </c>
      <c r="N1785">
        <v>250</v>
      </c>
      <c r="O1785">
        <v>0</v>
      </c>
      <c r="P1785">
        <v>0</v>
      </c>
      <c r="Q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 t="s">
        <v>36</v>
      </c>
      <c r="AC1785" t="s">
        <v>687</v>
      </c>
      <c r="AD1785" t="str">
        <f t="shared" si="56"/>
        <v>CP</v>
      </c>
      <c r="AE1785" t="str">
        <f>_xlfn.XLOOKUP(D1785,Mapping!A:A,Mapping!D:D,0,0)</f>
        <v>Blowjob</v>
      </c>
      <c r="AF1785" t="str">
        <f t="shared" si="57"/>
        <v>OLD</v>
      </c>
    </row>
    <row r="1786" spans="1:32" x14ac:dyDescent="0.2">
      <c r="A1786" t="s">
        <v>1119</v>
      </c>
      <c r="B1786" t="s">
        <v>39</v>
      </c>
      <c r="C1786">
        <v>1012914922</v>
      </c>
      <c r="D1786" t="s">
        <v>635</v>
      </c>
      <c r="E1786" t="s">
        <v>31</v>
      </c>
      <c r="F1786" s="1">
        <v>0.67291666666666672</v>
      </c>
      <c r="G1786" t="s">
        <v>32</v>
      </c>
      <c r="H1786" t="s">
        <v>33</v>
      </c>
      <c r="I1786" t="s">
        <v>41</v>
      </c>
      <c r="J1786" t="s">
        <v>62</v>
      </c>
      <c r="K1786">
        <v>90</v>
      </c>
      <c r="L1786">
        <v>0</v>
      </c>
      <c r="M1786" t="s">
        <v>63</v>
      </c>
      <c r="N1786">
        <v>250</v>
      </c>
      <c r="O1786">
        <v>0</v>
      </c>
      <c r="P1786">
        <v>0</v>
      </c>
      <c r="Q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 t="s">
        <v>36</v>
      </c>
      <c r="AC1786" t="s">
        <v>687</v>
      </c>
      <c r="AD1786" t="str">
        <f t="shared" si="56"/>
        <v>CP</v>
      </c>
      <c r="AE1786" t="str">
        <f>_xlfn.XLOOKUP(D1786,Mapping!A:A,Mapping!D:D,0,0)</f>
        <v>Bin</v>
      </c>
      <c r="AF1786" t="str">
        <f t="shared" si="57"/>
        <v>OLD</v>
      </c>
    </row>
    <row r="1787" spans="1:32" x14ac:dyDescent="0.2">
      <c r="A1787" t="s">
        <v>1119</v>
      </c>
      <c r="B1787" t="s">
        <v>39</v>
      </c>
      <c r="C1787">
        <v>1012914992</v>
      </c>
      <c r="D1787" t="s">
        <v>773</v>
      </c>
      <c r="E1787" t="s">
        <v>31</v>
      </c>
      <c r="F1787" s="1">
        <v>0.38611111111111113</v>
      </c>
      <c r="G1787" t="s">
        <v>32</v>
      </c>
      <c r="H1787" t="s">
        <v>33</v>
      </c>
      <c r="I1787" t="s">
        <v>41</v>
      </c>
      <c r="J1787" t="s">
        <v>58</v>
      </c>
      <c r="K1787">
        <v>3</v>
      </c>
      <c r="L1787">
        <v>0</v>
      </c>
      <c r="M1787" t="s">
        <v>36</v>
      </c>
      <c r="N1787" t="s">
        <v>37</v>
      </c>
      <c r="O1787">
        <v>0</v>
      </c>
      <c r="P1787">
        <v>0</v>
      </c>
      <c r="Q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 t="s">
        <v>36</v>
      </c>
      <c r="AC1787" t="s">
        <v>687</v>
      </c>
      <c r="AD1787" t="str">
        <f t="shared" si="56"/>
        <v>CP</v>
      </c>
      <c r="AE1787" t="str">
        <f>_xlfn.XLOOKUP(D1787,Mapping!A:A,Mapping!D:D,0,0)</f>
        <v>Shorties</v>
      </c>
      <c r="AF1787" t="str">
        <f t="shared" si="57"/>
        <v>OLD</v>
      </c>
    </row>
    <row r="1788" spans="1:32" x14ac:dyDescent="0.2">
      <c r="A1788" t="s">
        <v>1119</v>
      </c>
      <c r="B1788" t="s">
        <v>29</v>
      </c>
      <c r="C1788">
        <v>1012915002</v>
      </c>
      <c r="D1788" t="s">
        <v>774</v>
      </c>
      <c r="E1788" t="s">
        <v>31</v>
      </c>
      <c r="F1788" s="1">
        <v>0.38611111111111113</v>
      </c>
      <c r="G1788" t="s">
        <v>32</v>
      </c>
      <c r="H1788" t="s">
        <v>33</v>
      </c>
      <c r="I1788" t="s">
        <v>41</v>
      </c>
      <c r="J1788" t="s">
        <v>58</v>
      </c>
      <c r="K1788">
        <v>3</v>
      </c>
      <c r="L1788">
        <v>0</v>
      </c>
      <c r="M1788" t="s">
        <v>36</v>
      </c>
      <c r="N1788" t="s">
        <v>37</v>
      </c>
      <c r="O1788">
        <v>39795</v>
      </c>
      <c r="P1788">
        <v>480</v>
      </c>
      <c r="Q1788">
        <v>1.20618</v>
      </c>
      <c r="R1788">
        <v>1</v>
      </c>
      <c r="S1788">
        <v>144.06</v>
      </c>
      <c r="T1788">
        <v>3.62</v>
      </c>
      <c r="U1788">
        <v>0.3</v>
      </c>
      <c r="V1788">
        <v>144.05799999999999</v>
      </c>
      <c r="W1788">
        <v>1</v>
      </c>
      <c r="X1788">
        <v>0</v>
      </c>
      <c r="Y1788" t="s">
        <v>36</v>
      </c>
      <c r="Z1788">
        <v>39795</v>
      </c>
      <c r="AA1788">
        <v>0</v>
      </c>
      <c r="AB1788">
        <v>518</v>
      </c>
      <c r="AC1788" t="s">
        <v>687</v>
      </c>
      <c r="AD1788" t="str">
        <f t="shared" si="56"/>
        <v>CP</v>
      </c>
      <c r="AE1788" t="str">
        <f>_xlfn.XLOOKUP(D1788,Mapping!A:A,Mapping!D:D,0,0)</f>
        <v>Shorties</v>
      </c>
      <c r="AF1788" t="str">
        <f t="shared" si="57"/>
        <v>OLD</v>
      </c>
    </row>
    <row r="1789" spans="1:32" x14ac:dyDescent="0.2">
      <c r="A1789" t="s">
        <v>1119</v>
      </c>
      <c r="B1789" t="s">
        <v>29</v>
      </c>
      <c r="C1789">
        <v>1012915022</v>
      </c>
      <c r="D1789" t="s">
        <v>775</v>
      </c>
      <c r="E1789" t="s">
        <v>31</v>
      </c>
      <c r="F1789" s="1">
        <v>0.38611111111111113</v>
      </c>
      <c r="G1789" t="s">
        <v>32</v>
      </c>
      <c r="H1789" t="s">
        <v>33</v>
      </c>
      <c r="I1789" t="s">
        <v>41</v>
      </c>
      <c r="J1789" t="s">
        <v>58</v>
      </c>
      <c r="K1789">
        <v>3</v>
      </c>
      <c r="L1789">
        <v>0</v>
      </c>
      <c r="M1789" t="s">
        <v>36</v>
      </c>
      <c r="N1789" t="s">
        <v>37</v>
      </c>
      <c r="O1789">
        <v>7710</v>
      </c>
      <c r="P1789">
        <v>88</v>
      </c>
      <c r="Q1789">
        <v>1.14137</v>
      </c>
      <c r="R1789">
        <v>0</v>
      </c>
      <c r="S1789">
        <v>14.06</v>
      </c>
      <c r="T1789">
        <v>1.823</v>
      </c>
      <c r="U1789">
        <v>0.16</v>
      </c>
      <c r="V1789">
        <v>0</v>
      </c>
      <c r="W1789">
        <v>1</v>
      </c>
      <c r="X1789">
        <v>0</v>
      </c>
      <c r="Y1789" t="s">
        <v>36</v>
      </c>
      <c r="Z1789">
        <v>7710</v>
      </c>
      <c r="AA1789">
        <v>0</v>
      </c>
      <c r="AB1789">
        <v>89</v>
      </c>
      <c r="AC1789" t="s">
        <v>687</v>
      </c>
      <c r="AD1789" t="str">
        <f t="shared" si="56"/>
        <v>CP</v>
      </c>
      <c r="AE1789" t="str">
        <f>_xlfn.XLOOKUP(D1789,Mapping!A:A,Mapping!D:D,0,0)</f>
        <v>Shorties</v>
      </c>
      <c r="AF1789" t="str">
        <f t="shared" si="57"/>
        <v>OLD</v>
      </c>
    </row>
    <row r="1790" spans="1:32" x14ac:dyDescent="0.2">
      <c r="A1790" t="s">
        <v>1119</v>
      </c>
      <c r="B1790" t="s">
        <v>29</v>
      </c>
      <c r="C1790">
        <v>1012915032</v>
      </c>
      <c r="D1790" t="s">
        <v>776</v>
      </c>
      <c r="E1790" t="s">
        <v>31</v>
      </c>
      <c r="F1790" s="1">
        <v>0.38611111111111113</v>
      </c>
      <c r="G1790" t="s">
        <v>32</v>
      </c>
      <c r="H1790" t="s">
        <v>33</v>
      </c>
      <c r="I1790" t="s">
        <v>41</v>
      </c>
      <c r="J1790" t="s">
        <v>58</v>
      </c>
      <c r="K1790">
        <v>3</v>
      </c>
      <c r="L1790">
        <v>0</v>
      </c>
      <c r="M1790" t="s">
        <v>36</v>
      </c>
      <c r="N1790" t="s">
        <v>37</v>
      </c>
      <c r="O1790">
        <v>2741</v>
      </c>
      <c r="P1790">
        <v>27</v>
      </c>
      <c r="Q1790">
        <v>0.98504000000000003</v>
      </c>
      <c r="R1790">
        <v>0</v>
      </c>
      <c r="S1790">
        <v>3.75</v>
      </c>
      <c r="T1790">
        <v>1.3680000000000001</v>
      </c>
      <c r="U1790">
        <v>0.13900000000000001</v>
      </c>
      <c r="V1790">
        <v>0</v>
      </c>
      <c r="W1790">
        <v>1</v>
      </c>
      <c r="X1790">
        <v>0</v>
      </c>
      <c r="Y1790" t="s">
        <v>36</v>
      </c>
      <c r="Z1790">
        <v>2741</v>
      </c>
      <c r="AA1790">
        <v>0</v>
      </c>
      <c r="AB1790">
        <v>29</v>
      </c>
      <c r="AC1790" t="s">
        <v>687</v>
      </c>
      <c r="AD1790" t="str">
        <f t="shared" si="56"/>
        <v>CP</v>
      </c>
      <c r="AE1790" t="str">
        <f>_xlfn.XLOOKUP(D1790,Mapping!A:A,Mapping!D:D,0,0)</f>
        <v>Shorties</v>
      </c>
      <c r="AF1790" t="str">
        <f t="shared" si="57"/>
        <v>OLD</v>
      </c>
    </row>
    <row r="1791" spans="1:32" x14ac:dyDescent="0.2">
      <c r="A1791" t="s">
        <v>1119</v>
      </c>
      <c r="B1791" t="s">
        <v>39</v>
      </c>
      <c r="C1791">
        <v>1012915042</v>
      </c>
      <c r="D1791" t="s">
        <v>777</v>
      </c>
      <c r="E1791" t="s">
        <v>31</v>
      </c>
      <c r="F1791" s="1">
        <v>0.38611111111111113</v>
      </c>
      <c r="G1791" t="s">
        <v>32</v>
      </c>
      <c r="H1791" t="s">
        <v>33</v>
      </c>
      <c r="I1791" t="s">
        <v>41</v>
      </c>
      <c r="J1791" t="s">
        <v>58</v>
      </c>
      <c r="K1791">
        <v>3</v>
      </c>
      <c r="L1791">
        <v>0</v>
      </c>
      <c r="M1791" t="s">
        <v>36</v>
      </c>
      <c r="N1791" t="s">
        <v>37</v>
      </c>
      <c r="O1791">
        <v>0</v>
      </c>
      <c r="P1791">
        <v>0</v>
      </c>
      <c r="Q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 t="s">
        <v>36</v>
      </c>
      <c r="AC1791" t="s">
        <v>687</v>
      </c>
      <c r="AD1791" t="str">
        <f t="shared" si="56"/>
        <v>CP</v>
      </c>
      <c r="AE1791" t="str">
        <f>_xlfn.XLOOKUP(D1791,Mapping!A:A,Mapping!D:D,0,0)</f>
        <v>Shorties</v>
      </c>
      <c r="AF1791" t="str">
        <f t="shared" si="57"/>
        <v>OLD</v>
      </c>
    </row>
    <row r="1792" spans="1:32" x14ac:dyDescent="0.2">
      <c r="A1792" t="s">
        <v>1119</v>
      </c>
      <c r="B1792" t="s">
        <v>29</v>
      </c>
      <c r="C1792">
        <v>1012915052</v>
      </c>
      <c r="D1792" t="s">
        <v>778</v>
      </c>
      <c r="E1792" t="s">
        <v>31</v>
      </c>
      <c r="F1792" s="1">
        <v>0.38611111111111113</v>
      </c>
      <c r="G1792" t="s">
        <v>32</v>
      </c>
      <c r="H1792" t="s">
        <v>33</v>
      </c>
      <c r="I1792" t="s">
        <v>41</v>
      </c>
      <c r="J1792" t="s">
        <v>58</v>
      </c>
      <c r="K1792">
        <v>3</v>
      </c>
      <c r="L1792">
        <v>0</v>
      </c>
      <c r="M1792" t="s">
        <v>36</v>
      </c>
      <c r="N1792" t="s">
        <v>37</v>
      </c>
      <c r="O1792">
        <v>629</v>
      </c>
      <c r="P1792">
        <v>6</v>
      </c>
      <c r="Q1792">
        <v>0.95389999999999997</v>
      </c>
      <c r="R1792">
        <v>0</v>
      </c>
      <c r="S1792">
        <v>0.23</v>
      </c>
      <c r="T1792">
        <v>0.36499999999999999</v>
      </c>
      <c r="U1792">
        <v>3.7999999999999999E-2</v>
      </c>
      <c r="V1792">
        <v>0</v>
      </c>
      <c r="W1792">
        <v>1</v>
      </c>
      <c r="X1792">
        <v>0</v>
      </c>
      <c r="Y1792" t="s">
        <v>36</v>
      </c>
      <c r="Z1792">
        <v>629</v>
      </c>
      <c r="AA1792">
        <v>0</v>
      </c>
      <c r="AB1792">
        <v>2</v>
      </c>
      <c r="AC1792" t="s">
        <v>687</v>
      </c>
      <c r="AD1792" t="str">
        <f t="shared" si="56"/>
        <v>CP</v>
      </c>
      <c r="AE1792" t="str">
        <f>_xlfn.XLOOKUP(D1792,Mapping!A:A,Mapping!D:D,0,0)</f>
        <v>Shorties</v>
      </c>
      <c r="AF1792" t="str">
        <f t="shared" si="57"/>
        <v>OLD</v>
      </c>
    </row>
    <row r="1793" spans="1:32" x14ac:dyDescent="0.2">
      <c r="A1793" t="s">
        <v>1119</v>
      </c>
      <c r="B1793" t="s">
        <v>39</v>
      </c>
      <c r="C1793">
        <v>1012915072</v>
      </c>
      <c r="D1793" t="s">
        <v>779</v>
      </c>
      <c r="E1793" t="s">
        <v>31</v>
      </c>
      <c r="F1793" s="1">
        <v>0.38611111111111113</v>
      </c>
      <c r="G1793" t="s">
        <v>32</v>
      </c>
      <c r="H1793" t="s">
        <v>33</v>
      </c>
      <c r="I1793" t="s">
        <v>41</v>
      </c>
      <c r="J1793" t="s">
        <v>58</v>
      </c>
      <c r="K1793">
        <v>3</v>
      </c>
      <c r="L1793">
        <v>0</v>
      </c>
      <c r="M1793" t="s">
        <v>36</v>
      </c>
      <c r="N1793" t="s">
        <v>37</v>
      </c>
      <c r="O1793">
        <v>0</v>
      </c>
      <c r="P1793">
        <v>0</v>
      </c>
      <c r="Q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 t="s">
        <v>36</v>
      </c>
      <c r="AC1793" t="s">
        <v>687</v>
      </c>
      <c r="AD1793" t="str">
        <f t="shared" si="56"/>
        <v>CP</v>
      </c>
      <c r="AE1793" t="str">
        <f>_xlfn.XLOOKUP(D1793,Mapping!A:A,Mapping!D:D,0,0)</f>
        <v>Shorties</v>
      </c>
      <c r="AF1793" t="str">
        <f t="shared" si="57"/>
        <v>OLD</v>
      </c>
    </row>
    <row r="1794" spans="1:32" x14ac:dyDescent="0.2">
      <c r="A1794" t="s">
        <v>1119</v>
      </c>
      <c r="B1794" t="s">
        <v>39</v>
      </c>
      <c r="C1794">
        <v>1012915082</v>
      </c>
      <c r="D1794" t="s">
        <v>780</v>
      </c>
      <c r="E1794" t="s">
        <v>31</v>
      </c>
      <c r="F1794" s="1">
        <v>0.38611111111111113</v>
      </c>
      <c r="G1794" t="s">
        <v>32</v>
      </c>
      <c r="H1794" t="s">
        <v>33</v>
      </c>
      <c r="I1794" t="s">
        <v>41</v>
      </c>
      <c r="J1794" t="s">
        <v>58</v>
      </c>
      <c r="K1794">
        <v>3</v>
      </c>
      <c r="L1794">
        <v>0</v>
      </c>
      <c r="M1794" t="s">
        <v>36</v>
      </c>
      <c r="N1794" t="s">
        <v>37</v>
      </c>
      <c r="O1794">
        <v>0</v>
      </c>
      <c r="P1794">
        <v>0</v>
      </c>
      <c r="Q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 t="s">
        <v>36</v>
      </c>
      <c r="AC1794" t="s">
        <v>687</v>
      </c>
      <c r="AD1794" t="str">
        <f t="shared" si="56"/>
        <v>CP</v>
      </c>
      <c r="AE1794" t="str">
        <f>_xlfn.XLOOKUP(D1794,Mapping!A:A,Mapping!D:D,0,0)</f>
        <v>Shorties</v>
      </c>
      <c r="AF1794" t="str">
        <f t="shared" si="57"/>
        <v>OLD</v>
      </c>
    </row>
    <row r="1795" spans="1:32" x14ac:dyDescent="0.2">
      <c r="A1795" t="s">
        <v>1119</v>
      </c>
      <c r="B1795" t="s">
        <v>29</v>
      </c>
      <c r="C1795">
        <v>1012915092</v>
      </c>
      <c r="D1795" t="s">
        <v>781</v>
      </c>
      <c r="E1795" t="s">
        <v>31</v>
      </c>
      <c r="F1795" s="1">
        <v>0.38611111111111113</v>
      </c>
      <c r="G1795" t="s">
        <v>32</v>
      </c>
      <c r="H1795" t="s">
        <v>33</v>
      </c>
      <c r="I1795" t="s">
        <v>41</v>
      </c>
      <c r="J1795" t="s">
        <v>58</v>
      </c>
      <c r="K1795">
        <v>3</v>
      </c>
      <c r="L1795">
        <v>0</v>
      </c>
      <c r="M1795" t="s">
        <v>36</v>
      </c>
      <c r="N1795" t="s">
        <v>37</v>
      </c>
      <c r="O1795">
        <v>12670</v>
      </c>
      <c r="P1795">
        <v>95</v>
      </c>
      <c r="Q1795">
        <v>0.74980000000000002</v>
      </c>
      <c r="R1795">
        <v>0</v>
      </c>
      <c r="S1795">
        <v>23.1</v>
      </c>
      <c r="T1795">
        <v>1.823</v>
      </c>
      <c r="U1795">
        <v>0.24299999999999999</v>
      </c>
      <c r="V1795">
        <v>0</v>
      </c>
      <c r="W1795">
        <v>1</v>
      </c>
      <c r="X1795">
        <v>0</v>
      </c>
      <c r="Y1795" t="s">
        <v>36</v>
      </c>
      <c r="Z1795">
        <v>12670</v>
      </c>
      <c r="AA1795">
        <v>0</v>
      </c>
      <c r="AB1795">
        <v>117</v>
      </c>
      <c r="AC1795" t="s">
        <v>687</v>
      </c>
      <c r="AD1795" t="str">
        <f t="shared" si="56"/>
        <v>CP</v>
      </c>
      <c r="AE1795" t="str">
        <f>_xlfn.XLOOKUP(D1795,Mapping!A:A,Mapping!D:D,0,0)</f>
        <v>Shorties</v>
      </c>
      <c r="AF1795" t="str">
        <f t="shared" si="57"/>
        <v>OLD</v>
      </c>
    </row>
    <row r="1796" spans="1:32" x14ac:dyDescent="0.2">
      <c r="A1796" t="s">
        <v>1119</v>
      </c>
      <c r="B1796" t="s">
        <v>29</v>
      </c>
      <c r="C1796">
        <v>1012915102</v>
      </c>
      <c r="D1796" t="s">
        <v>782</v>
      </c>
      <c r="E1796" t="s">
        <v>31</v>
      </c>
      <c r="F1796" s="1">
        <v>0.38611111111111113</v>
      </c>
      <c r="G1796" t="s">
        <v>32</v>
      </c>
      <c r="H1796" t="s">
        <v>33</v>
      </c>
      <c r="I1796" t="s">
        <v>41</v>
      </c>
      <c r="J1796" t="s">
        <v>58</v>
      </c>
      <c r="K1796">
        <v>3</v>
      </c>
      <c r="L1796">
        <v>0</v>
      </c>
      <c r="M1796" t="s">
        <v>36</v>
      </c>
      <c r="N1796" t="s">
        <v>37</v>
      </c>
      <c r="O1796">
        <v>545</v>
      </c>
      <c r="P1796">
        <v>2</v>
      </c>
      <c r="Q1796">
        <v>0.36697000000000002</v>
      </c>
      <c r="R1796">
        <v>0</v>
      </c>
      <c r="S1796">
        <v>0.2</v>
      </c>
      <c r="T1796">
        <v>0.36499999999999999</v>
      </c>
      <c r="U1796">
        <v>9.9000000000000005E-2</v>
      </c>
      <c r="V1796">
        <v>0</v>
      </c>
      <c r="W1796">
        <v>1</v>
      </c>
      <c r="X1796">
        <v>0</v>
      </c>
      <c r="Y1796" t="s">
        <v>36</v>
      </c>
      <c r="Z1796">
        <v>545</v>
      </c>
      <c r="AA1796">
        <v>0</v>
      </c>
      <c r="AB1796">
        <v>0</v>
      </c>
      <c r="AC1796" t="s">
        <v>687</v>
      </c>
      <c r="AD1796" t="str">
        <f t="shared" si="56"/>
        <v>CP</v>
      </c>
      <c r="AE1796" t="str">
        <f>_xlfn.XLOOKUP(D1796,Mapping!A:A,Mapping!D:D,0,0)</f>
        <v>Shorties</v>
      </c>
      <c r="AF1796" t="str">
        <f t="shared" si="57"/>
        <v>OLD</v>
      </c>
    </row>
    <row r="1797" spans="1:32" x14ac:dyDescent="0.2">
      <c r="A1797" t="s">
        <v>1119</v>
      </c>
      <c r="B1797" t="s">
        <v>39</v>
      </c>
      <c r="C1797">
        <v>1012915132</v>
      </c>
      <c r="D1797" t="s">
        <v>599</v>
      </c>
      <c r="E1797" t="s">
        <v>31</v>
      </c>
      <c r="F1797" s="1">
        <v>0.67291666666666672</v>
      </c>
      <c r="G1797" t="s">
        <v>32</v>
      </c>
      <c r="H1797" t="s">
        <v>33</v>
      </c>
      <c r="I1797" t="s">
        <v>34</v>
      </c>
      <c r="J1797" t="s">
        <v>84</v>
      </c>
      <c r="K1797">
        <v>36</v>
      </c>
      <c r="L1797">
        <v>0</v>
      </c>
      <c r="M1797" t="s">
        <v>63</v>
      </c>
      <c r="N1797">
        <v>250</v>
      </c>
      <c r="O1797">
        <v>0</v>
      </c>
      <c r="P1797">
        <v>0</v>
      </c>
      <c r="Q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 t="s">
        <v>36</v>
      </c>
      <c r="AC1797" t="s">
        <v>687</v>
      </c>
      <c r="AD1797" t="str">
        <f t="shared" si="56"/>
        <v>CP</v>
      </c>
      <c r="AE1797" t="str">
        <f>_xlfn.XLOOKUP(D1797,Mapping!A:A,Mapping!D:D,0,0)</f>
        <v>Bin</v>
      </c>
      <c r="AF1797" t="str">
        <f t="shared" si="57"/>
        <v>OLD</v>
      </c>
    </row>
    <row r="1798" spans="1:32" x14ac:dyDescent="0.2">
      <c r="A1798" t="s">
        <v>1119</v>
      </c>
      <c r="B1798" t="s">
        <v>39</v>
      </c>
      <c r="C1798">
        <v>1012915142</v>
      </c>
      <c r="D1798" t="s">
        <v>627</v>
      </c>
      <c r="E1798" t="s">
        <v>31</v>
      </c>
      <c r="F1798" s="1">
        <v>0.67291666666666672</v>
      </c>
      <c r="G1798" t="s">
        <v>32</v>
      </c>
      <c r="H1798" t="s">
        <v>33</v>
      </c>
      <c r="I1798" t="s">
        <v>41</v>
      </c>
      <c r="J1798" t="s">
        <v>62</v>
      </c>
      <c r="K1798">
        <v>90</v>
      </c>
      <c r="L1798">
        <v>0</v>
      </c>
      <c r="M1798" t="s">
        <v>63</v>
      </c>
      <c r="N1798">
        <v>250</v>
      </c>
      <c r="O1798">
        <v>0</v>
      </c>
      <c r="P1798">
        <v>0</v>
      </c>
      <c r="Q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 t="s">
        <v>36</v>
      </c>
      <c r="AC1798" t="s">
        <v>687</v>
      </c>
      <c r="AD1798" t="str">
        <f t="shared" si="56"/>
        <v>CP</v>
      </c>
      <c r="AE1798" t="str">
        <f>_xlfn.XLOOKUP(D1798,Mapping!A:A,Mapping!D:D,0,0)</f>
        <v>Bin</v>
      </c>
      <c r="AF1798" t="str">
        <f t="shared" si="57"/>
        <v>OLD</v>
      </c>
    </row>
    <row r="1799" spans="1:32" x14ac:dyDescent="0.2">
      <c r="A1799" t="s">
        <v>1119</v>
      </c>
      <c r="B1799" t="s">
        <v>39</v>
      </c>
      <c r="C1799">
        <v>1012915172</v>
      </c>
      <c r="D1799" t="s">
        <v>339</v>
      </c>
      <c r="E1799" t="s">
        <v>31</v>
      </c>
      <c r="F1799" s="1">
        <v>0.67291666666666672</v>
      </c>
      <c r="G1799" t="s">
        <v>32</v>
      </c>
      <c r="H1799" t="s">
        <v>33</v>
      </c>
      <c r="I1799" t="s">
        <v>41</v>
      </c>
      <c r="J1799" t="s">
        <v>62</v>
      </c>
      <c r="K1799">
        <v>90</v>
      </c>
      <c r="L1799">
        <v>0</v>
      </c>
      <c r="M1799" t="s">
        <v>63</v>
      </c>
      <c r="N1799">
        <v>250</v>
      </c>
      <c r="O1799">
        <v>0</v>
      </c>
      <c r="P1799">
        <v>0</v>
      </c>
      <c r="Q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 t="s">
        <v>36</v>
      </c>
      <c r="AC1799" t="s">
        <v>687</v>
      </c>
      <c r="AD1799" t="str">
        <f t="shared" si="56"/>
        <v>CP</v>
      </c>
      <c r="AE1799" t="str">
        <f>_xlfn.XLOOKUP(D1799,Mapping!A:A,Mapping!D:D,0,0)</f>
        <v>Bin</v>
      </c>
      <c r="AF1799" t="str">
        <f t="shared" si="57"/>
        <v>OLD</v>
      </c>
    </row>
    <row r="1800" spans="1:32" x14ac:dyDescent="0.2">
      <c r="A1800" t="s">
        <v>1119</v>
      </c>
      <c r="B1800" t="s">
        <v>39</v>
      </c>
      <c r="C1800">
        <v>1012915182</v>
      </c>
      <c r="D1800" t="s">
        <v>336</v>
      </c>
      <c r="E1800" t="s">
        <v>31</v>
      </c>
      <c r="F1800" s="1">
        <v>0.67291666666666672</v>
      </c>
      <c r="G1800" t="s">
        <v>32</v>
      </c>
      <c r="H1800" t="s">
        <v>33</v>
      </c>
      <c r="I1800" t="s">
        <v>41</v>
      </c>
      <c r="J1800" t="s">
        <v>62</v>
      </c>
      <c r="K1800">
        <v>90</v>
      </c>
      <c r="L1800">
        <v>0</v>
      </c>
      <c r="M1800" t="s">
        <v>63</v>
      </c>
      <c r="N1800">
        <v>250</v>
      </c>
      <c r="O1800">
        <v>0</v>
      </c>
      <c r="P1800">
        <v>0</v>
      </c>
      <c r="Q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 t="s">
        <v>36</v>
      </c>
      <c r="AC1800" t="s">
        <v>687</v>
      </c>
      <c r="AD1800" t="str">
        <f t="shared" si="56"/>
        <v>CP</v>
      </c>
      <c r="AE1800" t="str">
        <f>_xlfn.XLOOKUP(D1800,Mapping!A:A,Mapping!D:D,0,0)</f>
        <v>Bin</v>
      </c>
      <c r="AF1800" t="str">
        <f t="shared" si="57"/>
        <v>OLD</v>
      </c>
    </row>
    <row r="1801" spans="1:32" x14ac:dyDescent="0.2">
      <c r="A1801" t="s">
        <v>1119</v>
      </c>
      <c r="B1801" t="s">
        <v>39</v>
      </c>
      <c r="C1801">
        <v>1012915192</v>
      </c>
      <c r="D1801" t="s">
        <v>342</v>
      </c>
      <c r="E1801" t="s">
        <v>31</v>
      </c>
      <c r="F1801" s="1">
        <v>0.67291666666666672</v>
      </c>
      <c r="G1801" t="s">
        <v>32</v>
      </c>
      <c r="H1801" t="s">
        <v>33</v>
      </c>
      <c r="I1801" t="s">
        <v>41</v>
      </c>
      <c r="J1801" t="s">
        <v>62</v>
      </c>
      <c r="K1801">
        <v>90</v>
      </c>
      <c r="L1801">
        <v>0</v>
      </c>
      <c r="M1801" t="s">
        <v>63</v>
      </c>
      <c r="N1801">
        <v>250</v>
      </c>
      <c r="O1801">
        <v>0</v>
      </c>
      <c r="P1801">
        <v>0</v>
      </c>
      <c r="Q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 t="s">
        <v>36</v>
      </c>
      <c r="AC1801" t="s">
        <v>687</v>
      </c>
      <c r="AD1801" t="str">
        <f t="shared" si="56"/>
        <v>CP</v>
      </c>
      <c r="AE1801" t="str">
        <f>_xlfn.XLOOKUP(D1801,Mapping!A:A,Mapping!D:D,0,0)</f>
        <v>Bin</v>
      </c>
      <c r="AF1801" t="str">
        <f t="shared" si="57"/>
        <v>OLD</v>
      </c>
    </row>
    <row r="1802" spans="1:32" x14ac:dyDescent="0.2">
      <c r="A1802" t="s">
        <v>1119</v>
      </c>
      <c r="B1802" t="s">
        <v>39</v>
      </c>
      <c r="C1802">
        <v>1012915202</v>
      </c>
      <c r="D1802" t="s">
        <v>784</v>
      </c>
      <c r="E1802" t="s">
        <v>31</v>
      </c>
      <c r="F1802" s="1">
        <v>0.67291666666666672</v>
      </c>
      <c r="G1802" t="s">
        <v>32</v>
      </c>
      <c r="H1802" t="s">
        <v>33</v>
      </c>
      <c r="I1802" t="s">
        <v>41</v>
      </c>
      <c r="J1802" t="s">
        <v>62</v>
      </c>
      <c r="K1802">
        <v>90</v>
      </c>
      <c r="L1802">
        <v>0</v>
      </c>
      <c r="M1802" t="s">
        <v>63</v>
      </c>
      <c r="N1802">
        <v>250</v>
      </c>
      <c r="O1802">
        <v>0</v>
      </c>
      <c r="P1802">
        <v>0</v>
      </c>
      <c r="Q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 t="s">
        <v>36</v>
      </c>
      <c r="AC1802" t="s">
        <v>687</v>
      </c>
      <c r="AD1802" t="str">
        <f t="shared" si="56"/>
        <v>CP</v>
      </c>
      <c r="AE1802" t="str">
        <f>_xlfn.XLOOKUP(D1802,Mapping!A:A,Mapping!D:D,0,0)</f>
        <v>Cowgirl</v>
      </c>
      <c r="AF1802" t="str">
        <f t="shared" si="57"/>
        <v>OLD</v>
      </c>
    </row>
    <row r="1803" spans="1:32" x14ac:dyDescent="0.2">
      <c r="A1803" t="s">
        <v>1119</v>
      </c>
      <c r="B1803" t="s">
        <v>39</v>
      </c>
      <c r="C1803">
        <v>1012915212</v>
      </c>
      <c r="D1803" t="s">
        <v>637</v>
      </c>
      <c r="E1803" t="s">
        <v>31</v>
      </c>
      <c r="F1803" s="1">
        <v>0.67291666666666672</v>
      </c>
      <c r="G1803" t="s">
        <v>32</v>
      </c>
      <c r="H1803" t="s">
        <v>33</v>
      </c>
      <c r="I1803" t="s">
        <v>41</v>
      </c>
      <c r="J1803" t="s">
        <v>62</v>
      </c>
      <c r="K1803">
        <v>90</v>
      </c>
      <c r="L1803">
        <v>0</v>
      </c>
      <c r="M1803" t="s">
        <v>63</v>
      </c>
      <c r="N1803">
        <v>250</v>
      </c>
      <c r="O1803">
        <v>0</v>
      </c>
      <c r="P1803">
        <v>0</v>
      </c>
      <c r="Q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 t="s">
        <v>36</v>
      </c>
      <c r="AC1803" t="s">
        <v>687</v>
      </c>
      <c r="AD1803" t="str">
        <f t="shared" si="56"/>
        <v>CP</v>
      </c>
      <c r="AE1803" t="str">
        <f>_xlfn.XLOOKUP(D1803,Mapping!A:A,Mapping!D:D,0,0)</f>
        <v>Bin</v>
      </c>
      <c r="AF1803" t="str">
        <f t="shared" si="57"/>
        <v>OLD</v>
      </c>
    </row>
    <row r="1804" spans="1:32" x14ac:dyDescent="0.2">
      <c r="A1804" t="s">
        <v>1119</v>
      </c>
      <c r="B1804" t="s">
        <v>39</v>
      </c>
      <c r="C1804">
        <v>1012915222</v>
      </c>
      <c r="D1804" t="s">
        <v>785</v>
      </c>
      <c r="E1804" t="s">
        <v>31</v>
      </c>
      <c r="F1804" s="1">
        <v>0.67291666666666672</v>
      </c>
      <c r="G1804" t="s">
        <v>32</v>
      </c>
      <c r="H1804" t="s">
        <v>33</v>
      </c>
      <c r="I1804" t="s">
        <v>41</v>
      </c>
      <c r="J1804" t="s">
        <v>62</v>
      </c>
      <c r="K1804">
        <v>90</v>
      </c>
      <c r="L1804">
        <v>0</v>
      </c>
      <c r="M1804" t="s">
        <v>63</v>
      </c>
      <c r="N1804">
        <v>250</v>
      </c>
      <c r="O1804">
        <v>0</v>
      </c>
      <c r="P1804">
        <v>0</v>
      </c>
      <c r="Q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 t="s">
        <v>36</v>
      </c>
      <c r="AC1804" t="s">
        <v>687</v>
      </c>
      <c r="AD1804" t="str">
        <f t="shared" si="56"/>
        <v>CP</v>
      </c>
      <c r="AE1804" t="str">
        <f>_xlfn.XLOOKUP(D1804,Mapping!A:A,Mapping!D:D,0,0)</f>
        <v>Cowgirl</v>
      </c>
      <c r="AF1804" t="str">
        <f t="shared" si="57"/>
        <v>OLD</v>
      </c>
    </row>
    <row r="1805" spans="1:32" x14ac:dyDescent="0.2">
      <c r="A1805" t="s">
        <v>1119</v>
      </c>
      <c r="B1805" t="s">
        <v>39</v>
      </c>
      <c r="C1805">
        <v>1012915232</v>
      </c>
      <c r="D1805" t="s">
        <v>786</v>
      </c>
      <c r="E1805" t="s">
        <v>31</v>
      </c>
      <c r="F1805" s="1">
        <v>0.67291666666666672</v>
      </c>
      <c r="G1805" t="s">
        <v>32</v>
      </c>
      <c r="H1805" t="s">
        <v>33</v>
      </c>
      <c r="I1805" t="s">
        <v>41</v>
      </c>
      <c r="J1805" t="s">
        <v>62</v>
      </c>
      <c r="K1805">
        <v>90</v>
      </c>
      <c r="L1805">
        <v>0</v>
      </c>
      <c r="M1805" t="s">
        <v>63</v>
      </c>
      <c r="N1805">
        <v>250</v>
      </c>
      <c r="O1805">
        <v>0</v>
      </c>
      <c r="P1805">
        <v>0</v>
      </c>
      <c r="Q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 t="s">
        <v>36</v>
      </c>
      <c r="AC1805" t="s">
        <v>687</v>
      </c>
      <c r="AD1805" t="str">
        <f t="shared" si="56"/>
        <v>CP</v>
      </c>
      <c r="AE1805" t="str">
        <f>_xlfn.XLOOKUP(D1805,Mapping!A:A,Mapping!D:D,0,0)</f>
        <v>Cowgirl</v>
      </c>
      <c r="AF1805" t="str">
        <f t="shared" si="57"/>
        <v>OLD</v>
      </c>
    </row>
    <row r="1806" spans="1:32" x14ac:dyDescent="0.2">
      <c r="A1806" t="s">
        <v>1119</v>
      </c>
      <c r="B1806" t="s">
        <v>39</v>
      </c>
      <c r="C1806">
        <v>1012915242</v>
      </c>
      <c r="D1806" t="s">
        <v>343</v>
      </c>
      <c r="E1806" t="s">
        <v>31</v>
      </c>
      <c r="F1806" s="1">
        <v>0.67291666666666672</v>
      </c>
      <c r="G1806" t="s">
        <v>32</v>
      </c>
      <c r="H1806" t="s">
        <v>33</v>
      </c>
      <c r="I1806" t="s">
        <v>41</v>
      </c>
      <c r="J1806" t="s">
        <v>62</v>
      </c>
      <c r="K1806">
        <v>90</v>
      </c>
      <c r="L1806">
        <v>0</v>
      </c>
      <c r="M1806" t="s">
        <v>63</v>
      </c>
      <c r="N1806">
        <v>250</v>
      </c>
      <c r="O1806">
        <v>0</v>
      </c>
      <c r="P1806">
        <v>0</v>
      </c>
      <c r="Q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 t="s">
        <v>36</v>
      </c>
      <c r="AC1806" t="s">
        <v>687</v>
      </c>
      <c r="AD1806" t="str">
        <f t="shared" si="56"/>
        <v>CP</v>
      </c>
      <c r="AE1806" t="str">
        <f>_xlfn.XLOOKUP(D1806,Mapping!A:A,Mapping!D:D,0,0)</f>
        <v>Archive</v>
      </c>
      <c r="AF1806" t="str">
        <f t="shared" si="57"/>
        <v>OLD</v>
      </c>
    </row>
    <row r="1807" spans="1:32" x14ac:dyDescent="0.2">
      <c r="A1807" t="s">
        <v>1119</v>
      </c>
      <c r="B1807" t="s">
        <v>39</v>
      </c>
      <c r="C1807">
        <v>1012915252</v>
      </c>
      <c r="D1807" t="s">
        <v>787</v>
      </c>
      <c r="E1807" t="s">
        <v>31</v>
      </c>
      <c r="F1807" s="1">
        <v>0.67291666666666672</v>
      </c>
      <c r="G1807" t="s">
        <v>32</v>
      </c>
      <c r="H1807" t="s">
        <v>33</v>
      </c>
      <c r="I1807" t="s">
        <v>41</v>
      </c>
      <c r="J1807" t="s">
        <v>62</v>
      </c>
      <c r="K1807">
        <v>90</v>
      </c>
      <c r="L1807">
        <v>0</v>
      </c>
      <c r="M1807" t="s">
        <v>63</v>
      </c>
      <c r="N1807">
        <v>250</v>
      </c>
      <c r="O1807">
        <v>0</v>
      </c>
      <c r="P1807">
        <v>0</v>
      </c>
      <c r="Q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 t="s">
        <v>36</v>
      </c>
      <c r="AC1807" t="s">
        <v>687</v>
      </c>
      <c r="AD1807" t="str">
        <f t="shared" si="56"/>
        <v>CP</v>
      </c>
      <c r="AE1807" t="str">
        <f>_xlfn.XLOOKUP(D1807,Mapping!A:A,Mapping!D:D,0,0)</f>
        <v>Cowgirl</v>
      </c>
      <c r="AF1807" t="str">
        <f t="shared" si="57"/>
        <v>OLD</v>
      </c>
    </row>
    <row r="1808" spans="1:32" x14ac:dyDescent="0.2">
      <c r="A1808" t="s">
        <v>1119</v>
      </c>
      <c r="B1808" t="s">
        <v>29</v>
      </c>
      <c r="C1808">
        <v>1012915262</v>
      </c>
      <c r="D1808" t="s">
        <v>788</v>
      </c>
      <c r="E1808" t="s">
        <v>31</v>
      </c>
      <c r="F1808" s="1">
        <v>0.67291666666666672</v>
      </c>
      <c r="G1808" t="s">
        <v>32</v>
      </c>
      <c r="H1808" t="s">
        <v>33</v>
      </c>
      <c r="I1808" t="s">
        <v>34</v>
      </c>
      <c r="J1808" t="s">
        <v>84</v>
      </c>
      <c r="K1808">
        <v>36</v>
      </c>
      <c r="L1808">
        <v>0</v>
      </c>
      <c r="M1808" t="s">
        <v>63</v>
      </c>
      <c r="N1808">
        <v>250</v>
      </c>
      <c r="O1808">
        <v>490</v>
      </c>
      <c r="P1808">
        <v>18</v>
      </c>
      <c r="Q1808">
        <v>3.67347</v>
      </c>
      <c r="R1808">
        <v>0</v>
      </c>
      <c r="S1808">
        <v>0.5</v>
      </c>
      <c r="T1808">
        <v>1.0229999999999999</v>
      </c>
      <c r="U1808">
        <v>2.8000000000000001E-2</v>
      </c>
      <c r="V1808">
        <v>0</v>
      </c>
      <c r="W1808">
        <v>1</v>
      </c>
      <c r="X1808">
        <v>0</v>
      </c>
      <c r="Y1808" t="s">
        <v>36</v>
      </c>
      <c r="Z1808">
        <v>490</v>
      </c>
      <c r="AA1808">
        <v>329</v>
      </c>
      <c r="AB1808">
        <v>87</v>
      </c>
      <c r="AC1808" t="s">
        <v>687</v>
      </c>
      <c r="AD1808" t="str">
        <f t="shared" si="56"/>
        <v>CP</v>
      </c>
      <c r="AE1808" t="str">
        <f>_xlfn.XLOOKUP(D1808,Mapping!A:A,Mapping!D:D,0,0)</f>
        <v>Keyword - Preroll</v>
      </c>
      <c r="AF1808" t="str">
        <f t="shared" si="57"/>
        <v>OLD</v>
      </c>
    </row>
    <row r="1809" spans="1:32" x14ac:dyDescent="0.2">
      <c r="A1809" t="s">
        <v>1119</v>
      </c>
      <c r="B1809" t="s">
        <v>39</v>
      </c>
      <c r="C1809">
        <v>1012915272</v>
      </c>
      <c r="D1809" t="s">
        <v>344</v>
      </c>
      <c r="E1809" t="s">
        <v>31</v>
      </c>
      <c r="F1809" s="1">
        <v>0.67291666666666672</v>
      </c>
      <c r="G1809" t="s">
        <v>32</v>
      </c>
      <c r="H1809" t="s">
        <v>33</v>
      </c>
      <c r="I1809" t="s">
        <v>34</v>
      </c>
      <c r="J1809" t="s">
        <v>84</v>
      </c>
      <c r="K1809">
        <v>36</v>
      </c>
      <c r="L1809">
        <v>0</v>
      </c>
      <c r="M1809" t="s">
        <v>63</v>
      </c>
      <c r="N1809">
        <v>250</v>
      </c>
      <c r="O1809">
        <v>0</v>
      </c>
      <c r="P1809">
        <v>0</v>
      </c>
      <c r="Q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 t="s">
        <v>36</v>
      </c>
      <c r="AC1809" t="s">
        <v>687</v>
      </c>
      <c r="AD1809" t="str">
        <f t="shared" si="56"/>
        <v>CP</v>
      </c>
      <c r="AE1809" t="str">
        <f>_xlfn.XLOOKUP(D1809,Mapping!A:A,Mapping!D:D,0,0)</f>
        <v>Bin</v>
      </c>
      <c r="AF1809" t="str">
        <f t="shared" si="57"/>
        <v>OLD</v>
      </c>
    </row>
    <row r="1810" spans="1:32" x14ac:dyDescent="0.2">
      <c r="A1810" t="s">
        <v>1119</v>
      </c>
      <c r="B1810" t="s">
        <v>39</v>
      </c>
      <c r="C1810">
        <v>1012915282</v>
      </c>
      <c r="D1810" t="s">
        <v>341</v>
      </c>
      <c r="E1810" t="s">
        <v>31</v>
      </c>
      <c r="F1810" s="1">
        <v>0.67291666666666672</v>
      </c>
      <c r="G1810" t="s">
        <v>32</v>
      </c>
      <c r="H1810" t="s">
        <v>33</v>
      </c>
      <c r="I1810" t="s">
        <v>34</v>
      </c>
      <c r="J1810" t="s">
        <v>84</v>
      </c>
      <c r="K1810">
        <v>36</v>
      </c>
      <c r="L1810">
        <v>0</v>
      </c>
      <c r="M1810" t="s">
        <v>63</v>
      </c>
      <c r="N1810">
        <v>250</v>
      </c>
      <c r="O1810">
        <v>0</v>
      </c>
      <c r="P1810">
        <v>0</v>
      </c>
      <c r="Q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 t="s">
        <v>36</v>
      </c>
      <c r="AC1810" t="s">
        <v>687</v>
      </c>
      <c r="AD1810" t="str">
        <f t="shared" si="56"/>
        <v>CP</v>
      </c>
      <c r="AE1810" t="str">
        <f>_xlfn.XLOOKUP(D1810,Mapping!A:A,Mapping!D:D,0,0)</f>
        <v>Bin</v>
      </c>
      <c r="AF1810" t="str">
        <f t="shared" si="57"/>
        <v>OLD</v>
      </c>
    </row>
    <row r="1811" spans="1:32" x14ac:dyDescent="0.2">
      <c r="A1811" t="s">
        <v>1119</v>
      </c>
      <c r="B1811" t="s">
        <v>39</v>
      </c>
      <c r="C1811">
        <v>1012915292</v>
      </c>
      <c r="D1811" t="s">
        <v>598</v>
      </c>
      <c r="E1811" t="s">
        <v>31</v>
      </c>
      <c r="F1811" s="1">
        <v>0.67291666666666672</v>
      </c>
      <c r="G1811" t="s">
        <v>32</v>
      </c>
      <c r="H1811" t="s">
        <v>33</v>
      </c>
      <c r="I1811" t="s">
        <v>34</v>
      </c>
      <c r="J1811" t="s">
        <v>84</v>
      </c>
      <c r="K1811">
        <v>36</v>
      </c>
      <c r="L1811">
        <v>0</v>
      </c>
      <c r="M1811" t="s">
        <v>63</v>
      </c>
      <c r="N1811">
        <v>250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 t="s">
        <v>36</v>
      </c>
      <c r="Z1811">
        <v>0</v>
      </c>
      <c r="AA1811">
        <v>0</v>
      </c>
      <c r="AB1811">
        <v>0</v>
      </c>
      <c r="AC1811" t="s">
        <v>687</v>
      </c>
      <c r="AD1811" t="str">
        <f t="shared" si="56"/>
        <v>CP</v>
      </c>
      <c r="AE1811" t="str">
        <f>_xlfn.XLOOKUP(D1811,Mapping!A:A,Mapping!D:D,0,0)</f>
        <v>Keyword - Preroll</v>
      </c>
      <c r="AF1811" t="str">
        <f t="shared" si="57"/>
        <v>OLD</v>
      </c>
    </row>
    <row r="1812" spans="1:32" x14ac:dyDescent="0.2">
      <c r="A1812" t="s">
        <v>1119</v>
      </c>
      <c r="B1812" t="s">
        <v>39</v>
      </c>
      <c r="C1812">
        <v>1012915392</v>
      </c>
      <c r="D1812" t="s">
        <v>122</v>
      </c>
      <c r="E1812" t="s">
        <v>31</v>
      </c>
      <c r="F1812" s="1">
        <v>0.67291666666666672</v>
      </c>
      <c r="G1812" t="s">
        <v>32</v>
      </c>
      <c r="H1812" t="s">
        <v>33</v>
      </c>
      <c r="I1812" t="s">
        <v>41</v>
      </c>
      <c r="J1812" t="s">
        <v>58</v>
      </c>
      <c r="K1812">
        <v>20</v>
      </c>
      <c r="L1812">
        <v>0</v>
      </c>
      <c r="M1812" t="s">
        <v>63</v>
      </c>
      <c r="N1812">
        <v>250</v>
      </c>
      <c r="O1812">
        <v>0</v>
      </c>
      <c r="P1812">
        <v>0</v>
      </c>
      <c r="Q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 t="s">
        <v>36</v>
      </c>
      <c r="AC1812" t="s">
        <v>687</v>
      </c>
      <c r="AD1812" t="str">
        <f t="shared" si="56"/>
        <v>CP</v>
      </c>
      <c r="AE1812" t="str">
        <f>_xlfn.XLOOKUP(D1812,Mapping!A:A,Mapping!D:D,0,0)</f>
        <v>Bin</v>
      </c>
      <c r="AF1812" t="str">
        <f t="shared" si="57"/>
        <v>OLD</v>
      </c>
    </row>
    <row r="1813" spans="1:32" x14ac:dyDescent="0.2">
      <c r="A1813" t="s">
        <v>1119</v>
      </c>
      <c r="B1813" t="s">
        <v>29</v>
      </c>
      <c r="C1813">
        <v>1012915402</v>
      </c>
      <c r="D1813" t="s">
        <v>123</v>
      </c>
      <c r="E1813" t="s">
        <v>31</v>
      </c>
      <c r="F1813" s="1">
        <v>0.67291666666666672</v>
      </c>
      <c r="G1813" t="s">
        <v>32</v>
      </c>
      <c r="H1813" t="s">
        <v>33</v>
      </c>
      <c r="I1813" t="s">
        <v>34</v>
      </c>
      <c r="J1813" t="s">
        <v>124</v>
      </c>
      <c r="K1813">
        <v>16</v>
      </c>
      <c r="L1813">
        <v>0</v>
      </c>
      <c r="M1813" t="s">
        <v>36</v>
      </c>
      <c r="N1813" t="s">
        <v>37</v>
      </c>
      <c r="O1813">
        <v>16180</v>
      </c>
      <c r="P1813">
        <v>652</v>
      </c>
      <c r="Q1813">
        <v>4.0296700000000003</v>
      </c>
      <c r="R1813">
        <v>1</v>
      </c>
      <c r="S1813">
        <v>45.05</v>
      </c>
      <c r="T1813">
        <v>2.7839999999999998</v>
      </c>
      <c r="U1813">
        <v>6.9000000000000006E-2</v>
      </c>
      <c r="V1813">
        <v>45.051000000000002</v>
      </c>
      <c r="W1813">
        <v>1</v>
      </c>
      <c r="X1813">
        <v>0</v>
      </c>
      <c r="Y1813" t="s">
        <v>36</v>
      </c>
      <c r="Z1813">
        <v>16180</v>
      </c>
      <c r="AA1813">
        <v>12680</v>
      </c>
      <c r="AB1813">
        <v>1791</v>
      </c>
      <c r="AC1813" t="s">
        <v>687</v>
      </c>
      <c r="AD1813" t="str">
        <f t="shared" ref="AD1813:AD1876" si="58">LEFT(D1813,2)</f>
        <v>CP</v>
      </c>
      <c r="AE1813" t="str">
        <f>_xlfn.XLOOKUP(D1813,Mapping!A:A,Mapping!D:D,0,0)</f>
        <v>Trans</v>
      </c>
      <c r="AF1813" t="str">
        <f t="shared" ref="AF1813:AF1876" si="59">IFERROR(IF(SEARCH("_TJ",D1813)&gt;0,"TJ",NA()),IFERROR(IF(SEARCH("_JB",D1813)&gt;0,"JB",NA()),"OLD"))</f>
        <v>OLD</v>
      </c>
    </row>
    <row r="1814" spans="1:32" x14ac:dyDescent="0.2">
      <c r="A1814" t="s">
        <v>1119</v>
      </c>
      <c r="B1814" t="s">
        <v>39</v>
      </c>
      <c r="C1814">
        <v>1012915422</v>
      </c>
      <c r="D1814" t="s">
        <v>639</v>
      </c>
      <c r="E1814" t="s">
        <v>31</v>
      </c>
      <c r="F1814" s="1">
        <v>0.67291666666666672</v>
      </c>
      <c r="G1814" t="s">
        <v>32</v>
      </c>
      <c r="H1814" t="s">
        <v>33</v>
      </c>
      <c r="I1814" t="s">
        <v>41</v>
      </c>
      <c r="J1814" t="s">
        <v>58</v>
      </c>
      <c r="K1814">
        <v>20</v>
      </c>
      <c r="L1814">
        <v>0</v>
      </c>
      <c r="M1814" t="s">
        <v>63</v>
      </c>
      <c r="N1814">
        <v>250</v>
      </c>
      <c r="O1814">
        <v>0</v>
      </c>
      <c r="P1814">
        <v>0</v>
      </c>
      <c r="Q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 t="s">
        <v>36</v>
      </c>
      <c r="AC1814" t="s">
        <v>687</v>
      </c>
      <c r="AD1814" t="str">
        <f t="shared" si="58"/>
        <v>CP</v>
      </c>
      <c r="AE1814" t="str">
        <f>_xlfn.XLOOKUP(D1814,Mapping!A:A,Mapping!D:D,0,0)</f>
        <v>Bin</v>
      </c>
      <c r="AF1814" t="str">
        <f t="shared" si="59"/>
        <v>OLD</v>
      </c>
    </row>
    <row r="1815" spans="1:32" x14ac:dyDescent="0.2">
      <c r="A1815" t="s">
        <v>1119</v>
      </c>
      <c r="B1815" t="s">
        <v>39</v>
      </c>
      <c r="C1815">
        <v>1012915432</v>
      </c>
      <c r="D1815" t="s">
        <v>790</v>
      </c>
      <c r="E1815" t="s">
        <v>31</v>
      </c>
      <c r="F1815" s="1">
        <v>0.67291666666666672</v>
      </c>
      <c r="G1815" t="s">
        <v>32</v>
      </c>
      <c r="H1815" t="s">
        <v>33</v>
      </c>
      <c r="I1815" t="s">
        <v>34</v>
      </c>
      <c r="J1815" t="s">
        <v>35</v>
      </c>
      <c r="K1815">
        <v>36</v>
      </c>
      <c r="L1815">
        <v>0</v>
      </c>
      <c r="M1815" t="s">
        <v>63</v>
      </c>
      <c r="N1815">
        <v>250</v>
      </c>
      <c r="O1815">
        <v>0</v>
      </c>
      <c r="P1815">
        <v>0</v>
      </c>
      <c r="Q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 t="s">
        <v>36</v>
      </c>
      <c r="AC1815" t="s">
        <v>687</v>
      </c>
      <c r="AD1815" t="str">
        <f t="shared" si="58"/>
        <v>CP</v>
      </c>
      <c r="AE1815" t="str">
        <f>_xlfn.XLOOKUP(D1815,Mapping!A:A,Mapping!D:D,0,0)</f>
        <v>Erotica Interest</v>
      </c>
      <c r="AF1815" t="str">
        <f t="shared" si="59"/>
        <v>OLD</v>
      </c>
    </row>
    <row r="1816" spans="1:32" x14ac:dyDescent="0.2">
      <c r="A1816" t="s">
        <v>1119</v>
      </c>
      <c r="B1816" t="s">
        <v>39</v>
      </c>
      <c r="C1816">
        <v>1012915442</v>
      </c>
      <c r="D1816" t="s">
        <v>792</v>
      </c>
      <c r="E1816" t="s">
        <v>31</v>
      </c>
      <c r="F1816" s="1">
        <v>0.67291666666666672</v>
      </c>
      <c r="G1816" t="s">
        <v>32</v>
      </c>
      <c r="H1816" t="s">
        <v>33</v>
      </c>
      <c r="I1816" t="s">
        <v>41</v>
      </c>
      <c r="J1816" t="s">
        <v>42</v>
      </c>
      <c r="K1816">
        <v>90</v>
      </c>
      <c r="L1816">
        <v>0</v>
      </c>
      <c r="M1816" t="s">
        <v>63</v>
      </c>
      <c r="N1816">
        <v>250</v>
      </c>
      <c r="O1816">
        <v>0</v>
      </c>
      <c r="P1816">
        <v>0</v>
      </c>
      <c r="Q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 t="s">
        <v>36</v>
      </c>
      <c r="AC1816" t="s">
        <v>687</v>
      </c>
      <c r="AD1816" t="str">
        <f t="shared" si="58"/>
        <v>CP</v>
      </c>
      <c r="AE1816" t="str">
        <f>_xlfn.XLOOKUP(D1816,Mapping!A:A,Mapping!D:D,0,0)</f>
        <v>Erotica Interest</v>
      </c>
      <c r="AF1816" t="str">
        <f t="shared" si="59"/>
        <v>OLD</v>
      </c>
    </row>
    <row r="1817" spans="1:32" x14ac:dyDescent="0.2">
      <c r="A1817" t="s">
        <v>1119</v>
      </c>
      <c r="B1817" t="s">
        <v>29</v>
      </c>
      <c r="C1817">
        <v>1012915452</v>
      </c>
      <c r="D1817" t="s">
        <v>793</v>
      </c>
      <c r="E1817" t="s">
        <v>31</v>
      </c>
      <c r="F1817" s="1">
        <v>0.67291666666666672</v>
      </c>
      <c r="G1817" t="s">
        <v>32</v>
      </c>
      <c r="H1817" t="s">
        <v>33</v>
      </c>
      <c r="I1817" t="s">
        <v>41</v>
      </c>
      <c r="J1817" t="s">
        <v>42</v>
      </c>
      <c r="K1817">
        <v>90</v>
      </c>
      <c r="L1817">
        <v>0</v>
      </c>
      <c r="M1817" t="s">
        <v>63</v>
      </c>
      <c r="N1817">
        <v>250</v>
      </c>
      <c r="O1817">
        <v>372</v>
      </c>
      <c r="P1817">
        <v>22</v>
      </c>
      <c r="Q1817">
        <v>5.9139799999999996</v>
      </c>
      <c r="R1817">
        <v>0</v>
      </c>
      <c r="S1817">
        <v>1.1399999999999999</v>
      </c>
      <c r="T1817">
        <v>3.0659999999999998</v>
      </c>
      <c r="U1817">
        <v>5.1999999999999998E-2</v>
      </c>
      <c r="V1817">
        <v>0</v>
      </c>
      <c r="W1817">
        <v>1</v>
      </c>
      <c r="X1817">
        <v>0</v>
      </c>
      <c r="Y1817" t="s">
        <v>36</v>
      </c>
      <c r="Z1817">
        <v>372</v>
      </c>
      <c r="AA1817">
        <v>327</v>
      </c>
      <c r="AB1817">
        <v>29</v>
      </c>
      <c r="AC1817" t="s">
        <v>687</v>
      </c>
      <c r="AD1817" t="str">
        <f t="shared" si="58"/>
        <v>CP</v>
      </c>
      <c r="AE1817" t="str">
        <f>_xlfn.XLOOKUP(D1817,Mapping!A:A,Mapping!D:D,0,0)</f>
        <v>Keyword - Preroll</v>
      </c>
      <c r="AF1817" t="str">
        <f t="shared" si="59"/>
        <v>OLD</v>
      </c>
    </row>
    <row r="1818" spans="1:32" x14ac:dyDescent="0.2">
      <c r="A1818" t="s">
        <v>1119</v>
      </c>
      <c r="B1818" t="s">
        <v>29</v>
      </c>
      <c r="C1818">
        <v>1012915462</v>
      </c>
      <c r="D1818" t="s">
        <v>794</v>
      </c>
      <c r="E1818" t="s">
        <v>31</v>
      </c>
      <c r="F1818" s="1">
        <v>0.67291666666666672</v>
      </c>
      <c r="G1818" t="s">
        <v>32</v>
      </c>
      <c r="H1818" t="s">
        <v>33</v>
      </c>
      <c r="I1818" t="s">
        <v>34</v>
      </c>
      <c r="J1818" t="s">
        <v>35</v>
      </c>
      <c r="K1818">
        <v>36</v>
      </c>
      <c r="L1818">
        <v>0</v>
      </c>
      <c r="M1818" t="s">
        <v>36</v>
      </c>
      <c r="N1818" t="s">
        <v>37</v>
      </c>
      <c r="O1818">
        <v>343</v>
      </c>
      <c r="P1818">
        <v>26</v>
      </c>
      <c r="Q1818">
        <v>7.5801699999999999</v>
      </c>
      <c r="R1818">
        <v>0</v>
      </c>
      <c r="S1818">
        <v>0.86</v>
      </c>
      <c r="T1818">
        <v>2.496</v>
      </c>
      <c r="U1818">
        <v>3.3000000000000002E-2</v>
      </c>
      <c r="V1818">
        <v>0</v>
      </c>
      <c r="W1818">
        <v>1</v>
      </c>
      <c r="X1818">
        <v>0</v>
      </c>
      <c r="Y1818" t="s">
        <v>36</v>
      </c>
      <c r="Z1818">
        <v>343</v>
      </c>
      <c r="AA1818">
        <v>257</v>
      </c>
      <c r="AB1818">
        <v>44</v>
      </c>
      <c r="AC1818" t="s">
        <v>687</v>
      </c>
      <c r="AD1818" t="str">
        <f t="shared" si="58"/>
        <v>CP</v>
      </c>
      <c r="AE1818" t="str">
        <f>_xlfn.XLOOKUP(D1818,Mapping!A:A,Mapping!D:D,0,0)</f>
        <v>Keyword - Preroll</v>
      </c>
      <c r="AF1818" t="str">
        <f t="shared" si="59"/>
        <v>OLD</v>
      </c>
    </row>
    <row r="1819" spans="1:32" x14ac:dyDescent="0.2">
      <c r="A1819" t="s">
        <v>1119</v>
      </c>
      <c r="B1819" t="s">
        <v>29</v>
      </c>
      <c r="C1819">
        <v>1012915472</v>
      </c>
      <c r="D1819" t="s">
        <v>795</v>
      </c>
      <c r="E1819" t="s">
        <v>31</v>
      </c>
      <c r="F1819" s="1">
        <v>0.67291666666666672</v>
      </c>
      <c r="G1819" t="s">
        <v>32</v>
      </c>
      <c r="H1819" t="s">
        <v>33</v>
      </c>
      <c r="I1819" t="s">
        <v>34</v>
      </c>
      <c r="J1819" t="s">
        <v>35</v>
      </c>
      <c r="K1819">
        <v>36</v>
      </c>
      <c r="L1819">
        <v>0</v>
      </c>
      <c r="M1819" t="s">
        <v>63</v>
      </c>
      <c r="N1819">
        <v>250</v>
      </c>
      <c r="O1819">
        <v>75</v>
      </c>
      <c r="P1819">
        <v>1</v>
      </c>
      <c r="Q1819">
        <v>1.3333299999999999</v>
      </c>
      <c r="R1819">
        <v>0</v>
      </c>
      <c r="S1819">
        <v>0.21</v>
      </c>
      <c r="T1819">
        <v>2.7949999999999999</v>
      </c>
      <c r="U1819">
        <v>0.21</v>
      </c>
      <c r="V1819">
        <v>0</v>
      </c>
      <c r="W1819">
        <v>1</v>
      </c>
      <c r="X1819">
        <v>0</v>
      </c>
      <c r="Y1819" t="s">
        <v>36</v>
      </c>
      <c r="Z1819">
        <v>75</v>
      </c>
      <c r="AA1819">
        <v>58</v>
      </c>
      <c r="AB1819">
        <v>11</v>
      </c>
      <c r="AC1819" t="s">
        <v>687</v>
      </c>
      <c r="AD1819" t="str">
        <f t="shared" si="58"/>
        <v>CP</v>
      </c>
      <c r="AE1819" t="str">
        <f>_xlfn.XLOOKUP(D1819,Mapping!A:A,Mapping!D:D,0,0)</f>
        <v>Keyword - Preroll</v>
      </c>
      <c r="AF1819" t="str">
        <f t="shared" si="59"/>
        <v>OLD</v>
      </c>
    </row>
    <row r="1820" spans="1:32" x14ac:dyDescent="0.2">
      <c r="A1820" t="s">
        <v>1119</v>
      </c>
      <c r="B1820" t="s">
        <v>29</v>
      </c>
      <c r="C1820">
        <v>1012915482</v>
      </c>
      <c r="D1820" t="s">
        <v>796</v>
      </c>
      <c r="E1820" t="s">
        <v>31</v>
      </c>
      <c r="F1820" s="1">
        <v>0.67291666666666672</v>
      </c>
      <c r="G1820" t="s">
        <v>32</v>
      </c>
      <c r="H1820" t="s">
        <v>33</v>
      </c>
      <c r="I1820" t="s">
        <v>34</v>
      </c>
      <c r="J1820" t="s">
        <v>35</v>
      </c>
      <c r="K1820">
        <v>36</v>
      </c>
      <c r="L1820">
        <v>0</v>
      </c>
      <c r="M1820" t="s">
        <v>63</v>
      </c>
      <c r="N1820">
        <v>250</v>
      </c>
      <c r="O1820">
        <v>629</v>
      </c>
      <c r="P1820">
        <v>31</v>
      </c>
      <c r="Q1820">
        <v>4.9284600000000003</v>
      </c>
      <c r="R1820">
        <v>0</v>
      </c>
      <c r="S1820">
        <v>1.61</v>
      </c>
      <c r="T1820">
        <v>2.5569999999999999</v>
      </c>
      <c r="U1820">
        <v>5.1999999999999998E-2</v>
      </c>
      <c r="V1820">
        <v>0</v>
      </c>
      <c r="W1820">
        <v>1</v>
      </c>
      <c r="X1820">
        <v>0</v>
      </c>
      <c r="Y1820" t="s">
        <v>36</v>
      </c>
      <c r="Z1820">
        <v>629</v>
      </c>
      <c r="AA1820">
        <v>500</v>
      </c>
      <c r="AB1820">
        <v>68</v>
      </c>
      <c r="AC1820" t="s">
        <v>687</v>
      </c>
      <c r="AD1820" t="str">
        <f t="shared" si="58"/>
        <v>CP</v>
      </c>
      <c r="AE1820" t="str">
        <f>_xlfn.XLOOKUP(D1820,Mapping!A:A,Mapping!D:D,0,0)</f>
        <v>Keyword - Preroll</v>
      </c>
      <c r="AF1820" t="str">
        <f t="shared" si="59"/>
        <v>OLD</v>
      </c>
    </row>
    <row r="1821" spans="1:32" x14ac:dyDescent="0.2">
      <c r="A1821" t="s">
        <v>1119</v>
      </c>
      <c r="B1821" t="s">
        <v>690</v>
      </c>
      <c r="C1821">
        <v>1012915492</v>
      </c>
      <c r="D1821" t="s">
        <v>797</v>
      </c>
      <c r="E1821" t="s">
        <v>31</v>
      </c>
      <c r="F1821" s="1">
        <v>0.67291666666666672</v>
      </c>
      <c r="G1821" t="s">
        <v>32</v>
      </c>
      <c r="H1821" t="s">
        <v>33</v>
      </c>
      <c r="I1821" t="s">
        <v>34</v>
      </c>
      <c r="J1821" t="s">
        <v>35</v>
      </c>
      <c r="K1821">
        <v>36</v>
      </c>
      <c r="L1821">
        <v>0</v>
      </c>
      <c r="M1821" t="s">
        <v>63</v>
      </c>
      <c r="N1821">
        <v>250</v>
      </c>
      <c r="O1821">
        <v>4</v>
      </c>
      <c r="P1821">
        <v>0</v>
      </c>
      <c r="Q1821">
        <v>0</v>
      </c>
      <c r="R1821">
        <v>0</v>
      </c>
      <c r="S1821">
        <v>0</v>
      </c>
      <c r="T1821">
        <v>0.59</v>
      </c>
      <c r="U1821">
        <v>0</v>
      </c>
      <c r="V1821">
        <v>0</v>
      </c>
      <c r="W1821">
        <v>1</v>
      </c>
      <c r="X1821">
        <v>0</v>
      </c>
      <c r="Y1821" t="s">
        <v>36</v>
      </c>
      <c r="Z1821">
        <v>4</v>
      </c>
      <c r="AA1821">
        <v>4</v>
      </c>
      <c r="AB1821">
        <v>0</v>
      </c>
      <c r="AC1821" t="s">
        <v>687</v>
      </c>
      <c r="AD1821" t="str">
        <f t="shared" si="58"/>
        <v>CP</v>
      </c>
      <c r="AE1821" t="str">
        <f>_xlfn.XLOOKUP(D1821,Mapping!A:A,Mapping!D:D,0,0)</f>
        <v>Keyword - Preroll</v>
      </c>
      <c r="AF1821" t="str">
        <f t="shared" si="59"/>
        <v>OLD</v>
      </c>
    </row>
    <row r="1822" spans="1:32" x14ac:dyDescent="0.2">
      <c r="A1822" t="s">
        <v>1119</v>
      </c>
      <c r="B1822" t="s">
        <v>690</v>
      </c>
      <c r="C1822">
        <v>1012915502</v>
      </c>
      <c r="D1822" t="s">
        <v>798</v>
      </c>
      <c r="E1822" t="s">
        <v>31</v>
      </c>
      <c r="F1822" s="1">
        <v>0.67291666666666672</v>
      </c>
      <c r="G1822" t="s">
        <v>32</v>
      </c>
      <c r="H1822" t="s">
        <v>33</v>
      </c>
      <c r="I1822" t="s">
        <v>41</v>
      </c>
      <c r="J1822" t="s">
        <v>42</v>
      </c>
      <c r="K1822">
        <v>90</v>
      </c>
      <c r="L1822">
        <v>0</v>
      </c>
      <c r="M1822" t="s">
        <v>63</v>
      </c>
      <c r="N1822">
        <v>250</v>
      </c>
      <c r="O1822">
        <v>0</v>
      </c>
      <c r="P1822">
        <v>0</v>
      </c>
      <c r="Q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 t="s">
        <v>36</v>
      </c>
      <c r="AC1822" t="s">
        <v>687</v>
      </c>
      <c r="AD1822" t="str">
        <f t="shared" si="58"/>
        <v>CP</v>
      </c>
      <c r="AE1822" t="str">
        <f>_xlfn.XLOOKUP(D1822,Mapping!A:A,Mapping!D:D,0,0)</f>
        <v>Erotica Interest</v>
      </c>
      <c r="AF1822" t="str">
        <f t="shared" si="59"/>
        <v>OLD</v>
      </c>
    </row>
    <row r="1823" spans="1:32" x14ac:dyDescent="0.2">
      <c r="A1823" t="s">
        <v>1119</v>
      </c>
      <c r="B1823" t="s">
        <v>29</v>
      </c>
      <c r="C1823">
        <v>1012915512</v>
      </c>
      <c r="D1823" t="s">
        <v>799</v>
      </c>
      <c r="E1823" t="s">
        <v>31</v>
      </c>
      <c r="F1823" s="1">
        <v>0.67291666666666672</v>
      </c>
      <c r="G1823" t="s">
        <v>32</v>
      </c>
      <c r="H1823" t="s">
        <v>33</v>
      </c>
      <c r="I1823" t="s">
        <v>41</v>
      </c>
      <c r="J1823" t="s">
        <v>42</v>
      </c>
      <c r="K1823">
        <v>90</v>
      </c>
      <c r="L1823">
        <v>0</v>
      </c>
      <c r="M1823" t="s">
        <v>36</v>
      </c>
      <c r="N1823" t="s">
        <v>37</v>
      </c>
      <c r="O1823">
        <v>1964</v>
      </c>
      <c r="P1823">
        <v>87</v>
      </c>
      <c r="Q1823">
        <v>4.4297399999999998</v>
      </c>
      <c r="R1823">
        <v>0</v>
      </c>
      <c r="S1823">
        <v>4.2300000000000004</v>
      </c>
      <c r="T1823">
        <v>2.153</v>
      </c>
      <c r="U1823">
        <v>4.9000000000000002E-2</v>
      </c>
      <c r="V1823">
        <v>0</v>
      </c>
      <c r="W1823">
        <v>1</v>
      </c>
      <c r="X1823">
        <v>0</v>
      </c>
      <c r="Y1823" t="s">
        <v>36</v>
      </c>
      <c r="Z1823">
        <v>1964</v>
      </c>
      <c r="AA1823">
        <v>1753</v>
      </c>
      <c r="AB1823">
        <v>147</v>
      </c>
      <c r="AC1823" t="s">
        <v>687</v>
      </c>
      <c r="AD1823" t="str">
        <f t="shared" si="58"/>
        <v>CP</v>
      </c>
      <c r="AE1823" t="str">
        <f>_xlfn.XLOOKUP(D1823,Mapping!A:A,Mapping!D:D,0,0)</f>
        <v>Keyword - Preroll</v>
      </c>
      <c r="AF1823" t="str">
        <f t="shared" si="59"/>
        <v>OLD</v>
      </c>
    </row>
    <row r="1824" spans="1:32" x14ac:dyDescent="0.2">
      <c r="A1824" t="s">
        <v>1119</v>
      </c>
      <c r="B1824" t="s">
        <v>690</v>
      </c>
      <c r="C1824">
        <v>1012915522</v>
      </c>
      <c r="D1824" t="s">
        <v>800</v>
      </c>
      <c r="E1824" t="s">
        <v>31</v>
      </c>
      <c r="F1824" s="1">
        <v>0.67291666666666672</v>
      </c>
      <c r="G1824" t="s">
        <v>32</v>
      </c>
      <c r="H1824" t="s">
        <v>33</v>
      </c>
      <c r="I1824" t="s">
        <v>41</v>
      </c>
      <c r="J1824" t="s">
        <v>42</v>
      </c>
      <c r="K1824">
        <v>90</v>
      </c>
      <c r="L1824">
        <v>0</v>
      </c>
      <c r="M1824" t="s">
        <v>63</v>
      </c>
      <c r="N1824">
        <v>250</v>
      </c>
      <c r="O1824">
        <v>5</v>
      </c>
      <c r="P1824">
        <v>0</v>
      </c>
      <c r="Q1824">
        <v>0</v>
      </c>
      <c r="R1824">
        <v>0</v>
      </c>
      <c r="S1824">
        <v>0</v>
      </c>
      <c r="T1824">
        <v>0.72599999999999998</v>
      </c>
      <c r="U1824">
        <v>0</v>
      </c>
      <c r="V1824">
        <v>0</v>
      </c>
      <c r="W1824">
        <v>1</v>
      </c>
      <c r="X1824">
        <v>0</v>
      </c>
      <c r="Y1824" t="s">
        <v>36</v>
      </c>
      <c r="Z1824">
        <v>5</v>
      </c>
      <c r="AA1824">
        <v>5</v>
      </c>
      <c r="AB1824">
        <v>0</v>
      </c>
      <c r="AC1824" t="s">
        <v>687</v>
      </c>
      <c r="AD1824" t="str">
        <f t="shared" si="58"/>
        <v>CP</v>
      </c>
      <c r="AE1824" t="str">
        <f>_xlfn.XLOOKUP(D1824,Mapping!A:A,Mapping!D:D,0,0)</f>
        <v>Keyword - Preroll</v>
      </c>
      <c r="AF1824" t="str">
        <f t="shared" si="59"/>
        <v>OLD</v>
      </c>
    </row>
    <row r="1825" spans="1:32" x14ac:dyDescent="0.2">
      <c r="A1825" t="s">
        <v>1119</v>
      </c>
      <c r="B1825" t="s">
        <v>29</v>
      </c>
      <c r="C1825">
        <v>1012915532</v>
      </c>
      <c r="D1825" t="s">
        <v>801</v>
      </c>
      <c r="E1825" t="s">
        <v>31</v>
      </c>
      <c r="F1825" s="1">
        <v>0.67291666666666672</v>
      </c>
      <c r="G1825" t="s">
        <v>32</v>
      </c>
      <c r="H1825" t="s">
        <v>33</v>
      </c>
      <c r="I1825" t="s">
        <v>41</v>
      </c>
      <c r="J1825" t="s">
        <v>42</v>
      </c>
      <c r="K1825">
        <v>90</v>
      </c>
      <c r="L1825">
        <v>0</v>
      </c>
      <c r="M1825" t="s">
        <v>63</v>
      </c>
      <c r="N1825">
        <v>250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 t="s">
        <v>36</v>
      </c>
      <c r="Z1825">
        <v>0</v>
      </c>
      <c r="AA1825">
        <v>0</v>
      </c>
      <c r="AB1825">
        <v>0</v>
      </c>
      <c r="AC1825" t="s">
        <v>687</v>
      </c>
      <c r="AD1825" t="str">
        <f t="shared" si="58"/>
        <v>CP</v>
      </c>
      <c r="AE1825" t="str">
        <f>_xlfn.XLOOKUP(D1825,Mapping!A:A,Mapping!D:D,0,0)</f>
        <v>Keyword - Preroll</v>
      </c>
      <c r="AF1825" t="str">
        <f t="shared" si="59"/>
        <v>OLD</v>
      </c>
    </row>
    <row r="1826" spans="1:32" x14ac:dyDescent="0.2">
      <c r="A1826" t="s">
        <v>1119</v>
      </c>
      <c r="B1826" t="s">
        <v>690</v>
      </c>
      <c r="C1826">
        <v>1012915552</v>
      </c>
      <c r="D1826" t="s">
        <v>802</v>
      </c>
      <c r="E1826" t="s">
        <v>31</v>
      </c>
      <c r="F1826" s="1">
        <v>0.67291666666666672</v>
      </c>
      <c r="G1826" t="s">
        <v>32</v>
      </c>
      <c r="H1826" t="s">
        <v>33</v>
      </c>
      <c r="I1826" t="s">
        <v>41</v>
      </c>
      <c r="J1826" t="s">
        <v>42</v>
      </c>
      <c r="K1826">
        <v>90</v>
      </c>
      <c r="L1826">
        <v>0</v>
      </c>
      <c r="M1826" t="s">
        <v>63</v>
      </c>
      <c r="N1826">
        <v>250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0.45600000000000002</v>
      </c>
      <c r="U1826">
        <v>0</v>
      </c>
      <c r="V1826">
        <v>0</v>
      </c>
      <c r="W1826">
        <v>1</v>
      </c>
      <c r="X1826">
        <v>0</v>
      </c>
      <c r="Y1826" t="s">
        <v>36</v>
      </c>
      <c r="Z1826">
        <v>1</v>
      </c>
      <c r="AA1826">
        <v>1</v>
      </c>
      <c r="AB1826">
        <v>0</v>
      </c>
      <c r="AC1826" t="s">
        <v>687</v>
      </c>
      <c r="AD1826" t="str">
        <f t="shared" si="58"/>
        <v>CP</v>
      </c>
      <c r="AE1826" t="str">
        <f>_xlfn.XLOOKUP(D1826,Mapping!A:A,Mapping!D:D,0,0)</f>
        <v>Keyword - Preroll</v>
      </c>
      <c r="AF1826" t="str">
        <f t="shared" si="59"/>
        <v>OLD</v>
      </c>
    </row>
    <row r="1827" spans="1:32" x14ac:dyDescent="0.2">
      <c r="A1827" t="s">
        <v>1119</v>
      </c>
      <c r="B1827" t="s">
        <v>29</v>
      </c>
      <c r="C1827">
        <v>1012915562</v>
      </c>
      <c r="D1827" t="s">
        <v>803</v>
      </c>
      <c r="E1827" t="s">
        <v>31</v>
      </c>
      <c r="F1827" s="1">
        <v>0.67291666666666672</v>
      </c>
      <c r="G1827" t="s">
        <v>32</v>
      </c>
      <c r="H1827" t="s">
        <v>33</v>
      </c>
      <c r="I1827" t="s">
        <v>41</v>
      </c>
      <c r="J1827" t="s">
        <v>42</v>
      </c>
      <c r="K1827">
        <v>90</v>
      </c>
      <c r="L1827">
        <v>0</v>
      </c>
      <c r="M1827" t="s">
        <v>63</v>
      </c>
      <c r="N1827">
        <v>250</v>
      </c>
      <c r="O1827">
        <v>1469</v>
      </c>
      <c r="P1827">
        <v>73</v>
      </c>
      <c r="Q1827">
        <v>4.96936</v>
      </c>
      <c r="R1827">
        <v>0</v>
      </c>
      <c r="S1827">
        <v>2.83</v>
      </c>
      <c r="T1827">
        <v>1.929</v>
      </c>
      <c r="U1827">
        <v>3.9E-2</v>
      </c>
      <c r="V1827">
        <v>0</v>
      </c>
      <c r="W1827">
        <v>1</v>
      </c>
      <c r="X1827">
        <v>0</v>
      </c>
      <c r="Y1827" t="s">
        <v>36</v>
      </c>
      <c r="Z1827">
        <v>1469</v>
      </c>
      <c r="AA1827">
        <v>1304</v>
      </c>
      <c r="AB1827">
        <v>119</v>
      </c>
      <c r="AC1827" t="s">
        <v>687</v>
      </c>
      <c r="AD1827" t="str">
        <f t="shared" si="58"/>
        <v>CP</v>
      </c>
      <c r="AE1827" t="str">
        <f>_xlfn.XLOOKUP(D1827,Mapping!A:A,Mapping!D:D,0,0)</f>
        <v>Keyword - Preroll</v>
      </c>
      <c r="AF1827" t="str">
        <f t="shared" si="59"/>
        <v>OLD</v>
      </c>
    </row>
    <row r="1828" spans="1:32" x14ac:dyDescent="0.2">
      <c r="A1828" t="s">
        <v>1119</v>
      </c>
      <c r="B1828" t="s">
        <v>690</v>
      </c>
      <c r="C1828">
        <v>1012915572</v>
      </c>
      <c r="D1828" t="s">
        <v>804</v>
      </c>
      <c r="E1828" t="s">
        <v>31</v>
      </c>
      <c r="F1828" s="1">
        <v>0.67291666666666672</v>
      </c>
      <c r="G1828" t="s">
        <v>32</v>
      </c>
      <c r="H1828" t="s">
        <v>33</v>
      </c>
      <c r="I1828" t="s">
        <v>41</v>
      </c>
      <c r="J1828" t="s">
        <v>42</v>
      </c>
      <c r="K1828">
        <v>90</v>
      </c>
      <c r="L1828">
        <v>0</v>
      </c>
      <c r="M1828" t="s">
        <v>63</v>
      </c>
      <c r="N1828">
        <v>250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0.83699999999999997</v>
      </c>
      <c r="U1828">
        <v>0</v>
      </c>
      <c r="V1828">
        <v>0</v>
      </c>
      <c r="W1828">
        <v>1</v>
      </c>
      <c r="X1828">
        <v>0</v>
      </c>
      <c r="Y1828" t="s">
        <v>36</v>
      </c>
      <c r="Z1828">
        <v>1</v>
      </c>
      <c r="AA1828">
        <v>1</v>
      </c>
      <c r="AB1828">
        <v>0</v>
      </c>
      <c r="AC1828" t="s">
        <v>687</v>
      </c>
      <c r="AD1828" t="str">
        <f t="shared" si="58"/>
        <v>CP</v>
      </c>
      <c r="AE1828" t="str">
        <f>_xlfn.XLOOKUP(D1828,Mapping!A:A,Mapping!D:D,0,0)</f>
        <v>Keyword - Preroll</v>
      </c>
      <c r="AF1828" t="str">
        <f t="shared" si="59"/>
        <v>OLD</v>
      </c>
    </row>
    <row r="1829" spans="1:32" x14ac:dyDescent="0.2">
      <c r="A1829" t="s">
        <v>1119</v>
      </c>
      <c r="B1829" t="s">
        <v>690</v>
      </c>
      <c r="C1829">
        <v>1012915582</v>
      </c>
      <c r="D1829" t="s">
        <v>805</v>
      </c>
      <c r="E1829" t="s">
        <v>31</v>
      </c>
      <c r="F1829" s="1">
        <v>0.67291666666666672</v>
      </c>
      <c r="G1829" t="s">
        <v>32</v>
      </c>
      <c r="H1829" t="s">
        <v>33</v>
      </c>
      <c r="I1829" t="s">
        <v>41</v>
      </c>
      <c r="J1829" t="s">
        <v>42</v>
      </c>
      <c r="K1829">
        <v>90</v>
      </c>
      <c r="L1829">
        <v>0</v>
      </c>
      <c r="M1829" t="s">
        <v>63</v>
      </c>
      <c r="N1829">
        <v>250</v>
      </c>
      <c r="O1829">
        <v>0</v>
      </c>
      <c r="P1829">
        <v>0</v>
      </c>
      <c r="Q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 t="s">
        <v>36</v>
      </c>
      <c r="AC1829" t="s">
        <v>687</v>
      </c>
      <c r="AD1829" t="str">
        <f t="shared" si="58"/>
        <v>CP</v>
      </c>
      <c r="AE1829" t="str">
        <f>_xlfn.XLOOKUP(D1829,Mapping!A:A,Mapping!D:D,0,0)</f>
        <v>Keyword - Preroll</v>
      </c>
      <c r="AF1829" t="str">
        <f t="shared" si="59"/>
        <v>OLD</v>
      </c>
    </row>
    <row r="1830" spans="1:32" x14ac:dyDescent="0.2">
      <c r="A1830" t="s">
        <v>1119</v>
      </c>
      <c r="B1830" t="s">
        <v>29</v>
      </c>
      <c r="C1830">
        <v>1012915592</v>
      </c>
      <c r="D1830" t="s">
        <v>806</v>
      </c>
      <c r="E1830" t="s">
        <v>31</v>
      </c>
      <c r="F1830" s="1">
        <v>0.67291666666666672</v>
      </c>
      <c r="G1830" t="s">
        <v>32</v>
      </c>
      <c r="H1830" t="s">
        <v>33</v>
      </c>
      <c r="I1830" t="s">
        <v>34</v>
      </c>
      <c r="J1830" t="s">
        <v>35</v>
      </c>
      <c r="K1830">
        <v>36</v>
      </c>
      <c r="L1830">
        <v>0</v>
      </c>
      <c r="M1830" t="s">
        <v>63</v>
      </c>
      <c r="N1830">
        <v>250</v>
      </c>
      <c r="O1830">
        <v>612</v>
      </c>
      <c r="P1830">
        <v>22</v>
      </c>
      <c r="Q1830">
        <v>3.59477</v>
      </c>
      <c r="R1830">
        <v>0</v>
      </c>
      <c r="S1830">
        <v>2.3199999999999998</v>
      </c>
      <c r="T1830">
        <v>3.7890000000000001</v>
      </c>
      <c r="U1830">
        <v>0.105</v>
      </c>
      <c r="V1830">
        <v>0</v>
      </c>
      <c r="W1830">
        <v>1</v>
      </c>
      <c r="X1830">
        <v>0</v>
      </c>
      <c r="Y1830" t="s">
        <v>36</v>
      </c>
      <c r="Z1830">
        <v>612</v>
      </c>
      <c r="AA1830">
        <v>467</v>
      </c>
      <c r="AB1830">
        <v>84</v>
      </c>
      <c r="AC1830" t="s">
        <v>687</v>
      </c>
      <c r="AD1830" t="str">
        <f t="shared" si="58"/>
        <v>CP</v>
      </c>
      <c r="AE1830" t="str">
        <f>_xlfn.XLOOKUP(D1830,Mapping!A:A,Mapping!D:D,0,0)</f>
        <v>Keyword - Preroll</v>
      </c>
      <c r="AF1830" t="str">
        <f t="shared" si="59"/>
        <v>OLD</v>
      </c>
    </row>
    <row r="1831" spans="1:32" x14ac:dyDescent="0.2">
      <c r="A1831" t="s">
        <v>1119</v>
      </c>
      <c r="B1831" t="s">
        <v>39</v>
      </c>
      <c r="C1831">
        <v>1012915602</v>
      </c>
      <c r="D1831" t="s">
        <v>808</v>
      </c>
      <c r="E1831" t="s">
        <v>31</v>
      </c>
      <c r="F1831" s="1">
        <v>0.67291666666666672</v>
      </c>
      <c r="G1831" t="s">
        <v>32</v>
      </c>
      <c r="H1831" t="s">
        <v>33</v>
      </c>
      <c r="I1831" t="s">
        <v>41</v>
      </c>
      <c r="J1831" t="s">
        <v>42</v>
      </c>
      <c r="K1831">
        <v>90</v>
      </c>
      <c r="L1831">
        <v>0</v>
      </c>
      <c r="M1831" t="s">
        <v>63</v>
      </c>
      <c r="N1831">
        <v>250</v>
      </c>
      <c r="O1831">
        <v>0</v>
      </c>
      <c r="P1831">
        <v>0</v>
      </c>
      <c r="Q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 t="s">
        <v>36</v>
      </c>
      <c r="AC1831" t="s">
        <v>687</v>
      </c>
      <c r="AD1831" t="str">
        <f t="shared" si="58"/>
        <v>CP</v>
      </c>
      <c r="AE1831" t="str">
        <f>_xlfn.XLOOKUP(D1831,Mapping!A:A,Mapping!D:D,0,0)</f>
        <v>VR Intent</v>
      </c>
      <c r="AF1831" t="str">
        <f t="shared" si="59"/>
        <v>OLD</v>
      </c>
    </row>
    <row r="1832" spans="1:32" x14ac:dyDescent="0.2">
      <c r="A1832" t="s">
        <v>1119</v>
      </c>
      <c r="B1832" t="s">
        <v>29</v>
      </c>
      <c r="C1832">
        <v>1012915612</v>
      </c>
      <c r="D1832" t="s">
        <v>809</v>
      </c>
      <c r="E1832" t="s">
        <v>31</v>
      </c>
      <c r="F1832" s="1">
        <v>0.67291666666666672</v>
      </c>
      <c r="G1832" t="s">
        <v>32</v>
      </c>
      <c r="H1832" t="s">
        <v>33</v>
      </c>
      <c r="I1832" t="s">
        <v>41</v>
      </c>
      <c r="J1832" t="s">
        <v>42</v>
      </c>
      <c r="K1832">
        <v>90</v>
      </c>
      <c r="L1832">
        <v>0</v>
      </c>
      <c r="M1832" t="s">
        <v>36</v>
      </c>
      <c r="N1832" t="s">
        <v>37</v>
      </c>
      <c r="O1832">
        <v>3350</v>
      </c>
      <c r="P1832">
        <v>156</v>
      </c>
      <c r="Q1832">
        <v>4.65672</v>
      </c>
      <c r="R1832">
        <v>0</v>
      </c>
      <c r="S1832">
        <v>10.72</v>
      </c>
      <c r="T1832">
        <v>3.2010000000000001</v>
      </c>
      <c r="U1832">
        <v>6.9000000000000006E-2</v>
      </c>
      <c r="V1832">
        <v>0</v>
      </c>
      <c r="W1832">
        <v>1</v>
      </c>
      <c r="X1832">
        <v>0</v>
      </c>
      <c r="Y1832" t="s">
        <v>36</v>
      </c>
      <c r="Z1832">
        <v>3350</v>
      </c>
      <c r="AA1832">
        <v>2961</v>
      </c>
      <c r="AB1832">
        <v>311</v>
      </c>
      <c r="AC1832" t="s">
        <v>687</v>
      </c>
      <c r="AD1832" t="str">
        <f t="shared" si="58"/>
        <v>CP</v>
      </c>
      <c r="AE1832" t="str">
        <f>_xlfn.XLOOKUP(D1832,Mapping!A:A,Mapping!D:D,0,0)</f>
        <v>Keyword - Preroll</v>
      </c>
      <c r="AF1832" t="str">
        <f t="shared" si="59"/>
        <v>OLD</v>
      </c>
    </row>
    <row r="1833" spans="1:32" x14ac:dyDescent="0.2">
      <c r="A1833" t="s">
        <v>1119</v>
      </c>
      <c r="B1833" t="s">
        <v>29</v>
      </c>
      <c r="C1833">
        <v>1012915622</v>
      </c>
      <c r="D1833" t="s">
        <v>810</v>
      </c>
      <c r="E1833" t="s">
        <v>31</v>
      </c>
      <c r="F1833" s="1">
        <v>0.67291666666666672</v>
      </c>
      <c r="G1833" t="s">
        <v>32</v>
      </c>
      <c r="H1833" t="s">
        <v>33</v>
      </c>
      <c r="I1833" t="s">
        <v>34</v>
      </c>
      <c r="J1833" t="s">
        <v>35</v>
      </c>
      <c r="K1833">
        <v>36</v>
      </c>
      <c r="L1833">
        <v>0</v>
      </c>
      <c r="M1833" t="s">
        <v>63</v>
      </c>
      <c r="N1833">
        <v>250</v>
      </c>
      <c r="O1833">
        <v>48</v>
      </c>
      <c r="P1833">
        <v>0</v>
      </c>
      <c r="Q1833">
        <v>0</v>
      </c>
      <c r="R1833">
        <v>0</v>
      </c>
      <c r="S1833">
        <v>0.12</v>
      </c>
      <c r="T1833">
        <v>2.512</v>
      </c>
      <c r="U1833">
        <v>0</v>
      </c>
      <c r="V1833">
        <v>0</v>
      </c>
      <c r="W1833">
        <v>1</v>
      </c>
      <c r="X1833">
        <v>0</v>
      </c>
      <c r="Y1833" t="s">
        <v>36</v>
      </c>
      <c r="Z1833">
        <v>48</v>
      </c>
      <c r="AA1833">
        <v>32</v>
      </c>
      <c r="AB1833">
        <v>12</v>
      </c>
      <c r="AC1833" t="s">
        <v>687</v>
      </c>
      <c r="AD1833" t="str">
        <f t="shared" si="58"/>
        <v>CP</v>
      </c>
      <c r="AE1833" t="str">
        <f>_xlfn.XLOOKUP(D1833,Mapping!A:A,Mapping!D:D,0,0)</f>
        <v>Keyword - Preroll</v>
      </c>
      <c r="AF1833" t="str">
        <f t="shared" si="59"/>
        <v>OLD</v>
      </c>
    </row>
    <row r="1834" spans="1:32" x14ac:dyDescent="0.2">
      <c r="A1834" t="s">
        <v>1119</v>
      </c>
      <c r="B1834" t="s">
        <v>29</v>
      </c>
      <c r="C1834">
        <v>1012915652</v>
      </c>
      <c r="D1834" t="s">
        <v>811</v>
      </c>
      <c r="E1834" t="s">
        <v>31</v>
      </c>
      <c r="F1834" s="1">
        <v>0.67291666666666672</v>
      </c>
      <c r="G1834" t="s">
        <v>32</v>
      </c>
      <c r="H1834" t="s">
        <v>33</v>
      </c>
      <c r="I1834" t="s">
        <v>34</v>
      </c>
      <c r="J1834" t="s">
        <v>35</v>
      </c>
      <c r="K1834">
        <v>36</v>
      </c>
      <c r="L1834">
        <v>0</v>
      </c>
      <c r="M1834" t="s">
        <v>63</v>
      </c>
      <c r="N1834">
        <v>250</v>
      </c>
      <c r="O1834">
        <v>33</v>
      </c>
      <c r="P1834">
        <v>5</v>
      </c>
      <c r="Q1834">
        <v>15.15152</v>
      </c>
      <c r="R1834">
        <v>0</v>
      </c>
      <c r="S1834">
        <v>0.09</v>
      </c>
      <c r="T1834">
        <v>2.7949999999999999</v>
      </c>
      <c r="U1834">
        <v>1.7999999999999999E-2</v>
      </c>
      <c r="V1834">
        <v>0</v>
      </c>
      <c r="W1834">
        <v>1</v>
      </c>
      <c r="X1834">
        <v>0</v>
      </c>
      <c r="Y1834" t="s">
        <v>36</v>
      </c>
      <c r="Z1834">
        <v>33</v>
      </c>
      <c r="AA1834">
        <v>26</v>
      </c>
      <c r="AB1834">
        <v>2</v>
      </c>
      <c r="AC1834" t="s">
        <v>687</v>
      </c>
      <c r="AD1834" t="str">
        <f t="shared" si="58"/>
        <v>CP</v>
      </c>
      <c r="AE1834" t="str">
        <f>_xlfn.XLOOKUP(D1834,Mapping!A:A,Mapping!D:D,0,0)</f>
        <v>Keyword - Preroll</v>
      </c>
      <c r="AF1834" t="str">
        <f t="shared" si="59"/>
        <v>OLD</v>
      </c>
    </row>
    <row r="1835" spans="1:32" x14ac:dyDescent="0.2">
      <c r="A1835" t="s">
        <v>1119</v>
      </c>
      <c r="B1835" t="s">
        <v>690</v>
      </c>
      <c r="C1835">
        <v>1012915672</v>
      </c>
      <c r="D1835" t="s">
        <v>812</v>
      </c>
      <c r="E1835" t="s">
        <v>31</v>
      </c>
      <c r="F1835" s="1">
        <v>0.67291666666666672</v>
      </c>
      <c r="G1835" t="s">
        <v>32</v>
      </c>
      <c r="H1835" t="s">
        <v>33</v>
      </c>
      <c r="I1835" t="s">
        <v>34</v>
      </c>
      <c r="J1835" t="s">
        <v>35</v>
      </c>
      <c r="K1835">
        <v>36</v>
      </c>
      <c r="L1835">
        <v>0</v>
      </c>
      <c r="M1835" t="s">
        <v>63</v>
      </c>
      <c r="N1835">
        <v>250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0.59</v>
      </c>
      <c r="U1835">
        <v>0</v>
      </c>
      <c r="V1835">
        <v>0</v>
      </c>
      <c r="W1835">
        <v>1</v>
      </c>
      <c r="X1835">
        <v>0</v>
      </c>
      <c r="Y1835" t="s">
        <v>36</v>
      </c>
      <c r="Z1835">
        <v>1</v>
      </c>
      <c r="AA1835">
        <v>0</v>
      </c>
      <c r="AB1835">
        <v>0</v>
      </c>
      <c r="AC1835" t="s">
        <v>687</v>
      </c>
      <c r="AD1835" t="str">
        <f t="shared" si="58"/>
        <v>CP</v>
      </c>
      <c r="AE1835" t="str">
        <f>_xlfn.XLOOKUP(D1835,Mapping!A:A,Mapping!D:D,0,0)</f>
        <v>Keyword - Preroll</v>
      </c>
      <c r="AF1835" t="str">
        <f t="shared" si="59"/>
        <v>OLD</v>
      </c>
    </row>
    <row r="1836" spans="1:32" x14ac:dyDescent="0.2">
      <c r="A1836" t="s">
        <v>1119</v>
      </c>
      <c r="B1836" t="s">
        <v>29</v>
      </c>
      <c r="C1836">
        <v>1012915682</v>
      </c>
      <c r="D1836" t="s">
        <v>813</v>
      </c>
      <c r="E1836" t="s">
        <v>31</v>
      </c>
      <c r="F1836" s="1">
        <v>0.67291666666666672</v>
      </c>
      <c r="G1836" t="s">
        <v>32</v>
      </c>
      <c r="H1836" t="s">
        <v>33</v>
      </c>
      <c r="I1836" t="s">
        <v>34</v>
      </c>
      <c r="J1836" t="s">
        <v>35</v>
      </c>
      <c r="K1836">
        <v>36</v>
      </c>
      <c r="L1836">
        <v>0</v>
      </c>
      <c r="M1836" t="s">
        <v>63</v>
      </c>
      <c r="N1836">
        <v>250</v>
      </c>
      <c r="O1836">
        <v>141</v>
      </c>
      <c r="P1836">
        <v>5</v>
      </c>
      <c r="Q1836">
        <v>3.5461</v>
      </c>
      <c r="R1836">
        <v>0</v>
      </c>
      <c r="S1836">
        <v>0.35</v>
      </c>
      <c r="T1836">
        <v>2.5169999999999999</v>
      </c>
      <c r="U1836">
        <v>7.0999999999999994E-2</v>
      </c>
      <c r="V1836">
        <v>0</v>
      </c>
      <c r="W1836">
        <v>1</v>
      </c>
      <c r="X1836">
        <v>0</v>
      </c>
      <c r="Y1836" t="s">
        <v>36</v>
      </c>
      <c r="Z1836">
        <v>141</v>
      </c>
      <c r="AA1836">
        <v>101</v>
      </c>
      <c r="AB1836">
        <v>18</v>
      </c>
      <c r="AC1836" t="s">
        <v>687</v>
      </c>
      <c r="AD1836" t="str">
        <f t="shared" si="58"/>
        <v>CP</v>
      </c>
      <c r="AE1836" t="str">
        <f>_xlfn.XLOOKUP(D1836,Mapping!A:A,Mapping!D:D,0,0)</f>
        <v>Keyword - Preroll</v>
      </c>
      <c r="AF1836" t="str">
        <f t="shared" si="59"/>
        <v>OLD</v>
      </c>
    </row>
    <row r="1837" spans="1:32" x14ac:dyDescent="0.2">
      <c r="A1837" t="s">
        <v>1119</v>
      </c>
      <c r="B1837" t="s">
        <v>690</v>
      </c>
      <c r="C1837">
        <v>1012915692</v>
      </c>
      <c r="D1837" t="s">
        <v>814</v>
      </c>
      <c r="E1837" t="s">
        <v>31</v>
      </c>
      <c r="F1837" s="1">
        <v>0.67291666666666672</v>
      </c>
      <c r="G1837" t="s">
        <v>32</v>
      </c>
      <c r="H1837" t="s">
        <v>33</v>
      </c>
      <c r="I1837" t="s">
        <v>41</v>
      </c>
      <c r="J1837" t="s">
        <v>42</v>
      </c>
      <c r="K1837">
        <v>90</v>
      </c>
      <c r="L1837">
        <v>0</v>
      </c>
      <c r="M1837" t="s">
        <v>63</v>
      </c>
      <c r="N1837">
        <v>250</v>
      </c>
      <c r="O1837">
        <v>2</v>
      </c>
      <c r="P1837">
        <v>1</v>
      </c>
      <c r="Q1837">
        <v>50</v>
      </c>
      <c r="R1837">
        <v>0</v>
      </c>
      <c r="S1837">
        <v>0</v>
      </c>
      <c r="T1837">
        <v>0.69899999999999995</v>
      </c>
      <c r="U1837">
        <v>1E-3</v>
      </c>
      <c r="V1837">
        <v>0</v>
      </c>
      <c r="W1837">
        <v>1</v>
      </c>
      <c r="X1837">
        <v>0</v>
      </c>
      <c r="Y1837" t="s">
        <v>36</v>
      </c>
      <c r="Z1837">
        <v>2</v>
      </c>
      <c r="AA1837">
        <v>2</v>
      </c>
      <c r="AB1837">
        <v>0</v>
      </c>
      <c r="AC1837" t="s">
        <v>687</v>
      </c>
      <c r="AD1837" t="str">
        <f t="shared" si="58"/>
        <v>CP</v>
      </c>
      <c r="AE1837" t="str">
        <f>_xlfn.XLOOKUP(D1837,Mapping!A:A,Mapping!D:D,0,0)</f>
        <v>Keyword - Preroll</v>
      </c>
      <c r="AF1837" t="str">
        <f t="shared" si="59"/>
        <v>OLD</v>
      </c>
    </row>
    <row r="1838" spans="1:32" x14ac:dyDescent="0.2">
      <c r="A1838" t="s">
        <v>1119</v>
      </c>
      <c r="B1838" t="s">
        <v>690</v>
      </c>
      <c r="C1838">
        <v>1012915702</v>
      </c>
      <c r="D1838" t="s">
        <v>815</v>
      </c>
      <c r="E1838" t="s">
        <v>31</v>
      </c>
      <c r="F1838" s="1">
        <v>0.67291666666666672</v>
      </c>
      <c r="G1838" t="s">
        <v>32</v>
      </c>
      <c r="H1838" t="s">
        <v>33</v>
      </c>
      <c r="I1838" t="s">
        <v>41</v>
      </c>
      <c r="J1838" t="s">
        <v>42</v>
      </c>
      <c r="K1838">
        <v>90</v>
      </c>
      <c r="L1838">
        <v>0</v>
      </c>
      <c r="M1838" t="s">
        <v>63</v>
      </c>
      <c r="N1838">
        <v>250</v>
      </c>
      <c r="O1838">
        <v>0</v>
      </c>
      <c r="P1838">
        <v>0</v>
      </c>
      <c r="Q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 t="s">
        <v>36</v>
      </c>
      <c r="AC1838" t="s">
        <v>687</v>
      </c>
      <c r="AD1838" t="str">
        <f t="shared" si="58"/>
        <v>CP</v>
      </c>
      <c r="AE1838" t="str">
        <f>_xlfn.XLOOKUP(D1838,Mapping!A:A,Mapping!D:D,0,0)</f>
        <v>VR Intent</v>
      </c>
      <c r="AF1838" t="str">
        <f t="shared" si="59"/>
        <v>OLD</v>
      </c>
    </row>
    <row r="1839" spans="1:32" x14ac:dyDescent="0.2">
      <c r="A1839" t="s">
        <v>1119</v>
      </c>
      <c r="B1839" t="s">
        <v>29</v>
      </c>
      <c r="C1839">
        <v>1012915712</v>
      </c>
      <c r="D1839" t="s">
        <v>816</v>
      </c>
      <c r="E1839" t="s">
        <v>31</v>
      </c>
      <c r="F1839" s="1">
        <v>0.67291666666666672</v>
      </c>
      <c r="G1839" t="s">
        <v>32</v>
      </c>
      <c r="H1839" t="s">
        <v>33</v>
      </c>
      <c r="I1839" t="s">
        <v>41</v>
      </c>
      <c r="J1839" t="s">
        <v>42</v>
      </c>
      <c r="K1839">
        <v>90</v>
      </c>
      <c r="L1839">
        <v>0</v>
      </c>
      <c r="M1839" t="s">
        <v>63</v>
      </c>
      <c r="N1839">
        <v>250</v>
      </c>
      <c r="O1839">
        <v>1875</v>
      </c>
      <c r="P1839">
        <v>72</v>
      </c>
      <c r="Q1839">
        <v>3.84</v>
      </c>
      <c r="R1839">
        <v>0</v>
      </c>
      <c r="S1839">
        <v>3.99</v>
      </c>
      <c r="T1839">
        <v>2.13</v>
      </c>
      <c r="U1839">
        <v>5.5E-2</v>
      </c>
      <c r="V1839">
        <v>0</v>
      </c>
      <c r="W1839">
        <v>1</v>
      </c>
      <c r="X1839">
        <v>0</v>
      </c>
      <c r="Y1839" t="s">
        <v>36</v>
      </c>
      <c r="Z1839">
        <v>1875</v>
      </c>
      <c r="AA1839">
        <v>1688</v>
      </c>
      <c r="AB1839">
        <v>138</v>
      </c>
      <c r="AC1839" t="s">
        <v>687</v>
      </c>
      <c r="AD1839" t="str">
        <f t="shared" si="58"/>
        <v>CP</v>
      </c>
      <c r="AE1839" t="str">
        <f>_xlfn.XLOOKUP(D1839,Mapping!A:A,Mapping!D:D,0,0)</f>
        <v>Keyword - Preroll</v>
      </c>
      <c r="AF1839" t="str">
        <f t="shared" si="59"/>
        <v>OLD</v>
      </c>
    </row>
    <row r="1840" spans="1:32" x14ac:dyDescent="0.2">
      <c r="A1840" t="s">
        <v>1119</v>
      </c>
      <c r="B1840" t="s">
        <v>690</v>
      </c>
      <c r="C1840">
        <v>1012915722</v>
      </c>
      <c r="D1840" t="s">
        <v>817</v>
      </c>
      <c r="E1840" t="s">
        <v>31</v>
      </c>
      <c r="F1840" s="1">
        <v>0.67291666666666672</v>
      </c>
      <c r="G1840" t="s">
        <v>32</v>
      </c>
      <c r="H1840" t="s">
        <v>33</v>
      </c>
      <c r="I1840" t="s">
        <v>41</v>
      </c>
      <c r="J1840" t="s">
        <v>42</v>
      </c>
      <c r="K1840">
        <v>90</v>
      </c>
      <c r="L1840">
        <v>0</v>
      </c>
      <c r="M1840" t="s">
        <v>63</v>
      </c>
      <c r="N1840">
        <v>250</v>
      </c>
      <c r="O1840">
        <v>0</v>
      </c>
      <c r="P1840">
        <v>0</v>
      </c>
      <c r="Q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 t="s">
        <v>36</v>
      </c>
      <c r="AC1840" t="s">
        <v>687</v>
      </c>
      <c r="AD1840" t="str">
        <f t="shared" si="58"/>
        <v>CP</v>
      </c>
      <c r="AE1840" t="str">
        <f>_xlfn.XLOOKUP(D1840,Mapping!A:A,Mapping!D:D,0,0)</f>
        <v>Keyword - Preroll</v>
      </c>
      <c r="AF1840" t="str">
        <f t="shared" si="59"/>
        <v>OLD</v>
      </c>
    </row>
    <row r="1841" spans="1:32" x14ac:dyDescent="0.2">
      <c r="A1841" t="s">
        <v>1119</v>
      </c>
      <c r="B1841" t="s">
        <v>690</v>
      </c>
      <c r="C1841">
        <v>1012915732</v>
      </c>
      <c r="D1841" t="s">
        <v>818</v>
      </c>
      <c r="E1841" t="s">
        <v>31</v>
      </c>
      <c r="F1841" s="1">
        <v>0.67291666666666672</v>
      </c>
      <c r="G1841" t="s">
        <v>32</v>
      </c>
      <c r="H1841" t="s">
        <v>33</v>
      </c>
      <c r="I1841" t="s">
        <v>41</v>
      </c>
      <c r="J1841" t="s">
        <v>42</v>
      </c>
      <c r="K1841">
        <v>90</v>
      </c>
      <c r="L1841">
        <v>0</v>
      </c>
      <c r="M1841" t="s">
        <v>63</v>
      </c>
      <c r="N1841">
        <v>250</v>
      </c>
      <c r="O1841">
        <v>3</v>
      </c>
      <c r="P1841">
        <v>0</v>
      </c>
      <c r="Q1841">
        <v>0</v>
      </c>
      <c r="R1841">
        <v>0</v>
      </c>
      <c r="S1841">
        <v>0</v>
      </c>
      <c r="T1841">
        <v>0.69499999999999995</v>
      </c>
      <c r="U1841">
        <v>0</v>
      </c>
      <c r="V1841">
        <v>0</v>
      </c>
      <c r="W1841">
        <v>1</v>
      </c>
      <c r="X1841">
        <v>0</v>
      </c>
      <c r="Y1841" t="s">
        <v>36</v>
      </c>
      <c r="Z1841">
        <v>3</v>
      </c>
      <c r="AA1841">
        <v>2</v>
      </c>
      <c r="AB1841">
        <v>0</v>
      </c>
      <c r="AC1841" t="s">
        <v>687</v>
      </c>
      <c r="AD1841" t="str">
        <f t="shared" si="58"/>
        <v>CP</v>
      </c>
      <c r="AE1841" t="str">
        <f>_xlfn.XLOOKUP(D1841,Mapping!A:A,Mapping!D:D,0,0)</f>
        <v>Keyword - Preroll</v>
      </c>
      <c r="AF1841" t="str">
        <f t="shared" si="59"/>
        <v>OLD</v>
      </c>
    </row>
    <row r="1842" spans="1:32" x14ac:dyDescent="0.2">
      <c r="A1842" t="s">
        <v>1119</v>
      </c>
      <c r="B1842" t="s">
        <v>29</v>
      </c>
      <c r="C1842">
        <v>1012915742</v>
      </c>
      <c r="D1842" t="s">
        <v>819</v>
      </c>
      <c r="E1842" t="s">
        <v>31</v>
      </c>
      <c r="F1842" s="1">
        <v>0.67291666666666672</v>
      </c>
      <c r="G1842" t="s">
        <v>32</v>
      </c>
      <c r="H1842" t="s">
        <v>33</v>
      </c>
      <c r="I1842" t="s">
        <v>41</v>
      </c>
      <c r="J1842" t="s">
        <v>42</v>
      </c>
      <c r="K1842">
        <v>90</v>
      </c>
      <c r="L1842">
        <v>0</v>
      </c>
      <c r="M1842" t="s">
        <v>63</v>
      </c>
      <c r="N1842">
        <v>250</v>
      </c>
      <c r="O1842">
        <v>1038</v>
      </c>
      <c r="P1842">
        <v>78</v>
      </c>
      <c r="Q1842">
        <v>7.5144500000000001</v>
      </c>
      <c r="R1842">
        <v>0</v>
      </c>
      <c r="S1842">
        <v>2.11</v>
      </c>
      <c r="T1842">
        <v>2.032</v>
      </c>
      <c r="U1842">
        <v>2.7E-2</v>
      </c>
      <c r="V1842">
        <v>0</v>
      </c>
      <c r="W1842">
        <v>1</v>
      </c>
      <c r="X1842">
        <v>0</v>
      </c>
      <c r="Y1842" t="s">
        <v>36</v>
      </c>
      <c r="Z1842">
        <v>1038</v>
      </c>
      <c r="AA1842">
        <v>875</v>
      </c>
      <c r="AB1842">
        <v>103</v>
      </c>
      <c r="AC1842" t="s">
        <v>687</v>
      </c>
      <c r="AD1842" t="str">
        <f t="shared" si="58"/>
        <v>CP</v>
      </c>
      <c r="AE1842" t="str">
        <f>_xlfn.XLOOKUP(D1842,Mapping!A:A,Mapping!D:D,0,0)</f>
        <v>Keyword - Preroll</v>
      </c>
      <c r="AF1842" t="str">
        <f t="shared" si="59"/>
        <v>OLD</v>
      </c>
    </row>
    <row r="1843" spans="1:32" x14ac:dyDescent="0.2">
      <c r="A1843" t="s">
        <v>1119</v>
      </c>
      <c r="B1843" t="s">
        <v>690</v>
      </c>
      <c r="C1843">
        <v>1012915752</v>
      </c>
      <c r="D1843" t="s">
        <v>820</v>
      </c>
      <c r="E1843" t="s">
        <v>31</v>
      </c>
      <c r="F1843" s="1">
        <v>0.67291666666666672</v>
      </c>
      <c r="G1843" t="s">
        <v>32</v>
      </c>
      <c r="H1843" t="s">
        <v>33</v>
      </c>
      <c r="I1843" t="s">
        <v>41</v>
      </c>
      <c r="J1843" t="s">
        <v>42</v>
      </c>
      <c r="K1843">
        <v>90</v>
      </c>
      <c r="L1843">
        <v>0</v>
      </c>
      <c r="M1843" t="s">
        <v>63</v>
      </c>
      <c r="N1843">
        <v>250</v>
      </c>
      <c r="O1843">
        <v>0</v>
      </c>
      <c r="P1843">
        <v>0</v>
      </c>
      <c r="Q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 t="s">
        <v>36</v>
      </c>
      <c r="AC1843" t="s">
        <v>687</v>
      </c>
      <c r="AD1843" t="str">
        <f t="shared" si="58"/>
        <v>CP</v>
      </c>
      <c r="AE1843" t="str">
        <f>_xlfn.XLOOKUP(D1843,Mapping!A:A,Mapping!D:D,0,0)</f>
        <v>Keyword - Preroll</v>
      </c>
      <c r="AF1843" t="str">
        <f t="shared" si="59"/>
        <v>OLD</v>
      </c>
    </row>
    <row r="1844" spans="1:32" x14ac:dyDescent="0.2">
      <c r="A1844" t="s">
        <v>1119</v>
      </c>
      <c r="B1844" t="s">
        <v>690</v>
      </c>
      <c r="C1844">
        <v>1012915762</v>
      </c>
      <c r="D1844" t="s">
        <v>821</v>
      </c>
      <c r="E1844" t="s">
        <v>31</v>
      </c>
      <c r="F1844" s="1">
        <v>0.67291666666666672</v>
      </c>
      <c r="G1844" t="s">
        <v>32</v>
      </c>
      <c r="H1844" t="s">
        <v>33</v>
      </c>
      <c r="I1844" t="s">
        <v>41</v>
      </c>
      <c r="J1844" t="s">
        <v>42</v>
      </c>
      <c r="K1844">
        <v>90</v>
      </c>
      <c r="L1844">
        <v>0</v>
      </c>
      <c r="M1844" t="s">
        <v>63</v>
      </c>
      <c r="N1844">
        <v>250</v>
      </c>
      <c r="O1844">
        <v>4</v>
      </c>
      <c r="P1844">
        <v>0</v>
      </c>
      <c r="Q1844">
        <v>0</v>
      </c>
      <c r="R1844">
        <v>0</v>
      </c>
      <c r="S1844">
        <v>0</v>
      </c>
      <c r="T1844">
        <v>0.83699999999999997</v>
      </c>
      <c r="U1844">
        <v>0</v>
      </c>
      <c r="V1844">
        <v>0</v>
      </c>
      <c r="W1844">
        <v>1</v>
      </c>
      <c r="X1844">
        <v>0</v>
      </c>
      <c r="Y1844" t="s">
        <v>36</v>
      </c>
      <c r="Z1844">
        <v>4</v>
      </c>
      <c r="AA1844">
        <v>4</v>
      </c>
      <c r="AB1844">
        <v>0</v>
      </c>
      <c r="AC1844" t="s">
        <v>687</v>
      </c>
      <c r="AD1844" t="str">
        <f t="shared" si="58"/>
        <v>CP</v>
      </c>
      <c r="AE1844" t="str">
        <f>_xlfn.XLOOKUP(D1844,Mapping!A:A,Mapping!D:D,0,0)</f>
        <v>Keyword - Preroll</v>
      </c>
      <c r="AF1844" t="str">
        <f t="shared" si="59"/>
        <v>OLD</v>
      </c>
    </row>
    <row r="1845" spans="1:32" x14ac:dyDescent="0.2">
      <c r="A1845" t="s">
        <v>1119</v>
      </c>
      <c r="B1845" t="s">
        <v>39</v>
      </c>
      <c r="C1845">
        <v>1012915772</v>
      </c>
      <c r="D1845" t="s">
        <v>822</v>
      </c>
      <c r="E1845" t="s">
        <v>31</v>
      </c>
      <c r="F1845" s="1">
        <v>0.67291666666666672</v>
      </c>
      <c r="G1845" t="s">
        <v>32</v>
      </c>
      <c r="H1845" t="s">
        <v>33</v>
      </c>
      <c r="I1845" t="s">
        <v>34</v>
      </c>
      <c r="J1845" t="s">
        <v>35</v>
      </c>
      <c r="K1845">
        <v>36</v>
      </c>
      <c r="L1845">
        <v>0</v>
      </c>
      <c r="M1845" t="s">
        <v>63</v>
      </c>
      <c r="N1845">
        <v>250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3.8109999999999999</v>
      </c>
      <c r="U1845">
        <v>0</v>
      </c>
      <c r="V1845">
        <v>0</v>
      </c>
      <c r="W1845">
        <v>1</v>
      </c>
      <c r="X1845">
        <v>0</v>
      </c>
      <c r="Y1845" t="s">
        <v>36</v>
      </c>
      <c r="Z1845">
        <v>1</v>
      </c>
      <c r="AA1845">
        <v>1</v>
      </c>
      <c r="AB1845">
        <v>0</v>
      </c>
      <c r="AC1845" t="s">
        <v>687</v>
      </c>
      <c r="AD1845" t="str">
        <f t="shared" si="58"/>
        <v>CP</v>
      </c>
      <c r="AE1845" t="str">
        <f>_xlfn.XLOOKUP(D1845,Mapping!A:A,Mapping!D:D,0,0)</f>
        <v>Keyword - Preroll</v>
      </c>
      <c r="AF1845" t="str">
        <f t="shared" si="59"/>
        <v>OLD</v>
      </c>
    </row>
    <row r="1846" spans="1:32" x14ac:dyDescent="0.2">
      <c r="A1846" t="s">
        <v>1119</v>
      </c>
      <c r="B1846" t="s">
        <v>39</v>
      </c>
      <c r="C1846">
        <v>1012915792</v>
      </c>
      <c r="D1846" t="s">
        <v>824</v>
      </c>
      <c r="E1846" t="s">
        <v>31</v>
      </c>
      <c r="F1846" s="1">
        <v>0.67291666666666672</v>
      </c>
      <c r="G1846" t="s">
        <v>32</v>
      </c>
      <c r="H1846" t="s">
        <v>33</v>
      </c>
      <c r="I1846" t="s">
        <v>41</v>
      </c>
      <c r="J1846" t="s">
        <v>42</v>
      </c>
      <c r="K1846">
        <v>90</v>
      </c>
      <c r="L1846">
        <v>0</v>
      </c>
      <c r="M1846" t="s">
        <v>63</v>
      </c>
      <c r="N1846">
        <v>250</v>
      </c>
      <c r="O1846">
        <v>0</v>
      </c>
      <c r="P1846">
        <v>0</v>
      </c>
      <c r="Q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 t="s">
        <v>36</v>
      </c>
      <c r="AC1846" t="s">
        <v>687</v>
      </c>
      <c r="AD1846" t="str">
        <f t="shared" si="58"/>
        <v>CP</v>
      </c>
      <c r="AE1846" t="str">
        <f>_xlfn.XLOOKUP(D1846,Mapping!A:A,Mapping!D:D,0,0)</f>
        <v>VOD Hentai Intent</v>
      </c>
      <c r="AF1846" t="str">
        <f t="shared" si="59"/>
        <v>OLD</v>
      </c>
    </row>
    <row r="1847" spans="1:32" x14ac:dyDescent="0.2">
      <c r="A1847" t="s">
        <v>1119</v>
      </c>
      <c r="B1847" t="s">
        <v>39</v>
      </c>
      <c r="C1847">
        <v>1012915802</v>
      </c>
      <c r="D1847" t="s">
        <v>825</v>
      </c>
      <c r="E1847" t="s">
        <v>31</v>
      </c>
      <c r="F1847" s="1">
        <v>0.67291666666666672</v>
      </c>
      <c r="G1847" t="s">
        <v>32</v>
      </c>
      <c r="H1847" t="s">
        <v>33</v>
      </c>
      <c r="I1847" t="s">
        <v>41</v>
      </c>
      <c r="J1847" t="s">
        <v>42</v>
      </c>
      <c r="K1847">
        <v>90</v>
      </c>
      <c r="L1847">
        <v>0</v>
      </c>
      <c r="M1847" t="s">
        <v>63</v>
      </c>
      <c r="N1847">
        <v>250</v>
      </c>
      <c r="O1847">
        <v>0</v>
      </c>
      <c r="P1847">
        <v>0</v>
      </c>
      <c r="Q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 t="s">
        <v>36</v>
      </c>
      <c r="AC1847" t="s">
        <v>687</v>
      </c>
      <c r="AD1847" t="str">
        <f t="shared" si="58"/>
        <v>CP</v>
      </c>
      <c r="AE1847" t="str">
        <f>_xlfn.XLOOKUP(D1847,Mapping!A:A,Mapping!D:D,0,0)</f>
        <v>VOD Hentai Intent</v>
      </c>
      <c r="AF1847" t="str">
        <f t="shared" si="59"/>
        <v>OLD</v>
      </c>
    </row>
    <row r="1848" spans="1:32" x14ac:dyDescent="0.2">
      <c r="A1848" t="s">
        <v>1119</v>
      </c>
      <c r="B1848" t="s">
        <v>690</v>
      </c>
      <c r="C1848">
        <v>1012915832</v>
      </c>
      <c r="D1848" t="s">
        <v>826</v>
      </c>
      <c r="E1848" t="s">
        <v>31</v>
      </c>
      <c r="F1848" s="1">
        <v>0.67291666666666672</v>
      </c>
      <c r="G1848" t="s">
        <v>32</v>
      </c>
      <c r="H1848" t="s">
        <v>33</v>
      </c>
      <c r="I1848" t="s">
        <v>34</v>
      </c>
      <c r="J1848" t="s">
        <v>35</v>
      </c>
      <c r="K1848">
        <v>36</v>
      </c>
      <c r="L1848">
        <v>0</v>
      </c>
      <c r="M1848" t="s">
        <v>63</v>
      </c>
      <c r="N1848">
        <v>250</v>
      </c>
      <c r="O1848">
        <v>12</v>
      </c>
      <c r="P1848">
        <v>0</v>
      </c>
      <c r="Q1848">
        <v>0</v>
      </c>
      <c r="R1848">
        <v>0</v>
      </c>
      <c r="S1848">
        <v>0.01</v>
      </c>
      <c r="T1848">
        <v>0.59</v>
      </c>
      <c r="U1848">
        <v>0</v>
      </c>
      <c r="V1848">
        <v>0</v>
      </c>
      <c r="W1848">
        <v>1</v>
      </c>
      <c r="X1848">
        <v>0</v>
      </c>
      <c r="Y1848" t="s">
        <v>36</v>
      </c>
      <c r="Z1848">
        <v>12</v>
      </c>
      <c r="AA1848">
        <v>9</v>
      </c>
      <c r="AB1848">
        <v>0</v>
      </c>
      <c r="AC1848" t="s">
        <v>687</v>
      </c>
      <c r="AD1848" t="str">
        <f t="shared" si="58"/>
        <v>CP</v>
      </c>
      <c r="AE1848" t="str">
        <f>_xlfn.XLOOKUP(D1848,Mapping!A:A,Mapping!D:D,0,0)</f>
        <v>Keyword - Preroll</v>
      </c>
      <c r="AF1848" t="str">
        <f t="shared" si="59"/>
        <v>OLD</v>
      </c>
    </row>
    <row r="1849" spans="1:32" x14ac:dyDescent="0.2">
      <c r="A1849" t="s">
        <v>1119</v>
      </c>
      <c r="B1849" t="s">
        <v>29</v>
      </c>
      <c r="C1849">
        <v>1012915842</v>
      </c>
      <c r="D1849" t="s">
        <v>827</v>
      </c>
      <c r="E1849" t="s">
        <v>31</v>
      </c>
      <c r="F1849" s="1">
        <v>0.67291666666666672</v>
      </c>
      <c r="G1849" t="s">
        <v>32</v>
      </c>
      <c r="H1849" t="s">
        <v>33</v>
      </c>
      <c r="I1849" t="s">
        <v>34</v>
      </c>
      <c r="J1849" t="s">
        <v>35</v>
      </c>
      <c r="K1849">
        <v>36</v>
      </c>
      <c r="L1849">
        <v>0</v>
      </c>
      <c r="M1849" t="s">
        <v>63</v>
      </c>
      <c r="N1849">
        <v>250</v>
      </c>
      <c r="O1849">
        <v>402</v>
      </c>
      <c r="P1849">
        <v>26</v>
      </c>
      <c r="Q1849">
        <v>6.4676600000000004</v>
      </c>
      <c r="R1849">
        <v>0</v>
      </c>
      <c r="S1849">
        <v>1.01</v>
      </c>
      <c r="T1849">
        <v>2.512</v>
      </c>
      <c r="U1849">
        <v>3.9E-2</v>
      </c>
      <c r="V1849">
        <v>0</v>
      </c>
      <c r="W1849">
        <v>1</v>
      </c>
      <c r="X1849">
        <v>0</v>
      </c>
      <c r="Y1849" t="s">
        <v>36</v>
      </c>
      <c r="Z1849">
        <v>402</v>
      </c>
      <c r="AA1849">
        <v>324</v>
      </c>
      <c r="AB1849">
        <v>34</v>
      </c>
      <c r="AC1849" t="s">
        <v>687</v>
      </c>
      <c r="AD1849" t="str">
        <f t="shared" si="58"/>
        <v>CP</v>
      </c>
      <c r="AE1849" t="str">
        <f>_xlfn.XLOOKUP(D1849,Mapping!A:A,Mapping!D:D,0,0)</f>
        <v>Keyword - Preroll</v>
      </c>
      <c r="AF1849" t="str">
        <f t="shared" si="59"/>
        <v>OLD</v>
      </c>
    </row>
    <row r="1850" spans="1:32" x14ac:dyDescent="0.2">
      <c r="A1850" t="s">
        <v>1119</v>
      </c>
      <c r="B1850" t="s">
        <v>29</v>
      </c>
      <c r="C1850">
        <v>1012915852</v>
      </c>
      <c r="D1850" t="s">
        <v>828</v>
      </c>
      <c r="E1850" t="s">
        <v>31</v>
      </c>
      <c r="F1850" s="1">
        <v>0.67291666666666672</v>
      </c>
      <c r="G1850" t="s">
        <v>32</v>
      </c>
      <c r="H1850" t="s">
        <v>33</v>
      </c>
      <c r="I1850" t="s">
        <v>34</v>
      </c>
      <c r="J1850" t="s">
        <v>35</v>
      </c>
      <c r="K1850">
        <v>36</v>
      </c>
      <c r="L1850">
        <v>0</v>
      </c>
      <c r="M1850" t="s">
        <v>63</v>
      </c>
      <c r="N1850">
        <v>250</v>
      </c>
      <c r="O1850">
        <v>540</v>
      </c>
      <c r="P1850">
        <v>37</v>
      </c>
      <c r="Q1850">
        <v>6.8518499999999998</v>
      </c>
      <c r="R1850">
        <v>0</v>
      </c>
      <c r="S1850">
        <v>1.4</v>
      </c>
      <c r="T1850">
        <v>2.585</v>
      </c>
      <c r="U1850">
        <v>3.7999999999999999E-2</v>
      </c>
      <c r="V1850">
        <v>0</v>
      </c>
      <c r="W1850">
        <v>1</v>
      </c>
      <c r="X1850">
        <v>0</v>
      </c>
      <c r="Y1850" t="s">
        <v>36</v>
      </c>
      <c r="Z1850">
        <v>540</v>
      </c>
      <c r="AA1850">
        <v>421</v>
      </c>
      <c r="AB1850">
        <v>57</v>
      </c>
      <c r="AC1850" t="s">
        <v>687</v>
      </c>
      <c r="AD1850" t="str">
        <f t="shared" si="58"/>
        <v>CP</v>
      </c>
      <c r="AE1850" t="str">
        <f>_xlfn.XLOOKUP(D1850,Mapping!A:A,Mapping!D:D,0,0)</f>
        <v>Keyword - Preroll</v>
      </c>
      <c r="AF1850" t="str">
        <f t="shared" si="59"/>
        <v>OLD</v>
      </c>
    </row>
    <row r="1851" spans="1:32" x14ac:dyDescent="0.2">
      <c r="A1851" t="s">
        <v>1119</v>
      </c>
      <c r="B1851" t="s">
        <v>29</v>
      </c>
      <c r="C1851">
        <v>1012915862</v>
      </c>
      <c r="D1851" t="s">
        <v>829</v>
      </c>
      <c r="E1851" t="s">
        <v>31</v>
      </c>
      <c r="F1851" s="1">
        <v>0.67291666666666672</v>
      </c>
      <c r="G1851" t="s">
        <v>32</v>
      </c>
      <c r="H1851" t="s">
        <v>33</v>
      </c>
      <c r="I1851" t="s">
        <v>34</v>
      </c>
      <c r="J1851" t="s">
        <v>35</v>
      </c>
      <c r="K1851">
        <v>36</v>
      </c>
      <c r="L1851">
        <v>0</v>
      </c>
      <c r="M1851" t="s">
        <v>63</v>
      </c>
      <c r="N1851">
        <v>250</v>
      </c>
      <c r="O1851">
        <v>26</v>
      </c>
      <c r="P1851">
        <v>3</v>
      </c>
      <c r="Q1851">
        <v>11.538460000000001</v>
      </c>
      <c r="R1851">
        <v>0</v>
      </c>
      <c r="S1851">
        <v>7.0000000000000007E-2</v>
      </c>
      <c r="T1851">
        <v>2.7210000000000001</v>
      </c>
      <c r="U1851">
        <v>2.4E-2</v>
      </c>
      <c r="V1851">
        <v>0</v>
      </c>
      <c r="W1851">
        <v>1</v>
      </c>
      <c r="X1851">
        <v>0</v>
      </c>
      <c r="Y1851" t="s">
        <v>36</v>
      </c>
      <c r="Z1851">
        <v>26</v>
      </c>
      <c r="AA1851">
        <v>21</v>
      </c>
      <c r="AB1851">
        <v>2</v>
      </c>
      <c r="AC1851" t="s">
        <v>687</v>
      </c>
      <c r="AD1851" t="str">
        <f t="shared" si="58"/>
        <v>CP</v>
      </c>
      <c r="AE1851" t="str">
        <f>_xlfn.XLOOKUP(D1851,Mapping!A:A,Mapping!D:D,0,0)</f>
        <v>Keyword - Preroll</v>
      </c>
      <c r="AF1851" t="str">
        <f t="shared" si="59"/>
        <v>OLD</v>
      </c>
    </row>
    <row r="1852" spans="1:32" x14ac:dyDescent="0.2">
      <c r="A1852" t="s">
        <v>1119</v>
      </c>
      <c r="B1852" t="s">
        <v>690</v>
      </c>
      <c r="C1852">
        <v>1012915872</v>
      </c>
      <c r="D1852" t="s">
        <v>830</v>
      </c>
      <c r="E1852" t="s">
        <v>31</v>
      </c>
      <c r="F1852" s="1">
        <v>0.67291666666666672</v>
      </c>
      <c r="G1852" t="s">
        <v>32</v>
      </c>
      <c r="H1852" t="s">
        <v>33</v>
      </c>
      <c r="I1852" t="s">
        <v>41</v>
      </c>
      <c r="J1852" t="s">
        <v>42</v>
      </c>
      <c r="K1852">
        <v>90</v>
      </c>
      <c r="L1852">
        <v>0</v>
      </c>
      <c r="M1852" t="s">
        <v>63</v>
      </c>
      <c r="N1852">
        <v>250</v>
      </c>
      <c r="O1852">
        <v>2</v>
      </c>
      <c r="P1852">
        <v>0</v>
      </c>
      <c r="Q1852">
        <v>0</v>
      </c>
      <c r="R1852">
        <v>0</v>
      </c>
      <c r="S1852">
        <v>0</v>
      </c>
      <c r="T1852">
        <v>0.69899999999999995</v>
      </c>
      <c r="U1852">
        <v>0</v>
      </c>
      <c r="V1852">
        <v>0</v>
      </c>
      <c r="W1852">
        <v>1</v>
      </c>
      <c r="X1852">
        <v>0</v>
      </c>
      <c r="Y1852" t="s">
        <v>36</v>
      </c>
      <c r="Z1852">
        <v>2</v>
      </c>
      <c r="AA1852">
        <v>2</v>
      </c>
      <c r="AB1852">
        <v>0</v>
      </c>
      <c r="AC1852" t="s">
        <v>687</v>
      </c>
      <c r="AD1852" t="str">
        <f t="shared" si="58"/>
        <v>CP</v>
      </c>
      <c r="AE1852" t="str">
        <f>_xlfn.XLOOKUP(D1852,Mapping!A:A,Mapping!D:D,0,0)</f>
        <v>Keyword - Preroll</v>
      </c>
      <c r="AF1852" t="str">
        <f t="shared" si="59"/>
        <v>OLD</v>
      </c>
    </row>
    <row r="1853" spans="1:32" x14ac:dyDescent="0.2">
      <c r="A1853" t="s">
        <v>1119</v>
      </c>
      <c r="B1853" t="s">
        <v>29</v>
      </c>
      <c r="C1853">
        <v>1012915882</v>
      </c>
      <c r="D1853" t="s">
        <v>831</v>
      </c>
      <c r="E1853" t="s">
        <v>31</v>
      </c>
      <c r="F1853" s="1">
        <v>0.67291666666666672</v>
      </c>
      <c r="G1853" t="s">
        <v>32</v>
      </c>
      <c r="H1853" t="s">
        <v>33</v>
      </c>
      <c r="I1853" t="s">
        <v>41</v>
      </c>
      <c r="J1853" t="s">
        <v>42</v>
      </c>
      <c r="K1853">
        <v>90</v>
      </c>
      <c r="L1853">
        <v>0</v>
      </c>
      <c r="M1853" t="s">
        <v>63</v>
      </c>
      <c r="N1853">
        <v>250</v>
      </c>
      <c r="O1853">
        <v>1922</v>
      </c>
      <c r="P1853">
        <v>92</v>
      </c>
      <c r="Q1853">
        <v>4.78667</v>
      </c>
      <c r="R1853">
        <v>0</v>
      </c>
      <c r="S1853">
        <v>4.16</v>
      </c>
      <c r="T1853">
        <v>2.1619999999999999</v>
      </c>
      <c r="U1853">
        <v>4.4999999999999998E-2</v>
      </c>
      <c r="V1853">
        <v>0</v>
      </c>
      <c r="W1853">
        <v>1</v>
      </c>
      <c r="X1853">
        <v>0</v>
      </c>
      <c r="Y1853" t="s">
        <v>36</v>
      </c>
      <c r="Z1853">
        <v>1922</v>
      </c>
      <c r="AA1853">
        <v>1732</v>
      </c>
      <c r="AB1853">
        <v>136</v>
      </c>
      <c r="AC1853" t="s">
        <v>687</v>
      </c>
      <c r="AD1853" t="str">
        <f t="shared" si="58"/>
        <v>CP</v>
      </c>
      <c r="AE1853" t="str">
        <f>_xlfn.XLOOKUP(D1853,Mapping!A:A,Mapping!D:D,0,0)</f>
        <v>Keyword - Preroll</v>
      </c>
      <c r="AF1853" t="str">
        <f t="shared" si="59"/>
        <v>OLD</v>
      </c>
    </row>
    <row r="1854" spans="1:32" x14ac:dyDescent="0.2">
      <c r="A1854" t="s">
        <v>1119</v>
      </c>
      <c r="B1854" t="s">
        <v>690</v>
      </c>
      <c r="C1854">
        <v>1012915892</v>
      </c>
      <c r="D1854" t="s">
        <v>832</v>
      </c>
      <c r="E1854" t="s">
        <v>31</v>
      </c>
      <c r="F1854" s="1">
        <v>0.67291666666666672</v>
      </c>
      <c r="G1854" t="s">
        <v>32</v>
      </c>
      <c r="H1854" t="s">
        <v>33</v>
      </c>
      <c r="I1854" t="s">
        <v>41</v>
      </c>
      <c r="J1854" t="s">
        <v>42</v>
      </c>
      <c r="K1854">
        <v>90</v>
      </c>
      <c r="L1854">
        <v>0</v>
      </c>
      <c r="M1854" t="s">
        <v>63</v>
      </c>
      <c r="N1854">
        <v>250</v>
      </c>
      <c r="O1854">
        <v>0</v>
      </c>
      <c r="P1854">
        <v>0</v>
      </c>
      <c r="Q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 t="s">
        <v>36</v>
      </c>
      <c r="AC1854" t="s">
        <v>687</v>
      </c>
      <c r="AD1854" t="str">
        <f t="shared" si="58"/>
        <v>CP</v>
      </c>
      <c r="AE1854" t="str">
        <f>_xlfn.XLOOKUP(D1854,Mapping!A:A,Mapping!D:D,0,0)</f>
        <v>VOD Hentai Intent</v>
      </c>
      <c r="AF1854" t="str">
        <f t="shared" si="59"/>
        <v>OLD</v>
      </c>
    </row>
    <row r="1855" spans="1:32" x14ac:dyDescent="0.2">
      <c r="A1855" t="s">
        <v>1119</v>
      </c>
      <c r="B1855" t="s">
        <v>690</v>
      </c>
      <c r="C1855">
        <v>1012915902</v>
      </c>
      <c r="D1855" t="s">
        <v>833</v>
      </c>
      <c r="E1855" t="s">
        <v>31</v>
      </c>
      <c r="F1855" s="1">
        <v>0.67291666666666672</v>
      </c>
      <c r="G1855" t="s">
        <v>32</v>
      </c>
      <c r="H1855" t="s">
        <v>33</v>
      </c>
      <c r="I1855" t="s">
        <v>41</v>
      </c>
      <c r="J1855" t="s">
        <v>42</v>
      </c>
      <c r="K1855">
        <v>90</v>
      </c>
      <c r="L1855">
        <v>0</v>
      </c>
      <c r="M1855" t="s">
        <v>63</v>
      </c>
      <c r="N1855">
        <v>250</v>
      </c>
      <c r="O1855">
        <v>0</v>
      </c>
      <c r="P1855">
        <v>0</v>
      </c>
      <c r="Q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 t="s">
        <v>36</v>
      </c>
      <c r="AC1855" t="s">
        <v>687</v>
      </c>
      <c r="AD1855" t="str">
        <f t="shared" si="58"/>
        <v>CP</v>
      </c>
      <c r="AE1855" t="str">
        <f>_xlfn.XLOOKUP(D1855,Mapping!A:A,Mapping!D:D,0,0)</f>
        <v>Keyword - Preroll</v>
      </c>
      <c r="AF1855" t="str">
        <f t="shared" si="59"/>
        <v>OLD</v>
      </c>
    </row>
    <row r="1856" spans="1:32" x14ac:dyDescent="0.2">
      <c r="A1856" t="s">
        <v>1119</v>
      </c>
      <c r="B1856" t="s">
        <v>690</v>
      </c>
      <c r="C1856">
        <v>1012915922</v>
      </c>
      <c r="D1856" t="s">
        <v>834</v>
      </c>
      <c r="E1856" t="s">
        <v>31</v>
      </c>
      <c r="F1856" s="1">
        <v>0.67291666666666672</v>
      </c>
      <c r="G1856" t="s">
        <v>32</v>
      </c>
      <c r="H1856" t="s">
        <v>33</v>
      </c>
      <c r="I1856" t="s">
        <v>41</v>
      </c>
      <c r="J1856" t="s">
        <v>42</v>
      </c>
      <c r="K1856">
        <v>90</v>
      </c>
      <c r="L1856">
        <v>0</v>
      </c>
      <c r="M1856" t="s">
        <v>63</v>
      </c>
      <c r="N1856">
        <v>250</v>
      </c>
      <c r="O1856">
        <v>0</v>
      </c>
      <c r="P1856">
        <v>0</v>
      </c>
      <c r="Q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 t="s">
        <v>36</v>
      </c>
      <c r="AC1856" t="s">
        <v>687</v>
      </c>
      <c r="AD1856" t="str">
        <f t="shared" si="58"/>
        <v>CP</v>
      </c>
      <c r="AE1856" t="str">
        <f>_xlfn.XLOOKUP(D1856,Mapping!A:A,Mapping!D:D,0,0)</f>
        <v>VOD Hentai Intent</v>
      </c>
      <c r="AF1856" t="str">
        <f t="shared" si="59"/>
        <v>OLD</v>
      </c>
    </row>
    <row r="1857" spans="1:32" x14ac:dyDescent="0.2">
      <c r="A1857" t="s">
        <v>1119</v>
      </c>
      <c r="B1857" t="s">
        <v>690</v>
      </c>
      <c r="C1857">
        <v>1012915932</v>
      </c>
      <c r="D1857" t="s">
        <v>835</v>
      </c>
      <c r="E1857" t="s">
        <v>31</v>
      </c>
      <c r="F1857" s="1">
        <v>0.67291666666666672</v>
      </c>
      <c r="G1857" t="s">
        <v>32</v>
      </c>
      <c r="H1857" t="s">
        <v>33</v>
      </c>
      <c r="I1857" t="s">
        <v>41</v>
      </c>
      <c r="J1857" t="s">
        <v>42</v>
      </c>
      <c r="K1857">
        <v>90</v>
      </c>
      <c r="L1857">
        <v>0</v>
      </c>
      <c r="M1857" t="s">
        <v>63</v>
      </c>
      <c r="N1857">
        <v>250</v>
      </c>
      <c r="O1857">
        <v>0</v>
      </c>
      <c r="P1857">
        <v>0</v>
      </c>
      <c r="Q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 t="s">
        <v>36</v>
      </c>
      <c r="AC1857" t="s">
        <v>687</v>
      </c>
      <c r="AD1857" t="str">
        <f t="shared" si="58"/>
        <v>CP</v>
      </c>
      <c r="AE1857" t="str">
        <f>_xlfn.XLOOKUP(D1857,Mapping!A:A,Mapping!D:D,0,0)</f>
        <v>VOD Hentai Intent</v>
      </c>
      <c r="AF1857" t="str">
        <f t="shared" si="59"/>
        <v>OLD</v>
      </c>
    </row>
    <row r="1858" spans="1:32" x14ac:dyDescent="0.2">
      <c r="A1858" t="s">
        <v>1119</v>
      </c>
      <c r="B1858" t="s">
        <v>690</v>
      </c>
      <c r="C1858">
        <v>1012915942</v>
      </c>
      <c r="D1858" t="s">
        <v>836</v>
      </c>
      <c r="E1858" t="s">
        <v>31</v>
      </c>
      <c r="F1858" s="1">
        <v>0.67291666666666672</v>
      </c>
      <c r="G1858" t="s">
        <v>32</v>
      </c>
      <c r="H1858" t="s">
        <v>33</v>
      </c>
      <c r="I1858" t="s">
        <v>41</v>
      </c>
      <c r="J1858" t="s">
        <v>42</v>
      </c>
      <c r="K1858">
        <v>90</v>
      </c>
      <c r="L1858">
        <v>0</v>
      </c>
      <c r="M1858" t="s">
        <v>63</v>
      </c>
      <c r="N1858">
        <v>250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0.52500000000000002</v>
      </c>
      <c r="U1858">
        <v>0</v>
      </c>
      <c r="V1858">
        <v>0</v>
      </c>
      <c r="W1858">
        <v>1</v>
      </c>
      <c r="X1858">
        <v>0</v>
      </c>
      <c r="Y1858" t="s">
        <v>36</v>
      </c>
      <c r="Z1858">
        <v>1</v>
      </c>
      <c r="AA1858">
        <v>1</v>
      </c>
      <c r="AB1858">
        <v>0</v>
      </c>
      <c r="AC1858" t="s">
        <v>687</v>
      </c>
      <c r="AD1858" t="str">
        <f t="shared" si="58"/>
        <v>CP</v>
      </c>
      <c r="AE1858" t="str">
        <f>_xlfn.XLOOKUP(D1858,Mapping!A:A,Mapping!D:D,0,0)</f>
        <v>Keyword - Preroll</v>
      </c>
      <c r="AF1858" t="str">
        <f t="shared" si="59"/>
        <v>OLD</v>
      </c>
    </row>
    <row r="1859" spans="1:32" x14ac:dyDescent="0.2">
      <c r="A1859" t="s">
        <v>1119</v>
      </c>
      <c r="B1859" t="s">
        <v>29</v>
      </c>
      <c r="C1859">
        <v>1012915952</v>
      </c>
      <c r="D1859" t="s">
        <v>837</v>
      </c>
      <c r="E1859" t="s">
        <v>31</v>
      </c>
      <c r="F1859" s="1">
        <v>0.67291666666666672</v>
      </c>
      <c r="G1859" t="s">
        <v>32</v>
      </c>
      <c r="H1859" t="s">
        <v>33</v>
      </c>
      <c r="I1859" t="s">
        <v>41</v>
      </c>
      <c r="J1859" t="s">
        <v>42</v>
      </c>
      <c r="K1859">
        <v>90</v>
      </c>
      <c r="L1859">
        <v>0</v>
      </c>
      <c r="M1859" t="s">
        <v>63</v>
      </c>
      <c r="N1859">
        <v>250</v>
      </c>
      <c r="O1859">
        <v>2165</v>
      </c>
      <c r="P1859">
        <v>120</v>
      </c>
      <c r="Q1859">
        <v>5.5427299999999997</v>
      </c>
      <c r="R1859">
        <v>0</v>
      </c>
      <c r="S1859">
        <v>4.3</v>
      </c>
      <c r="T1859">
        <v>1.986</v>
      </c>
      <c r="U1859">
        <v>3.5999999999999997E-2</v>
      </c>
      <c r="V1859">
        <v>0</v>
      </c>
      <c r="W1859">
        <v>1</v>
      </c>
      <c r="X1859">
        <v>0</v>
      </c>
      <c r="Y1859" t="s">
        <v>36</v>
      </c>
      <c r="Z1859">
        <v>2165</v>
      </c>
      <c r="AA1859">
        <v>1906</v>
      </c>
      <c r="AB1859">
        <v>176</v>
      </c>
      <c r="AC1859" t="s">
        <v>687</v>
      </c>
      <c r="AD1859" t="str">
        <f t="shared" si="58"/>
        <v>CP</v>
      </c>
      <c r="AE1859" t="str">
        <f>_xlfn.XLOOKUP(D1859,Mapping!A:A,Mapping!D:D,0,0)</f>
        <v>Keyword - Preroll</v>
      </c>
      <c r="AF1859" t="str">
        <f t="shared" si="59"/>
        <v>OLD</v>
      </c>
    </row>
    <row r="1860" spans="1:32" x14ac:dyDescent="0.2">
      <c r="A1860" t="s">
        <v>1119</v>
      </c>
      <c r="B1860" t="s">
        <v>29</v>
      </c>
      <c r="C1860">
        <v>1012915962</v>
      </c>
      <c r="D1860" t="s">
        <v>126</v>
      </c>
      <c r="E1860" t="s">
        <v>31</v>
      </c>
      <c r="F1860" s="1">
        <v>0.67291666666666672</v>
      </c>
      <c r="G1860" t="s">
        <v>32</v>
      </c>
      <c r="H1860" t="s">
        <v>33</v>
      </c>
      <c r="I1860" t="s">
        <v>41</v>
      </c>
      <c r="J1860" t="s">
        <v>58</v>
      </c>
      <c r="K1860">
        <v>20</v>
      </c>
      <c r="L1860">
        <v>0</v>
      </c>
      <c r="M1860" t="s">
        <v>63</v>
      </c>
      <c r="N1860">
        <v>250</v>
      </c>
      <c r="O1860">
        <v>472</v>
      </c>
      <c r="P1860">
        <v>28</v>
      </c>
      <c r="Q1860">
        <v>5.9321999999999999</v>
      </c>
      <c r="R1860">
        <v>0</v>
      </c>
      <c r="S1860">
        <v>0.34</v>
      </c>
      <c r="T1860">
        <v>0.72799999999999998</v>
      </c>
      <c r="U1860">
        <v>1.2E-2</v>
      </c>
      <c r="V1860">
        <v>0</v>
      </c>
      <c r="W1860">
        <v>1</v>
      </c>
      <c r="X1860">
        <v>0</v>
      </c>
      <c r="Y1860" t="s">
        <v>36</v>
      </c>
      <c r="Z1860">
        <v>472</v>
      </c>
      <c r="AA1860">
        <v>429</v>
      </c>
      <c r="AB1860">
        <v>26</v>
      </c>
      <c r="AC1860" t="s">
        <v>687</v>
      </c>
      <c r="AD1860" t="str">
        <f t="shared" si="58"/>
        <v>CP</v>
      </c>
      <c r="AE1860" t="str">
        <f>_xlfn.XLOOKUP(D1860,Mapping!A:A,Mapping!D:D,0,0)</f>
        <v>Trans</v>
      </c>
      <c r="AF1860" t="str">
        <f t="shared" si="59"/>
        <v>OLD</v>
      </c>
    </row>
    <row r="1861" spans="1:32" x14ac:dyDescent="0.2">
      <c r="A1861" t="s">
        <v>1119</v>
      </c>
      <c r="B1861" t="s">
        <v>690</v>
      </c>
      <c r="C1861">
        <v>1012915972</v>
      </c>
      <c r="D1861" t="s">
        <v>132</v>
      </c>
      <c r="E1861" t="s">
        <v>31</v>
      </c>
      <c r="F1861" s="1">
        <v>0.67291666666666672</v>
      </c>
      <c r="G1861" t="s">
        <v>32</v>
      </c>
      <c r="H1861" t="s">
        <v>33</v>
      </c>
      <c r="I1861" t="s">
        <v>41</v>
      </c>
      <c r="J1861" t="s">
        <v>58</v>
      </c>
      <c r="K1861">
        <v>20</v>
      </c>
      <c r="L1861">
        <v>0</v>
      </c>
      <c r="M1861" t="s">
        <v>63</v>
      </c>
      <c r="N1861">
        <v>250</v>
      </c>
      <c r="O1861">
        <v>9</v>
      </c>
      <c r="P1861">
        <v>1</v>
      </c>
      <c r="Q1861">
        <v>11.11111</v>
      </c>
      <c r="R1861">
        <v>0</v>
      </c>
      <c r="S1861">
        <v>0.01</v>
      </c>
      <c r="T1861">
        <v>0.76400000000000001</v>
      </c>
      <c r="U1861">
        <v>7.0000000000000001E-3</v>
      </c>
      <c r="V1861">
        <v>0</v>
      </c>
      <c r="W1861">
        <v>1</v>
      </c>
      <c r="X1861">
        <v>0</v>
      </c>
      <c r="Y1861" t="s">
        <v>36</v>
      </c>
      <c r="Z1861">
        <v>9</v>
      </c>
      <c r="AA1861">
        <v>9</v>
      </c>
      <c r="AB1861">
        <v>0</v>
      </c>
      <c r="AC1861" t="s">
        <v>687</v>
      </c>
      <c r="AD1861" t="str">
        <f t="shared" si="58"/>
        <v>CP</v>
      </c>
      <c r="AE1861" t="str">
        <f>_xlfn.XLOOKUP(D1861,Mapping!A:A,Mapping!D:D,0,0)</f>
        <v>Trans</v>
      </c>
      <c r="AF1861" t="str">
        <f t="shared" si="59"/>
        <v>OLD</v>
      </c>
    </row>
    <row r="1862" spans="1:32" x14ac:dyDescent="0.2">
      <c r="A1862" t="s">
        <v>1119</v>
      </c>
      <c r="B1862" t="s">
        <v>39</v>
      </c>
      <c r="C1862">
        <v>1012915982</v>
      </c>
      <c r="D1862" t="s">
        <v>128</v>
      </c>
      <c r="E1862" t="s">
        <v>31</v>
      </c>
      <c r="F1862" s="1">
        <v>0.67291666666666672</v>
      </c>
      <c r="G1862" t="s">
        <v>32</v>
      </c>
      <c r="H1862" t="s">
        <v>33</v>
      </c>
      <c r="I1862" t="s">
        <v>41</v>
      </c>
      <c r="J1862" t="s">
        <v>58</v>
      </c>
      <c r="K1862">
        <v>20</v>
      </c>
      <c r="L1862">
        <v>0</v>
      </c>
      <c r="M1862" t="s">
        <v>63</v>
      </c>
      <c r="N1862">
        <v>250</v>
      </c>
      <c r="O1862">
        <v>0</v>
      </c>
      <c r="P1862">
        <v>0</v>
      </c>
      <c r="Q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 t="s">
        <v>36</v>
      </c>
      <c r="AC1862" t="s">
        <v>687</v>
      </c>
      <c r="AD1862" t="str">
        <f t="shared" si="58"/>
        <v>CP</v>
      </c>
      <c r="AE1862" t="str">
        <f>_xlfn.XLOOKUP(D1862,Mapping!A:A,Mapping!D:D,0,0)</f>
        <v>Bin</v>
      </c>
      <c r="AF1862" t="str">
        <f t="shared" si="59"/>
        <v>OLD</v>
      </c>
    </row>
    <row r="1863" spans="1:32" x14ac:dyDescent="0.2">
      <c r="A1863" t="s">
        <v>1119</v>
      </c>
      <c r="B1863" t="s">
        <v>690</v>
      </c>
      <c r="C1863">
        <v>1012915992</v>
      </c>
      <c r="D1863" t="s">
        <v>838</v>
      </c>
      <c r="E1863" t="s">
        <v>31</v>
      </c>
      <c r="F1863" s="1">
        <v>0.67291666666666672</v>
      </c>
      <c r="G1863" t="s">
        <v>32</v>
      </c>
      <c r="H1863" t="s">
        <v>33</v>
      </c>
      <c r="I1863" t="s">
        <v>41</v>
      </c>
      <c r="J1863" t="s">
        <v>58</v>
      </c>
      <c r="K1863">
        <v>20</v>
      </c>
      <c r="L1863">
        <v>0</v>
      </c>
      <c r="M1863" t="s">
        <v>63</v>
      </c>
      <c r="N1863">
        <v>250</v>
      </c>
      <c r="O1863">
        <v>0</v>
      </c>
      <c r="P1863">
        <v>0</v>
      </c>
      <c r="Q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 t="s">
        <v>36</v>
      </c>
      <c r="AC1863" t="s">
        <v>687</v>
      </c>
      <c r="AD1863" t="str">
        <f t="shared" si="58"/>
        <v>CP</v>
      </c>
      <c r="AE1863" t="str">
        <f>_xlfn.XLOOKUP(D1863,Mapping!A:A,Mapping!D:D,0,0)</f>
        <v>Trans</v>
      </c>
      <c r="AF1863" t="str">
        <f t="shared" si="59"/>
        <v>OLD</v>
      </c>
    </row>
    <row r="1864" spans="1:32" x14ac:dyDescent="0.2">
      <c r="A1864" t="s">
        <v>1119</v>
      </c>
      <c r="B1864" t="s">
        <v>29</v>
      </c>
      <c r="C1864">
        <v>1012916002</v>
      </c>
      <c r="D1864" t="s">
        <v>129</v>
      </c>
      <c r="E1864" t="s">
        <v>31</v>
      </c>
      <c r="F1864" s="1">
        <v>0.67291666666666672</v>
      </c>
      <c r="G1864" t="s">
        <v>32</v>
      </c>
      <c r="H1864" t="s">
        <v>33</v>
      </c>
      <c r="I1864" t="s">
        <v>34</v>
      </c>
      <c r="J1864" t="s">
        <v>124</v>
      </c>
      <c r="K1864">
        <v>8</v>
      </c>
      <c r="L1864">
        <v>0</v>
      </c>
      <c r="M1864" t="s">
        <v>63</v>
      </c>
      <c r="N1864">
        <v>250</v>
      </c>
      <c r="O1864">
        <v>194</v>
      </c>
      <c r="P1864">
        <v>15</v>
      </c>
      <c r="Q1864">
        <v>7.7319599999999999</v>
      </c>
      <c r="R1864">
        <v>0</v>
      </c>
      <c r="S1864">
        <v>0.49</v>
      </c>
      <c r="T1864">
        <v>2.512</v>
      </c>
      <c r="U1864">
        <v>3.2000000000000001E-2</v>
      </c>
      <c r="V1864">
        <v>0</v>
      </c>
      <c r="W1864">
        <v>1</v>
      </c>
      <c r="X1864">
        <v>0</v>
      </c>
      <c r="Y1864" t="s">
        <v>36</v>
      </c>
      <c r="Z1864">
        <v>194</v>
      </c>
      <c r="AA1864">
        <v>152</v>
      </c>
      <c r="AB1864">
        <v>19</v>
      </c>
      <c r="AC1864" t="s">
        <v>687</v>
      </c>
      <c r="AD1864" t="str">
        <f t="shared" si="58"/>
        <v>CP</v>
      </c>
      <c r="AE1864" t="str">
        <f>_xlfn.XLOOKUP(D1864,Mapping!A:A,Mapping!D:D,0,0)</f>
        <v>Trans</v>
      </c>
      <c r="AF1864" t="str">
        <f t="shared" si="59"/>
        <v>OLD</v>
      </c>
    </row>
    <row r="1865" spans="1:32" x14ac:dyDescent="0.2">
      <c r="A1865" t="s">
        <v>1119</v>
      </c>
      <c r="B1865" t="s">
        <v>29</v>
      </c>
      <c r="C1865">
        <v>1012916012</v>
      </c>
      <c r="D1865" t="s">
        <v>130</v>
      </c>
      <c r="E1865" t="s">
        <v>31</v>
      </c>
      <c r="F1865" s="1">
        <v>0.67291666666666672</v>
      </c>
      <c r="G1865" t="s">
        <v>32</v>
      </c>
      <c r="H1865" t="s">
        <v>33</v>
      </c>
      <c r="I1865" t="s">
        <v>34</v>
      </c>
      <c r="J1865" t="s">
        <v>124</v>
      </c>
      <c r="K1865">
        <v>8</v>
      </c>
      <c r="L1865">
        <v>0</v>
      </c>
      <c r="M1865" t="s">
        <v>63</v>
      </c>
      <c r="N1865">
        <v>250</v>
      </c>
      <c r="O1865">
        <v>1169</v>
      </c>
      <c r="P1865">
        <v>45</v>
      </c>
      <c r="Q1865">
        <v>3.84944</v>
      </c>
      <c r="R1865">
        <v>0</v>
      </c>
      <c r="S1865">
        <v>3.12</v>
      </c>
      <c r="T1865">
        <v>2.6720000000000002</v>
      </c>
      <c r="U1865">
        <v>6.9000000000000006E-2</v>
      </c>
      <c r="V1865">
        <v>0</v>
      </c>
      <c r="W1865">
        <v>1</v>
      </c>
      <c r="X1865">
        <v>0</v>
      </c>
      <c r="Y1865" t="s">
        <v>36</v>
      </c>
      <c r="Z1865">
        <v>1169</v>
      </c>
      <c r="AA1865">
        <v>892</v>
      </c>
      <c r="AB1865">
        <v>122</v>
      </c>
      <c r="AC1865" t="s">
        <v>687</v>
      </c>
      <c r="AD1865" t="str">
        <f t="shared" si="58"/>
        <v>CP</v>
      </c>
      <c r="AE1865" t="str">
        <f>_xlfn.XLOOKUP(D1865,Mapping!A:A,Mapping!D:D,0,0)</f>
        <v>Trans</v>
      </c>
      <c r="AF1865" t="str">
        <f t="shared" si="59"/>
        <v>OLD</v>
      </c>
    </row>
    <row r="1866" spans="1:32" x14ac:dyDescent="0.2">
      <c r="A1866" t="s">
        <v>1119</v>
      </c>
      <c r="B1866" t="s">
        <v>39</v>
      </c>
      <c r="C1866">
        <v>1012916022</v>
      </c>
      <c r="D1866" t="s">
        <v>131</v>
      </c>
      <c r="E1866" t="s">
        <v>31</v>
      </c>
      <c r="F1866" s="1">
        <v>0.67291666666666672</v>
      </c>
      <c r="G1866" t="s">
        <v>32</v>
      </c>
      <c r="H1866" t="s">
        <v>33</v>
      </c>
      <c r="I1866" t="s">
        <v>34</v>
      </c>
      <c r="J1866" t="s">
        <v>124</v>
      </c>
      <c r="K1866">
        <v>8</v>
      </c>
      <c r="L1866">
        <v>0</v>
      </c>
      <c r="M1866" t="s">
        <v>63</v>
      </c>
      <c r="N1866">
        <v>250</v>
      </c>
      <c r="O1866">
        <v>0</v>
      </c>
      <c r="P1866">
        <v>0</v>
      </c>
      <c r="Q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 t="s">
        <v>36</v>
      </c>
      <c r="AC1866" t="s">
        <v>687</v>
      </c>
      <c r="AD1866" t="str">
        <f t="shared" si="58"/>
        <v>CP</v>
      </c>
      <c r="AE1866" t="str">
        <f>_xlfn.XLOOKUP(D1866,Mapping!A:A,Mapping!D:D,0,0)</f>
        <v>Bin</v>
      </c>
      <c r="AF1866" t="str">
        <f t="shared" si="59"/>
        <v>OLD</v>
      </c>
    </row>
    <row r="1867" spans="1:32" x14ac:dyDescent="0.2">
      <c r="A1867" t="s">
        <v>1119</v>
      </c>
      <c r="B1867" t="s">
        <v>29</v>
      </c>
      <c r="C1867">
        <v>1012916032</v>
      </c>
      <c r="D1867" t="s">
        <v>839</v>
      </c>
      <c r="E1867" t="s">
        <v>31</v>
      </c>
      <c r="F1867" s="1">
        <v>0.67291666666666672</v>
      </c>
      <c r="G1867" t="s">
        <v>32</v>
      </c>
      <c r="H1867" t="s">
        <v>33</v>
      </c>
      <c r="I1867" t="s">
        <v>34</v>
      </c>
      <c r="J1867" t="s">
        <v>124</v>
      </c>
      <c r="K1867">
        <v>8</v>
      </c>
      <c r="L1867">
        <v>0</v>
      </c>
      <c r="M1867" t="s">
        <v>63</v>
      </c>
      <c r="N1867">
        <v>250</v>
      </c>
      <c r="O1867">
        <v>29</v>
      </c>
      <c r="P1867">
        <v>1</v>
      </c>
      <c r="Q1867">
        <v>3.44828</v>
      </c>
      <c r="R1867">
        <v>0</v>
      </c>
      <c r="S1867">
        <v>0.02</v>
      </c>
      <c r="T1867">
        <v>0.54200000000000004</v>
      </c>
      <c r="U1867">
        <v>1.6E-2</v>
      </c>
      <c r="V1867">
        <v>0</v>
      </c>
      <c r="W1867">
        <v>1</v>
      </c>
      <c r="X1867">
        <v>0</v>
      </c>
      <c r="Y1867" t="s">
        <v>36</v>
      </c>
      <c r="Z1867">
        <v>29</v>
      </c>
      <c r="AA1867">
        <v>19</v>
      </c>
      <c r="AB1867">
        <v>5</v>
      </c>
      <c r="AC1867" t="s">
        <v>687</v>
      </c>
      <c r="AD1867" t="str">
        <f t="shared" si="58"/>
        <v>CP</v>
      </c>
      <c r="AE1867" t="str">
        <f>_xlfn.XLOOKUP(D1867,Mapping!A:A,Mapping!D:D,0,0)</f>
        <v>Trans</v>
      </c>
      <c r="AF1867" t="str">
        <f t="shared" si="59"/>
        <v>OLD</v>
      </c>
    </row>
    <row r="1868" spans="1:32" x14ac:dyDescent="0.2">
      <c r="A1868" t="s">
        <v>1119</v>
      </c>
      <c r="B1868" t="s">
        <v>29</v>
      </c>
      <c r="C1868">
        <v>1012916052</v>
      </c>
      <c r="D1868" t="s">
        <v>840</v>
      </c>
      <c r="E1868" t="s">
        <v>31</v>
      </c>
      <c r="F1868" s="1">
        <v>0.67291666666666672</v>
      </c>
      <c r="G1868" t="s">
        <v>32</v>
      </c>
      <c r="H1868" t="s">
        <v>33</v>
      </c>
      <c r="I1868" t="s">
        <v>41</v>
      </c>
      <c r="J1868" t="s">
        <v>58</v>
      </c>
      <c r="K1868">
        <v>20</v>
      </c>
      <c r="L1868">
        <v>0</v>
      </c>
      <c r="M1868" t="s">
        <v>63</v>
      </c>
      <c r="N1868">
        <v>250</v>
      </c>
      <c r="O1868">
        <v>146</v>
      </c>
      <c r="P1868">
        <v>10</v>
      </c>
      <c r="Q1868">
        <v>6.8493199999999996</v>
      </c>
      <c r="R1868">
        <v>0</v>
      </c>
      <c r="S1868">
        <v>0.1</v>
      </c>
      <c r="T1868">
        <v>0.71499999999999997</v>
      </c>
      <c r="U1868">
        <v>0.01</v>
      </c>
      <c r="V1868">
        <v>0</v>
      </c>
      <c r="W1868">
        <v>1</v>
      </c>
      <c r="X1868">
        <v>0</v>
      </c>
      <c r="Y1868" t="s">
        <v>36</v>
      </c>
      <c r="Z1868">
        <v>146</v>
      </c>
      <c r="AA1868">
        <v>135</v>
      </c>
      <c r="AB1868">
        <v>4</v>
      </c>
      <c r="AC1868" t="s">
        <v>687</v>
      </c>
      <c r="AD1868" t="str">
        <f t="shared" si="58"/>
        <v>CP</v>
      </c>
      <c r="AE1868" t="str">
        <f>_xlfn.XLOOKUP(D1868,Mapping!A:A,Mapping!D:D,0,0)</f>
        <v>Trans</v>
      </c>
      <c r="AF1868" t="str">
        <f t="shared" si="59"/>
        <v>OLD</v>
      </c>
    </row>
    <row r="1869" spans="1:32" x14ac:dyDescent="0.2">
      <c r="A1869" t="s">
        <v>1119</v>
      </c>
      <c r="B1869" t="s">
        <v>39</v>
      </c>
      <c r="C1869">
        <v>1012916062</v>
      </c>
      <c r="D1869" t="s">
        <v>841</v>
      </c>
      <c r="E1869" t="s">
        <v>31</v>
      </c>
      <c r="F1869" s="1">
        <v>0.67291666666666672</v>
      </c>
      <c r="G1869" t="s">
        <v>32</v>
      </c>
      <c r="H1869" t="s">
        <v>33</v>
      </c>
      <c r="I1869" t="s">
        <v>41</v>
      </c>
      <c r="J1869" t="s">
        <v>58</v>
      </c>
      <c r="K1869">
        <v>20</v>
      </c>
      <c r="L1869">
        <v>0</v>
      </c>
      <c r="M1869" t="s">
        <v>63</v>
      </c>
      <c r="N1869">
        <v>250</v>
      </c>
      <c r="O1869">
        <v>0</v>
      </c>
      <c r="P1869">
        <v>0</v>
      </c>
      <c r="Q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 t="s">
        <v>36</v>
      </c>
      <c r="AC1869" t="s">
        <v>687</v>
      </c>
      <c r="AD1869" t="str">
        <f t="shared" si="58"/>
        <v>CP</v>
      </c>
      <c r="AE1869" t="str">
        <f>_xlfn.XLOOKUP(D1869,Mapping!A:A,Mapping!D:D,0,0)</f>
        <v>Trans</v>
      </c>
      <c r="AF1869" t="str">
        <f t="shared" si="59"/>
        <v>OLD</v>
      </c>
    </row>
    <row r="1870" spans="1:32" x14ac:dyDescent="0.2">
      <c r="A1870" t="s">
        <v>1119</v>
      </c>
      <c r="B1870" t="s">
        <v>29</v>
      </c>
      <c r="C1870">
        <v>1012916072</v>
      </c>
      <c r="D1870" t="s">
        <v>842</v>
      </c>
      <c r="E1870" t="s">
        <v>31</v>
      </c>
      <c r="F1870" s="1">
        <v>0.67291666666666672</v>
      </c>
      <c r="G1870" t="s">
        <v>32</v>
      </c>
      <c r="H1870" t="s">
        <v>33</v>
      </c>
      <c r="I1870" t="s">
        <v>41</v>
      </c>
      <c r="J1870" t="s">
        <v>58</v>
      </c>
      <c r="K1870">
        <v>20</v>
      </c>
      <c r="L1870">
        <v>0</v>
      </c>
      <c r="M1870" t="s">
        <v>63</v>
      </c>
      <c r="N1870">
        <v>250</v>
      </c>
      <c r="O1870">
        <v>96</v>
      </c>
      <c r="P1870">
        <v>7</v>
      </c>
      <c r="Q1870">
        <v>7.2916699999999999</v>
      </c>
      <c r="R1870">
        <v>0</v>
      </c>
      <c r="S1870">
        <v>0.06</v>
      </c>
      <c r="T1870">
        <v>0.67300000000000004</v>
      </c>
      <c r="U1870">
        <v>8.9999999999999993E-3</v>
      </c>
      <c r="V1870">
        <v>0</v>
      </c>
      <c r="W1870">
        <v>1</v>
      </c>
      <c r="X1870">
        <v>0</v>
      </c>
      <c r="Y1870" t="s">
        <v>36</v>
      </c>
      <c r="Z1870">
        <v>96</v>
      </c>
      <c r="AA1870">
        <v>90</v>
      </c>
      <c r="AB1870">
        <v>5</v>
      </c>
      <c r="AC1870" t="s">
        <v>687</v>
      </c>
      <c r="AD1870" t="str">
        <f t="shared" si="58"/>
        <v>CP</v>
      </c>
      <c r="AE1870" t="str">
        <f>_xlfn.XLOOKUP(D1870,Mapping!A:A,Mapping!D:D,0,0)</f>
        <v>Trans</v>
      </c>
      <c r="AF1870" t="str">
        <f t="shared" si="59"/>
        <v>OLD</v>
      </c>
    </row>
    <row r="1871" spans="1:32" x14ac:dyDescent="0.2">
      <c r="A1871" t="s">
        <v>1119</v>
      </c>
      <c r="B1871" t="s">
        <v>690</v>
      </c>
      <c r="C1871">
        <v>1012916082</v>
      </c>
      <c r="D1871" t="s">
        <v>843</v>
      </c>
      <c r="E1871" t="s">
        <v>31</v>
      </c>
      <c r="F1871" s="1">
        <v>0.67291666666666672</v>
      </c>
      <c r="G1871" t="s">
        <v>32</v>
      </c>
      <c r="H1871" t="s">
        <v>33</v>
      </c>
      <c r="I1871" t="s">
        <v>41</v>
      </c>
      <c r="J1871" t="s">
        <v>58</v>
      </c>
      <c r="K1871">
        <v>20</v>
      </c>
      <c r="L1871">
        <v>0</v>
      </c>
      <c r="M1871" t="s">
        <v>63</v>
      </c>
      <c r="N1871">
        <v>250</v>
      </c>
      <c r="O1871">
        <v>0</v>
      </c>
      <c r="P1871">
        <v>0</v>
      </c>
      <c r="Q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 t="s">
        <v>36</v>
      </c>
      <c r="AC1871" t="s">
        <v>687</v>
      </c>
      <c r="AD1871" t="str">
        <f t="shared" si="58"/>
        <v>CP</v>
      </c>
      <c r="AE1871" t="str">
        <f>_xlfn.XLOOKUP(D1871,Mapping!A:A,Mapping!D:D,0,0)</f>
        <v>Trans</v>
      </c>
      <c r="AF1871" t="str">
        <f t="shared" si="59"/>
        <v>OLD</v>
      </c>
    </row>
    <row r="1872" spans="1:32" x14ac:dyDescent="0.2">
      <c r="A1872" t="s">
        <v>1119</v>
      </c>
      <c r="B1872" t="s">
        <v>39</v>
      </c>
      <c r="C1872">
        <v>1012921252</v>
      </c>
      <c r="D1872" t="s">
        <v>844</v>
      </c>
      <c r="E1872" t="s">
        <v>31</v>
      </c>
      <c r="F1872" s="1">
        <v>0.67291666666666672</v>
      </c>
      <c r="G1872" t="s">
        <v>32</v>
      </c>
      <c r="H1872" t="s">
        <v>33</v>
      </c>
      <c r="I1872" t="s">
        <v>41</v>
      </c>
      <c r="J1872" t="s">
        <v>255</v>
      </c>
      <c r="K1872">
        <v>6</v>
      </c>
      <c r="L1872">
        <v>0</v>
      </c>
      <c r="M1872" t="s">
        <v>63</v>
      </c>
      <c r="N1872">
        <v>500</v>
      </c>
      <c r="O1872">
        <v>0</v>
      </c>
      <c r="P1872">
        <v>0</v>
      </c>
      <c r="Q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 t="s">
        <v>36</v>
      </c>
      <c r="AC1872" t="s">
        <v>687</v>
      </c>
      <c r="AD1872" t="str">
        <f t="shared" si="58"/>
        <v>CP</v>
      </c>
      <c r="AE1872" t="str">
        <f>_xlfn.XLOOKUP(D1872,Mapping!A:A,Mapping!D:D,0,0)</f>
        <v>Blowjob</v>
      </c>
      <c r="AF1872" t="str">
        <f t="shared" si="59"/>
        <v>OLD</v>
      </c>
    </row>
    <row r="1873" spans="1:32" x14ac:dyDescent="0.2">
      <c r="A1873" t="s">
        <v>1119</v>
      </c>
      <c r="B1873" t="s">
        <v>29</v>
      </c>
      <c r="C1873">
        <v>1012921942</v>
      </c>
      <c r="D1873" t="s">
        <v>845</v>
      </c>
      <c r="E1873" t="s">
        <v>31</v>
      </c>
      <c r="F1873" s="1">
        <v>0.67291666666666672</v>
      </c>
      <c r="G1873" t="s">
        <v>32</v>
      </c>
      <c r="H1873" t="s">
        <v>33</v>
      </c>
      <c r="I1873" t="s">
        <v>41</v>
      </c>
      <c r="J1873" t="s">
        <v>62</v>
      </c>
      <c r="K1873">
        <v>1100</v>
      </c>
      <c r="L1873">
        <v>0</v>
      </c>
      <c r="M1873" t="s">
        <v>36</v>
      </c>
      <c r="N1873" t="s">
        <v>37</v>
      </c>
      <c r="O1873">
        <v>5966</v>
      </c>
      <c r="P1873">
        <v>435</v>
      </c>
      <c r="Q1873">
        <v>7.2913199999999998</v>
      </c>
      <c r="R1873">
        <v>0</v>
      </c>
      <c r="S1873">
        <v>7.43</v>
      </c>
      <c r="T1873">
        <v>1.246</v>
      </c>
      <c r="U1873">
        <v>1.7000000000000001E-2</v>
      </c>
      <c r="V1873">
        <v>0</v>
      </c>
      <c r="W1873">
        <v>1</v>
      </c>
      <c r="X1873">
        <v>0</v>
      </c>
      <c r="Y1873" t="s">
        <v>36</v>
      </c>
      <c r="Z1873">
        <v>5966</v>
      </c>
      <c r="AA1873">
        <v>5235</v>
      </c>
      <c r="AB1873">
        <v>448</v>
      </c>
      <c r="AC1873" t="s">
        <v>687</v>
      </c>
      <c r="AD1873" t="str">
        <f t="shared" si="58"/>
        <v>CP</v>
      </c>
      <c r="AE1873" t="str">
        <f>_xlfn.XLOOKUP(D1873,Mapping!A:A,Mapping!D:D,0,0)</f>
        <v>Hentai</v>
      </c>
      <c r="AF1873" t="str">
        <f t="shared" si="59"/>
        <v>OLD</v>
      </c>
    </row>
    <row r="1874" spans="1:32" x14ac:dyDescent="0.2">
      <c r="A1874" t="s">
        <v>1119</v>
      </c>
      <c r="B1874" t="s">
        <v>29</v>
      </c>
      <c r="C1874">
        <v>1012921952</v>
      </c>
      <c r="D1874" t="s">
        <v>846</v>
      </c>
      <c r="E1874" t="s">
        <v>31</v>
      </c>
      <c r="F1874" s="1">
        <v>0.67291666666666672</v>
      </c>
      <c r="G1874" t="s">
        <v>32</v>
      </c>
      <c r="H1874" t="s">
        <v>33</v>
      </c>
      <c r="I1874" t="s">
        <v>41</v>
      </c>
      <c r="J1874" t="s">
        <v>62</v>
      </c>
      <c r="K1874">
        <v>1100</v>
      </c>
      <c r="L1874">
        <v>0</v>
      </c>
      <c r="M1874" t="s">
        <v>63</v>
      </c>
      <c r="N1874">
        <v>250</v>
      </c>
      <c r="O1874">
        <v>4322</v>
      </c>
      <c r="P1874">
        <v>265</v>
      </c>
      <c r="Q1874">
        <v>6.1314200000000003</v>
      </c>
      <c r="R1874">
        <v>0</v>
      </c>
      <c r="S1874">
        <v>6.92</v>
      </c>
      <c r="T1874">
        <v>1.6020000000000001</v>
      </c>
      <c r="U1874">
        <v>2.5999999999999999E-2</v>
      </c>
      <c r="V1874">
        <v>0</v>
      </c>
      <c r="W1874">
        <v>1</v>
      </c>
      <c r="X1874">
        <v>0</v>
      </c>
      <c r="Y1874" t="s">
        <v>36</v>
      </c>
      <c r="Z1874">
        <v>4322</v>
      </c>
      <c r="AA1874">
        <v>3766</v>
      </c>
      <c r="AB1874">
        <v>371</v>
      </c>
      <c r="AC1874" t="s">
        <v>687</v>
      </c>
      <c r="AD1874" t="str">
        <f t="shared" si="58"/>
        <v>CP</v>
      </c>
      <c r="AE1874" t="str">
        <f>_xlfn.XLOOKUP(D1874,Mapping!A:A,Mapping!D:D,0,0)</f>
        <v>Hentai</v>
      </c>
      <c r="AF1874" t="str">
        <f t="shared" si="59"/>
        <v>OLD</v>
      </c>
    </row>
    <row r="1875" spans="1:32" x14ac:dyDescent="0.2">
      <c r="A1875" t="s">
        <v>1119</v>
      </c>
      <c r="B1875" t="s">
        <v>29</v>
      </c>
      <c r="C1875">
        <v>1012921962</v>
      </c>
      <c r="D1875" t="s">
        <v>847</v>
      </c>
      <c r="E1875" t="s">
        <v>31</v>
      </c>
      <c r="F1875" s="1">
        <v>0.67291666666666672</v>
      </c>
      <c r="G1875" t="s">
        <v>32</v>
      </c>
      <c r="H1875" t="s">
        <v>33</v>
      </c>
      <c r="I1875" t="s">
        <v>34</v>
      </c>
      <c r="J1875" t="s">
        <v>84</v>
      </c>
      <c r="K1875">
        <v>520</v>
      </c>
      <c r="L1875">
        <v>0</v>
      </c>
      <c r="M1875" t="s">
        <v>36</v>
      </c>
      <c r="N1875" t="s">
        <v>37</v>
      </c>
      <c r="O1875">
        <v>2803</v>
      </c>
      <c r="P1875">
        <v>195</v>
      </c>
      <c r="Q1875">
        <v>6.9568300000000001</v>
      </c>
      <c r="R1875">
        <v>0</v>
      </c>
      <c r="S1875">
        <v>5.0599999999999996</v>
      </c>
      <c r="T1875">
        <v>1.8069999999999999</v>
      </c>
      <c r="U1875">
        <v>2.5999999999999999E-2</v>
      </c>
      <c r="V1875">
        <v>0</v>
      </c>
      <c r="W1875">
        <v>1</v>
      </c>
      <c r="X1875">
        <v>0</v>
      </c>
      <c r="Y1875" t="s">
        <v>36</v>
      </c>
      <c r="Z1875">
        <v>2803</v>
      </c>
      <c r="AA1875">
        <v>2193</v>
      </c>
      <c r="AB1875">
        <v>280</v>
      </c>
      <c r="AC1875" t="s">
        <v>687</v>
      </c>
      <c r="AD1875" t="str">
        <f t="shared" si="58"/>
        <v>CP</v>
      </c>
      <c r="AE1875" t="str">
        <f>_xlfn.XLOOKUP(D1875,Mapping!A:A,Mapping!D:D,0,0)</f>
        <v>Hentai</v>
      </c>
      <c r="AF1875" t="str">
        <f t="shared" si="59"/>
        <v>OLD</v>
      </c>
    </row>
    <row r="1876" spans="1:32" x14ac:dyDescent="0.2">
      <c r="A1876" t="s">
        <v>1119</v>
      </c>
      <c r="B1876" t="s">
        <v>29</v>
      </c>
      <c r="C1876">
        <v>1012924742</v>
      </c>
      <c r="D1876" t="s">
        <v>848</v>
      </c>
      <c r="E1876" t="s">
        <v>31</v>
      </c>
      <c r="F1876" s="1">
        <v>0.67291666666666672</v>
      </c>
      <c r="G1876" t="s">
        <v>32</v>
      </c>
      <c r="H1876" t="s">
        <v>33</v>
      </c>
      <c r="I1876" t="s">
        <v>34</v>
      </c>
      <c r="J1876" t="s">
        <v>84</v>
      </c>
      <c r="K1876">
        <v>360</v>
      </c>
      <c r="L1876">
        <v>0</v>
      </c>
      <c r="M1876" t="s">
        <v>36</v>
      </c>
      <c r="N1876" t="s">
        <v>37</v>
      </c>
      <c r="O1876">
        <v>64536</v>
      </c>
      <c r="P1876">
        <v>3255</v>
      </c>
      <c r="Q1876">
        <v>5.0437000000000003</v>
      </c>
      <c r="R1876">
        <v>2</v>
      </c>
      <c r="S1876">
        <v>119.94</v>
      </c>
      <c r="T1876">
        <v>1.859</v>
      </c>
      <c r="U1876">
        <v>3.6999999999999998E-2</v>
      </c>
      <c r="V1876">
        <v>59.970999999999997</v>
      </c>
      <c r="W1876">
        <v>1</v>
      </c>
      <c r="X1876">
        <v>0</v>
      </c>
      <c r="Y1876" t="s">
        <v>36</v>
      </c>
      <c r="Z1876">
        <v>64536</v>
      </c>
      <c r="AA1876">
        <v>49412</v>
      </c>
      <c r="AB1876">
        <v>8781</v>
      </c>
      <c r="AC1876" t="s">
        <v>687</v>
      </c>
      <c r="AD1876" t="str">
        <f t="shared" si="58"/>
        <v>CP</v>
      </c>
      <c r="AE1876" t="str">
        <f>_xlfn.XLOOKUP(D1876,Mapping!A:A,Mapping!D:D,0,0)</f>
        <v>Global</v>
      </c>
      <c r="AF1876" t="str">
        <f t="shared" si="59"/>
        <v>OLD</v>
      </c>
    </row>
    <row r="1877" spans="1:32" x14ac:dyDescent="0.2">
      <c r="A1877" t="s">
        <v>1119</v>
      </c>
      <c r="B1877" t="s">
        <v>39</v>
      </c>
      <c r="C1877">
        <v>1012924752</v>
      </c>
      <c r="D1877" t="s">
        <v>850</v>
      </c>
      <c r="E1877" t="s">
        <v>31</v>
      </c>
      <c r="F1877" s="1">
        <v>0.67291666666666672</v>
      </c>
      <c r="G1877" t="s">
        <v>32</v>
      </c>
      <c r="H1877" t="s">
        <v>33</v>
      </c>
      <c r="I1877" t="s">
        <v>41</v>
      </c>
      <c r="J1877" t="s">
        <v>62</v>
      </c>
      <c r="K1877">
        <v>700</v>
      </c>
      <c r="L1877">
        <v>0</v>
      </c>
      <c r="M1877" t="s">
        <v>36</v>
      </c>
      <c r="N1877" t="s">
        <v>37</v>
      </c>
      <c r="O1877">
        <v>0</v>
      </c>
      <c r="P1877">
        <v>0</v>
      </c>
      <c r="Q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 t="s">
        <v>36</v>
      </c>
      <c r="AC1877" t="s">
        <v>687</v>
      </c>
      <c r="AD1877" t="str">
        <f t="shared" ref="AD1877:AD1940" si="60">LEFT(D1877,2)</f>
        <v>CP</v>
      </c>
      <c r="AE1877" t="str">
        <f>_xlfn.XLOOKUP(D1877,Mapping!A:A,Mapping!D:D,0,0)</f>
        <v>Global</v>
      </c>
      <c r="AF1877" t="str">
        <f t="shared" ref="AF1877:AF1940" si="61">IFERROR(IF(SEARCH("_TJ",D1877)&gt;0,"TJ",NA()),IFERROR(IF(SEARCH("_JB",D1877)&gt;0,"JB",NA()),"OLD"))</f>
        <v>OLD</v>
      </c>
    </row>
    <row r="1878" spans="1:32" x14ac:dyDescent="0.2">
      <c r="A1878" t="s">
        <v>1119</v>
      </c>
      <c r="B1878" t="s">
        <v>39</v>
      </c>
      <c r="C1878">
        <v>1012924762</v>
      </c>
      <c r="D1878" t="s">
        <v>851</v>
      </c>
      <c r="E1878" t="s">
        <v>31</v>
      </c>
      <c r="F1878" s="1">
        <v>0.67291666666666672</v>
      </c>
      <c r="G1878" t="s">
        <v>32</v>
      </c>
      <c r="H1878" t="s">
        <v>33</v>
      </c>
      <c r="I1878" t="s">
        <v>41</v>
      </c>
      <c r="J1878" t="s">
        <v>62</v>
      </c>
      <c r="K1878">
        <v>700</v>
      </c>
      <c r="L1878">
        <v>0</v>
      </c>
      <c r="M1878" t="s">
        <v>36</v>
      </c>
      <c r="N1878" t="s">
        <v>37</v>
      </c>
      <c r="O1878">
        <v>0</v>
      </c>
      <c r="P1878">
        <v>0</v>
      </c>
      <c r="Q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 t="s">
        <v>36</v>
      </c>
      <c r="AC1878" t="s">
        <v>687</v>
      </c>
      <c r="AD1878" t="str">
        <f t="shared" si="60"/>
        <v>CP</v>
      </c>
      <c r="AE1878" t="str">
        <f>_xlfn.XLOOKUP(D1878,Mapping!A:A,Mapping!D:D,0,0)</f>
        <v>Global</v>
      </c>
      <c r="AF1878" t="str">
        <f t="shared" si="61"/>
        <v>OLD</v>
      </c>
    </row>
    <row r="1879" spans="1:32" x14ac:dyDescent="0.2">
      <c r="A1879" t="s">
        <v>1119</v>
      </c>
      <c r="B1879" t="s">
        <v>29</v>
      </c>
      <c r="C1879">
        <v>1012924802</v>
      </c>
      <c r="D1879" t="s">
        <v>167</v>
      </c>
      <c r="E1879" t="s">
        <v>31</v>
      </c>
      <c r="F1879" s="1">
        <v>0.67291666666666672</v>
      </c>
      <c r="G1879" t="s">
        <v>32</v>
      </c>
      <c r="H1879" t="s">
        <v>33</v>
      </c>
      <c r="I1879" t="s">
        <v>34</v>
      </c>
      <c r="J1879" t="s">
        <v>84</v>
      </c>
      <c r="K1879">
        <v>36</v>
      </c>
      <c r="L1879">
        <v>0</v>
      </c>
      <c r="M1879" t="s">
        <v>36</v>
      </c>
      <c r="N1879" t="s">
        <v>37</v>
      </c>
      <c r="O1879">
        <v>649</v>
      </c>
      <c r="P1879">
        <v>30</v>
      </c>
      <c r="Q1879">
        <v>4.62249</v>
      </c>
      <c r="R1879">
        <v>0</v>
      </c>
      <c r="S1879">
        <v>1.78</v>
      </c>
      <c r="T1879">
        <v>2.7349999999999999</v>
      </c>
      <c r="U1879">
        <v>5.8999999999999997E-2</v>
      </c>
      <c r="V1879">
        <v>0</v>
      </c>
      <c r="W1879">
        <v>1</v>
      </c>
      <c r="X1879">
        <v>0</v>
      </c>
      <c r="Y1879" t="s">
        <v>36</v>
      </c>
      <c r="Z1879">
        <v>649</v>
      </c>
      <c r="AA1879">
        <v>473</v>
      </c>
      <c r="AB1879">
        <v>79</v>
      </c>
      <c r="AC1879" t="s">
        <v>687</v>
      </c>
      <c r="AD1879" t="str">
        <f t="shared" si="60"/>
        <v>CP</v>
      </c>
      <c r="AE1879" t="str">
        <f>_xlfn.XLOOKUP(D1879,Mapping!A:A,Mapping!D:D,0,0)</f>
        <v>Keyword - Preroll</v>
      </c>
      <c r="AF1879" t="str">
        <f t="shared" si="61"/>
        <v>OLD</v>
      </c>
    </row>
    <row r="1880" spans="1:32" x14ac:dyDescent="0.2">
      <c r="A1880" t="s">
        <v>1119</v>
      </c>
      <c r="B1880" t="s">
        <v>29</v>
      </c>
      <c r="C1880">
        <v>1012924812</v>
      </c>
      <c r="D1880" t="s">
        <v>852</v>
      </c>
      <c r="E1880" t="s">
        <v>31</v>
      </c>
      <c r="F1880" s="1">
        <v>0.67291666666666672</v>
      </c>
      <c r="G1880" t="s">
        <v>32</v>
      </c>
      <c r="H1880" t="s">
        <v>33</v>
      </c>
      <c r="I1880" t="s">
        <v>34</v>
      </c>
      <c r="J1880" t="s">
        <v>84</v>
      </c>
      <c r="K1880">
        <v>36</v>
      </c>
      <c r="L1880">
        <v>0</v>
      </c>
      <c r="M1880" t="s">
        <v>36</v>
      </c>
      <c r="N1880" t="s">
        <v>37</v>
      </c>
      <c r="O1880">
        <v>53</v>
      </c>
      <c r="P1880">
        <v>2</v>
      </c>
      <c r="Q1880">
        <v>3.7735799999999999</v>
      </c>
      <c r="R1880">
        <v>0</v>
      </c>
      <c r="S1880">
        <v>0.03</v>
      </c>
      <c r="T1880">
        <v>0.58099999999999996</v>
      </c>
      <c r="U1880">
        <v>1.4999999999999999E-2</v>
      </c>
      <c r="V1880">
        <v>0</v>
      </c>
      <c r="W1880">
        <v>1</v>
      </c>
      <c r="X1880">
        <v>0</v>
      </c>
      <c r="Y1880" t="s">
        <v>36</v>
      </c>
      <c r="Z1880">
        <v>53</v>
      </c>
      <c r="AA1880">
        <v>35</v>
      </c>
      <c r="AB1880">
        <v>13</v>
      </c>
      <c r="AC1880" t="s">
        <v>687</v>
      </c>
      <c r="AD1880" t="str">
        <f t="shared" si="60"/>
        <v>CP</v>
      </c>
      <c r="AE1880" t="str">
        <f>_xlfn.XLOOKUP(D1880,Mapping!A:A,Mapping!D:D,0,0)</f>
        <v>Keyword - Preroll</v>
      </c>
      <c r="AF1880" t="str">
        <f t="shared" si="61"/>
        <v>OLD</v>
      </c>
    </row>
    <row r="1881" spans="1:32" x14ac:dyDescent="0.2">
      <c r="A1881" t="s">
        <v>1119</v>
      </c>
      <c r="B1881" t="s">
        <v>39</v>
      </c>
      <c r="C1881">
        <v>1012924822</v>
      </c>
      <c r="D1881" t="s">
        <v>853</v>
      </c>
      <c r="E1881" t="s">
        <v>31</v>
      </c>
      <c r="F1881" s="1">
        <v>0.67291666666666672</v>
      </c>
      <c r="G1881" t="s">
        <v>32</v>
      </c>
      <c r="H1881" t="s">
        <v>33</v>
      </c>
      <c r="I1881" t="s">
        <v>41</v>
      </c>
      <c r="J1881" t="s">
        <v>62</v>
      </c>
      <c r="K1881">
        <v>90</v>
      </c>
      <c r="L1881">
        <v>0</v>
      </c>
      <c r="M1881" t="s">
        <v>36</v>
      </c>
      <c r="N1881" t="s">
        <v>37</v>
      </c>
      <c r="O1881">
        <v>0</v>
      </c>
      <c r="P1881">
        <v>0</v>
      </c>
      <c r="Q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 t="s">
        <v>36</v>
      </c>
      <c r="AC1881" t="s">
        <v>687</v>
      </c>
      <c r="AD1881" t="str">
        <f t="shared" si="60"/>
        <v>CP</v>
      </c>
      <c r="AE1881" t="str">
        <f>_xlfn.XLOOKUP(D1881,Mapping!A:A,Mapping!D:D,0,0)</f>
        <v>FinDom</v>
      </c>
      <c r="AF1881" t="str">
        <f t="shared" si="61"/>
        <v>OLD</v>
      </c>
    </row>
    <row r="1882" spans="1:32" x14ac:dyDescent="0.2">
      <c r="A1882" t="s">
        <v>1119</v>
      </c>
      <c r="B1882" t="s">
        <v>39</v>
      </c>
      <c r="C1882">
        <v>1012924832</v>
      </c>
      <c r="D1882" t="s">
        <v>854</v>
      </c>
      <c r="E1882" t="s">
        <v>31</v>
      </c>
      <c r="F1882" s="1">
        <v>0.67291666666666672</v>
      </c>
      <c r="G1882" t="s">
        <v>32</v>
      </c>
      <c r="H1882" t="s">
        <v>33</v>
      </c>
      <c r="I1882" t="s">
        <v>41</v>
      </c>
      <c r="J1882" t="s">
        <v>62</v>
      </c>
      <c r="K1882">
        <v>90</v>
      </c>
      <c r="L1882">
        <v>0</v>
      </c>
      <c r="M1882" t="s">
        <v>36</v>
      </c>
      <c r="N1882" t="s">
        <v>37</v>
      </c>
      <c r="O1882">
        <v>0</v>
      </c>
      <c r="P1882">
        <v>0</v>
      </c>
      <c r="Q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 t="s">
        <v>36</v>
      </c>
      <c r="AC1882" t="s">
        <v>687</v>
      </c>
      <c r="AD1882" t="str">
        <f t="shared" si="60"/>
        <v>CP</v>
      </c>
      <c r="AE1882" t="str">
        <f>_xlfn.XLOOKUP(D1882,Mapping!A:A,Mapping!D:D,0,0)</f>
        <v>FinDom</v>
      </c>
      <c r="AF1882" t="str">
        <f t="shared" si="61"/>
        <v>OLD</v>
      </c>
    </row>
    <row r="1883" spans="1:32" x14ac:dyDescent="0.2">
      <c r="A1883" t="s">
        <v>1119</v>
      </c>
      <c r="B1883" t="s">
        <v>29</v>
      </c>
      <c r="C1883">
        <v>1012924842</v>
      </c>
      <c r="D1883" t="s">
        <v>855</v>
      </c>
      <c r="E1883" t="s">
        <v>31</v>
      </c>
      <c r="F1883" s="1">
        <v>0.67291666666666672</v>
      </c>
      <c r="G1883" t="s">
        <v>32</v>
      </c>
      <c r="H1883" t="s">
        <v>33</v>
      </c>
      <c r="I1883" t="s">
        <v>41</v>
      </c>
      <c r="J1883" t="s">
        <v>62</v>
      </c>
      <c r="K1883">
        <v>90</v>
      </c>
      <c r="L1883">
        <v>0</v>
      </c>
      <c r="M1883" t="s">
        <v>36</v>
      </c>
      <c r="N1883" t="s">
        <v>37</v>
      </c>
      <c r="O1883">
        <v>11</v>
      </c>
      <c r="P1883">
        <v>0</v>
      </c>
      <c r="Q1883">
        <v>0</v>
      </c>
      <c r="R1883">
        <v>0</v>
      </c>
      <c r="S1883">
        <v>0.01</v>
      </c>
      <c r="T1883">
        <v>0.46700000000000003</v>
      </c>
      <c r="U1883">
        <v>0</v>
      </c>
      <c r="V1883">
        <v>0</v>
      </c>
      <c r="W1883">
        <v>1</v>
      </c>
      <c r="X1883">
        <v>0</v>
      </c>
      <c r="Y1883" t="s">
        <v>36</v>
      </c>
      <c r="Z1883">
        <v>11</v>
      </c>
      <c r="AA1883">
        <v>10</v>
      </c>
      <c r="AB1883">
        <v>1</v>
      </c>
      <c r="AC1883" t="s">
        <v>687</v>
      </c>
      <c r="AD1883" t="str">
        <f t="shared" si="60"/>
        <v>CP</v>
      </c>
      <c r="AE1883" t="str">
        <f>_xlfn.XLOOKUP(D1883,Mapping!A:A,Mapping!D:D,0,0)</f>
        <v>Keyword - Preroll</v>
      </c>
      <c r="AF1883" t="str">
        <f t="shared" si="61"/>
        <v>OLD</v>
      </c>
    </row>
    <row r="1884" spans="1:32" x14ac:dyDescent="0.2">
      <c r="A1884" t="s">
        <v>1119</v>
      </c>
      <c r="B1884" t="s">
        <v>690</v>
      </c>
      <c r="C1884">
        <v>1012924852</v>
      </c>
      <c r="D1884" t="s">
        <v>856</v>
      </c>
      <c r="E1884" t="s">
        <v>31</v>
      </c>
      <c r="F1884" s="1">
        <v>0.67291666666666672</v>
      </c>
      <c r="G1884" t="s">
        <v>32</v>
      </c>
      <c r="H1884" t="s">
        <v>33</v>
      </c>
      <c r="I1884" t="s">
        <v>41</v>
      </c>
      <c r="J1884" t="s">
        <v>62</v>
      </c>
      <c r="K1884">
        <v>90</v>
      </c>
      <c r="L1884">
        <v>0</v>
      </c>
      <c r="M1884" t="s">
        <v>36</v>
      </c>
      <c r="N1884" t="s">
        <v>37</v>
      </c>
      <c r="O1884">
        <v>8</v>
      </c>
      <c r="P1884">
        <v>0</v>
      </c>
      <c r="Q1884">
        <v>0</v>
      </c>
      <c r="R1884">
        <v>0</v>
      </c>
      <c r="S1884">
        <v>0</v>
      </c>
      <c r="T1884">
        <v>0.28499999999999998</v>
      </c>
      <c r="U1884">
        <v>0</v>
      </c>
      <c r="V1884">
        <v>0</v>
      </c>
      <c r="W1884">
        <v>1</v>
      </c>
      <c r="X1884">
        <v>0</v>
      </c>
      <c r="Y1884" t="s">
        <v>36</v>
      </c>
      <c r="Z1884">
        <v>8</v>
      </c>
      <c r="AA1884">
        <v>8</v>
      </c>
      <c r="AB1884">
        <v>0</v>
      </c>
      <c r="AC1884" t="s">
        <v>687</v>
      </c>
      <c r="AD1884" t="str">
        <f t="shared" si="60"/>
        <v>CP</v>
      </c>
      <c r="AE1884" t="str">
        <f>_xlfn.XLOOKUP(D1884,Mapping!A:A,Mapping!D:D,0,0)</f>
        <v>Keyword - Preroll</v>
      </c>
      <c r="AF1884" t="str">
        <f t="shared" si="61"/>
        <v>OLD</v>
      </c>
    </row>
    <row r="1885" spans="1:32" x14ac:dyDescent="0.2">
      <c r="A1885" t="s">
        <v>1119</v>
      </c>
      <c r="B1885" t="s">
        <v>39</v>
      </c>
      <c r="C1885">
        <v>1012924862</v>
      </c>
      <c r="D1885" t="s">
        <v>118</v>
      </c>
      <c r="E1885" t="s">
        <v>31</v>
      </c>
      <c r="F1885" s="1">
        <v>0.67291666666666672</v>
      </c>
      <c r="G1885" t="s">
        <v>32</v>
      </c>
      <c r="H1885" t="s">
        <v>33</v>
      </c>
      <c r="I1885" t="s">
        <v>41</v>
      </c>
      <c r="J1885" t="s">
        <v>62</v>
      </c>
      <c r="K1885">
        <v>90</v>
      </c>
      <c r="L1885">
        <v>0</v>
      </c>
      <c r="M1885" t="s">
        <v>36</v>
      </c>
      <c r="N1885" t="s">
        <v>37</v>
      </c>
      <c r="O1885">
        <v>0</v>
      </c>
      <c r="P1885">
        <v>0</v>
      </c>
      <c r="Q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 t="s">
        <v>36</v>
      </c>
      <c r="AC1885" t="s">
        <v>687</v>
      </c>
      <c r="AD1885" t="str">
        <f t="shared" si="60"/>
        <v>CP</v>
      </c>
      <c r="AE1885" t="str">
        <f>_xlfn.XLOOKUP(D1885,Mapping!A:A,Mapping!D:D,0,0)</f>
        <v>Archive</v>
      </c>
      <c r="AF1885" t="str">
        <f t="shared" si="61"/>
        <v>OLD</v>
      </c>
    </row>
    <row r="1886" spans="1:32" x14ac:dyDescent="0.2">
      <c r="A1886" t="s">
        <v>1119</v>
      </c>
      <c r="B1886" t="s">
        <v>29</v>
      </c>
      <c r="C1886">
        <v>1012924872</v>
      </c>
      <c r="D1886" t="s">
        <v>159</v>
      </c>
      <c r="E1886" t="s">
        <v>31</v>
      </c>
      <c r="F1886" s="1">
        <v>0.67291666666666672</v>
      </c>
      <c r="G1886" t="s">
        <v>32</v>
      </c>
      <c r="H1886" t="s">
        <v>33</v>
      </c>
      <c r="I1886" t="s">
        <v>41</v>
      </c>
      <c r="J1886" t="s">
        <v>62</v>
      </c>
      <c r="K1886">
        <v>90</v>
      </c>
      <c r="L1886">
        <v>0</v>
      </c>
      <c r="M1886" t="s">
        <v>36</v>
      </c>
      <c r="N1886" t="s">
        <v>37</v>
      </c>
      <c r="O1886">
        <v>69</v>
      </c>
      <c r="P1886">
        <v>1</v>
      </c>
      <c r="Q1886">
        <v>1.4492799999999999</v>
      </c>
      <c r="R1886">
        <v>0</v>
      </c>
      <c r="S1886">
        <v>0.05</v>
      </c>
      <c r="T1886">
        <v>0.7</v>
      </c>
      <c r="U1886">
        <v>4.8000000000000001E-2</v>
      </c>
      <c r="V1886">
        <v>0</v>
      </c>
      <c r="W1886">
        <v>1</v>
      </c>
      <c r="X1886">
        <v>0</v>
      </c>
      <c r="Y1886" t="s">
        <v>36</v>
      </c>
      <c r="Z1886">
        <v>69</v>
      </c>
      <c r="AA1886">
        <v>65</v>
      </c>
      <c r="AB1886">
        <v>1</v>
      </c>
      <c r="AC1886" t="s">
        <v>687</v>
      </c>
      <c r="AD1886" t="str">
        <f t="shared" si="60"/>
        <v>CP</v>
      </c>
      <c r="AE1886" t="str">
        <f>_xlfn.XLOOKUP(D1886,Mapping!A:A,Mapping!D:D,0,0)</f>
        <v>Keyword - Preroll</v>
      </c>
      <c r="AF1886" t="str">
        <f t="shared" si="61"/>
        <v>OLD</v>
      </c>
    </row>
    <row r="1887" spans="1:32" x14ac:dyDescent="0.2">
      <c r="A1887" t="s">
        <v>1119</v>
      </c>
      <c r="B1887" t="s">
        <v>39</v>
      </c>
      <c r="C1887">
        <v>1012924882</v>
      </c>
      <c r="D1887" t="s">
        <v>164</v>
      </c>
      <c r="E1887" t="s">
        <v>31</v>
      </c>
      <c r="F1887" s="1">
        <v>0.67291666666666672</v>
      </c>
      <c r="G1887" t="s">
        <v>32</v>
      </c>
      <c r="H1887" t="s">
        <v>33</v>
      </c>
      <c r="I1887" t="s">
        <v>41</v>
      </c>
      <c r="J1887" t="s">
        <v>62</v>
      </c>
      <c r="K1887">
        <v>90</v>
      </c>
      <c r="L1887">
        <v>0</v>
      </c>
      <c r="M1887" t="s">
        <v>36</v>
      </c>
      <c r="N1887" t="s">
        <v>37</v>
      </c>
      <c r="O1887">
        <v>0</v>
      </c>
      <c r="P1887">
        <v>0</v>
      </c>
      <c r="Q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 t="s">
        <v>36</v>
      </c>
      <c r="AC1887" t="s">
        <v>687</v>
      </c>
      <c r="AD1887" t="str">
        <f t="shared" si="60"/>
        <v>CP</v>
      </c>
      <c r="AE1887" t="str">
        <f>_xlfn.XLOOKUP(D1887,Mapping!A:A,Mapping!D:D,0,0)</f>
        <v>Bin</v>
      </c>
      <c r="AF1887" t="str">
        <f t="shared" si="61"/>
        <v>OLD</v>
      </c>
    </row>
    <row r="1888" spans="1:32" x14ac:dyDescent="0.2">
      <c r="A1888" t="s">
        <v>1119</v>
      </c>
      <c r="B1888" t="s">
        <v>690</v>
      </c>
      <c r="C1888">
        <v>1012924892</v>
      </c>
      <c r="D1888" t="s">
        <v>857</v>
      </c>
      <c r="E1888" t="s">
        <v>31</v>
      </c>
      <c r="F1888" s="1">
        <v>0.67291666666666672</v>
      </c>
      <c r="G1888" t="s">
        <v>32</v>
      </c>
      <c r="H1888" t="s">
        <v>33</v>
      </c>
      <c r="I1888" t="s">
        <v>41</v>
      </c>
      <c r="J1888" t="s">
        <v>62</v>
      </c>
      <c r="K1888">
        <v>90</v>
      </c>
      <c r="L1888">
        <v>0</v>
      </c>
      <c r="M1888" t="s">
        <v>36</v>
      </c>
      <c r="N1888" t="s">
        <v>37</v>
      </c>
      <c r="O1888">
        <v>3</v>
      </c>
      <c r="P1888">
        <v>0</v>
      </c>
      <c r="Q1888">
        <v>0</v>
      </c>
      <c r="R1888">
        <v>0</v>
      </c>
      <c r="S1888">
        <v>0</v>
      </c>
      <c r="T1888">
        <v>0.44600000000000001</v>
      </c>
      <c r="U1888">
        <v>0</v>
      </c>
      <c r="V1888">
        <v>0</v>
      </c>
      <c r="W1888">
        <v>1</v>
      </c>
      <c r="X1888">
        <v>0</v>
      </c>
      <c r="Y1888" t="s">
        <v>36</v>
      </c>
      <c r="Z1888">
        <v>3</v>
      </c>
      <c r="AA1888">
        <v>3</v>
      </c>
      <c r="AB1888">
        <v>0</v>
      </c>
      <c r="AC1888" t="s">
        <v>687</v>
      </c>
      <c r="AD1888" t="str">
        <f t="shared" si="60"/>
        <v>CP</v>
      </c>
      <c r="AE1888" t="str">
        <f>_xlfn.XLOOKUP(D1888,Mapping!A:A,Mapping!D:D,0,0)</f>
        <v>Keyword - Preroll</v>
      </c>
      <c r="AF1888" t="str">
        <f t="shared" si="61"/>
        <v>OLD</v>
      </c>
    </row>
    <row r="1889" spans="1:32" x14ac:dyDescent="0.2">
      <c r="A1889" t="s">
        <v>1119</v>
      </c>
      <c r="B1889" t="s">
        <v>690</v>
      </c>
      <c r="C1889">
        <v>1012924902</v>
      </c>
      <c r="D1889" t="s">
        <v>858</v>
      </c>
      <c r="E1889" t="s">
        <v>31</v>
      </c>
      <c r="F1889" s="1">
        <v>0.67291666666666672</v>
      </c>
      <c r="G1889" t="s">
        <v>32</v>
      </c>
      <c r="H1889" t="s">
        <v>33</v>
      </c>
      <c r="I1889" t="s">
        <v>41</v>
      </c>
      <c r="J1889" t="s">
        <v>62</v>
      </c>
      <c r="K1889">
        <v>90</v>
      </c>
      <c r="L1889">
        <v>0</v>
      </c>
      <c r="M1889" t="s">
        <v>36</v>
      </c>
      <c r="N1889" t="s">
        <v>37</v>
      </c>
      <c r="O1889">
        <v>0</v>
      </c>
      <c r="P1889">
        <v>0</v>
      </c>
      <c r="Q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 t="s">
        <v>36</v>
      </c>
      <c r="AC1889" t="s">
        <v>687</v>
      </c>
      <c r="AD1889" t="str">
        <f t="shared" si="60"/>
        <v>CP</v>
      </c>
      <c r="AE1889" t="str">
        <f>_xlfn.XLOOKUP(D1889,Mapping!A:A,Mapping!D:D,0,0)</f>
        <v>FinDom</v>
      </c>
      <c r="AF1889" t="str">
        <f t="shared" si="61"/>
        <v>OLD</v>
      </c>
    </row>
    <row r="1890" spans="1:32" x14ac:dyDescent="0.2">
      <c r="A1890" t="s">
        <v>1119</v>
      </c>
      <c r="B1890" t="s">
        <v>29</v>
      </c>
      <c r="C1890">
        <v>1012924912</v>
      </c>
      <c r="D1890" t="s">
        <v>397</v>
      </c>
      <c r="E1890" t="s">
        <v>31</v>
      </c>
      <c r="F1890" s="1">
        <v>0.67291666666666672</v>
      </c>
      <c r="G1890" t="s">
        <v>32</v>
      </c>
      <c r="H1890" t="s">
        <v>33</v>
      </c>
      <c r="I1890" t="s">
        <v>34</v>
      </c>
      <c r="J1890" t="s">
        <v>84</v>
      </c>
      <c r="K1890">
        <v>100</v>
      </c>
      <c r="L1890">
        <v>0</v>
      </c>
      <c r="M1890" t="s">
        <v>36</v>
      </c>
      <c r="N1890" t="s">
        <v>37</v>
      </c>
      <c r="O1890">
        <v>7509</v>
      </c>
      <c r="P1890">
        <v>300</v>
      </c>
      <c r="Q1890">
        <v>3.9952100000000002</v>
      </c>
      <c r="R1890">
        <v>0</v>
      </c>
      <c r="S1890">
        <v>21.54</v>
      </c>
      <c r="T1890">
        <v>2.8690000000000002</v>
      </c>
      <c r="U1890">
        <v>7.1999999999999995E-2</v>
      </c>
      <c r="V1890">
        <v>0</v>
      </c>
      <c r="W1890">
        <v>1</v>
      </c>
      <c r="X1890">
        <v>0</v>
      </c>
      <c r="Y1890" t="s">
        <v>36</v>
      </c>
      <c r="Z1890">
        <v>7509</v>
      </c>
      <c r="AA1890">
        <v>6061</v>
      </c>
      <c r="AB1890">
        <v>774</v>
      </c>
      <c r="AC1890" t="s">
        <v>687</v>
      </c>
      <c r="AD1890" t="str">
        <f t="shared" si="60"/>
        <v>CP</v>
      </c>
      <c r="AE1890" t="str">
        <f>_xlfn.XLOOKUP(D1890,Mapping!A:A,Mapping!D:D,0,0)</f>
        <v>Keyword - Preroll</v>
      </c>
      <c r="AF1890" t="str">
        <f t="shared" si="61"/>
        <v>OLD</v>
      </c>
    </row>
    <row r="1891" spans="1:32" x14ac:dyDescent="0.2">
      <c r="A1891" t="s">
        <v>1119</v>
      </c>
      <c r="B1891" t="s">
        <v>29</v>
      </c>
      <c r="C1891">
        <v>1012924922</v>
      </c>
      <c r="D1891" t="s">
        <v>407</v>
      </c>
      <c r="E1891" t="s">
        <v>31</v>
      </c>
      <c r="F1891" s="1">
        <v>0.67291666666666672</v>
      </c>
      <c r="G1891" t="s">
        <v>32</v>
      </c>
      <c r="H1891" t="s">
        <v>33</v>
      </c>
      <c r="I1891" t="s">
        <v>34</v>
      </c>
      <c r="J1891" t="s">
        <v>84</v>
      </c>
      <c r="K1891">
        <v>100</v>
      </c>
      <c r="L1891">
        <v>0</v>
      </c>
      <c r="M1891" t="s">
        <v>36</v>
      </c>
      <c r="N1891" t="s">
        <v>37</v>
      </c>
      <c r="O1891">
        <v>40742</v>
      </c>
      <c r="P1891">
        <v>1691</v>
      </c>
      <c r="Q1891">
        <v>4.1505000000000001</v>
      </c>
      <c r="R1891">
        <v>1</v>
      </c>
      <c r="S1891">
        <v>59.88</v>
      </c>
      <c r="T1891">
        <v>1.47</v>
      </c>
      <c r="U1891">
        <v>3.5000000000000003E-2</v>
      </c>
      <c r="V1891">
        <v>59.884999999999998</v>
      </c>
      <c r="W1891">
        <v>1</v>
      </c>
      <c r="X1891">
        <v>0</v>
      </c>
      <c r="Y1891" t="s">
        <v>36</v>
      </c>
      <c r="Z1891">
        <v>40742</v>
      </c>
      <c r="AA1891">
        <v>32984</v>
      </c>
      <c r="AB1891">
        <v>4289</v>
      </c>
      <c r="AC1891" t="s">
        <v>687</v>
      </c>
      <c r="AD1891" t="str">
        <f t="shared" si="60"/>
        <v>CP</v>
      </c>
      <c r="AE1891" t="str">
        <f>_xlfn.XLOOKUP(D1891,Mapping!A:A,Mapping!D:D,0,0)</f>
        <v>Keyword - Preroll</v>
      </c>
      <c r="AF1891" t="str">
        <f t="shared" si="61"/>
        <v>OLD</v>
      </c>
    </row>
    <row r="1892" spans="1:32" x14ac:dyDescent="0.2">
      <c r="A1892" t="s">
        <v>1119</v>
      </c>
      <c r="B1892" t="s">
        <v>29</v>
      </c>
      <c r="C1892">
        <v>1012924932</v>
      </c>
      <c r="D1892" t="s">
        <v>859</v>
      </c>
      <c r="E1892" t="s">
        <v>31</v>
      </c>
      <c r="F1892" s="1">
        <v>0.67291666666666672</v>
      </c>
      <c r="G1892" t="s">
        <v>32</v>
      </c>
      <c r="H1892" t="s">
        <v>33</v>
      </c>
      <c r="I1892" t="s">
        <v>34</v>
      </c>
      <c r="J1892" t="s">
        <v>84</v>
      </c>
      <c r="K1892">
        <v>100</v>
      </c>
      <c r="L1892">
        <v>0</v>
      </c>
      <c r="M1892" t="s">
        <v>36</v>
      </c>
      <c r="N1892" t="s">
        <v>37</v>
      </c>
      <c r="O1892">
        <v>357</v>
      </c>
      <c r="P1892">
        <v>19</v>
      </c>
      <c r="Q1892">
        <v>5.3221299999999996</v>
      </c>
      <c r="R1892">
        <v>0</v>
      </c>
      <c r="S1892">
        <v>0.36</v>
      </c>
      <c r="T1892">
        <v>1.0209999999999999</v>
      </c>
      <c r="U1892">
        <v>1.9E-2</v>
      </c>
      <c r="V1892">
        <v>0</v>
      </c>
      <c r="W1892">
        <v>1</v>
      </c>
      <c r="X1892">
        <v>0</v>
      </c>
      <c r="Y1892" t="s">
        <v>36</v>
      </c>
      <c r="Z1892">
        <v>357</v>
      </c>
      <c r="AA1892">
        <v>273</v>
      </c>
      <c r="AB1892">
        <v>50</v>
      </c>
      <c r="AC1892" t="s">
        <v>687</v>
      </c>
      <c r="AD1892" t="str">
        <f t="shared" si="60"/>
        <v>CP</v>
      </c>
      <c r="AE1892" t="str">
        <f>_xlfn.XLOOKUP(D1892,Mapping!A:A,Mapping!D:D,0,0)</f>
        <v>Keyword - Preroll</v>
      </c>
      <c r="AF1892" t="str">
        <f t="shared" si="61"/>
        <v>OLD</v>
      </c>
    </row>
    <row r="1893" spans="1:32" x14ac:dyDescent="0.2">
      <c r="A1893" t="s">
        <v>1119</v>
      </c>
      <c r="B1893" t="s">
        <v>29</v>
      </c>
      <c r="C1893">
        <v>1012924942</v>
      </c>
      <c r="D1893" t="s">
        <v>404</v>
      </c>
      <c r="E1893" t="s">
        <v>31</v>
      </c>
      <c r="F1893" s="1">
        <v>0.67291666666666672</v>
      </c>
      <c r="G1893" t="s">
        <v>32</v>
      </c>
      <c r="H1893" t="s">
        <v>33</v>
      </c>
      <c r="I1893" t="s">
        <v>34</v>
      </c>
      <c r="J1893" t="s">
        <v>84</v>
      </c>
      <c r="K1893">
        <v>100</v>
      </c>
      <c r="L1893">
        <v>0</v>
      </c>
      <c r="M1893" t="s">
        <v>36</v>
      </c>
      <c r="N1893" t="s">
        <v>37</v>
      </c>
      <c r="O1893">
        <v>11493</v>
      </c>
      <c r="P1893">
        <v>501</v>
      </c>
      <c r="Q1893">
        <v>4.3591800000000003</v>
      </c>
      <c r="R1893">
        <v>0</v>
      </c>
      <c r="S1893">
        <v>17.170000000000002</v>
      </c>
      <c r="T1893">
        <v>1.494</v>
      </c>
      <c r="U1893">
        <v>3.4000000000000002E-2</v>
      </c>
      <c r="V1893">
        <v>0</v>
      </c>
      <c r="W1893">
        <v>1</v>
      </c>
      <c r="X1893">
        <v>0</v>
      </c>
      <c r="Y1893" t="s">
        <v>36</v>
      </c>
      <c r="Z1893">
        <v>11493</v>
      </c>
      <c r="AA1893">
        <v>8924</v>
      </c>
      <c r="AB1893">
        <v>1475</v>
      </c>
      <c r="AC1893" t="s">
        <v>687</v>
      </c>
      <c r="AD1893" t="str">
        <f t="shared" si="60"/>
        <v>CP</v>
      </c>
      <c r="AE1893" t="str">
        <f>_xlfn.XLOOKUP(D1893,Mapping!A:A,Mapping!D:D,0,0)</f>
        <v>Keyword - Preroll</v>
      </c>
      <c r="AF1893" t="str">
        <f t="shared" si="61"/>
        <v>OLD</v>
      </c>
    </row>
    <row r="1894" spans="1:32" x14ac:dyDescent="0.2">
      <c r="A1894" t="s">
        <v>1119</v>
      </c>
      <c r="B1894" t="s">
        <v>39</v>
      </c>
      <c r="C1894">
        <v>1012924952</v>
      </c>
      <c r="D1894" t="s">
        <v>630</v>
      </c>
      <c r="E1894" t="s">
        <v>31</v>
      </c>
      <c r="F1894" s="1">
        <v>0.67291666666666672</v>
      </c>
      <c r="G1894" t="s">
        <v>32</v>
      </c>
      <c r="H1894" t="s">
        <v>33</v>
      </c>
      <c r="I1894" t="s">
        <v>41</v>
      </c>
      <c r="J1894" t="s">
        <v>62</v>
      </c>
      <c r="K1894">
        <v>90</v>
      </c>
      <c r="L1894">
        <v>0</v>
      </c>
      <c r="M1894" t="s">
        <v>36</v>
      </c>
      <c r="N1894" t="s">
        <v>37</v>
      </c>
      <c r="O1894">
        <v>0</v>
      </c>
      <c r="P1894">
        <v>0</v>
      </c>
      <c r="Q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 t="s">
        <v>36</v>
      </c>
      <c r="AC1894" t="s">
        <v>687</v>
      </c>
      <c r="AD1894" t="str">
        <f t="shared" si="60"/>
        <v>CP</v>
      </c>
      <c r="AE1894" t="str">
        <f>_xlfn.XLOOKUP(D1894,Mapping!A:A,Mapping!D:D,0,0)</f>
        <v>Bin</v>
      </c>
      <c r="AF1894" t="str">
        <f t="shared" si="61"/>
        <v>OLD</v>
      </c>
    </row>
    <row r="1895" spans="1:32" x14ac:dyDescent="0.2">
      <c r="A1895" t="s">
        <v>1119</v>
      </c>
      <c r="B1895" t="s">
        <v>29</v>
      </c>
      <c r="C1895">
        <v>1012924962</v>
      </c>
      <c r="D1895" t="s">
        <v>860</v>
      </c>
      <c r="E1895" t="s">
        <v>31</v>
      </c>
      <c r="F1895" s="1">
        <v>0.67291666666666672</v>
      </c>
      <c r="G1895" t="s">
        <v>32</v>
      </c>
      <c r="H1895" t="s">
        <v>33</v>
      </c>
      <c r="I1895" t="s">
        <v>41</v>
      </c>
      <c r="J1895" t="s">
        <v>62</v>
      </c>
      <c r="K1895">
        <v>90</v>
      </c>
      <c r="L1895">
        <v>0</v>
      </c>
      <c r="M1895" t="s">
        <v>36</v>
      </c>
      <c r="N1895" t="s">
        <v>37</v>
      </c>
      <c r="O1895">
        <v>513</v>
      </c>
      <c r="P1895">
        <v>32</v>
      </c>
      <c r="Q1895">
        <v>6.2378200000000001</v>
      </c>
      <c r="R1895">
        <v>0</v>
      </c>
      <c r="S1895">
        <v>0.32</v>
      </c>
      <c r="T1895">
        <v>0.61399999999999999</v>
      </c>
      <c r="U1895">
        <v>0.01</v>
      </c>
      <c r="V1895">
        <v>0</v>
      </c>
      <c r="W1895">
        <v>1</v>
      </c>
      <c r="X1895">
        <v>0</v>
      </c>
      <c r="Y1895" t="s">
        <v>36</v>
      </c>
      <c r="Z1895">
        <v>513</v>
      </c>
      <c r="AA1895">
        <v>471</v>
      </c>
      <c r="AB1895">
        <v>29</v>
      </c>
      <c r="AC1895" t="s">
        <v>687</v>
      </c>
      <c r="AD1895" t="str">
        <f t="shared" si="60"/>
        <v>CP</v>
      </c>
      <c r="AE1895" t="str">
        <f>_xlfn.XLOOKUP(D1895,Mapping!A:A,Mapping!D:D,0,0)</f>
        <v>Keyword - Preroll</v>
      </c>
      <c r="AF1895" t="str">
        <f t="shared" si="61"/>
        <v>OLD</v>
      </c>
    </row>
    <row r="1896" spans="1:32" x14ac:dyDescent="0.2">
      <c r="A1896" t="s">
        <v>1119</v>
      </c>
      <c r="B1896" t="s">
        <v>39</v>
      </c>
      <c r="C1896">
        <v>1012924972</v>
      </c>
      <c r="D1896" t="s">
        <v>861</v>
      </c>
      <c r="E1896" t="s">
        <v>31</v>
      </c>
      <c r="F1896" s="1">
        <v>0.67291666666666672</v>
      </c>
      <c r="G1896" t="s">
        <v>32</v>
      </c>
      <c r="H1896" t="s">
        <v>33</v>
      </c>
      <c r="I1896" t="s">
        <v>41</v>
      </c>
      <c r="J1896" t="s">
        <v>62</v>
      </c>
      <c r="K1896">
        <v>90</v>
      </c>
      <c r="L1896">
        <v>0</v>
      </c>
      <c r="M1896" t="s">
        <v>36</v>
      </c>
      <c r="N1896" t="s">
        <v>37</v>
      </c>
      <c r="O1896">
        <v>0</v>
      </c>
      <c r="P1896">
        <v>0</v>
      </c>
      <c r="Q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 t="s">
        <v>36</v>
      </c>
      <c r="AC1896" t="s">
        <v>687</v>
      </c>
      <c r="AD1896" t="str">
        <f t="shared" si="60"/>
        <v>CP</v>
      </c>
      <c r="AE1896" t="str">
        <f>_xlfn.XLOOKUP(D1896,Mapping!A:A,Mapping!D:D,0,0)</f>
        <v>Threesome</v>
      </c>
      <c r="AF1896" t="str">
        <f t="shared" si="61"/>
        <v>OLD</v>
      </c>
    </row>
    <row r="1897" spans="1:32" x14ac:dyDescent="0.2">
      <c r="A1897" t="s">
        <v>1119</v>
      </c>
      <c r="B1897" t="s">
        <v>29</v>
      </c>
      <c r="C1897">
        <v>1012924982</v>
      </c>
      <c r="D1897" t="s">
        <v>862</v>
      </c>
      <c r="E1897" t="s">
        <v>31</v>
      </c>
      <c r="F1897" s="1">
        <v>0.67291666666666672</v>
      </c>
      <c r="G1897" t="s">
        <v>32</v>
      </c>
      <c r="H1897" t="s">
        <v>33</v>
      </c>
      <c r="I1897" t="s">
        <v>41</v>
      </c>
      <c r="J1897" t="s">
        <v>62</v>
      </c>
      <c r="K1897">
        <v>90</v>
      </c>
      <c r="L1897">
        <v>0</v>
      </c>
      <c r="M1897" t="s">
        <v>36</v>
      </c>
      <c r="N1897" t="s">
        <v>37</v>
      </c>
      <c r="O1897">
        <v>163</v>
      </c>
      <c r="P1897">
        <v>15</v>
      </c>
      <c r="Q1897">
        <v>9.2024500000000007</v>
      </c>
      <c r="R1897">
        <v>0</v>
      </c>
      <c r="S1897">
        <v>0.06</v>
      </c>
      <c r="T1897">
        <v>0.39700000000000002</v>
      </c>
      <c r="U1897">
        <v>4.0000000000000001E-3</v>
      </c>
      <c r="V1897">
        <v>0</v>
      </c>
      <c r="W1897">
        <v>1</v>
      </c>
      <c r="X1897">
        <v>0</v>
      </c>
      <c r="Y1897" t="s">
        <v>36</v>
      </c>
      <c r="Z1897">
        <v>163</v>
      </c>
      <c r="AA1897">
        <v>143</v>
      </c>
      <c r="AB1897">
        <v>13</v>
      </c>
      <c r="AC1897" t="s">
        <v>687</v>
      </c>
      <c r="AD1897" t="str">
        <f t="shared" si="60"/>
        <v>CP</v>
      </c>
      <c r="AE1897" t="str">
        <f>_xlfn.XLOOKUP(D1897,Mapping!A:A,Mapping!D:D,0,0)</f>
        <v>Keyword - Preroll</v>
      </c>
      <c r="AF1897" t="str">
        <f t="shared" si="61"/>
        <v>OLD</v>
      </c>
    </row>
    <row r="1898" spans="1:32" x14ac:dyDescent="0.2">
      <c r="A1898" t="s">
        <v>1119</v>
      </c>
      <c r="B1898" t="s">
        <v>39</v>
      </c>
      <c r="C1898">
        <v>1012924992</v>
      </c>
      <c r="D1898" t="s">
        <v>863</v>
      </c>
      <c r="E1898" t="s">
        <v>31</v>
      </c>
      <c r="F1898" s="1">
        <v>0.67291666666666672</v>
      </c>
      <c r="G1898" t="s">
        <v>32</v>
      </c>
      <c r="H1898" t="s">
        <v>33</v>
      </c>
      <c r="I1898" t="s">
        <v>41</v>
      </c>
      <c r="J1898" t="s">
        <v>62</v>
      </c>
      <c r="K1898">
        <v>90</v>
      </c>
      <c r="L1898">
        <v>0</v>
      </c>
      <c r="M1898" t="s">
        <v>36</v>
      </c>
      <c r="N1898" t="s">
        <v>37</v>
      </c>
      <c r="O1898">
        <v>0</v>
      </c>
      <c r="P1898">
        <v>0</v>
      </c>
      <c r="Q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 t="s">
        <v>36</v>
      </c>
      <c r="AC1898" t="s">
        <v>687</v>
      </c>
      <c r="AD1898" t="str">
        <f t="shared" si="60"/>
        <v>CP</v>
      </c>
      <c r="AE1898" t="str">
        <f>_xlfn.XLOOKUP(D1898,Mapping!A:A,Mapping!D:D,0,0)</f>
        <v>Threesome</v>
      </c>
      <c r="AF1898" t="str">
        <f t="shared" si="61"/>
        <v>OLD</v>
      </c>
    </row>
    <row r="1899" spans="1:32" x14ac:dyDescent="0.2">
      <c r="A1899" t="s">
        <v>1119</v>
      </c>
      <c r="B1899" t="s">
        <v>39</v>
      </c>
      <c r="C1899">
        <v>1012925002</v>
      </c>
      <c r="D1899" t="s">
        <v>402</v>
      </c>
      <c r="E1899" t="s">
        <v>31</v>
      </c>
      <c r="F1899" s="1">
        <v>0.67291666666666672</v>
      </c>
      <c r="G1899" t="s">
        <v>32</v>
      </c>
      <c r="H1899" t="s">
        <v>33</v>
      </c>
      <c r="I1899" t="s">
        <v>41</v>
      </c>
      <c r="J1899" t="s">
        <v>62</v>
      </c>
      <c r="K1899">
        <v>90</v>
      </c>
      <c r="L1899">
        <v>0</v>
      </c>
      <c r="M1899" t="s">
        <v>36</v>
      </c>
      <c r="N1899" t="s">
        <v>37</v>
      </c>
      <c r="O1899">
        <v>0</v>
      </c>
      <c r="P1899">
        <v>0</v>
      </c>
      <c r="Q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 t="s">
        <v>36</v>
      </c>
      <c r="AC1899" t="s">
        <v>687</v>
      </c>
      <c r="AD1899" t="str">
        <f t="shared" si="60"/>
        <v>CP</v>
      </c>
      <c r="AE1899" t="str">
        <f>_xlfn.XLOOKUP(D1899,Mapping!A:A,Mapping!D:D,0,0)</f>
        <v>Bin</v>
      </c>
      <c r="AF1899" t="str">
        <f t="shared" si="61"/>
        <v>OLD</v>
      </c>
    </row>
    <row r="1900" spans="1:32" x14ac:dyDescent="0.2">
      <c r="A1900" t="s">
        <v>1119</v>
      </c>
      <c r="B1900" t="s">
        <v>690</v>
      </c>
      <c r="C1900">
        <v>1012925022</v>
      </c>
      <c r="D1900" t="s">
        <v>396</v>
      </c>
      <c r="E1900" t="s">
        <v>31</v>
      </c>
      <c r="F1900" s="1">
        <v>0.67291666666666672</v>
      </c>
      <c r="G1900" t="s">
        <v>32</v>
      </c>
      <c r="H1900" t="s">
        <v>33</v>
      </c>
      <c r="I1900" t="s">
        <v>41</v>
      </c>
      <c r="J1900" t="s">
        <v>62</v>
      </c>
      <c r="K1900">
        <v>90</v>
      </c>
      <c r="L1900">
        <v>0</v>
      </c>
      <c r="M1900" t="s">
        <v>36</v>
      </c>
      <c r="N1900" t="s">
        <v>37</v>
      </c>
      <c r="O1900">
        <v>0</v>
      </c>
      <c r="P1900">
        <v>0</v>
      </c>
      <c r="Q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 t="s">
        <v>36</v>
      </c>
      <c r="AC1900" t="s">
        <v>687</v>
      </c>
      <c r="AD1900" t="str">
        <f t="shared" si="60"/>
        <v>CP</v>
      </c>
      <c r="AE1900" t="str">
        <f>_xlfn.XLOOKUP(D1900,Mapping!A:A,Mapping!D:D,0,0)</f>
        <v>Bin</v>
      </c>
      <c r="AF1900" t="str">
        <f t="shared" si="61"/>
        <v>OLD</v>
      </c>
    </row>
    <row r="1901" spans="1:32" x14ac:dyDescent="0.2">
      <c r="A1901" t="s">
        <v>1119</v>
      </c>
      <c r="B1901" t="s">
        <v>39</v>
      </c>
      <c r="C1901">
        <v>1012925032</v>
      </c>
      <c r="D1901" t="s">
        <v>406</v>
      </c>
      <c r="E1901" t="s">
        <v>31</v>
      </c>
      <c r="F1901" s="1">
        <v>0.67291666666666672</v>
      </c>
      <c r="G1901" t="s">
        <v>32</v>
      </c>
      <c r="H1901" t="s">
        <v>33</v>
      </c>
      <c r="I1901" t="s">
        <v>41</v>
      </c>
      <c r="J1901" t="s">
        <v>62</v>
      </c>
      <c r="K1901">
        <v>90</v>
      </c>
      <c r="L1901">
        <v>0</v>
      </c>
      <c r="M1901" t="s">
        <v>36</v>
      </c>
      <c r="N1901" t="s">
        <v>37</v>
      </c>
      <c r="O1901">
        <v>0</v>
      </c>
      <c r="P1901">
        <v>0</v>
      </c>
      <c r="Q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 t="s">
        <v>36</v>
      </c>
      <c r="AC1901" t="s">
        <v>687</v>
      </c>
      <c r="AD1901" t="str">
        <f t="shared" si="60"/>
        <v>CP</v>
      </c>
      <c r="AE1901" t="str">
        <f>_xlfn.XLOOKUP(D1901,Mapping!A:A,Mapping!D:D,0,0)</f>
        <v>Bin</v>
      </c>
      <c r="AF1901" t="str">
        <f t="shared" si="61"/>
        <v>OLD</v>
      </c>
    </row>
    <row r="1902" spans="1:32" x14ac:dyDescent="0.2">
      <c r="A1902" t="s">
        <v>1119</v>
      </c>
      <c r="B1902" t="s">
        <v>29</v>
      </c>
      <c r="C1902">
        <v>1012925042</v>
      </c>
      <c r="D1902" t="s">
        <v>864</v>
      </c>
      <c r="E1902" t="s">
        <v>31</v>
      </c>
      <c r="F1902" s="1">
        <v>0.67291666666666672</v>
      </c>
      <c r="G1902" t="s">
        <v>32</v>
      </c>
      <c r="H1902" t="s">
        <v>33</v>
      </c>
      <c r="I1902" t="s">
        <v>41</v>
      </c>
      <c r="J1902" t="s">
        <v>62</v>
      </c>
      <c r="K1902">
        <v>90</v>
      </c>
      <c r="L1902">
        <v>0</v>
      </c>
      <c r="M1902" t="s">
        <v>36</v>
      </c>
      <c r="N1902" t="s">
        <v>37</v>
      </c>
      <c r="O1902">
        <v>56</v>
      </c>
      <c r="P1902">
        <v>5</v>
      </c>
      <c r="Q1902">
        <v>8.9285700000000006</v>
      </c>
      <c r="R1902">
        <v>0</v>
      </c>
      <c r="S1902">
        <v>0.02</v>
      </c>
      <c r="T1902">
        <v>0.42199999999999999</v>
      </c>
      <c r="U1902">
        <v>5.0000000000000001E-3</v>
      </c>
      <c r="V1902">
        <v>0</v>
      </c>
      <c r="W1902">
        <v>1</v>
      </c>
      <c r="X1902">
        <v>0</v>
      </c>
      <c r="Y1902" t="s">
        <v>36</v>
      </c>
      <c r="Z1902">
        <v>56</v>
      </c>
      <c r="AA1902">
        <v>50</v>
      </c>
      <c r="AB1902">
        <v>4</v>
      </c>
      <c r="AC1902" t="s">
        <v>687</v>
      </c>
      <c r="AD1902" t="str">
        <f t="shared" si="60"/>
        <v>CP</v>
      </c>
      <c r="AE1902" t="str">
        <f>_xlfn.XLOOKUP(D1902,Mapping!A:A,Mapping!D:D,0,0)</f>
        <v>Keyword - Preroll</v>
      </c>
      <c r="AF1902" t="str">
        <f t="shared" si="61"/>
        <v>OLD</v>
      </c>
    </row>
    <row r="1903" spans="1:32" x14ac:dyDescent="0.2">
      <c r="A1903" t="s">
        <v>1119</v>
      </c>
      <c r="B1903" t="s">
        <v>39</v>
      </c>
      <c r="C1903">
        <v>1012925052</v>
      </c>
      <c r="D1903" t="s">
        <v>405</v>
      </c>
      <c r="E1903" t="s">
        <v>31</v>
      </c>
      <c r="F1903" s="1">
        <v>0.67291666666666672</v>
      </c>
      <c r="G1903" t="s">
        <v>32</v>
      </c>
      <c r="H1903" t="s">
        <v>33</v>
      </c>
      <c r="I1903" t="s">
        <v>41</v>
      </c>
      <c r="J1903" t="s">
        <v>62</v>
      </c>
      <c r="K1903">
        <v>90</v>
      </c>
      <c r="L1903">
        <v>0</v>
      </c>
      <c r="M1903" t="s">
        <v>36</v>
      </c>
      <c r="N1903" t="s">
        <v>37</v>
      </c>
      <c r="O1903">
        <v>0</v>
      </c>
      <c r="P1903">
        <v>0</v>
      </c>
      <c r="Q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 t="s">
        <v>36</v>
      </c>
      <c r="AC1903" t="s">
        <v>687</v>
      </c>
      <c r="AD1903" t="str">
        <f t="shared" si="60"/>
        <v>CP</v>
      </c>
      <c r="AE1903" t="str">
        <f>_xlfn.XLOOKUP(D1903,Mapping!A:A,Mapping!D:D,0,0)</f>
        <v>Bin</v>
      </c>
      <c r="AF1903" t="str">
        <f t="shared" si="61"/>
        <v>OLD</v>
      </c>
    </row>
    <row r="1904" spans="1:32" x14ac:dyDescent="0.2">
      <c r="A1904" t="s">
        <v>1119</v>
      </c>
      <c r="B1904" t="s">
        <v>39</v>
      </c>
      <c r="C1904">
        <v>1012927522</v>
      </c>
      <c r="D1904" t="s">
        <v>865</v>
      </c>
      <c r="E1904" t="s">
        <v>31</v>
      </c>
      <c r="F1904" s="1">
        <v>0.67291666666666672</v>
      </c>
      <c r="G1904" t="s">
        <v>32</v>
      </c>
      <c r="H1904" t="s">
        <v>33</v>
      </c>
      <c r="I1904" t="s">
        <v>41</v>
      </c>
      <c r="J1904" t="s">
        <v>62</v>
      </c>
      <c r="K1904">
        <v>490</v>
      </c>
      <c r="L1904">
        <v>0</v>
      </c>
      <c r="M1904" t="s">
        <v>63</v>
      </c>
      <c r="N1904">
        <v>250</v>
      </c>
      <c r="O1904">
        <v>0</v>
      </c>
      <c r="P1904">
        <v>0</v>
      </c>
      <c r="Q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 t="s">
        <v>36</v>
      </c>
      <c r="AC1904" t="s">
        <v>687</v>
      </c>
      <c r="AD1904" t="str">
        <f t="shared" si="60"/>
        <v>CP</v>
      </c>
      <c r="AE1904" t="str">
        <f>_xlfn.XLOOKUP(D1904,Mapping!A:A,Mapping!D:D,0,0)</f>
        <v>Global</v>
      </c>
      <c r="AF1904" t="str">
        <f t="shared" si="61"/>
        <v>OLD</v>
      </c>
    </row>
    <row r="1905" spans="1:32" x14ac:dyDescent="0.2">
      <c r="A1905" t="s">
        <v>1119</v>
      </c>
      <c r="B1905" t="s">
        <v>29</v>
      </c>
      <c r="C1905">
        <v>1012927532</v>
      </c>
      <c r="D1905" t="s">
        <v>866</v>
      </c>
      <c r="E1905" t="s">
        <v>31</v>
      </c>
      <c r="F1905" s="1">
        <v>0.67291666666666672</v>
      </c>
      <c r="G1905" t="s">
        <v>32</v>
      </c>
      <c r="H1905" t="s">
        <v>33</v>
      </c>
      <c r="I1905" t="s">
        <v>41</v>
      </c>
      <c r="J1905" t="s">
        <v>867</v>
      </c>
      <c r="K1905">
        <v>539</v>
      </c>
      <c r="L1905">
        <v>0</v>
      </c>
      <c r="M1905" t="s">
        <v>63</v>
      </c>
      <c r="N1905">
        <v>250</v>
      </c>
      <c r="O1905">
        <v>165007</v>
      </c>
      <c r="P1905">
        <v>11157</v>
      </c>
      <c r="Q1905">
        <v>6.7615299999999996</v>
      </c>
      <c r="R1905">
        <v>1</v>
      </c>
      <c r="S1905">
        <v>82.71</v>
      </c>
      <c r="T1905">
        <v>0.501</v>
      </c>
      <c r="U1905">
        <v>7.0000000000000001E-3</v>
      </c>
      <c r="V1905">
        <v>82.715000000000003</v>
      </c>
      <c r="W1905">
        <v>1</v>
      </c>
      <c r="X1905">
        <v>0</v>
      </c>
      <c r="Y1905" t="s">
        <v>63</v>
      </c>
      <c r="Z1905">
        <v>165007</v>
      </c>
      <c r="AA1905">
        <v>140705</v>
      </c>
      <c r="AB1905">
        <v>15875</v>
      </c>
      <c r="AC1905" t="s">
        <v>687</v>
      </c>
      <c r="AD1905" t="str">
        <f t="shared" si="60"/>
        <v>CP</v>
      </c>
      <c r="AE1905" t="str">
        <f>_xlfn.XLOOKUP(D1905,Mapping!A:A,Mapping!D:D,0,0)</f>
        <v>Global</v>
      </c>
      <c r="AF1905" t="str">
        <f t="shared" si="61"/>
        <v>OLD</v>
      </c>
    </row>
    <row r="1906" spans="1:32" x14ac:dyDescent="0.2">
      <c r="A1906" t="s">
        <v>1119</v>
      </c>
      <c r="B1906" t="s">
        <v>29</v>
      </c>
      <c r="C1906">
        <v>1012927542</v>
      </c>
      <c r="D1906" t="s">
        <v>868</v>
      </c>
      <c r="E1906" t="s">
        <v>31</v>
      </c>
      <c r="F1906" s="1">
        <v>0.67291666666666672</v>
      </c>
      <c r="G1906" t="s">
        <v>32</v>
      </c>
      <c r="H1906" t="s">
        <v>33</v>
      </c>
      <c r="I1906" t="s">
        <v>34</v>
      </c>
      <c r="J1906" t="s">
        <v>84</v>
      </c>
      <c r="K1906">
        <v>252</v>
      </c>
      <c r="L1906">
        <v>0</v>
      </c>
      <c r="M1906" t="s">
        <v>36</v>
      </c>
      <c r="N1906" t="s">
        <v>37</v>
      </c>
      <c r="O1906">
        <v>48471</v>
      </c>
      <c r="P1906">
        <v>2863</v>
      </c>
      <c r="Q1906">
        <v>5.9066200000000002</v>
      </c>
      <c r="R1906">
        <v>2</v>
      </c>
      <c r="S1906">
        <v>34.33</v>
      </c>
      <c r="T1906">
        <v>0.70799999999999996</v>
      </c>
      <c r="U1906">
        <v>1.2E-2</v>
      </c>
      <c r="V1906">
        <v>17.164000000000001</v>
      </c>
      <c r="W1906">
        <v>1</v>
      </c>
      <c r="X1906">
        <v>0</v>
      </c>
      <c r="Y1906" t="s">
        <v>36</v>
      </c>
      <c r="Z1906">
        <v>48471</v>
      </c>
      <c r="AA1906">
        <v>36814</v>
      </c>
      <c r="AB1906">
        <v>6750</v>
      </c>
      <c r="AC1906" t="s">
        <v>687</v>
      </c>
      <c r="AD1906" t="str">
        <f t="shared" si="60"/>
        <v>CP</v>
      </c>
      <c r="AE1906" t="str">
        <f>_xlfn.XLOOKUP(D1906,Mapping!A:A,Mapping!D:D,0,0)</f>
        <v>Global</v>
      </c>
      <c r="AF1906" t="str">
        <f t="shared" si="61"/>
        <v>OLD</v>
      </c>
    </row>
    <row r="1907" spans="1:32" x14ac:dyDescent="0.2">
      <c r="A1907" t="s">
        <v>1119</v>
      </c>
      <c r="B1907" t="s">
        <v>29</v>
      </c>
      <c r="C1907">
        <v>1012927552</v>
      </c>
      <c r="D1907" t="s">
        <v>869</v>
      </c>
      <c r="E1907" t="s">
        <v>31</v>
      </c>
      <c r="F1907" s="1">
        <v>0.67291666666666672</v>
      </c>
      <c r="G1907" t="s">
        <v>32</v>
      </c>
      <c r="H1907" t="s">
        <v>33</v>
      </c>
      <c r="I1907" t="s">
        <v>34</v>
      </c>
      <c r="J1907" t="s">
        <v>716</v>
      </c>
      <c r="K1907">
        <v>360</v>
      </c>
      <c r="L1907">
        <v>0</v>
      </c>
      <c r="M1907" t="s">
        <v>36</v>
      </c>
      <c r="N1907" t="s">
        <v>37</v>
      </c>
      <c r="O1907">
        <v>168652</v>
      </c>
      <c r="P1907">
        <v>8696</v>
      </c>
      <c r="Q1907">
        <v>5.15618</v>
      </c>
      <c r="R1907">
        <v>3</v>
      </c>
      <c r="S1907">
        <v>187.59</v>
      </c>
      <c r="T1907">
        <v>1.1120000000000001</v>
      </c>
      <c r="U1907">
        <v>2.1999999999999999E-2</v>
      </c>
      <c r="V1907">
        <v>62.530999999999999</v>
      </c>
      <c r="W1907">
        <v>1</v>
      </c>
      <c r="X1907">
        <v>0</v>
      </c>
      <c r="Y1907" t="s">
        <v>36</v>
      </c>
      <c r="Z1907">
        <v>168652</v>
      </c>
      <c r="AA1907">
        <v>129677</v>
      </c>
      <c r="AB1907">
        <v>22011</v>
      </c>
      <c r="AC1907" t="s">
        <v>687</v>
      </c>
      <c r="AD1907" t="str">
        <f t="shared" si="60"/>
        <v>CP</v>
      </c>
      <c r="AE1907" t="str">
        <f>_xlfn.XLOOKUP(D1907,Mapping!A:A,Mapping!D:D,0,0)</f>
        <v>Global</v>
      </c>
      <c r="AF1907" t="str">
        <f t="shared" si="61"/>
        <v>OLD</v>
      </c>
    </row>
    <row r="1908" spans="1:32" x14ac:dyDescent="0.2">
      <c r="A1908" t="s">
        <v>1119</v>
      </c>
      <c r="B1908" t="s">
        <v>39</v>
      </c>
      <c r="C1908">
        <v>1012927562</v>
      </c>
      <c r="D1908" t="s">
        <v>870</v>
      </c>
      <c r="E1908" t="s">
        <v>31</v>
      </c>
      <c r="F1908" s="1">
        <v>0.67291666666666672</v>
      </c>
      <c r="G1908" t="s">
        <v>32</v>
      </c>
      <c r="H1908" t="s">
        <v>33</v>
      </c>
      <c r="I1908" t="s">
        <v>41</v>
      </c>
      <c r="J1908" t="s">
        <v>62</v>
      </c>
      <c r="K1908">
        <v>700</v>
      </c>
      <c r="L1908">
        <v>0</v>
      </c>
      <c r="M1908" t="s">
        <v>63</v>
      </c>
      <c r="N1908">
        <v>250</v>
      </c>
      <c r="O1908">
        <v>0</v>
      </c>
      <c r="P1908">
        <v>0</v>
      </c>
      <c r="Q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 t="s">
        <v>36</v>
      </c>
      <c r="AC1908" t="s">
        <v>687</v>
      </c>
      <c r="AD1908" t="str">
        <f t="shared" si="60"/>
        <v>CP</v>
      </c>
      <c r="AE1908" t="str">
        <f>_xlfn.XLOOKUP(D1908,Mapping!A:A,Mapping!D:D,0,0)</f>
        <v>Global</v>
      </c>
      <c r="AF1908" t="str">
        <f t="shared" si="61"/>
        <v>OLD</v>
      </c>
    </row>
    <row r="1909" spans="1:32" x14ac:dyDescent="0.2">
      <c r="A1909" t="s">
        <v>1119</v>
      </c>
      <c r="B1909" t="s">
        <v>39</v>
      </c>
      <c r="C1909">
        <v>1012927582</v>
      </c>
      <c r="D1909" t="s">
        <v>871</v>
      </c>
      <c r="E1909" t="s">
        <v>31</v>
      </c>
      <c r="F1909" s="1">
        <v>0.67291666666666672</v>
      </c>
      <c r="G1909" t="s">
        <v>32</v>
      </c>
      <c r="H1909" t="s">
        <v>33</v>
      </c>
      <c r="I1909" t="s">
        <v>41</v>
      </c>
      <c r="J1909" t="s">
        <v>62</v>
      </c>
      <c r="K1909">
        <v>700</v>
      </c>
      <c r="L1909">
        <v>0</v>
      </c>
      <c r="M1909" t="s">
        <v>63</v>
      </c>
      <c r="N1909">
        <v>250</v>
      </c>
      <c r="O1909">
        <v>0</v>
      </c>
      <c r="P1909">
        <v>0</v>
      </c>
      <c r="Q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 t="s">
        <v>36</v>
      </c>
      <c r="AC1909" t="s">
        <v>687</v>
      </c>
      <c r="AD1909" t="str">
        <f t="shared" si="60"/>
        <v>CP</v>
      </c>
      <c r="AE1909" t="str">
        <f>_xlfn.XLOOKUP(D1909,Mapping!A:A,Mapping!D:D,0,0)</f>
        <v>Global</v>
      </c>
      <c r="AF1909" t="str">
        <f t="shared" si="61"/>
        <v>OLD</v>
      </c>
    </row>
    <row r="1910" spans="1:32" x14ac:dyDescent="0.2">
      <c r="A1910" t="s">
        <v>1119</v>
      </c>
      <c r="B1910" t="s">
        <v>39</v>
      </c>
      <c r="C1910">
        <v>1012927592</v>
      </c>
      <c r="D1910" t="s">
        <v>872</v>
      </c>
      <c r="E1910" t="s">
        <v>31</v>
      </c>
      <c r="F1910" s="1">
        <v>0.67291666666666672</v>
      </c>
      <c r="G1910" t="s">
        <v>32</v>
      </c>
      <c r="H1910" t="s">
        <v>33</v>
      </c>
      <c r="I1910" t="s">
        <v>41</v>
      </c>
      <c r="J1910" t="s">
        <v>62</v>
      </c>
      <c r="K1910">
        <v>700</v>
      </c>
      <c r="L1910">
        <v>0</v>
      </c>
      <c r="M1910" t="s">
        <v>63</v>
      </c>
      <c r="N1910">
        <v>250</v>
      </c>
      <c r="O1910">
        <v>0</v>
      </c>
      <c r="P1910">
        <v>0</v>
      </c>
      <c r="Q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 t="s">
        <v>36</v>
      </c>
      <c r="AC1910" t="s">
        <v>687</v>
      </c>
      <c r="AD1910" t="str">
        <f t="shared" si="60"/>
        <v>CP</v>
      </c>
      <c r="AE1910" t="str">
        <f>_xlfn.XLOOKUP(D1910,Mapping!A:A,Mapping!D:D,0,0)</f>
        <v>Global</v>
      </c>
      <c r="AF1910" t="str">
        <f t="shared" si="61"/>
        <v>OLD</v>
      </c>
    </row>
    <row r="1911" spans="1:32" x14ac:dyDescent="0.2">
      <c r="A1911" t="s">
        <v>1119</v>
      </c>
      <c r="B1911" t="s">
        <v>29</v>
      </c>
      <c r="C1911">
        <v>1012927602</v>
      </c>
      <c r="D1911" t="s">
        <v>873</v>
      </c>
      <c r="E1911" t="s">
        <v>31</v>
      </c>
      <c r="F1911" s="1">
        <v>0.67291666666666672</v>
      </c>
      <c r="G1911" t="s">
        <v>32</v>
      </c>
      <c r="H1911" t="s">
        <v>33</v>
      </c>
      <c r="I1911" t="s">
        <v>34</v>
      </c>
      <c r="J1911" t="s">
        <v>84</v>
      </c>
      <c r="K1911">
        <v>360</v>
      </c>
      <c r="L1911">
        <v>0</v>
      </c>
      <c r="M1911" t="s">
        <v>36</v>
      </c>
      <c r="N1911" t="s">
        <v>37</v>
      </c>
      <c r="O1911">
        <v>54726</v>
      </c>
      <c r="P1911">
        <v>2978</v>
      </c>
      <c r="Q1911">
        <v>5.4416500000000001</v>
      </c>
      <c r="R1911">
        <v>1</v>
      </c>
      <c r="S1911">
        <v>62.97</v>
      </c>
      <c r="T1911">
        <v>1.151</v>
      </c>
      <c r="U1911">
        <v>2.1000000000000001E-2</v>
      </c>
      <c r="V1911">
        <v>62.972000000000001</v>
      </c>
      <c r="W1911">
        <v>1</v>
      </c>
      <c r="X1911">
        <v>0</v>
      </c>
      <c r="Y1911" t="s">
        <v>36</v>
      </c>
      <c r="Z1911">
        <v>54726</v>
      </c>
      <c r="AA1911">
        <v>42277</v>
      </c>
      <c r="AB1911">
        <v>7098</v>
      </c>
      <c r="AC1911" t="s">
        <v>687</v>
      </c>
      <c r="AD1911" t="str">
        <f t="shared" si="60"/>
        <v>CP</v>
      </c>
      <c r="AE1911" t="str">
        <f>_xlfn.XLOOKUP(D1911,Mapping!A:A,Mapping!D:D,0,0)</f>
        <v>Global</v>
      </c>
      <c r="AF1911" t="str">
        <f t="shared" si="61"/>
        <v>OLD</v>
      </c>
    </row>
    <row r="1912" spans="1:32" x14ac:dyDescent="0.2">
      <c r="A1912" t="s">
        <v>1119</v>
      </c>
      <c r="B1912" t="s">
        <v>39</v>
      </c>
      <c r="C1912">
        <v>1012927612</v>
      </c>
      <c r="D1912" t="s">
        <v>874</v>
      </c>
      <c r="E1912" t="s">
        <v>31</v>
      </c>
      <c r="F1912" s="1">
        <v>0.67291666666666672</v>
      </c>
      <c r="G1912" t="s">
        <v>32</v>
      </c>
      <c r="H1912" t="s">
        <v>33</v>
      </c>
      <c r="I1912" t="s">
        <v>41</v>
      </c>
      <c r="J1912" t="s">
        <v>62</v>
      </c>
      <c r="K1912">
        <v>700</v>
      </c>
      <c r="L1912">
        <v>0</v>
      </c>
      <c r="M1912" t="s">
        <v>63</v>
      </c>
      <c r="N1912">
        <v>250</v>
      </c>
      <c r="O1912">
        <v>0</v>
      </c>
      <c r="P1912">
        <v>0</v>
      </c>
      <c r="Q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 t="s">
        <v>36</v>
      </c>
      <c r="AC1912" t="s">
        <v>687</v>
      </c>
      <c r="AD1912" t="str">
        <f t="shared" si="60"/>
        <v>CP</v>
      </c>
      <c r="AE1912" t="str">
        <f>_xlfn.XLOOKUP(D1912,Mapping!A:A,Mapping!D:D,0,0)</f>
        <v>Global</v>
      </c>
      <c r="AF1912" t="str">
        <f t="shared" si="61"/>
        <v>OLD</v>
      </c>
    </row>
    <row r="1913" spans="1:32" x14ac:dyDescent="0.2">
      <c r="A1913" t="s">
        <v>1119</v>
      </c>
      <c r="B1913" t="s">
        <v>39</v>
      </c>
      <c r="C1913">
        <v>1012927622</v>
      </c>
      <c r="D1913" t="s">
        <v>875</v>
      </c>
      <c r="E1913" t="s">
        <v>31</v>
      </c>
      <c r="F1913" s="1">
        <v>0.67291666666666672</v>
      </c>
      <c r="G1913" t="s">
        <v>32</v>
      </c>
      <c r="H1913" t="s">
        <v>33</v>
      </c>
      <c r="I1913" t="s">
        <v>41</v>
      </c>
      <c r="J1913" t="s">
        <v>62</v>
      </c>
      <c r="K1913">
        <v>700</v>
      </c>
      <c r="L1913">
        <v>0</v>
      </c>
      <c r="M1913" t="s">
        <v>63</v>
      </c>
      <c r="N1913">
        <v>250</v>
      </c>
      <c r="O1913">
        <v>0</v>
      </c>
      <c r="P1913">
        <v>0</v>
      </c>
      <c r="Q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 t="s">
        <v>36</v>
      </c>
      <c r="AC1913" t="s">
        <v>687</v>
      </c>
      <c r="AD1913" t="str">
        <f t="shared" si="60"/>
        <v>CP</v>
      </c>
      <c r="AE1913" t="str">
        <f>_xlfn.XLOOKUP(D1913,Mapping!A:A,Mapping!D:D,0,0)</f>
        <v>Global</v>
      </c>
      <c r="AF1913" t="str">
        <f t="shared" si="61"/>
        <v>OLD</v>
      </c>
    </row>
    <row r="1914" spans="1:32" x14ac:dyDescent="0.2">
      <c r="A1914" t="s">
        <v>1119</v>
      </c>
      <c r="B1914" t="s">
        <v>29</v>
      </c>
      <c r="C1914">
        <v>1012927642</v>
      </c>
      <c r="D1914" t="s">
        <v>876</v>
      </c>
      <c r="E1914" t="s">
        <v>31</v>
      </c>
      <c r="F1914" s="1">
        <v>0.67291666666666672</v>
      </c>
      <c r="G1914" t="s">
        <v>32</v>
      </c>
      <c r="H1914" t="s">
        <v>33</v>
      </c>
      <c r="I1914" t="s">
        <v>34</v>
      </c>
      <c r="J1914" t="s">
        <v>84</v>
      </c>
      <c r="K1914">
        <v>360</v>
      </c>
      <c r="L1914">
        <v>0</v>
      </c>
      <c r="M1914" t="s">
        <v>63</v>
      </c>
      <c r="N1914">
        <v>250</v>
      </c>
      <c r="O1914">
        <v>53979</v>
      </c>
      <c r="P1914">
        <v>2950</v>
      </c>
      <c r="Q1914">
        <v>5.46509</v>
      </c>
      <c r="R1914">
        <v>0</v>
      </c>
      <c r="S1914">
        <v>73.67</v>
      </c>
      <c r="T1914">
        <v>1.365</v>
      </c>
      <c r="U1914">
        <v>2.5000000000000001E-2</v>
      </c>
      <c r="V1914">
        <v>0</v>
      </c>
      <c r="W1914">
        <v>1</v>
      </c>
      <c r="X1914">
        <v>0</v>
      </c>
      <c r="Y1914" t="s">
        <v>36</v>
      </c>
      <c r="Z1914">
        <v>53979</v>
      </c>
      <c r="AA1914">
        <v>40738</v>
      </c>
      <c r="AB1914">
        <v>7780</v>
      </c>
      <c r="AC1914" t="s">
        <v>687</v>
      </c>
      <c r="AD1914" t="str">
        <f t="shared" si="60"/>
        <v>CP</v>
      </c>
      <c r="AE1914" t="str">
        <f>_xlfn.XLOOKUP(D1914,Mapping!A:A,Mapping!D:D,0,0)</f>
        <v>Global</v>
      </c>
      <c r="AF1914" t="str">
        <f t="shared" si="61"/>
        <v>OLD</v>
      </c>
    </row>
    <row r="1915" spans="1:32" x14ac:dyDescent="0.2">
      <c r="A1915" t="s">
        <v>1119</v>
      </c>
      <c r="B1915" t="s">
        <v>29</v>
      </c>
      <c r="C1915">
        <v>1012927662</v>
      </c>
      <c r="D1915" t="s">
        <v>877</v>
      </c>
      <c r="E1915" t="s">
        <v>31</v>
      </c>
      <c r="F1915" s="1">
        <v>0.67291666666666672</v>
      </c>
      <c r="G1915" t="s">
        <v>32</v>
      </c>
      <c r="H1915" t="s">
        <v>33</v>
      </c>
      <c r="I1915" t="s">
        <v>41</v>
      </c>
      <c r="J1915" t="s">
        <v>867</v>
      </c>
      <c r="K1915">
        <v>700</v>
      </c>
      <c r="L1915">
        <v>0</v>
      </c>
      <c r="M1915" t="s">
        <v>63</v>
      </c>
      <c r="N1915">
        <v>250</v>
      </c>
      <c r="O1915">
        <v>1146540</v>
      </c>
      <c r="P1915">
        <v>92883</v>
      </c>
      <c r="Q1915">
        <v>8.1011600000000001</v>
      </c>
      <c r="R1915">
        <v>2</v>
      </c>
      <c r="S1915">
        <v>250.76</v>
      </c>
      <c r="T1915">
        <v>0.219</v>
      </c>
      <c r="U1915">
        <v>3.0000000000000001E-3</v>
      </c>
      <c r="V1915">
        <v>125.38200000000001</v>
      </c>
      <c r="W1915">
        <v>2</v>
      </c>
      <c r="X1915">
        <v>0</v>
      </c>
      <c r="Y1915" t="s">
        <v>63</v>
      </c>
      <c r="Z1915">
        <v>1146540</v>
      </c>
      <c r="AA1915">
        <v>983221</v>
      </c>
      <c r="AB1915">
        <v>113713</v>
      </c>
      <c r="AC1915" t="s">
        <v>687</v>
      </c>
      <c r="AD1915" t="str">
        <f t="shared" si="60"/>
        <v>CP</v>
      </c>
      <c r="AE1915" t="str">
        <f>_xlfn.XLOOKUP(D1915,Mapping!A:A,Mapping!D:D,0,0)</f>
        <v>Global</v>
      </c>
      <c r="AF1915" t="str">
        <f t="shared" si="61"/>
        <v>OLD</v>
      </c>
    </row>
    <row r="1916" spans="1:32" x14ac:dyDescent="0.2">
      <c r="A1916" t="s">
        <v>1119</v>
      </c>
      <c r="B1916" t="s">
        <v>29</v>
      </c>
      <c r="C1916">
        <v>1012927672</v>
      </c>
      <c r="D1916" t="s">
        <v>878</v>
      </c>
      <c r="E1916" t="s">
        <v>31</v>
      </c>
      <c r="F1916" s="1">
        <v>0.67291666666666672</v>
      </c>
      <c r="G1916" t="s">
        <v>32</v>
      </c>
      <c r="H1916" t="s">
        <v>33</v>
      </c>
      <c r="I1916" t="s">
        <v>34</v>
      </c>
      <c r="J1916" t="s">
        <v>84</v>
      </c>
      <c r="K1916">
        <v>360</v>
      </c>
      <c r="L1916">
        <v>0</v>
      </c>
      <c r="M1916" t="s">
        <v>63</v>
      </c>
      <c r="N1916">
        <v>250</v>
      </c>
      <c r="O1916">
        <v>26648</v>
      </c>
      <c r="P1916">
        <v>1392</v>
      </c>
      <c r="Q1916">
        <v>5.2236599999999997</v>
      </c>
      <c r="R1916">
        <v>0</v>
      </c>
      <c r="S1916">
        <v>25.93</v>
      </c>
      <c r="T1916">
        <v>0.97299999999999998</v>
      </c>
      <c r="U1916">
        <v>1.9E-2</v>
      </c>
      <c r="V1916">
        <v>0</v>
      </c>
      <c r="W1916">
        <v>1</v>
      </c>
      <c r="X1916">
        <v>0</v>
      </c>
      <c r="Y1916" t="s">
        <v>36</v>
      </c>
      <c r="Z1916">
        <v>26648</v>
      </c>
      <c r="AA1916">
        <v>20264</v>
      </c>
      <c r="AB1916">
        <v>3811</v>
      </c>
      <c r="AC1916" t="s">
        <v>687</v>
      </c>
      <c r="AD1916" t="str">
        <f t="shared" si="60"/>
        <v>CP</v>
      </c>
      <c r="AE1916" t="str">
        <f>_xlfn.XLOOKUP(D1916,Mapping!A:A,Mapping!D:D,0,0)</f>
        <v>Global</v>
      </c>
      <c r="AF1916" t="str">
        <f t="shared" si="61"/>
        <v>OLD</v>
      </c>
    </row>
    <row r="1917" spans="1:32" x14ac:dyDescent="0.2">
      <c r="A1917" t="s">
        <v>1119</v>
      </c>
      <c r="B1917" t="s">
        <v>39</v>
      </c>
      <c r="C1917">
        <v>1012927682</v>
      </c>
      <c r="D1917" t="s">
        <v>879</v>
      </c>
      <c r="E1917" t="s">
        <v>31</v>
      </c>
      <c r="F1917" s="1">
        <v>0.67291666666666672</v>
      </c>
      <c r="G1917" t="s">
        <v>32</v>
      </c>
      <c r="H1917" t="s">
        <v>33</v>
      </c>
      <c r="I1917" t="s">
        <v>41</v>
      </c>
      <c r="J1917" t="s">
        <v>62</v>
      </c>
      <c r="K1917">
        <v>700</v>
      </c>
      <c r="L1917">
        <v>0</v>
      </c>
      <c r="M1917" t="s">
        <v>63</v>
      </c>
      <c r="N1917">
        <v>250</v>
      </c>
      <c r="O1917">
        <v>0</v>
      </c>
      <c r="P1917">
        <v>0</v>
      </c>
      <c r="Q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 t="s">
        <v>36</v>
      </c>
      <c r="AC1917" t="s">
        <v>687</v>
      </c>
      <c r="AD1917" t="str">
        <f t="shared" si="60"/>
        <v>CP</v>
      </c>
      <c r="AE1917" t="str">
        <f>_xlfn.XLOOKUP(D1917,Mapping!A:A,Mapping!D:D,0,0)</f>
        <v>Global</v>
      </c>
      <c r="AF1917" t="str">
        <f t="shared" si="61"/>
        <v>OLD</v>
      </c>
    </row>
    <row r="1918" spans="1:32" x14ac:dyDescent="0.2">
      <c r="A1918" t="s">
        <v>1119</v>
      </c>
      <c r="B1918" t="s">
        <v>29</v>
      </c>
      <c r="C1918">
        <v>1012927692</v>
      </c>
      <c r="D1918" t="s">
        <v>880</v>
      </c>
      <c r="E1918" t="s">
        <v>31</v>
      </c>
      <c r="F1918" s="1">
        <v>0.67291666666666672</v>
      </c>
      <c r="G1918" t="s">
        <v>32</v>
      </c>
      <c r="H1918" t="s">
        <v>33</v>
      </c>
      <c r="I1918" t="s">
        <v>41</v>
      </c>
      <c r="J1918" t="s">
        <v>62</v>
      </c>
      <c r="K1918">
        <v>700</v>
      </c>
      <c r="L1918">
        <v>0</v>
      </c>
      <c r="M1918" t="s">
        <v>63</v>
      </c>
      <c r="N1918">
        <v>250</v>
      </c>
      <c r="O1918">
        <v>46050</v>
      </c>
      <c r="P1918">
        <v>3258</v>
      </c>
      <c r="Q1918">
        <v>7.0749199999999997</v>
      </c>
      <c r="R1918">
        <v>1</v>
      </c>
      <c r="S1918">
        <v>24.36</v>
      </c>
      <c r="T1918">
        <v>0.52900000000000003</v>
      </c>
      <c r="U1918">
        <v>7.0000000000000001E-3</v>
      </c>
      <c r="V1918">
        <v>24.361999999999998</v>
      </c>
      <c r="W1918">
        <v>1</v>
      </c>
      <c r="X1918">
        <v>0</v>
      </c>
      <c r="Y1918" t="s">
        <v>36</v>
      </c>
      <c r="Z1918">
        <v>46050</v>
      </c>
      <c r="AA1918">
        <v>39651</v>
      </c>
      <c r="AB1918">
        <v>3974</v>
      </c>
      <c r="AC1918" t="s">
        <v>687</v>
      </c>
      <c r="AD1918" t="str">
        <f t="shared" si="60"/>
        <v>CP</v>
      </c>
      <c r="AE1918" t="str">
        <f>_xlfn.XLOOKUP(D1918,Mapping!A:A,Mapping!D:D,0,0)</f>
        <v>Global</v>
      </c>
      <c r="AF1918" t="str">
        <f t="shared" si="61"/>
        <v>OLD</v>
      </c>
    </row>
    <row r="1919" spans="1:32" x14ac:dyDescent="0.2">
      <c r="A1919" t="s">
        <v>1119</v>
      </c>
      <c r="B1919" t="s">
        <v>29</v>
      </c>
      <c r="C1919">
        <v>1012929922</v>
      </c>
      <c r="D1919" t="s">
        <v>881</v>
      </c>
      <c r="E1919" t="s">
        <v>31</v>
      </c>
      <c r="F1919" t="s">
        <v>246</v>
      </c>
      <c r="G1919" t="s">
        <v>247</v>
      </c>
      <c r="H1919" t="s">
        <v>33</v>
      </c>
      <c r="I1919" t="s">
        <v>41</v>
      </c>
      <c r="J1919" t="s">
        <v>58</v>
      </c>
      <c r="K1919">
        <v>37</v>
      </c>
      <c r="L1919">
        <v>0</v>
      </c>
      <c r="M1919" t="s">
        <v>36</v>
      </c>
      <c r="N1919" t="s">
        <v>37</v>
      </c>
      <c r="O1919">
        <v>852513</v>
      </c>
      <c r="P1919">
        <v>1550</v>
      </c>
      <c r="Q1919">
        <v>0.18182000000000001</v>
      </c>
      <c r="R1919">
        <v>4</v>
      </c>
      <c r="S1919">
        <v>271.10000000000002</v>
      </c>
      <c r="T1919">
        <v>0.318</v>
      </c>
      <c r="U1919">
        <v>0.17499999999999999</v>
      </c>
      <c r="V1919">
        <v>67.775000000000006</v>
      </c>
      <c r="W1919">
        <v>2</v>
      </c>
      <c r="X1919">
        <v>0</v>
      </c>
      <c r="Y1919" t="s">
        <v>36</v>
      </c>
      <c r="Z1919">
        <v>0</v>
      </c>
      <c r="AA1919">
        <v>0</v>
      </c>
      <c r="AB1919">
        <v>0</v>
      </c>
      <c r="AC1919" t="s">
        <v>687</v>
      </c>
      <c r="AD1919" t="str">
        <f t="shared" si="60"/>
        <v>OL</v>
      </c>
      <c r="AE1919" t="str">
        <f>_xlfn.XLOOKUP(D1919,Mapping!A:A,Mapping!D:D,0,0)</f>
        <v>Native - Homepage</v>
      </c>
      <c r="AF1919" t="str">
        <f t="shared" si="61"/>
        <v>OLD</v>
      </c>
    </row>
    <row r="1920" spans="1:32" x14ac:dyDescent="0.2">
      <c r="A1920" t="s">
        <v>1119</v>
      </c>
      <c r="B1920" t="s">
        <v>29</v>
      </c>
      <c r="C1920">
        <v>1012929942</v>
      </c>
      <c r="D1920" t="s">
        <v>882</v>
      </c>
      <c r="E1920" t="s">
        <v>31</v>
      </c>
      <c r="F1920" t="s">
        <v>246</v>
      </c>
      <c r="G1920" t="s">
        <v>247</v>
      </c>
      <c r="H1920" t="s">
        <v>33</v>
      </c>
      <c r="I1920" t="s">
        <v>41</v>
      </c>
      <c r="J1920" t="s">
        <v>124</v>
      </c>
      <c r="K1920">
        <v>37</v>
      </c>
      <c r="L1920">
        <v>0</v>
      </c>
      <c r="M1920" t="s">
        <v>63</v>
      </c>
      <c r="N1920">
        <v>2000</v>
      </c>
      <c r="O1920">
        <v>578936</v>
      </c>
      <c r="P1920">
        <v>812</v>
      </c>
      <c r="Q1920">
        <v>0.14026</v>
      </c>
      <c r="R1920">
        <v>1</v>
      </c>
      <c r="S1920">
        <v>118.1</v>
      </c>
      <c r="T1920">
        <v>0.20399999999999999</v>
      </c>
      <c r="U1920">
        <v>0.14499999999999999</v>
      </c>
      <c r="V1920">
        <v>118.10299999999999</v>
      </c>
      <c r="W1920">
        <v>2</v>
      </c>
      <c r="X1920">
        <v>0</v>
      </c>
      <c r="Y1920" t="s">
        <v>36</v>
      </c>
      <c r="Z1920">
        <v>0</v>
      </c>
      <c r="AA1920">
        <v>0</v>
      </c>
      <c r="AB1920">
        <v>0</v>
      </c>
      <c r="AC1920" t="s">
        <v>687</v>
      </c>
      <c r="AD1920" t="str">
        <f t="shared" si="60"/>
        <v>OL</v>
      </c>
      <c r="AE1920" t="str">
        <f>_xlfn.XLOOKUP(D1920,Mapping!A:A,Mapping!D:D,0,0)</f>
        <v>Native - Homepage</v>
      </c>
      <c r="AF1920" t="str">
        <f t="shared" si="61"/>
        <v>OLD</v>
      </c>
    </row>
    <row r="1921" spans="1:32" x14ac:dyDescent="0.2">
      <c r="A1921" t="s">
        <v>1119</v>
      </c>
      <c r="B1921" t="s">
        <v>29</v>
      </c>
      <c r="C1921">
        <v>1012946891</v>
      </c>
      <c r="D1921" t="s">
        <v>883</v>
      </c>
      <c r="E1921" t="s">
        <v>31</v>
      </c>
      <c r="F1921" t="s">
        <v>246</v>
      </c>
      <c r="G1921" t="s">
        <v>247</v>
      </c>
      <c r="H1921" t="s">
        <v>33</v>
      </c>
      <c r="I1921" t="s">
        <v>34</v>
      </c>
      <c r="J1921" t="s">
        <v>84</v>
      </c>
      <c r="K1921">
        <v>264</v>
      </c>
      <c r="L1921">
        <v>0</v>
      </c>
      <c r="M1921" t="s">
        <v>36</v>
      </c>
      <c r="N1921" t="s">
        <v>37</v>
      </c>
      <c r="O1921">
        <v>100731</v>
      </c>
      <c r="P1921">
        <v>238</v>
      </c>
      <c r="Q1921">
        <v>0.23627000000000001</v>
      </c>
      <c r="R1921">
        <v>0</v>
      </c>
      <c r="S1921">
        <v>8.98</v>
      </c>
      <c r="T1921">
        <v>8.8999999999999996E-2</v>
      </c>
      <c r="U1921">
        <v>3.7999999999999999E-2</v>
      </c>
      <c r="V1921">
        <v>0</v>
      </c>
      <c r="W1921">
        <v>2</v>
      </c>
      <c r="X1921">
        <v>0</v>
      </c>
      <c r="Y1921" t="s">
        <v>36</v>
      </c>
      <c r="Z1921">
        <v>0</v>
      </c>
      <c r="AA1921">
        <v>0</v>
      </c>
      <c r="AB1921">
        <v>0</v>
      </c>
      <c r="AC1921" t="s">
        <v>687</v>
      </c>
      <c r="AD1921" t="str">
        <f t="shared" si="60"/>
        <v>OL</v>
      </c>
      <c r="AE1921" t="str">
        <f>_xlfn.XLOOKUP(D1921,Mapping!A:A,Mapping!D:D,0,0)</f>
        <v>Indian</v>
      </c>
      <c r="AF1921" t="str">
        <f t="shared" si="61"/>
        <v>OLD</v>
      </c>
    </row>
    <row r="1922" spans="1:32" x14ac:dyDescent="0.2">
      <c r="A1922" t="s">
        <v>1119</v>
      </c>
      <c r="B1922" t="s">
        <v>39</v>
      </c>
      <c r="C1922">
        <v>1012946931</v>
      </c>
      <c r="D1922" t="s">
        <v>885</v>
      </c>
      <c r="E1922" t="s">
        <v>31</v>
      </c>
      <c r="F1922" t="s">
        <v>246</v>
      </c>
      <c r="G1922" t="s">
        <v>247</v>
      </c>
      <c r="H1922" t="s">
        <v>33</v>
      </c>
      <c r="I1922" t="s">
        <v>41</v>
      </c>
      <c r="J1922" t="s">
        <v>62</v>
      </c>
      <c r="K1922">
        <v>286</v>
      </c>
      <c r="L1922">
        <v>0</v>
      </c>
      <c r="M1922" t="s">
        <v>63</v>
      </c>
      <c r="N1922">
        <v>250</v>
      </c>
      <c r="O1922">
        <v>0</v>
      </c>
      <c r="P1922">
        <v>0</v>
      </c>
      <c r="Q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 t="s">
        <v>36</v>
      </c>
      <c r="AC1922" t="s">
        <v>687</v>
      </c>
      <c r="AD1922" t="str">
        <f t="shared" si="60"/>
        <v>CP</v>
      </c>
      <c r="AE1922" t="str">
        <f>_xlfn.XLOOKUP(D1922,Mapping!A:A,Mapping!D:D,0,0)</f>
        <v>Indian</v>
      </c>
      <c r="AF1922" t="str">
        <f t="shared" si="61"/>
        <v>OLD</v>
      </c>
    </row>
    <row r="1923" spans="1:32" x14ac:dyDescent="0.2">
      <c r="A1923" t="s">
        <v>1119</v>
      </c>
      <c r="B1923" t="s">
        <v>39</v>
      </c>
      <c r="C1923">
        <v>1012946971</v>
      </c>
      <c r="D1923" t="s">
        <v>886</v>
      </c>
      <c r="E1923" t="s">
        <v>31</v>
      </c>
      <c r="F1923" t="s">
        <v>246</v>
      </c>
      <c r="G1923" t="s">
        <v>247</v>
      </c>
      <c r="H1923" t="s">
        <v>33</v>
      </c>
      <c r="I1923" t="s">
        <v>41</v>
      </c>
      <c r="J1923" t="s">
        <v>62</v>
      </c>
      <c r="K1923">
        <v>286</v>
      </c>
      <c r="L1923">
        <v>0</v>
      </c>
      <c r="M1923" t="s">
        <v>63</v>
      </c>
      <c r="N1923">
        <v>250</v>
      </c>
      <c r="O1923">
        <v>0</v>
      </c>
      <c r="P1923">
        <v>0</v>
      </c>
      <c r="Q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 t="s">
        <v>36</v>
      </c>
      <c r="AC1923" t="s">
        <v>687</v>
      </c>
      <c r="AD1923" t="str">
        <f t="shared" si="60"/>
        <v>CP</v>
      </c>
      <c r="AE1923" t="str">
        <f>_xlfn.XLOOKUP(D1923,Mapping!A:A,Mapping!D:D,0,0)</f>
        <v>Indian</v>
      </c>
      <c r="AF1923" t="str">
        <f t="shared" si="61"/>
        <v>OLD</v>
      </c>
    </row>
    <row r="1924" spans="1:32" x14ac:dyDescent="0.2">
      <c r="A1924" t="s">
        <v>1119</v>
      </c>
      <c r="B1924" t="s">
        <v>29</v>
      </c>
      <c r="C1924">
        <v>1012947151</v>
      </c>
      <c r="D1924" t="s">
        <v>887</v>
      </c>
      <c r="E1924" t="s">
        <v>31</v>
      </c>
      <c r="F1924" t="s">
        <v>246</v>
      </c>
      <c r="G1924" t="s">
        <v>247</v>
      </c>
      <c r="H1924" t="s">
        <v>33</v>
      </c>
      <c r="I1924" t="s">
        <v>34</v>
      </c>
      <c r="J1924" t="s">
        <v>84</v>
      </c>
      <c r="K1924">
        <v>144</v>
      </c>
      <c r="L1924">
        <v>0</v>
      </c>
      <c r="M1924" t="s">
        <v>36</v>
      </c>
      <c r="N1924" t="s">
        <v>37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2</v>
      </c>
      <c r="X1924">
        <v>0</v>
      </c>
      <c r="Y1924" t="s">
        <v>36</v>
      </c>
      <c r="Z1924">
        <v>0</v>
      </c>
      <c r="AA1924">
        <v>0</v>
      </c>
      <c r="AB1924">
        <v>0</v>
      </c>
      <c r="AC1924" t="s">
        <v>687</v>
      </c>
      <c r="AD1924" t="str">
        <f t="shared" si="60"/>
        <v>CP</v>
      </c>
      <c r="AE1924" t="str">
        <f>_xlfn.XLOOKUP(D1924,Mapping!A:A,Mapping!D:D,0,0)</f>
        <v>Keyword - Preroll</v>
      </c>
      <c r="AF1924" t="str">
        <f t="shared" si="61"/>
        <v>OLD</v>
      </c>
    </row>
    <row r="1925" spans="1:32" x14ac:dyDescent="0.2">
      <c r="A1925" t="s">
        <v>1119</v>
      </c>
      <c r="B1925" t="s">
        <v>29</v>
      </c>
      <c r="C1925">
        <v>1012947181</v>
      </c>
      <c r="D1925" t="s">
        <v>889</v>
      </c>
      <c r="E1925" t="s">
        <v>31</v>
      </c>
      <c r="F1925" t="s">
        <v>246</v>
      </c>
      <c r="G1925" t="s">
        <v>247</v>
      </c>
      <c r="H1925" t="s">
        <v>33</v>
      </c>
      <c r="I1925" t="s">
        <v>41</v>
      </c>
      <c r="J1925" t="s">
        <v>62</v>
      </c>
      <c r="K1925">
        <v>156</v>
      </c>
      <c r="L1925">
        <v>0</v>
      </c>
      <c r="M1925" t="s">
        <v>36</v>
      </c>
      <c r="N1925" t="s">
        <v>37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2</v>
      </c>
      <c r="X1925">
        <v>0</v>
      </c>
      <c r="Y1925" t="s">
        <v>36</v>
      </c>
      <c r="Z1925">
        <v>0</v>
      </c>
      <c r="AA1925">
        <v>0</v>
      </c>
      <c r="AB1925">
        <v>0</v>
      </c>
      <c r="AC1925" t="s">
        <v>687</v>
      </c>
      <c r="AD1925" t="str">
        <f t="shared" si="60"/>
        <v>CP</v>
      </c>
      <c r="AE1925" t="str">
        <f>_xlfn.XLOOKUP(D1925,Mapping!A:A,Mapping!D:D,0,0)</f>
        <v>Keyword - Preroll</v>
      </c>
      <c r="AF1925" t="str">
        <f t="shared" si="61"/>
        <v>OLD</v>
      </c>
    </row>
    <row r="1926" spans="1:32" x14ac:dyDescent="0.2">
      <c r="A1926" t="s">
        <v>1119</v>
      </c>
      <c r="B1926" t="s">
        <v>39</v>
      </c>
      <c r="C1926">
        <v>1012947191</v>
      </c>
      <c r="D1926" t="s">
        <v>890</v>
      </c>
      <c r="E1926" t="s">
        <v>31</v>
      </c>
      <c r="F1926" t="s">
        <v>246</v>
      </c>
      <c r="G1926" t="s">
        <v>247</v>
      </c>
      <c r="H1926" t="s">
        <v>33</v>
      </c>
      <c r="I1926" t="s">
        <v>41</v>
      </c>
      <c r="J1926" t="s">
        <v>62</v>
      </c>
      <c r="K1926">
        <v>156</v>
      </c>
      <c r="L1926">
        <v>0</v>
      </c>
      <c r="M1926" t="s">
        <v>63</v>
      </c>
      <c r="N1926">
        <v>250</v>
      </c>
      <c r="O1926">
        <v>0</v>
      </c>
      <c r="P1926">
        <v>0</v>
      </c>
      <c r="Q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 t="s">
        <v>36</v>
      </c>
      <c r="AC1926" t="s">
        <v>687</v>
      </c>
      <c r="AD1926" t="str">
        <f t="shared" si="60"/>
        <v>CP</v>
      </c>
      <c r="AE1926" t="str">
        <f>_xlfn.XLOOKUP(D1926,Mapping!A:A,Mapping!D:D,0,0)</f>
        <v>Big Tits</v>
      </c>
      <c r="AF1926" t="str">
        <f t="shared" si="61"/>
        <v>OLD</v>
      </c>
    </row>
    <row r="1927" spans="1:32" x14ac:dyDescent="0.2">
      <c r="A1927" t="s">
        <v>1119</v>
      </c>
      <c r="B1927" t="s">
        <v>39</v>
      </c>
      <c r="C1927">
        <v>1012950521</v>
      </c>
      <c r="D1927" t="s">
        <v>891</v>
      </c>
      <c r="E1927" t="s">
        <v>31</v>
      </c>
      <c r="F1927" t="s">
        <v>892</v>
      </c>
      <c r="G1927" t="s">
        <v>247</v>
      </c>
      <c r="H1927" t="s">
        <v>33</v>
      </c>
      <c r="I1927" t="s">
        <v>41</v>
      </c>
      <c r="J1927" t="s">
        <v>124</v>
      </c>
      <c r="K1927">
        <v>8</v>
      </c>
      <c r="L1927">
        <v>0</v>
      </c>
      <c r="M1927" t="s">
        <v>63</v>
      </c>
      <c r="N1927">
        <v>250</v>
      </c>
      <c r="O1927">
        <v>0</v>
      </c>
      <c r="P1927">
        <v>0</v>
      </c>
      <c r="Q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 t="s">
        <v>36</v>
      </c>
      <c r="AC1927" t="s">
        <v>687</v>
      </c>
      <c r="AD1927" t="str">
        <f t="shared" si="60"/>
        <v>CP</v>
      </c>
      <c r="AE1927" t="str">
        <f>_xlfn.XLOOKUP(D1927,Mapping!A:A,Mapping!D:D,0,0)</f>
        <v>General</v>
      </c>
      <c r="AF1927" t="str">
        <f t="shared" si="61"/>
        <v>OLD</v>
      </c>
    </row>
    <row r="1928" spans="1:32" x14ac:dyDescent="0.2">
      <c r="A1928" t="s">
        <v>1119</v>
      </c>
      <c r="B1928" t="s">
        <v>29</v>
      </c>
      <c r="C1928">
        <v>1012999511</v>
      </c>
      <c r="D1928" t="s">
        <v>893</v>
      </c>
      <c r="E1928" t="s">
        <v>31</v>
      </c>
      <c r="F1928" t="s">
        <v>246</v>
      </c>
      <c r="G1928" t="s">
        <v>247</v>
      </c>
      <c r="H1928" t="s">
        <v>33</v>
      </c>
      <c r="I1928" t="s">
        <v>34</v>
      </c>
      <c r="J1928" t="s">
        <v>84</v>
      </c>
      <c r="K1928">
        <v>264</v>
      </c>
      <c r="L1928">
        <v>0</v>
      </c>
      <c r="M1928" t="s">
        <v>36</v>
      </c>
      <c r="N1928" t="s">
        <v>37</v>
      </c>
      <c r="O1928">
        <v>100130</v>
      </c>
      <c r="P1928">
        <v>256</v>
      </c>
      <c r="Q1928">
        <v>0.25567000000000001</v>
      </c>
      <c r="R1928">
        <v>0</v>
      </c>
      <c r="S1928">
        <v>8.92</v>
      </c>
      <c r="T1928">
        <v>8.8999999999999996E-2</v>
      </c>
      <c r="U1928">
        <v>3.5000000000000003E-2</v>
      </c>
      <c r="V1928">
        <v>0</v>
      </c>
      <c r="W1928">
        <v>2</v>
      </c>
      <c r="X1928">
        <v>0</v>
      </c>
      <c r="Y1928" t="s">
        <v>36</v>
      </c>
      <c r="Z1928">
        <v>0</v>
      </c>
      <c r="AA1928">
        <v>0</v>
      </c>
      <c r="AB1928">
        <v>0</v>
      </c>
      <c r="AC1928" t="s">
        <v>687</v>
      </c>
      <c r="AD1928" t="str">
        <f t="shared" si="60"/>
        <v>CP</v>
      </c>
      <c r="AE1928" t="str">
        <f>_xlfn.XLOOKUP(D1928,Mapping!A:A,Mapping!D:D,0,0)</f>
        <v>Indian</v>
      </c>
      <c r="AF1928" t="str">
        <f t="shared" si="61"/>
        <v>OLD</v>
      </c>
    </row>
    <row r="1929" spans="1:32" x14ac:dyDescent="0.2">
      <c r="A1929" t="s">
        <v>1119</v>
      </c>
      <c r="B1929" t="s">
        <v>39</v>
      </c>
      <c r="C1929">
        <v>1013003481</v>
      </c>
      <c r="D1929" t="s">
        <v>894</v>
      </c>
      <c r="E1929" t="s">
        <v>31</v>
      </c>
      <c r="F1929" s="1">
        <v>0.38611111111111113</v>
      </c>
      <c r="G1929" t="s">
        <v>32</v>
      </c>
      <c r="H1929" t="s">
        <v>33</v>
      </c>
      <c r="I1929" t="s">
        <v>41</v>
      </c>
      <c r="J1929" t="s">
        <v>759</v>
      </c>
      <c r="K1929">
        <v>5</v>
      </c>
      <c r="L1929">
        <v>0</v>
      </c>
      <c r="M1929" t="s">
        <v>63</v>
      </c>
      <c r="N1929">
        <v>500</v>
      </c>
      <c r="O1929">
        <v>0</v>
      </c>
      <c r="P1929">
        <v>0</v>
      </c>
      <c r="Q1929">
        <v>0</v>
      </c>
      <c r="S1929">
        <v>0</v>
      </c>
      <c r="T1929">
        <v>0</v>
      </c>
      <c r="U1929">
        <v>0</v>
      </c>
      <c r="V1929">
        <v>0</v>
      </c>
      <c r="W1929">
        <v>2</v>
      </c>
      <c r="X1929">
        <v>0</v>
      </c>
      <c r="Y1929" t="s">
        <v>36</v>
      </c>
      <c r="AC1929" t="s">
        <v>687</v>
      </c>
      <c r="AD1929" t="str">
        <f t="shared" si="60"/>
        <v>CP</v>
      </c>
      <c r="AE1929" t="str">
        <f>_xlfn.XLOOKUP(D1929,Mapping!A:A,Mapping!D:D,0,0)</f>
        <v>Shorties</v>
      </c>
      <c r="AF1929" t="str">
        <f t="shared" si="61"/>
        <v>OLD</v>
      </c>
    </row>
    <row r="1930" spans="1:32" x14ac:dyDescent="0.2">
      <c r="A1930" t="s">
        <v>1119</v>
      </c>
      <c r="B1930" t="s">
        <v>29</v>
      </c>
      <c r="C1930">
        <v>1013012751</v>
      </c>
      <c r="D1930" t="s">
        <v>895</v>
      </c>
      <c r="E1930" t="s">
        <v>31</v>
      </c>
      <c r="F1930" t="s">
        <v>246</v>
      </c>
      <c r="G1930" t="s">
        <v>247</v>
      </c>
      <c r="H1930" t="s">
        <v>33</v>
      </c>
      <c r="I1930" t="s">
        <v>41</v>
      </c>
      <c r="J1930" t="s">
        <v>691</v>
      </c>
      <c r="K1930">
        <v>57</v>
      </c>
      <c r="L1930">
        <v>0</v>
      </c>
      <c r="M1930" t="s">
        <v>36</v>
      </c>
      <c r="N1930" t="s">
        <v>37</v>
      </c>
      <c r="O1930">
        <v>908944</v>
      </c>
      <c r="P1930">
        <v>1503</v>
      </c>
      <c r="Q1930">
        <v>0.16536000000000001</v>
      </c>
      <c r="R1930">
        <v>1</v>
      </c>
      <c r="S1930">
        <v>202.57</v>
      </c>
      <c r="T1930">
        <v>0.223</v>
      </c>
      <c r="U1930">
        <v>0.13500000000000001</v>
      </c>
      <c r="V1930">
        <v>202.566</v>
      </c>
      <c r="W1930">
        <v>2</v>
      </c>
      <c r="X1930">
        <v>0</v>
      </c>
      <c r="Y1930" t="s">
        <v>63</v>
      </c>
      <c r="Z1930">
        <v>0</v>
      </c>
      <c r="AA1930">
        <v>0</v>
      </c>
      <c r="AB1930">
        <v>0</v>
      </c>
      <c r="AC1930" t="s">
        <v>687</v>
      </c>
      <c r="AD1930" t="str">
        <f t="shared" si="60"/>
        <v>US</v>
      </c>
      <c r="AE1930" t="str">
        <f>_xlfn.XLOOKUP(D1930,Mapping!A:A,Mapping!D:D,0,0)</f>
        <v>Hentai</v>
      </c>
      <c r="AF1930" t="str">
        <f t="shared" si="61"/>
        <v>TJ</v>
      </c>
    </row>
    <row r="1931" spans="1:32" x14ac:dyDescent="0.2">
      <c r="A1931" t="s">
        <v>1119</v>
      </c>
      <c r="B1931" t="s">
        <v>29</v>
      </c>
      <c r="C1931">
        <v>1013012981</v>
      </c>
      <c r="D1931" t="s">
        <v>896</v>
      </c>
      <c r="E1931" t="s">
        <v>31</v>
      </c>
      <c r="F1931" t="s">
        <v>246</v>
      </c>
      <c r="G1931" t="s">
        <v>247</v>
      </c>
      <c r="H1931" t="s">
        <v>33</v>
      </c>
      <c r="I1931" t="s">
        <v>41</v>
      </c>
      <c r="J1931" t="s">
        <v>58</v>
      </c>
      <c r="K1931">
        <v>1</v>
      </c>
      <c r="L1931">
        <v>17</v>
      </c>
      <c r="M1931" t="s">
        <v>36</v>
      </c>
      <c r="N1931" t="s">
        <v>37</v>
      </c>
      <c r="O1931">
        <v>2616294</v>
      </c>
      <c r="P1931">
        <v>2413</v>
      </c>
      <c r="Q1931">
        <v>9.2230000000000006E-2</v>
      </c>
      <c r="R1931">
        <v>11</v>
      </c>
      <c r="S1931">
        <v>845.06</v>
      </c>
      <c r="T1931">
        <v>0.32300000000000001</v>
      </c>
      <c r="U1931">
        <v>0.35</v>
      </c>
      <c r="V1931">
        <v>76.823999999999998</v>
      </c>
      <c r="W1931">
        <v>2</v>
      </c>
      <c r="X1931">
        <v>0</v>
      </c>
      <c r="Y1931" t="s">
        <v>36</v>
      </c>
      <c r="Z1931">
        <v>0</v>
      </c>
      <c r="AA1931">
        <v>0</v>
      </c>
      <c r="AB1931">
        <v>0</v>
      </c>
      <c r="AC1931" t="s">
        <v>687</v>
      </c>
      <c r="AD1931" t="str">
        <f t="shared" si="60"/>
        <v>US</v>
      </c>
      <c r="AE1931" t="str">
        <f>_xlfn.XLOOKUP(D1931,Mapping!A:A,Mapping!D:D,0,0)</f>
        <v>Native - Homepage</v>
      </c>
      <c r="AF1931" t="str">
        <f t="shared" si="61"/>
        <v>TJ</v>
      </c>
    </row>
    <row r="1932" spans="1:32" x14ac:dyDescent="0.2">
      <c r="A1932" t="s">
        <v>1119</v>
      </c>
      <c r="B1932" t="s">
        <v>29</v>
      </c>
      <c r="C1932">
        <v>1013012991</v>
      </c>
      <c r="D1932" t="s">
        <v>897</v>
      </c>
      <c r="E1932" t="s">
        <v>31</v>
      </c>
      <c r="F1932" t="s">
        <v>246</v>
      </c>
      <c r="G1932" t="s">
        <v>247</v>
      </c>
      <c r="H1932" t="s">
        <v>33</v>
      </c>
      <c r="I1932" t="s">
        <v>41</v>
      </c>
      <c r="J1932" t="s">
        <v>58</v>
      </c>
      <c r="K1932">
        <v>18</v>
      </c>
      <c r="L1932">
        <v>0</v>
      </c>
      <c r="M1932" t="s">
        <v>36</v>
      </c>
      <c r="N1932" t="s">
        <v>37</v>
      </c>
      <c r="O1932">
        <v>733902</v>
      </c>
      <c r="P1932">
        <v>756</v>
      </c>
      <c r="Q1932">
        <v>0.10301</v>
      </c>
      <c r="R1932">
        <v>4</v>
      </c>
      <c r="S1932">
        <v>175.4</v>
      </c>
      <c r="T1932">
        <v>0.23899999999999999</v>
      </c>
      <c r="U1932">
        <v>0.23200000000000001</v>
      </c>
      <c r="V1932">
        <v>43.850999999999999</v>
      </c>
      <c r="W1932">
        <v>2</v>
      </c>
      <c r="X1932">
        <v>0</v>
      </c>
      <c r="Y1932" t="s">
        <v>63</v>
      </c>
      <c r="Z1932">
        <v>0</v>
      </c>
      <c r="AA1932">
        <v>0</v>
      </c>
      <c r="AB1932">
        <v>0</v>
      </c>
      <c r="AC1932" t="s">
        <v>687</v>
      </c>
      <c r="AD1932" t="str">
        <f t="shared" si="60"/>
        <v>CA</v>
      </c>
      <c r="AE1932" t="str">
        <f>_xlfn.XLOOKUP(D1932,Mapping!A:A,Mapping!D:D,0,0)</f>
        <v>Native - Homepage</v>
      </c>
      <c r="AF1932" t="str">
        <f t="shared" si="61"/>
        <v>TJ</v>
      </c>
    </row>
    <row r="1933" spans="1:32" x14ac:dyDescent="0.2">
      <c r="A1933" t="s">
        <v>1119</v>
      </c>
      <c r="B1933" t="s">
        <v>29</v>
      </c>
      <c r="C1933">
        <v>1013013261</v>
      </c>
      <c r="D1933" t="s">
        <v>898</v>
      </c>
      <c r="E1933" t="s">
        <v>31</v>
      </c>
      <c r="F1933" s="1">
        <v>0.67291666666666672</v>
      </c>
      <c r="G1933" t="s">
        <v>32</v>
      </c>
      <c r="H1933" t="s">
        <v>33</v>
      </c>
      <c r="I1933" t="s">
        <v>41</v>
      </c>
      <c r="J1933" t="s">
        <v>62</v>
      </c>
      <c r="K1933">
        <v>30</v>
      </c>
      <c r="L1933">
        <v>50</v>
      </c>
      <c r="M1933" t="s">
        <v>63</v>
      </c>
      <c r="N1933">
        <v>250</v>
      </c>
      <c r="O1933">
        <v>37374</v>
      </c>
      <c r="P1933">
        <v>2333</v>
      </c>
      <c r="Q1933">
        <v>6.2423099999999998</v>
      </c>
      <c r="R1933">
        <v>0</v>
      </c>
      <c r="S1933">
        <v>76.56</v>
      </c>
      <c r="T1933">
        <v>2.048</v>
      </c>
      <c r="U1933">
        <v>3.3000000000000002E-2</v>
      </c>
      <c r="V1933">
        <v>0</v>
      </c>
      <c r="W1933">
        <v>2</v>
      </c>
      <c r="X1933">
        <v>0</v>
      </c>
      <c r="Y1933" t="s">
        <v>36</v>
      </c>
      <c r="Z1933">
        <v>37374</v>
      </c>
      <c r="AA1933">
        <v>33090</v>
      </c>
      <c r="AB1933">
        <v>2812</v>
      </c>
      <c r="AC1933" t="s">
        <v>687</v>
      </c>
      <c r="AD1933" t="str">
        <f t="shared" si="60"/>
        <v>US</v>
      </c>
      <c r="AE1933" t="str">
        <f>_xlfn.XLOOKUP(D1933,Mapping!A:A,Mapping!D:D,0,0)</f>
        <v>Keyword - Preroll</v>
      </c>
      <c r="AF1933" t="str">
        <f t="shared" si="61"/>
        <v>JB</v>
      </c>
    </row>
    <row r="1934" spans="1:32" x14ac:dyDescent="0.2">
      <c r="A1934" t="s">
        <v>1119</v>
      </c>
      <c r="B1934" t="s">
        <v>29</v>
      </c>
      <c r="C1934">
        <v>1013013541</v>
      </c>
      <c r="D1934" t="s">
        <v>899</v>
      </c>
      <c r="E1934" t="s">
        <v>31</v>
      </c>
      <c r="F1934" s="1">
        <v>0.67291666666666672</v>
      </c>
      <c r="G1934" t="s">
        <v>32</v>
      </c>
      <c r="H1934" t="s">
        <v>33</v>
      </c>
      <c r="I1934" t="s">
        <v>41</v>
      </c>
      <c r="J1934" t="s">
        <v>62</v>
      </c>
      <c r="K1934">
        <v>133</v>
      </c>
      <c r="L1934">
        <v>0</v>
      </c>
      <c r="M1934" t="s">
        <v>63</v>
      </c>
      <c r="N1934">
        <v>250</v>
      </c>
      <c r="O1934">
        <v>69365</v>
      </c>
      <c r="P1934">
        <v>5071</v>
      </c>
      <c r="Q1934">
        <v>7.3106</v>
      </c>
      <c r="R1934">
        <v>2</v>
      </c>
      <c r="S1934">
        <v>137.4</v>
      </c>
      <c r="T1934">
        <v>1.9810000000000001</v>
      </c>
      <c r="U1934">
        <v>2.7E-2</v>
      </c>
      <c r="V1934">
        <v>68.698999999999998</v>
      </c>
      <c r="W1934">
        <v>2</v>
      </c>
      <c r="X1934">
        <v>0</v>
      </c>
      <c r="Y1934" t="s">
        <v>36</v>
      </c>
      <c r="Z1934">
        <v>69365</v>
      </c>
      <c r="AA1934">
        <v>61783</v>
      </c>
      <c r="AB1934">
        <v>4951</v>
      </c>
      <c r="AC1934" t="s">
        <v>687</v>
      </c>
      <c r="AD1934" t="str">
        <f t="shared" si="60"/>
        <v>US</v>
      </c>
      <c r="AE1934" t="str">
        <f>_xlfn.XLOOKUP(D1934,Mapping!A:A,Mapping!D:D,0,0)</f>
        <v>Keyword - Preroll</v>
      </c>
      <c r="AF1934" t="str">
        <f t="shared" si="61"/>
        <v>JB</v>
      </c>
    </row>
    <row r="1935" spans="1:32" x14ac:dyDescent="0.2">
      <c r="A1935" t="s">
        <v>1119</v>
      </c>
      <c r="B1935" t="s">
        <v>29</v>
      </c>
      <c r="C1935">
        <v>1013013551</v>
      </c>
      <c r="D1935" t="s">
        <v>901</v>
      </c>
      <c r="E1935" t="s">
        <v>31</v>
      </c>
      <c r="F1935" s="1">
        <v>0.67291666666666672</v>
      </c>
      <c r="G1935" t="s">
        <v>32</v>
      </c>
      <c r="H1935" t="s">
        <v>33</v>
      </c>
      <c r="I1935" t="s">
        <v>41</v>
      </c>
      <c r="J1935" t="s">
        <v>62</v>
      </c>
      <c r="K1935">
        <v>133</v>
      </c>
      <c r="L1935">
        <v>0</v>
      </c>
      <c r="M1935" t="s">
        <v>63</v>
      </c>
      <c r="N1935">
        <v>250</v>
      </c>
      <c r="O1935">
        <v>46126</v>
      </c>
      <c r="P1935">
        <v>2260</v>
      </c>
      <c r="Q1935">
        <v>4.89961</v>
      </c>
      <c r="R1935">
        <v>0</v>
      </c>
      <c r="S1935">
        <v>88.28</v>
      </c>
      <c r="T1935">
        <v>1.9139999999999999</v>
      </c>
      <c r="U1935">
        <v>3.9E-2</v>
      </c>
      <c r="V1935">
        <v>0</v>
      </c>
      <c r="W1935">
        <v>2</v>
      </c>
      <c r="X1935">
        <v>0</v>
      </c>
      <c r="Y1935" t="s">
        <v>36</v>
      </c>
      <c r="Z1935">
        <v>46126</v>
      </c>
      <c r="AA1935">
        <v>42531</v>
      </c>
      <c r="AB1935">
        <v>2188</v>
      </c>
      <c r="AC1935" t="s">
        <v>687</v>
      </c>
      <c r="AD1935" t="str">
        <f t="shared" si="60"/>
        <v>US</v>
      </c>
      <c r="AE1935" t="str">
        <f>_xlfn.XLOOKUP(D1935,Mapping!A:A,Mapping!D:D,0,0)</f>
        <v>Keyword - Preroll</v>
      </c>
      <c r="AF1935" t="str">
        <f t="shared" si="61"/>
        <v>JB</v>
      </c>
    </row>
    <row r="1936" spans="1:32" x14ac:dyDescent="0.2">
      <c r="A1936" t="s">
        <v>1119</v>
      </c>
      <c r="B1936" t="s">
        <v>29</v>
      </c>
      <c r="C1936">
        <v>1013013561</v>
      </c>
      <c r="D1936" t="s">
        <v>902</v>
      </c>
      <c r="E1936" t="s">
        <v>31</v>
      </c>
      <c r="F1936" s="1">
        <v>0.67291666666666672</v>
      </c>
      <c r="G1936" t="s">
        <v>32</v>
      </c>
      <c r="H1936" t="s">
        <v>33</v>
      </c>
      <c r="I1936" t="s">
        <v>34</v>
      </c>
      <c r="J1936" t="s">
        <v>84</v>
      </c>
      <c r="K1936">
        <v>56</v>
      </c>
      <c r="L1936">
        <v>0</v>
      </c>
      <c r="M1936" t="s">
        <v>63</v>
      </c>
      <c r="N1936">
        <v>500</v>
      </c>
      <c r="O1936">
        <v>32586</v>
      </c>
      <c r="P1936">
        <v>1364</v>
      </c>
      <c r="Q1936">
        <v>4.1858500000000003</v>
      </c>
      <c r="R1936">
        <v>0</v>
      </c>
      <c r="S1936">
        <v>57.74</v>
      </c>
      <c r="T1936">
        <v>1.772</v>
      </c>
      <c r="U1936">
        <v>4.2000000000000003E-2</v>
      </c>
      <c r="V1936">
        <v>0</v>
      </c>
      <c r="W1936">
        <v>2</v>
      </c>
      <c r="X1936">
        <v>0</v>
      </c>
      <c r="Y1936" t="s">
        <v>36</v>
      </c>
      <c r="Z1936">
        <v>32586</v>
      </c>
      <c r="AA1936">
        <v>24109</v>
      </c>
      <c r="AB1936">
        <v>4071</v>
      </c>
      <c r="AC1936" t="s">
        <v>687</v>
      </c>
      <c r="AD1936" t="str">
        <f t="shared" si="60"/>
        <v>US</v>
      </c>
      <c r="AE1936" t="str">
        <f>_xlfn.XLOOKUP(D1936,Mapping!A:A,Mapping!D:D,0,0)</f>
        <v>Keyword - Preroll</v>
      </c>
      <c r="AF1936" t="str">
        <f t="shared" si="61"/>
        <v>JB</v>
      </c>
    </row>
    <row r="1937" spans="1:32" x14ac:dyDescent="0.2">
      <c r="A1937" t="s">
        <v>1119</v>
      </c>
      <c r="B1937" t="s">
        <v>29</v>
      </c>
      <c r="C1937">
        <v>1013013571</v>
      </c>
      <c r="D1937" t="s">
        <v>903</v>
      </c>
      <c r="E1937" t="s">
        <v>31</v>
      </c>
      <c r="F1937" s="1">
        <v>0.67291666666666672</v>
      </c>
      <c r="G1937" t="s">
        <v>32</v>
      </c>
      <c r="H1937" t="s">
        <v>33</v>
      </c>
      <c r="I1937" t="s">
        <v>41</v>
      </c>
      <c r="J1937" t="s">
        <v>62</v>
      </c>
      <c r="K1937">
        <v>183</v>
      </c>
      <c r="L1937">
        <v>0</v>
      </c>
      <c r="M1937" t="s">
        <v>63</v>
      </c>
      <c r="N1937">
        <v>250</v>
      </c>
      <c r="O1937">
        <v>43295</v>
      </c>
      <c r="P1937">
        <v>2762</v>
      </c>
      <c r="Q1937">
        <v>6.3794899999999997</v>
      </c>
      <c r="R1937">
        <v>3</v>
      </c>
      <c r="S1937">
        <v>85.91</v>
      </c>
      <c r="T1937">
        <v>1.984</v>
      </c>
      <c r="U1937">
        <v>3.1E-2</v>
      </c>
      <c r="V1937">
        <v>28.637</v>
      </c>
      <c r="W1937">
        <v>2</v>
      </c>
      <c r="X1937">
        <v>0</v>
      </c>
      <c r="Y1937" t="s">
        <v>36</v>
      </c>
      <c r="Z1937">
        <v>43295</v>
      </c>
      <c r="AA1937">
        <v>38659</v>
      </c>
      <c r="AB1937">
        <v>3010</v>
      </c>
      <c r="AC1937" t="s">
        <v>687</v>
      </c>
      <c r="AD1937" t="str">
        <f t="shared" si="60"/>
        <v>CA</v>
      </c>
      <c r="AE1937" t="str">
        <f>_xlfn.XLOOKUP(D1937,Mapping!A:A,Mapping!D:D,0,0)</f>
        <v>Hentai</v>
      </c>
      <c r="AF1937" t="str">
        <f t="shared" si="61"/>
        <v>JB</v>
      </c>
    </row>
    <row r="1938" spans="1:32" x14ac:dyDescent="0.2">
      <c r="A1938" t="s">
        <v>1119</v>
      </c>
      <c r="B1938" t="s">
        <v>29</v>
      </c>
      <c r="C1938">
        <v>1013013591</v>
      </c>
      <c r="D1938" t="s">
        <v>904</v>
      </c>
      <c r="E1938" t="s">
        <v>31</v>
      </c>
      <c r="F1938" s="1">
        <v>0.67291666666666672</v>
      </c>
      <c r="G1938" t="s">
        <v>32</v>
      </c>
      <c r="H1938" t="s">
        <v>33</v>
      </c>
      <c r="I1938" t="s">
        <v>41</v>
      </c>
      <c r="J1938" t="s">
        <v>62</v>
      </c>
      <c r="K1938">
        <v>173</v>
      </c>
      <c r="L1938">
        <v>0</v>
      </c>
      <c r="M1938" t="s">
        <v>63</v>
      </c>
      <c r="N1938">
        <v>250</v>
      </c>
      <c r="O1938">
        <v>70391</v>
      </c>
      <c r="P1938">
        <v>3556</v>
      </c>
      <c r="Q1938">
        <v>5.0517799999999999</v>
      </c>
      <c r="R1938">
        <v>0</v>
      </c>
      <c r="S1938">
        <v>132.07</v>
      </c>
      <c r="T1938">
        <v>1.8759999999999999</v>
      </c>
      <c r="U1938">
        <v>3.6999999999999998E-2</v>
      </c>
      <c r="V1938">
        <v>0</v>
      </c>
      <c r="W1938">
        <v>2</v>
      </c>
      <c r="X1938">
        <v>0</v>
      </c>
      <c r="Y1938" t="s">
        <v>36</v>
      </c>
      <c r="Z1938">
        <v>70391</v>
      </c>
      <c r="AA1938">
        <v>63500</v>
      </c>
      <c r="AB1938">
        <v>4390</v>
      </c>
      <c r="AC1938" t="s">
        <v>687</v>
      </c>
      <c r="AD1938" t="str">
        <f t="shared" si="60"/>
        <v>CA</v>
      </c>
      <c r="AE1938" t="str">
        <f>_xlfn.XLOOKUP(D1938,Mapping!A:A,Mapping!D:D,0,0)</f>
        <v>Hentai</v>
      </c>
      <c r="AF1938" t="str">
        <f t="shared" si="61"/>
        <v>JB</v>
      </c>
    </row>
    <row r="1939" spans="1:32" x14ac:dyDescent="0.2">
      <c r="A1939" t="s">
        <v>1119</v>
      </c>
      <c r="B1939" t="s">
        <v>29</v>
      </c>
      <c r="C1939">
        <v>1013013601</v>
      </c>
      <c r="D1939" t="s">
        <v>905</v>
      </c>
      <c r="E1939" t="s">
        <v>31</v>
      </c>
      <c r="F1939" s="1">
        <v>0.67291666666666672</v>
      </c>
      <c r="G1939" t="s">
        <v>32</v>
      </c>
      <c r="H1939" t="s">
        <v>33</v>
      </c>
      <c r="I1939" t="s">
        <v>34</v>
      </c>
      <c r="J1939" t="s">
        <v>84</v>
      </c>
      <c r="K1939">
        <v>68</v>
      </c>
      <c r="L1939">
        <v>0</v>
      </c>
      <c r="M1939" t="s">
        <v>63</v>
      </c>
      <c r="N1939">
        <v>250</v>
      </c>
      <c r="O1939">
        <v>6725</v>
      </c>
      <c r="P1939">
        <v>324</v>
      </c>
      <c r="Q1939">
        <v>4.8178400000000003</v>
      </c>
      <c r="R1939">
        <v>0</v>
      </c>
      <c r="S1939">
        <v>17.32</v>
      </c>
      <c r="T1939">
        <v>2.5750000000000002</v>
      </c>
      <c r="U1939">
        <v>5.2999999999999999E-2</v>
      </c>
      <c r="V1939">
        <v>0</v>
      </c>
      <c r="W1939">
        <v>2</v>
      </c>
      <c r="X1939">
        <v>0</v>
      </c>
      <c r="Y1939" t="s">
        <v>36</v>
      </c>
      <c r="Z1939">
        <v>6725</v>
      </c>
      <c r="AA1939">
        <v>5044</v>
      </c>
      <c r="AB1939">
        <v>580</v>
      </c>
      <c r="AC1939" t="s">
        <v>687</v>
      </c>
      <c r="AD1939" t="str">
        <f t="shared" si="60"/>
        <v>CA</v>
      </c>
      <c r="AE1939" t="str">
        <f>_xlfn.XLOOKUP(D1939,Mapping!A:A,Mapping!D:D,0,0)</f>
        <v>Hentai</v>
      </c>
      <c r="AF1939" t="str">
        <f t="shared" si="61"/>
        <v>JB</v>
      </c>
    </row>
    <row r="1940" spans="1:32" x14ac:dyDescent="0.2">
      <c r="A1940" t="s">
        <v>1119</v>
      </c>
      <c r="B1940" t="s">
        <v>29</v>
      </c>
      <c r="C1940">
        <v>1013013621</v>
      </c>
      <c r="D1940" t="s">
        <v>906</v>
      </c>
      <c r="E1940" t="s">
        <v>31</v>
      </c>
      <c r="F1940" s="1">
        <v>0.67291666666666672</v>
      </c>
      <c r="G1940" t="s">
        <v>32</v>
      </c>
      <c r="H1940" t="s">
        <v>33</v>
      </c>
      <c r="I1940" t="s">
        <v>41</v>
      </c>
      <c r="J1940" t="s">
        <v>62</v>
      </c>
      <c r="K1940">
        <v>173</v>
      </c>
      <c r="L1940">
        <v>0</v>
      </c>
      <c r="M1940" t="s">
        <v>63</v>
      </c>
      <c r="N1940">
        <v>250</v>
      </c>
      <c r="O1940">
        <v>50499</v>
      </c>
      <c r="P1940">
        <v>4100</v>
      </c>
      <c r="Q1940">
        <v>8.1189599999999995</v>
      </c>
      <c r="R1940">
        <v>0</v>
      </c>
      <c r="S1940">
        <v>102.51</v>
      </c>
      <c r="T1940">
        <v>2.0299999999999998</v>
      </c>
      <c r="U1940">
        <v>2.5000000000000001E-2</v>
      </c>
      <c r="V1940">
        <v>0</v>
      </c>
      <c r="W1940">
        <v>2</v>
      </c>
      <c r="X1940">
        <v>0</v>
      </c>
      <c r="Y1940" t="s">
        <v>36</v>
      </c>
      <c r="Z1940">
        <v>50499</v>
      </c>
      <c r="AA1940">
        <v>45374</v>
      </c>
      <c r="AB1940">
        <v>3250</v>
      </c>
      <c r="AC1940" t="s">
        <v>687</v>
      </c>
      <c r="AD1940" t="str">
        <f t="shared" si="60"/>
        <v>US</v>
      </c>
      <c r="AE1940" t="str">
        <f>_xlfn.XLOOKUP(D1940,Mapping!A:A,Mapping!D:D,0,0)</f>
        <v>Hentai</v>
      </c>
      <c r="AF1940" t="str">
        <f t="shared" si="61"/>
        <v>JB</v>
      </c>
    </row>
    <row r="1941" spans="1:32" x14ac:dyDescent="0.2">
      <c r="A1941" t="s">
        <v>1119</v>
      </c>
      <c r="B1941" t="s">
        <v>29</v>
      </c>
      <c r="C1941">
        <v>1013013631</v>
      </c>
      <c r="D1941" t="s">
        <v>907</v>
      </c>
      <c r="E1941" t="s">
        <v>31</v>
      </c>
      <c r="F1941" s="1">
        <v>0.67291666666666672</v>
      </c>
      <c r="G1941" t="s">
        <v>32</v>
      </c>
      <c r="H1941" t="s">
        <v>33</v>
      </c>
      <c r="I1941" t="s">
        <v>41</v>
      </c>
      <c r="J1941" t="s">
        <v>62</v>
      </c>
      <c r="K1941">
        <v>173</v>
      </c>
      <c r="L1941">
        <v>0</v>
      </c>
      <c r="M1941" t="s">
        <v>63</v>
      </c>
      <c r="N1941">
        <v>250</v>
      </c>
      <c r="O1941">
        <v>81681</v>
      </c>
      <c r="P1941">
        <v>4429</v>
      </c>
      <c r="Q1941">
        <v>5.4223100000000004</v>
      </c>
      <c r="R1941">
        <v>1</v>
      </c>
      <c r="S1941">
        <v>183.62</v>
      </c>
      <c r="T1941">
        <v>2.2480000000000002</v>
      </c>
      <c r="U1941">
        <v>4.1000000000000002E-2</v>
      </c>
      <c r="V1941">
        <v>183.61699999999999</v>
      </c>
      <c r="W1941">
        <v>2</v>
      </c>
      <c r="X1941">
        <v>0</v>
      </c>
      <c r="Y1941" t="s">
        <v>36</v>
      </c>
      <c r="Z1941">
        <v>81681</v>
      </c>
      <c r="AA1941">
        <v>73231</v>
      </c>
      <c r="AB1941">
        <v>5120</v>
      </c>
      <c r="AC1941" t="s">
        <v>687</v>
      </c>
      <c r="AD1941" t="str">
        <f t="shared" ref="AD1941:AD2004" si="62">LEFT(D1941,2)</f>
        <v>US</v>
      </c>
      <c r="AE1941" t="str">
        <f>_xlfn.XLOOKUP(D1941,Mapping!A:A,Mapping!D:D,0,0)</f>
        <v>Hentai</v>
      </c>
      <c r="AF1941" t="str">
        <f t="shared" ref="AF1941:AF2004" si="63">IFERROR(IF(SEARCH("_TJ",D1941)&gt;0,"TJ",NA()),IFERROR(IF(SEARCH("_JB",D1941)&gt;0,"JB",NA()),"OLD"))</f>
        <v>JB</v>
      </c>
    </row>
    <row r="1942" spans="1:32" x14ac:dyDescent="0.2">
      <c r="A1942" t="s">
        <v>1119</v>
      </c>
      <c r="B1942" t="s">
        <v>29</v>
      </c>
      <c r="C1942">
        <v>1013013641</v>
      </c>
      <c r="D1942" t="s">
        <v>908</v>
      </c>
      <c r="E1942" t="s">
        <v>31</v>
      </c>
      <c r="F1942" s="1">
        <v>0.67291666666666672</v>
      </c>
      <c r="G1942" t="s">
        <v>32</v>
      </c>
      <c r="H1942" t="s">
        <v>33</v>
      </c>
      <c r="I1942" t="s">
        <v>34</v>
      </c>
      <c r="J1942" t="s">
        <v>84</v>
      </c>
      <c r="K1942">
        <v>52</v>
      </c>
      <c r="L1942">
        <v>0</v>
      </c>
      <c r="M1942" t="s">
        <v>36</v>
      </c>
      <c r="N1942" t="s">
        <v>37</v>
      </c>
      <c r="O1942">
        <v>446</v>
      </c>
      <c r="P1942">
        <v>39</v>
      </c>
      <c r="Q1942">
        <v>8.7443799999999996</v>
      </c>
      <c r="R1942">
        <v>0</v>
      </c>
      <c r="S1942">
        <v>1.31</v>
      </c>
      <c r="T1942">
        <v>2.9260000000000002</v>
      </c>
      <c r="U1942">
        <v>3.3000000000000002E-2</v>
      </c>
      <c r="V1942">
        <v>0</v>
      </c>
      <c r="W1942">
        <v>2</v>
      </c>
      <c r="X1942">
        <v>0</v>
      </c>
      <c r="Y1942" t="s">
        <v>36</v>
      </c>
      <c r="Z1942">
        <v>446</v>
      </c>
      <c r="AA1942">
        <v>338</v>
      </c>
      <c r="AB1942">
        <v>39</v>
      </c>
      <c r="AC1942" t="s">
        <v>687</v>
      </c>
      <c r="AD1942" t="str">
        <f t="shared" si="62"/>
        <v>US</v>
      </c>
      <c r="AE1942" t="str">
        <f>_xlfn.XLOOKUP(D1942,Mapping!A:A,Mapping!D:D,0,0)</f>
        <v>Hentai</v>
      </c>
      <c r="AF1942" t="str">
        <f t="shared" si="63"/>
        <v>JB</v>
      </c>
    </row>
    <row r="1943" spans="1:32" x14ac:dyDescent="0.2">
      <c r="A1943" t="s">
        <v>1119</v>
      </c>
      <c r="B1943" t="s">
        <v>29</v>
      </c>
      <c r="C1943">
        <v>1013013651</v>
      </c>
      <c r="D1943" t="s">
        <v>909</v>
      </c>
      <c r="E1943" t="s">
        <v>31</v>
      </c>
      <c r="F1943" s="1">
        <v>0.67291666666666672</v>
      </c>
      <c r="G1943" t="s">
        <v>32</v>
      </c>
      <c r="H1943" t="s">
        <v>33</v>
      </c>
      <c r="I1943" t="s">
        <v>41</v>
      </c>
      <c r="J1943" t="s">
        <v>62</v>
      </c>
      <c r="K1943">
        <v>173</v>
      </c>
      <c r="L1943">
        <v>0</v>
      </c>
      <c r="M1943" t="s">
        <v>63</v>
      </c>
      <c r="N1943">
        <v>250</v>
      </c>
      <c r="O1943">
        <v>144</v>
      </c>
      <c r="P1943">
        <v>7</v>
      </c>
      <c r="Q1943">
        <v>4.86111</v>
      </c>
      <c r="R1943">
        <v>0</v>
      </c>
      <c r="S1943">
        <v>0.24</v>
      </c>
      <c r="T1943">
        <v>1.65</v>
      </c>
      <c r="U1943">
        <v>3.4000000000000002E-2</v>
      </c>
      <c r="V1943">
        <v>0</v>
      </c>
      <c r="W1943">
        <v>2</v>
      </c>
      <c r="X1943">
        <v>0</v>
      </c>
      <c r="Y1943" t="s">
        <v>36</v>
      </c>
      <c r="Z1943">
        <v>144</v>
      </c>
      <c r="AA1943">
        <v>132</v>
      </c>
      <c r="AB1943">
        <v>7</v>
      </c>
      <c r="AC1943" t="s">
        <v>687</v>
      </c>
      <c r="AD1943" t="str">
        <f t="shared" si="62"/>
        <v>AU</v>
      </c>
      <c r="AE1943" t="str">
        <f>_xlfn.XLOOKUP(D1943,Mapping!A:A,Mapping!D:D,0,0)</f>
        <v>Hentai</v>
      </c>
      <c r="AF1943" t="str">
        <f t="shared" si="63"/>
        <v>JB</v>
      </c>
    </row>
    <row r="1944" spans="1:32" x14ac:dyDescent="0.2">
      <c r="A1944" t="s">
        <v>1119</v>
      </c>
      <c r="B1944" t="s">
        <v>29</v>
      </c>
      <c r="C1944">
        <v>1013013701</v>
      </c>
      <c r="D1944" t="s">
        <v>910</v>
      </c>
      <c r="E1944" t="s">
        <v>31</v>
      </c>
      <c r="F1944" s="1">
        <v>0.67291666666666672</v>
      </c>
      <c r="G1944" t="s">
        <v>32</v>
      </c>
      <c r="H1944" t="s">
        <v>33</v>
      </c>
      <c r="I1944" t="s">
        <v>41</v>
      </c>
      <c r="J1944" t="s">
        <v>62</v>
      </c>
      <c r="K1944">
        <v>173</v>
      </c>
      <c r="L1944">
        <v>0</v>
      </c>
      <c r="M1944" t="s">
        <v>63</v>
      </c>
      <c r="N1944">
        <v>250</v>
      </c>
      <c r="O1944">
        <v>262</v>
      </c>
      <c r="P1944">
        <v>11</v>
      </c>
      <c r="Q1944">
        <v>4.1984700000000004</v>
      </c>
      <c r="R1944">
        <v>0</v>
      </c>
      <c r="S1944">
        <v>0.25</v>
      </c>
      <c r="T1944">
        <v>0.96399999999999997</v>
      </c>
      <c r="U1944">
        <v>2.3E-2</v>
      </c>
      <c r="V1944">
        <v>0</v>
      </c>
      <c r="W1944">
        <v>2</v>
      </c>
      <c r="X1944">
        <v>0</v>
      </c>
      <c r="Y1944" t="s">
        <v>36</v>
      </c>
      <c r="Z1944">
        <v>262</v>
      </c>
      <c r="AA1944">
        <v>228</v>
      </c>
      <c r="AB1944">
        <v>18</v>
      </c>
      <c r="AC1944" t="s">
        <v>687</v>
      </c>
      <c r="AD1944" t="str">
        <f t="shared" si="62"/>
        <v>AU</v>
      </c>
      <c r="AE1944" t="str">
        <f>_xlfn.XLOOKUP(D1944,Mapping!A:A,Mapping!D:D,0,0)</f>
        <v>Hentai</v>
      </c>
      <c r="AF1944" t="str">
        <f t="shared" si="63"/>
        <v>JB</v>
      </c>
    </row>
    <row r="1945" spans="1:32" x14ac:dyDescent="0.2">
      <c r="A1945" t="s">
        <v>1119</v>
      </c>
      <c r="B1945" t="s">
        <v>29</v>
      </c>
      <c r="C1945">
        <v>1013013731</v>
      </c>
      <c r="D1945" t="s">
        <v>911</v>
      </c>
      <c r="E1945" t="s">
        <v>31</v>
      </c>
      <c r="F1945" s="1">
        <v>0.67291666666666672</v>
      </c>
      <c r="G1945" t="s">
        <v>32</v>
      </c>
      <c r="H1945" t="s">
        <v>33</v>
      </c>
      <c r="I1945" t="s">
        <v>34</v>
      </c>
      <c r="J1945" t="s">
        <v>84</v>
      </c>
      <c r="K1945">
        <v>64</v>
      </c>
      <c r="L1945">
        <v>0</v>
      </c>
      <c r="M1945" t="s">
        <v>63</v>
      </c>
      <c r="N1945">
        <v>250</v>
      </c>
      <c r="O1945">
        <v>10365</v>
      </c>
      <c r="P1945">
        <v>550</v>
      </c>
      <c r="Q1945">
        <v>5.3063200000000004</v>
      </c>
      <c r="R1945">
        <v>0</v>
      </c>
      <c r="S1945">
        <v>25.82</v>
      </c>
      <c r="T1945">
        <v>2.4910000000000001</v>
      </c>
      <c r="U1945">
        <v>4.7E-2</v>
      </c>
      <c r="V1945">
        <v>0</v>
      </c>
      <c r="W1945">
        <v>2</v>
      </c>
      <c r="X1945">
        <v>0</v>
      </c>
      <c r="Y1945" t="s">
        <v>36</v>
      </c>
      <c r="Z1945">
        <v>10365</v>
      </c>
      <c r="AA1945">
        <v>8142</v>
      </c>
      <c r="AB1945">
        <v>1153</v>
      </c>
      <c r="AC1945" t="s">
        <v>687</v>
      </c>
      <c r="AD1945" t="str">
        <f t="shared" si="62"/>
        <v>AU</v>
      </c>
      <c r="AE1945" t="str">
        <f>_xlfn.XLOOKUP(D1945,Mapping!A:A,Mapping!D:D,0,0)</f>
        <v>Keyword - Preroll</v>
      </c>
      <c r="AF1945" t="str">
        <f t="shared" si="63"/>
        <v>JB</v>
      </c>
    </row>
    <row r="1946" spans="1:32" x14ac:dyDescent="0.2">
      <c r="A1946" t="s">
        <v>1119</v>
      </c>
      <c r="B1946" t="s">
        <v>690</v>
      </c>
      <c r="C1946">
        <v>1013013741</v>
      </c>
      <c r="D1946" t="s">
        <v>912</v>
      </c>
      <c r="E1946" t="s">
        <v>31</v>
      </c>
      <c r="F1946" s="1">
        <v>0.67291666666666672</v>
      </c>
      <c r="G1946" t="s">
        <v>32</v>
      </c>
      <c r="H1946" t="s">
        <v>33</v>
      </c>
      <c r="I1946" t="s">
        <v>41</v>
      </c>
      <c r="J1946" t="s">
        <v>62</v>
      </c>
      <c r="K1946">
        <v>140</v>
      </c>
      <c r="L1946">
        <v>0</v>
      </c>
      <c r="M1946" t="s">
        <v>63</v>
      </c>
      <c r="N1946">
        <v>250</v>
      </c>
      <c r="O1946">
        <v>15</v>
      </c>
      <c r="P1946">
        <v>0</v>
      </c>
      <c r="Q1946">
        <v>0</v>
      </c>
      <c r="R1946">
        <v>0</v>
      </c>
      <c r="S1946">
        <v>0.01</v>
      </c>
      <c r="T1946">
        <v>0.625</v>
      </c>
      <c r="U1946">
        <v>0</v>
      </c>
      <c r="V1946">
        <v>0</v>
      </c>
      <c r="W1946">
        <v>2</v>
      </c>
      <c r="X1946">
        <v>0</v>
      </c>
      <c r="Y1946" t="s">
        <v>36</v>
      </c>
      <c r="Z1946">
        <v>15</v>
      </c>
      <c r="AA1946">
        <v>13</v>
      </c>
      <c r="AB1946">
        <v>2</v>
      </c>
      <c r="AC1946" t="s">
        <v>687</v>
      </c>
      <c r="AD1946" t="str">
        <f t="shared" si="62"/>
        <v>UK</v>
      </c>
      <c r="AE1946" t="str">
        <f>_xlfn.XLOOKUP(D1946,Mapping!A:A,Mapping!D:D,0,0)</f>
        <v>Hentai</v>
      </c>
      <c r="AF1946" t="str">
        <f t="shared" si="63"/>
        <v>JB</v>
      </c>
    </row>
    <row r="1947" spans="1:32" x14ac:dyDescent="0.2">
      <c r="A1947" t="s">
        <v>1119</v>
      </c>
      <c r="B1947" t="s">
        <v>690</v>
      </c>
      <c r="C1947">
        <v>1013013761</v>
      </c>
      <c r="D1947" t="s">
        <v>913</v>
      </c>
      <c r="E1947" t="s">
        <v>31</v>
      </c>
      <c r="F1947" s="1">
        <v>0.67291666666666672</v>
      </c>
      <c r="G1947" t="s">
        <v>32</v>
      </c>
      <c r="H1947" t="s">
        <v>33</v>
      </c>
      <c r="I1947" t="s">
        <v>41</v>
      </c>
      <c r="J1947" t="s">
        <v>62</v>
      </c>
      <c r="K1947">
        <v>130</v>
      </c>
      <c r="L1947">
        <v>0</v>
      </c>
      <c r="M1947" t="s">
        <v>63</v>
      </c>
      <c r="N1947">
        <v>250</v>
      </c>
      <c r="O1947">
        <v>0</v>
      </c>
      <c r="P1947">
        <v>0</v>
      </c>
      <c r="Q1947">
        <v>0</v>
      </c>
      <c r="S1947">
        <v>0</v>
      </c>
      <c r="T1947">
        <v>0</v>
      </c>
      <c r="U1947">
        <v>0</v>
      </c>
      <c r="V1947">
        <v>0</v>
      </c>
      <c r="W1947">
        <v>2</v>
      </c>
      <c r="X1947">
        <v>0</v>
      </c>
      <c r="Y1947" t="s">
        <v>36</v>
      </c>
      <c r="AC1947" t="s">
        <v>687</v>
      </c>
      <c r="AD1947" t="str">
        <f t="shared" si="62"/>
        <v>UK</v>
      </c>
      <c r="AE1947" t="str">
        <f>_xlfn.XLOOKUP(D1947,Mapping!A:A,Mapping!D:D,0,0)</f>
        <v>Hentai</v>
      </c>
      <c r="AF1947" t="str">
        <f t="shared" si="63"/>
        <v>JB</v>
      </c>
    </row>
    <row r="1948" spans="1:32" x14ac:dyDescent="0.2">
      <c r="A1948" t="s">
        <v>1119</v>
      </c>
      <c r="B1948" t="s">
        <v>29</v>
      </c>
      <c r="C1948">
        <v>1013013771</v>
      </c>
      <c r="D1948" t="s">
        <v>914</v>
      </c>
      <c r="E1948" t="s">
        <v>31</v>
      </c>
      <c r="F1948" s="1">
        <v>0.67291666666666672</v>
      </c>
      <c r="G1948" t="s">
        <v>32</v>
      </c>
      <c r="H1948" t="s">
        <v>33</v>
      </c>
      <c r="I1948" t="s">
        <v>34</v>
      </c>
      <c r="J1948" t="s">
        <v>84</v>
      </c>
      <c r="K1948">
        <v>68</v>
      </c>
      <c r="L1948">
        <v>0</v>
      </c>
      <c r="M1948" t="s">
        <v>63</v>
      </c>
      <c r="N1948">
        <v>250</v>
      </c>
      <c r="O1948">
        <v>475</v>
      </c>
      <c r="P1948">
        <v>15</v>
      </c>
      <c r="Q1948">
        <v>3.1578900000000001</v>
      </c>
      <c r="R1948">
        <v>0</v>
      </c>
      <c r="S1948">
        <v>1.32</v>
      </c>
      <c r="T1948">
        <v>2.7770000000000001</v>
      </c>
      <c r="U1948">
        <v>8.7999999999999995E-2</v>
      </c>
      <c r="V1948">
        <v>0</v>
      </c>
      <c r="W1948">
        <v>2</v>
      </c>
      <c r="X1948">
        <v>0</v>
      </c>
      <c r="Y1948" t="s">
        <v>36</v>
      </c>
      <c r="Z1948">
        <v>475</v>
      </c>
      <c r="AA1948">
        <v>345</v>
      </c>
      <c r="AB1948">
        <v>44</v>
      </c>
      <c r="AC1948" t="s">
        <v>687</v>
      </c>
      <c r="AD1948" t="str">
        <f t="shared" si="62"/>
        <v>UK</v>
      </c>
      <c r="AE1948" t="str">
        <f>_xlfn.XLOOKUP(D1948,Mapping!A:A,Mapping!D:D,0,0)</f>
        <v>Hentai</v>
      </c>
      <c r="AF1948" t="str">
        <f t="shared" si="63"/>
        <v>JB</v>
      </c>
    </row>
    <row r="1949" spans="1:32" x14ac:dyDescent="0.2">
      <c r="A1949" t="s">
        <v>1119</v>
      </c>
      <c r="B1949" t="s">
        <v>29</v>
      </c>
      <c r="C1949">
        <v>1013013791</v>
      </c>
      <c r="D1949" t="s">
        <v>915</v>
      </c>
      <c r="E1949" t="s">
        <v>31</v>
      </c>
      <c r="F1949" s="1">
        <v>0.67291666666666672</v>
      </c>
      <c r="G1949" t="s">
        <v>32</v>
      </c>
      <c r="H1949" t="s">
        <v>33</v>
      </c>
      <c r="I1949" t="s">
        <v>41</v>
      </c>
      <c r="J1949" t="s">
        <v>62</v>
      </c>
      <c r="K1949">
        <v>1730</v>
      </c>
      <c r="L1949">
        <v>0</v>
      </c>
      <c r="M1949" t="s">
        <v>36</v>
      </c>
      <c r="N1949" t="s">
        <v>37</v>
      </c>
      <c r="O1949">
        <v>8062</v>
      </c>
      <c r="P1949">
        <v>602</v>
      </c>
      <c r="Q1949">
        <v>7.46713</v>
      </c>
      <c r="R1949">
        <v>1</v>
      </c>
      <c r="S1949">
        <v>9.89</v>
      </c>
      <c r="T1949">
        <v>1.2270000000000001</v>
      </c>
      <c r="U1949">
        <v>1.6E-2</v>
      </c>
      <c r="V1949">
        <v>9.8879999999999999</v>
      </c>
      <c r="W1949">
        <v>2</v>
      </c>
      <c r="X1949">
        <v>0</v>
      </c>
      <c r="Y1949" t="s">
        <v>36</v>
      </c>
      <c r="Z1949">
        <v>8062</v>
      </c>
      <c r="AA1949">
        <v>7113</v>
      </c>
      <c r="AB1949">
        <v>547</v>
      </c>
      <c r="AC1949" t="s">
        <v>687</v>
      </c>
      <c r="AD1949" t="str">
        <f t="shared" si="62"/>
        <v>T2</v>
      </c>
      <c r="AE1949" t="str">
        <f>_xlfn.XLOOKUP(D1949,Mapping!A:A,Mapping!D:D,0,0)</f>
        <v>Hentai</v>
      </c>
      <c r="AF1949" t="str">
        <f t="shared" si="63"/>
        <v>JB</v>
      </c>
    </row>
    <row r="1950" spans="1:32" x14ac:dyDescent="0.2">
      <c r="A1950" t="s">
        <v>1119</v>
      </c>
      <c r="B1950" t="s">
        <v>29</v>
      </c>
      <c r="C1950">
        <v>1013013811</v>
      </c>
      <c r="D1950" t="s">
        <v>916</v>
      </c>
      <c r="E1950" t="s">
        <v>31</v>
      </c>
      <c r="F1950" s="1">
        <v>0.67291666666666672</v>
      </c>
      <c r="G1950" t="s">
        <v>32</v>
      </c>
      <c r="H1950" t="s">
        <v>33</v>
      </c>
      <c r="I1950" t="s">
        <v>41</v>
      </c>
      <c r="J1950" t="s">
        <v>62</v>
      </c>
      <c r="K1950">
        <v>1730</v>
      </c>
      <c r="L1950">
        <v>0</v>
      </c>
      <c r="M1950" t="s">
        <v>63</v>
      </c>
      <c r="N1950">
        <v>250</v>
      </c>
      <c r="O1950">
        <v>5843</v>
      </c>
      <c r="P1950">
        <v>353</v>
      </c>
      <c r="Q1950">
        <v>6.0414199999999996</v>
      </c>
      <c r="R1950">
        <v>0</v>
      </c>
      <c r="S1950">
        <v>9.32</v>
      </c>
      <c r="T1950">
        <v>1.5960000000000001</v>
      </c>
      <c r="U1950">
        <v>2.5999999999999999E-2</v>
      </c>
      <c r="V1950">
        <v>0</v>
      </c>
      <c r="W1950">
        <v>2</v>
      </c>
      <c r="X1950">
        <v>0</v>
      </c>
      <c r="Y1950" t="s">
        <v>36</v>
      </c>
      <c r="Z1950">
        <v>5843</v>
      </c>
      <c r="AA1950">
        <v>5113</v>
      </c>
      <c r="AB1950">
        <v>439</v>
      </c>
      <c r="AC1950" t="s">
        <v>687</v>
      </c>
      <c r="AD1950" t="str">
        <f t="shared" si="62"/>
        <v>T2</v>
      </c>
      <c r="AE1950" t="str">
        <f>_xlfn.XLOOKUP(D1950,Mapping!A:A,Mapping!D:D,0,0)</f>
        <v>Hentai</v>
      </c>
      <c r="AF1950" t="str">
        <f t="shared" si="63"/>
        <v>JB</v>
      </c>
    </row>
    <row r="1951" spans="1:32" x14ac:dyDescent="0.2">
      <c r="A1951" t="s">
        <v>1119</v>
      </c>
      <c r="B1951" t="s">
        <v>29</v>
      </c>
      <c r="C1951">
        <v>1013013831</v>
      </c>
      <c r="D1951" t="s">
        <v>917</v>
      </c>
      <c r="E1951" t="s">
        <v>31</v>
      </c>
      <c r="F1951" s="1">
        <v>0.67291666666666672</v>
      </c>
      <c r="G1951" t="s">
        <v>32</v>
      </c>
      <c r="H1951" t="s">
        <v>33</v>
      </c>
      <c r="I1951" t="s">
        <v>34</v>
      </c>
      <c r="J1951" t="s">
        <v>84</v>
      </c>
      <c r="K1951">
        <v>680</v>
      </c>
      <c r="L1951">
        <v>0</v>
      </c>
      <c r="M1951" t="s">
        <v>36</v>
      </c>
      <c r="N1951" t="s">
        <v>37</v>
      </c>
      <c r="O1951">
        <v>4150</v>
      </c>
      <c r="P1951">
        <v>241</v>
      </c>
      <c r="Q1951">
        <v>5.8072299999999997</v>
      </c>
      <c r="R1951">
        <v>0</v>
      </c>
      <c r="S1951">
        <v>7.61</v>
      </c>
      <c r="T1951">
        <v>1.8340000000000001</v>
      </c>
      <c r="U1951">
        <v>3.2000000000000001E-2</v>
      </c>
      <c r="V1951">
        <v>0</v>
      </c>
      <c r="W1951">
        <v>2</v>
      </c>
      <c r="X1951">
        <v>0</v>
      </c>
      <c r="Y1951" t="s">
        <v>36</v>
      </c>
      <c r="Z1951">
        <v>4150</v>
      </c>
      <c r="AA1951">
        <v>3216</v>
      </c>
      <c r="AB1951">
        <v>388</v>
      </c>
      <c r="AC1951" t="s">
        <v>687</v>
      </c>
      <c r="AD1951" t="str">
        <f t="shared" si="62"/>
        <v>T2</v>
      </c>
      <c r="AE1951" t="str">
        <f>_xlfn.XLOOKUP(D1951,Mapping!A:A,Mapping!D:D,0,0)</f>
        <v>Hentai</v>
      </c>
      <c r="AF1951" t="str">
        <f t="shared" si="63"/>
        <v>JB</v>
      </c>
    </row>
    <row r="1952" spans="1:32" x14ac:dyDescent="0.2">
      <c r="A1952" t="s">
        <v>1119</v>
      </c>
      <c r="B1952" t="s">
        <v>39</v>
      </c>
      <c r="C1952">
        <v>1013013851</v>
      </c>
      <c r="D1952" t="s">
        <v>918</v>
      </c>
      <c r="E1952" t="s">
        <v>31</v>
      </c>
      <c r="F1952" s="1">
        <v>0.67291666666666672</v>
      </c>
      <c r="G1952" t="s">
        <v>32</v>
      </c>
      <c r="H1952" t="s">
        <v>33</v>
      </c>
      <c r="I1952" t="s">
        <v>41</v>
      </c>
      <c r="J1952" t="s">
        <v>58</v>
      </c>
      <c r="K1952">
        <v>200</v>
      </c>
      <c r="L1952">
        <v>0</v>
      </c>
      <c r="M1952" t="s">
        <v>63</v>
      </c>
      <c r="N1952">
        <v>250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1.893</v>
      </c>
      <c r="U1952">
        <v>0</v>
      </c>
      <c r="V1952">
        <v>0</v>
      </c>
      <c r="W1952">
        <v>2</v>
      </c>
      <c r="X1952">
        <v>0</v>
      </c>
      <c r="Y1952" t="s">
        <v>36</v>
      </c>
      <c r="Z1952">
        <v>1</v>
      </c>
      <c r="AA1952">
        <v>1</v>
      </c>
      <c r="AB1952">
        <v>0</v>
      </c>
      <c r="AC1952" t="s">
        <v>687</v>
      </c>
      <c r="AD1952" t="str">
        <f t="shared" si="62"/>
        <v>US</v>
      </c>
      <c r="AE1952" t="str">
        <f>_xlfn.XLOOKUP(D1952,Mapping!A:A,Mapping!D:D,0,0)</f>
        <v>General - Pre-roll</v>
      </c>
      <c r="AF1952" t="str">
        <f t="shared" si="63"/>
        <v>JB</v>
      </c>
    </row>
    <row r="1953" spans="1:32" x14ac:dyDescent="0.2">
      <c r="A1953" t="s">
        <v>1119</v>
      </c>
      <c r="B1953" t="s">
        <v>29</v>
      </c>
      <c r="C1953">
        <v>1013013861</v>
      </c>
      <c r="D1953" t="s">
        <v>920</v>
      </c>
      <c r="E1953" t="s">
        <v>31</v>
      </c>
      <c r="F1953" s="1">
        <v>0.67291666666666672</v>
      </c>
      <c r="G1953" t="s">
        <v>32</v>
      </c>
      <c r="H1953" t="s">
        <v>33</v>
      </c>
      <c r="I1953" t="s">
        <v>41</v>
      </c>
      <c r="J1953" t="s">
        <v>58</v>
      </c>
      <c r="K1953">
        <v>243</v>
      </c>
      <c r="L1953">
        <v>0</v>
      </c>
      <c r="M1953" t="s">
        <v>63</v>
      </c>
      <c r="N1953">
        <v>250</v>
      </c>
      <c r="O1953">
        <v>133390</v>
      </c>
      <c r="P1953">
        <v>6710</v>
      </c>
      <c r="Q1953">
        <v>5.0303599999999999</v>
      </c>
      <c r="R1953">
        <v>1</v>
      </c>
      <c r="S1953">
        <v>251.9</v>
      </c>
      <c r="T1953">
        <v>1.8879999999999999</v>
      </c>
      <c r="U1953">
        <v>3.7999999999999999E-2</v>
      </c>
      <c r="V1953">
        <v>251.899</v>
      </c>
      <c r="W1953">
        <v>2</v>
      </c>
      <c r="X1953">
        <v>0</v>
      </c>
      <c r="Y1953" t="s">
        <v>63</v>
      </c>
      <c r="Z1953">
        <v>133390</v>
      </c>
      <c r="AA1953">
        <v>122058</v>
      </c>
      <c r="AB1953">
        <v>7221</v>
      </c>
      <c r="AC1953" t="s">
        <v>687</v>
      </c>
      <c r="AD1953" t="str">
        <f t="shared" si="62"/>
        <v>US</v>
      </c>
      <c r="AE1953" t="str">
        <f>_xlfn.XLOOKUP(D1953,Mapping!A:A,Mapping!D:D,0,0)</f>
        <v>General - Pre-roll - T3</v>
      </c>
      <c r="AF1953" t="str">
        <f t="shared" si="63"/>
        <v>JB</v>
      </c>
    </row>
    <row r="1954" spans="1:32" x14ac:dyDescent="0.2">
      <c r="A1954" t="s">
        <v>1119</v>
      </c>
      <c r="B1954" t="s">
        <v>29</v>
      </c>
      <c r="C1954">
        <v>1013013881</v>
      </c>
      <c r="D1954" t="s">
        <v>921</v>
      </c>
      <c r="E1954" t="s">
        <v>31</v>
      </c>
      <c r="F1954" s="1">
        <v>0.67291666666666672</v>
      </c>
      <c r="G1954" t="s">
        <v>32</v>
      </c>
      <c r="H1954" t="s">
        <v>33</v>
      </c>
      <c r="I1954" t="s">
        <v>34</v>
      </c>
      <c r="J1954" t="s">
        <v>124</v>
      </c>
      <c r="K1954">
        <v>100</v>
      </c>
      <c r="L1954">
        <v>0</v>
      </c>
      <c r="M1954" t="s">
        <v>63</v>
      </c>
      <c r="N1954">
        <v>250</v>
      </c>
      <c r="O1954">
        <v>78335</v>
      </c>
      <c r="P1954">
        <v>3897</v>
      </c>
      <c r="Q1954">
        <v>4.97478</v>
      </c>
      <c r="R1954">
        <v>0</v>
      </c>
      <c r="S1954">
        <v>251.13</v>
      </c>
      <c r="T1954">
        <v>3.206</v>
      </c>
      <c r="U1954">
        <v>6.4000000000000001E-2</v>
      </c>
      <c r="V1954">
        <v>0</v>
      </c>
      <c r="W1954">
        <v>2</v>
      </c>
      <c r="X1954">
        <v>0</v>
      </c>
      <c r="Y1954" t="s">
        <v>36</v>
      </c>
      <c r="Z1954">
        <v>78335</v>
      </c>
      <c r="AA1954">
        <v>63238</v>
      </c>
      <c r="AB1954">
        <v>8110</v>
      </c>
      <c r="AC1954" t="s">
        <v>687</v>
      </c>
      <c r="AD1954" t="str">
        <f t="shared" si="62"/>
        <v>US</v>
      </c>
      <c r="AE1954" t="str">
        <f>_xlfn.XLOOKUP(D1954,Mapping!A:A,Mapping!D:D,0,0)</f>
        <v>General - Pre-roll</v>
      </c>
      <c r="AF1954" t="str">
        <f t="shared" si="63"/>
        <v>JB</v>
      </c>
    </row>
    <row r="1955" spans="1:32" x14ac:dyDescent="0.2">
      <c r="A1955" t="s">
        <v>1119</v>
      </c>
      <c r="B1955" t="s">
        <v>29</v>
      </c>
      <c r="C1955">
        <v>1013013911</v>
      </c>
      <c r="D1955" t="s">
        <v>922</v>
      </c>
      <c r="E1955" t="s">
        <v>31</v>
      </c>
      <c r="F1955" s="1">
        <v>0.67291666666666672</v>
      </c>
      <c r="G1955" t="s">
        <v>32</v>
      </c>
      <c r="H1955" t="s">
        <v>33</v>
      </c>
      <c r="I1955" t="s">
        <v>41</v>
      </c>
      <c r="J1955" t="s">
        <v>62</v>
      </c>
      <c r="K1955">
        <v>32</v>
      </c>
      <c r="L1955">
        <v>0</v>
      </c>
      <c r="M1955" t="s">
        <v>63</v>
      </c>
      <c r="N1955">
        <v>250</v>
      </c>
      <c r="O1955">
        <v>638</v>
      </c>
      <c r="P1955">
        <v>19</v>
      </c>
      <c r="Q1955">
        <v>2.9780600000000002</v>
      </c>
      <c r="R1955">
        <v>0</v>
      </c>
      <c r="S1955">
        <v>0.74</v>
      </c>
      <c r="T1955">
        <v>1.155</v>
      </c>
      <c r="U1955">
        <v>3.9E-2</v>
      </c>
      <c r="V1955">
        <v>0</v>
      </c>
      <c r="W1955">
        <v>2</v>
      </c>
      <c r="X1955">
        <v>0</v>
      </c>
      <c r="Y1955" t="s">
        <v>36</v>
      </c>
      <c r="Z1955">
        <v>638</v>
      </c>
      <c r="AA1955">
        <v>559</v>
      </c>
      <c r="AB1955">
        <v>42</v>
      </c>
      <c r="AC1955" t="s">
        <v>687</v>
      </c>
      <c r="AD1955" t="str">
        <f t="shared" si="62"/>
        <v>US</v>
      </c>
      <c r="AE1955" t="str">
        <f>_xlfn.XLOOKUP(D1955,Mapping!A:A,Mapping!D:D,0,0)</f>
        <v>Keyword - Preroll</v>
      </c>
      <c r="AF1955" t="str">
        <f t="shared" si="63"/>
        <v>JB</v>
      </c>
    </row>
    <row r="1956" spans="1:32" x14ac:dyDescent="0.2">
      <c r="A1956" t="s">
        <v>1119</v>
      </c>
      <c r="B1956" t="s">
        <v>29</v>
      </c>
      <c r="C1956">
        <v>1013013931</v>
      </c>
      <c r="D1956" t="s">
        <v>923</v>
      </c>
      <c r="E1956" t="s">
        <v>31</v>
      </c>
      <c r="F1956" s="1">
        <v>0.67291666666666672</v>
      </c>
      <c r="G1956" t="s">
        <v>32</v>
      </c>
      <c r="H1956" t="s">
        <v>33</v>
      </c>
      <c r="I1956" t="s">
        <v>41</v>
      </c>
      <c r="J1956" t="s">
        <v>62</v>
      </c>
      <c r="K1956">
        <v>32</v>
      </c>
      <c r="L1956">
        <v>0</v>
      </c>
      <c r="M1956" t="s">
        <v>63</v>
      </c>
      <c r="N1956">
        <v>250</v>
      </c>
      <c r="O1956">
        <v>3464</v>
      </c>
      <c r="P1956">
        <v>177</v>
      </c>
      <c r="Q1956">
        <v>5.1097000000000001</v>
      </c>
      <c r="R1956">
        <v>0</v>
      </c>
      <c r="S1956">
        <v>3.98</v>
      </c>
      <c r="T1956">
        <v>1.149</v>
      </c>
      <c r="U1956">
        <v>2.1999999999999999E-2</v>
      </c>
      <c r="V1956">
        <v>0</v>
      </c>
      <c r="W1956">
        <v>2</v>
      </c>
      <c r="X1956">
        <v>0</v>
      </c>
      <c r="Y1956" t="s">
        <v>36</v>
      </c>
      <c r="Z1956">
        <v>3464</v>
      </c>
      <c r="AA1956">
        <v>3020</v>
      </c>
      <c r="AB1956">
        <v>245</v>
      </c>
      <c r="AC1956" t="s">
        <v>687</v>
      </c>
      <c r="AD1956" t="str">
        <f t="shared" si="62"/>
        <v>US</v>
      </c>
      <c r="AE1956" t="str">
        <f>_xlfn.XLOOKUP(D1956,Mapping!A:A,Mapping!D:D,0,0)</f>
        <v>Keyword - Preroll</v>
      </c>
      <c r="AF1956" t="str">
        <f t="shared" si="63"/>
        <v>JB</v>
      </c>
    </row>
    <row r="1957" spans="1:32" x14ac:dyDescent="0.2">
      <c r="A1957" t="s">
        <v>1119</v>
      </c>
      <c r="B1957" t="s">
        <v>29</v>
      </c>
      <c r="C1957">
        <v>1013013941</v>
      </c>
      <c r="D1957" t="s">
        <v>924</v>
      </c>
      <c r="E1957" t="s">
        <v>31</v>
      </c>
      <c r="F1957" s="1">
        <v>0.67291666666666672</v>
      </c>
      <c r="G1957" t="s">
        <v>32</v>
      </c>
      <c r="H1957" t="s">
        <v>33</v>
      </c>
      <c r="I1957" t="s">
        <v>34</v>
      </c>
      <c r="J1957" t="s">
        <v>84</v>
      </c>
      <c r="K1957">
        <v>64</v>
      </c>
      <c r="L1957">
        <v>0</v>
      </c>
      <c r="M1957" t="s">
        <v>63</v>
      </c>
      <c r="N1957">
        <v>250</v>
      </c>
      <c r="O1957">
        <v>860</v>
      </c>
      <c r="P1957">
        <v>32</v>
      </c>
      <c r="Q1957">
        <v>3.7209300000000001</v>
      </c>
      <c r="R1957">
        <v>0</v>
      </c>
      <c r="S1957">
        <v>0.77</v>
      </c>
      <c r="T1957">
        <v>0.89300000000000002</v>
      </c>
      <c r="U1957">
        <v>2.4E-2</v>
      </c>
      <c r="V1957">
        <v>0</v>
      </c>
      <c r="W1957">
        <v>2</v>
      </c>
      <c r="X1957">
        <v>0</v>
      </c>
      <c r="Y1957" t="s">
        <v>36</v>
      </c>
      <c r="Z1957">
        <v>860</v>
      </c>
      <c r="AA1957">
        <v>604</v>
      </c>
      <c r="AB1957">
        <v>135</v>
      </c>
      <c r="AC1957" t="s">
        <v>687</v>
      </c>
      <c r="AD1957" t="str">
        <f t="shared" si="62"/>
        <v>US</v>
      </c>
      <c r="AE1957" t="str">
        <f>_xlfn.XLOOKUP(D1957,Mapping!A:A,Mapping!D:D,0,0)</f>
        <v>Keyword - Preroll</v>
      </c>
      <c r="AF1957" t="str">
        <f t="shared" si="63"/>
        <v>JB</v>
      </c>
    </row>
    <row r="1958" spans="1:32" x14ac:dyDescent="0.2">
      <c r="A1958" t="s">
        <v>1119</v>
      </c>
      <c r="B1958" t="s">
        <v>39</v>
      </c>
      <c r="C1958">
        <v>1013013951</v>
      </c>
      <c r="D1958" t="s">
        <v>925</v>
      </c>
      <c r="E1958" t="s">
        <v>31</v>
      </c>
      <c r="F1958" s="1">
        <v>0.67291666666666672</v>
      </c>
      <c r="G1958" t="s">
        <v>32</v>
      </c>
      <c r="H1958" t="s">
        <v>33</v>
      </c>
      <c r="I1958" t="s">
        <v>41</v>
      </c>
      <c r="J1958" t="s">
        <v>62</v>
      </c>
      <c r="K1958">
        <v>100</v>
      </c>
      <c r="L1958">
        <v>0</v>
      </c>
      <c r="M1958" t="s">
        <v>63</v>
      </c>
      <c r="N1958">
        <v>250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1.083</v>
      </c>
      <c r="U1958">
        <v>0</v>
      </c>
      <c r="V1958">
        <v>0</v>
      </c>
      <c r="W1958">
        <v>2</v>
      </c>
      <c r="X1958">
        <v>0</v>
      </c>
      <c r="Y1958" t="s">
        <v>36</v>
      </c>
      <c r="Z1958">
        <v>1</v>
      </c>
      <c r="AA1958">
        <v>0</v>
      </c>
      <c r="AB1958">
        <v>1</v>
      </c>
      <c r="AC1958" t="s">
        <v>687</v>
      </c>
      <c r="AD1958" t="str">
        <f t="shared" si="62"/>
        <v>US</v>
      </c>
      <c r="AE1958" t="str">
        <f>_xlfn.XLOOKUP(D1958,Mapping!A:A,Mapping!D:D,0,0)</f>
        <v>Keyword - Preroll</v>
      </c>
      <c r="AF1958" t="str">
        <f t="shared" si="63"/>
        <v>JB</v>
      </c>
    </row>
    <row r="1959" spans="1:32" x14ac:dyDescent="0.2">
      <c r="A1959" t="s">
        <v>1119</v>
      </c>
      <c r="B1959" t="s">
        <v>29</v>
      </c>
      <c r="C1959">
        <v>1013013961</v>
      </c>
      <c r="D1959" t="s">
        <v>926</v>
      </c>
      <c r="E1959" t="s">
        <v>31</v>
      </c>
      <c r="F1959" s="1">
        <v>0.67291666666666672</v>
      </c>
      <c r="G1959" t="s">
        <v>32</v>
      </c>
      <c r="H1959" t="s">
        <v>33</v>
      </c>
      <c r="I1959" t="s">
        <v>41</v>
      </c>
      <c r="J1959" t="s">
        <v>62</v>
      </c>
      <c r="K1959">
        <v>140</v>
      </c>
      <c r="L1959">
        <v>0</v>
      </c>
      <c r="M1959" t="s">
        <v>63</v>
      </c>
      <c r="N1959">
        <v>250</v>
      </c>
      <c r="O1959">
        <v>49365</v>
      </c>
      <c r="P1959">
        <v>2360</v>
      </c>
      <c r="Q1959">
        <v>4.78071</v>
      </c>
      <c r="R1959">
        <v>0</v>
      </c>
      <c r="S1959">
        <v>84.05</v>
      </c>
      <c r="T1959">
        <v>1.7030000000000001</v>
      </c>
      <c r="U1959">
        <v>3.5999999999999997E-2</v>
      </c>
      <c r="V1959">
        <v>0</v>
      </c>
      <c r="W1959">
        <v>2</v>
      </c>
      <c r="X1959">
        <v>0</v>
      </c>
      <c r="Y1959" t="s">
        <v>36</v>
      </c>
      <c r="Z1959">
        <v>49365</v>
      </c>
      <c r="AA1959">
        <v>44817</v>
      </c>
      <c r="AB1959">
        <v>3000</v>
      </c>
      <c r="AC1959" t="s">
        <v>687</v>
      </c>
      <c r="AD1959" t="str">
        <f t="shared" si="62"/>
        <v>US</v>
      </c>
      <c r="AE1959" t="str">
        <f>_xlfn.XLOOKUP(D1959,Mapping!A:A,Mapping!D:D,0,0)</f>
        <v>Keyword - Preroll</v>
      </c>
      <c r="AF1959" t="str">
        <f t="shared" si="63"/>
        <v>JB</v>
      </c>
    </row>
    <row r="1960" spans="1:32" x14ac:dyDescent="0.2">
      <c r="A1960" t="s">
        <v>1119</v>
      </c>
      <c r="B1960" t="s">
        <v>29</v>
      </c>
      <c r="C1960">
        <v>1013013971</v>
      </c>
      <c r="D1960" t="s">
        <v>927</v>
      </c>
      <c r="E1960" t="s">
        <v>31</v>
      </c>
      <c r="F1960" s="1">
        <v>0.67291666666666672</v>
      </c>
      <c r="G1960" t="s">
        <v>32</v>
      </c>
      <c r="H1960" t="s">
        <v>33</v>
      </c>
      <c r="I1960" t="s">
        <v>34</v>
      </c>
      <c r="J1960" t="s">
        <v>723</v>
      </c>
      <c r="K1960">
        <v>52</v>
      </c>
      <c r="L1960">
        <v>0</v>
      </c>
      <c r="M1960" t="s">
        <v>63</v>
      </c>
      <c r="N1960">
        <v>250</v>
      </c>
      <c r="O1960">
        <v>58424</v>
      </c>
      <c r="P1960">
        <v>2235</v>
      </c>
      <c r="Q1960">
        <v>3.8254800000000002</v>
      </c>
      <c r="R1960">
        <v>2</v>
      </c>
      <c r="S1960">
        <v>99.94</v>
      </c>
      <c r="T1960">
        <v>1.7110000000000001</v>
      </c>
      <c r="U1960">
        <v>4.4999999999999998E-2</v>
      </c>
      <c r="V1960">
        <v>49.97</v>
      </c>
      <c r="W1960">
        <v>2</v>
      </c>
      <c r="X1960">
        <v>0</v>
      </c>
      <c r="Y1960" t="s">
        <v>36</v>
      </c>
      <c r="Z1960">
        <v>58424</v>
      </c>
      <c r="AA1960">
        <v>44071</v>
      </c>
      <c r="AB1960">
        <v>7148</v>
      </c>
      <c r="AC1960" t="s">
        <v>687</v>
      </c>
      <c r="AD1960" t="str">
        <f t="shared" si="62"/>
        <v>US</v>
      </c>
      <c r="AE1960" t="str">
        <f>_xlfn.XLOOKUP(D1960,Mapping!A:A,Mapping!D:D,0,0)</f>
        <v>Keyword - Preroll</v>
      </c>
      <c r="AF1960" t="str">
        <f t="shared" si="63"/>
        <v>JB</v>
      </c>
    </row>
    <row r="1961" spans="1:32" x14ac:dyDescent="0.2">
      <c r="A1961" t="s">
        <v>1119</v>
      </c>
      <c r="B1961" t="s">
        <v>29</v>
      </c>
      <c r="C1961">
        <v>1013013981</v>
      </c>
      <c r="D1961" t="s">
        <v>928</v>
      </c>
      <c r="E1961" t="s">
        <v>31</v>
      </c>
      <c r="F1961" s="1">
        <v>0.67291666666666672</v>
      </c>
      <c r="G1961" t="s">
        <v>32</v>
      </c>
      <c r="H1961" t="s">
        <v>33</v>
      </c>
      <c r="I1961" t="s">
        <v>34</v>
      </c>
      <c r="J1961" t="s">
        <v>84</v>
      </c>
      <c r="K1961">
        <v>60</v>
      </c>
      <c r="L1961">
        <v>0</v>
      </c>
      <c r="M1961" t="s">
        <v>63</v>
      </c>
      <c r="N1961">
        <v>250</v>
      </c>
      <c r="O1961">
        <v>25357</v>
      </c>
      <c r="P1961">
        <v>1016</v>
      </c>
      <c r="Q1961">
        <v>4.00678</v>
      </c>
      <c r="R1961">
        <v>0</v>
      </c>
      <c r="S1961">
        <v>30.82</v>
      </c>
      <c r="T1961">
        <v>1.216</v>
      </c>
      <c r="U1961">
        <v>0.03</v>
      </c>
      <c r="V1961">
        <v>0</v>
      </c>
      <c r="W1961">
        <v>2</v>
      </c>
      <c r="X1961">
        <v>0</v>
      </c>
      <c r="Y1961" t="s">
        <v>36</v>
      </c>
      <c r="Z1961">
        <v>25357</v>
      </c>
      <c r="AA1961">
        <v>18518</v>
      </c>
      <c r="AB1961">
        <v>2729</v>
      </c>
      <c r="AC1961" t="s">
        <v>687</v>
      </c>
      <c r="AD1961" t="str">
        <f t="shared" si="62"/>
        <v>US</v>
      </c>
      <c r="AE1961" t="str">
        <f>_xlfn.XLOOKUP(D1961,Mapping!A:A,Mapping!D:D,0,0)</f>
        <v>Keyword - Preroll</v>
      </c>
      <c r="AF1961" t="str">
        <f t="shared" si="63"/>
        <v>JB</v>
      </c>
    </row>
    <row r="1962" spans="1:32" x14ac:dyDescent="0.2">
      <c r="A1962" t="s">
        <v>1119</v>
      </c>
      <c r="B1962" t="s">
        <v>29</v>
      </c>
      <c r="C1962">
        <v>1013014001</v>
      </c>
      <c r="D1962" t="s">
        <v>929</v>
      </c>
      <c r="E1962" t="s">
        <v>31</v>
      </c>
      <c r="F1962" s="1">
        <v>0.67291666666666672</v>
      </c>
      <c r="G1962" t="s">
        <v>32</v>
      </c>
      <c r="H1962" t="s">
        <v>33</v>
      </c>
      <c r="I1962" t="s">
        <v>41</v>
      </c>
      <c r="J1962" t="s">
        <v>62</v>
      </c>
      <c r="K1962">
        <v>65</v>
      </c>
      <c r="L1962">
        <v>0</v>
      </c>
      <c r="M1962" t="s">
        <v>63</v>
      </c>
      <c r="N1962">
        <v>250</v>
      </c>
      <c r="O1962">
        <v>25631</v>
      </c>
      <c r="P1962">
        <v>1277</v>
      </c>
      <c r="Q1962">
        <v>4.98224</v>
      </c>
      <c r="R1962">
        <v>1</v>
      </c>
      <c r="S1962">
        <v>48.24</v>
      </c>
      <c r="T1962">
        <v>1.8819999999999999</v>
      </c>
      <c r="U1962">
        <v>3.7999999999999999E-2</v>
      </c>
      <c r="V1962">
        <v>48.243000000000002</v>
      </c>
      <c r="W1962">
        <v>2</v>
      </c>
      <c r="X1962">
        <v>0</v>
      </c>
      <c r="Y1962" t="s">
        <v>36</v>
      </c>
      <c r="Z1962">
        <v>25631</v>
      </c>
      <c r="AA1962">
        <v>23367</v>
      </c>
      <c r="AB1962">
        <v>1294</v>
      </c>
      <c r="AC1962" t="s">
        <v>687</v>
      </c>
      <c r="AD1962" t="str">
        <f t="shared" si="62"/>
        <v>US</v>
      </c>
      <c r="AE1962" t="str">
        <f>_xlfn.XLOOKUP(D1962,Mapping!A:A,Mapping!D:D,0,0)</f>
        <v>Keyword - Preroll</v>
      </c>
      <c r="AF1962" t="str">
        <f t="shared" si="63"/>
        <v>JB</v>
      </c>
    </row>
    <row r="1963" spans="1:32" x14ac:dyDescent="0.2">
      <c r="A1963" t="s">
        <v>1119</v>
      </c>
      <c r="B1963" t="s">
        <v>39</v>
      </c>
      <c r="C1963">
        <v>1013014101</v>
      </c>
      <c r="D1963" t="s">
        <v>930</v>
      </c>
      <c r="E1963" t="s">
        <v>31</v>
      </c>
      <c r="F1963" s="1">
        <v>0.67291666666666672</v>
      </c>
      <c r="G1963" t="s">
        <v>32</v>
      </c>
      <c r="H1963" t="s">
        <v>33</v>
      </c>
      <c r="I1963" t="s">
        <v>34</v>
      </c>
      <c r="J1963" t="s">
        <v>84</v>
      </c>
      <c r="K1963">
        <v>44</v>
      </c>
      <c r="L1963">
        <v>0</v>
      </c>
      <c r="M1963" t="s">
        <v>63</v>
      </c>
      <c r="N1963">
        <v>250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2.8879999999999999</v>
      </c>
      <c r="U1963">
        <v>0</v>
      </c>
      <c r="V1963">
        <v>0</v>
      </c>
      <c r="W1963">
        <v>2</v>
      </c>
      <c r="X1963">
        <v>0</v>
      </c>
      <c r="Y1963" t="s">
        <v>36</v>
      </c>
      <c r="Z1963">
        <v>1</v>
      </c>
      <c r="AA1963">
        <v>1</v>
      </c>
      <c r="AB1963">
        <v>0</v>
      </c>
      <c r="AC1963" t="s">
        <v>687</v>
      </c>
      <c r="AD1963" t="str">
        <f t="shared" si="62"/>
        <v>UK</v>
      </c>
      <c r="AE1963" t="str">
        <f>_xlfn.XLOOKUP(D1963,Mapping!A:A,Mapping!D:D,0,0)</f>
        <v>Keyword - Preroll</v>
      </c>
      <c r="AF1963" t="str">
        <f t="shared" si="63"/>
        <v>JB</v>
      </c>
    </row>
    <row r="1964" spans="1:32" x14ac:dyDescent="0.2">
      <c r="A1964" t="s">
        <v>1119</v>
      </c>
      <c r="B1964" t="s">
        <v>29</v>
      </c>
      <c r="C1964">
        <v>1013014111</v>
      </c>
      <c r="D1964" t="s">
        <v>931</v>
      </c>
      <c r="E1964" t="s">
        <v>31</v>
      </c>
      <c r="F1964" s="1">
        <v>0.67291666666666672</v>
      </c>
      <c r="G1964" t="s">
        <v>32</v>
      </c>
      <c r="H1964" t="s">
        <v>33</v>
      </c>
      <c r="I1964" t="s">
        <v>41</v>
      </c>
      <c r="J1964" t="s">
        <v>62</v>
      </c>
      <c r="K1964">
        <v>65</v>
      </c>
      <c r="L1964">
        <v>0</v>
      </c>
      <c r="M1964" t="s">
        <v>63</v>
      </c>
      <c r="N1964">
        <v>250</v>
      </c>
      <c r="O1964">
        <v>66443</v>
      </c>
      <c r="P1964">
        <v>3696</v>
      </c>
      <c r="Q1964">
        <v>5.5626600000000002</v>
      </c>
      <c r="R1964">
        <v>1</v>
      </c>
      <c r="S1964">
        <v>101.22</v>
      </c>
      <c r="T1964">
        <v>1.5229999999999999</v>
      </c>
      <c r="U1964">
        <v>2.7E-2</v>
      </c>
      <c r="V1964">
        <v>101.217</v>
      </c>
      <c r="W1964">
        <v>2</v>
      </c>
      <c r="X1964">
        <v>0</v>
      </c>
      <c r="Y1964" t="s">
        <v>36</v>
      </c>
      <c r="Z1964">
        <v>66443</v>
      </c>
      <c r="AA1964">
        <v>59307</v>
      </c>
      <c r="AB1964">
        <v>4953</v>
      </c>
      <c r="AC1964" t="s">
        <v>687</v>
      </c>
      <c r="AD1964" t="str">
        <f t="shared" si="62"/>
        <v>US</v>
      </c>
      <c r="AE1964" t="str">
        <f>_xlfn.XLOOKUP(D1964,Mapping!A:A,Mapping!D:D,0,0)</f>
        <v>Keyword - Preroll</v>
      </c>
      <c r="AF1964" t="str">
        <f t="shared" si="63"/>
        <v>JB</v>
      </c>
    </row>
    <row r="1965" spans="1:32" x14ac:dyDescent="0.2">
      <c r="A1965" t="s">
        <v>1119</v>
      </c>
      <c r="B1965" t="s">
        <v>29</v>
      </c>
      <c r="C1965">
        <v>1013014221</v>
      </c>
      <c r="D1965" t="s">
        <v>932</v>
      </c>
      <c r="E1965" t="s">
        <v>31</v>
      </c>
      <c r="F1965" s="1">
        <v>0.67291666666666672</v>
      </c>
      <c r="G1965" t="s">
        <v>32</v>
      </c>
      <c r="H1965" t="s">
        <v>33</v>
      </c>
      <c r="I1965" t="s">
        <v>41</v>
      </c>
      <c r="J1965" t="s">
        <v>62</v>
      </c>
      <c r="K1965">
        <v>153</v>
      </c>
      <c r="L1965">
        <v>0</v>
      </c>
      <c r="M1965" t="s">
        <v>63</v>
      </c>
      <c r="N1965">
        <v>250</v>
      </c>
      <c r="O1965">
        <v>78266</v>
      </c>
      <c r="P1965">
        <v>5390</v>
      </c>
      <c r="Q1965">
        <v>6.8867700000000003</v>
      </c>
      <c r="R1965">
        <v>0</v>
      </c>
      <c r="S1965">
        <v>158.16999999999999</v>
      </c>
      <c r="T1965">
        <v>2.0209999999999999</v>
      </c>
      <c r="U1965">
        <v>2.9000000000000001E-2</v>
      </c>
      <c r="V1965">
        <v>0</v>
      </c>
      <c r="W1965">
        <v>2</v>
      </c>
      <c r="X1965">
        <v>0</v>
      </c>
      <c r="Y1965" t="s">
        <v>36</v>
      </c>
      <c r="Z1965">
        <v>78266</v>
      </c>
      <c r="AA1965">
        <v>69644</v>
      </c>
      <c r="AB1965">
        <v>5602</v>
      </c>
      <c r="AC1965" t="s">
        <v>687</v>
      </c>
      <c r="AD1965" t="str">
        <f t="shared" si="62"/>
        <v>US</v>
      </c>
      <c r="AE1965" t="str">
        <f>_xlfn.XLOOKUP(D1965,Mapping!A:A,Mapping!D:D,0,0)</f>
        <v>Keyword - Preroll</v>
      </c>
      <c r="AF1965" t="str">
        <f t="shared" si="63"/>
        <v>JB</v>
      </c>
    </row>
    <row r="1966" spans="1:32" x14ac:dyDescent="0.2">
      <c r="A1966" t="s">
        <v>1119</v>
      </c>
      <c r="B1966" t="s">
        <v>29</v>
      </c>
      <c r="C1966">
        <v>1013014271</v>
      </c>
      <c r="D1966" t="s">
        <v>934</v>
      </c>
      <c r="E1966" t="s">
        <v>31</v>
      </c>
      <c r="F1966" s="1">
        <v>0.67291666666666672</v>
      </c>
      <c r="G1966" t="s">
        <v>32</v>
      </c>
      <c r="H1966" t="s">
        <v>33</v>
      </c>
      <c r="I1966" t="s">
        <v>41</v>
      </c>
      <c r="J1966" t="s">
        <v>62</v>
      </c>
      <c r="K1966">
        <v>163</v>
      </c>
      <c r="L1966">
        <v>0</v>
      </c>
      <c r="M1966" t="s">
        <v>63</v>
      </c>
      <c r="N1966">
        <v>250</v>
      </c>
      <c r="O1966">
        <v>55262</v>
      </c>
      <c r="P1966">
        <v>2560</v>
      </c>
      <c r="Q1966">
        <v>4.6324800000000002</v>
      </c>
      <c r="R1966">
        <v>0</v>
      </c>
      <c r="S1966">
        <v>111.18</v>
      </c>
      <c r="T1966">
        <v>2.012</v>
      </c>
      <c r="U1966">
        <v>4.2999999999999997E-2</v>
      </c>
      <c r="V1966">
        <v>0</v>
      </c>
      <c r="W1966">
        <v>2</v>
      </c>
      <c r="X1966">
        <v>0</v>
      </c>
      <c r="Y1966" t="s">
        <v>36</v>
      </c>
      <c r="Z1966">
        <v>55262</v>
      </c>
      <c r="AA1966">
        <v>51074</v>
      </c>
      <c r="AB1966">
        <v>2448</v>
      </c>
      <c r="AC1966" t="s">
        <v>687</v>
      </c>
      <c r="AD1966" t="str">
        <f t="shared" si="62"/>
        <v>US</v>
      </c>
      <c r="AE1966" t="str">
        <f>_xlfn.XLOOKUP(D1966,Mapping!A:A,Mapping!D:D,0,0)</f>
        <v>Keyword - Preroll</v>
      </c>
      <c r="AF1966" t="str">
        <f t="shared" si="63"/>
        <v>JB</v>
      </c>
    </row>
    <row r="1967" spans="1:32" x14ac:dyDescent="0.2">
      <c r="A1967" t="s">
        <v>1119</v>
      </c>
      <c r="B1967" t="s">
        <v>29</v>
      </c>
      <c r="C1967">
        <v>1013014281</v>
      </c>
      <c r="D1967" t="s">
        <v>935</v>
      </c>
      <c r="E1967" t="s">
        <v>31</v>
      </c>
      <c r="F1967" s="1">
        <v>0.67291666666666672</v>
      </c>
      <c r="G1967" t="s">
        <v>32</v>
      </c>
      <c r="H1967" t="s">
        <v>33</v>
      </c>
      <c r="I1967" t="s">
        <v>34</v>
      </c>
      <c r="J1967" t="s">
        <v>84</v>
      </c>
      <c r="K1967">
        <v>68</v>
      </c>
      <c r="L1967">
        <v>0</v>
      </c>
      <c r="M1967" t="s">
        <v>36</v>
      </c>
      <c r="N1967" t="s">
        <v>37</v>
      </c>
      <c r="O1967">
        <v>34346</v>
      </c>
      <c r="P1967">
        <v>1361</v>
      </c>
      <c r="Q1967">
        <v>3.9626199999999998</v>
      </c>
      <c r="R1967">
        <v>1</v>
      </c>
      <c r="S1967">
        <v>42.45</v>
      </c>
      <c r="T1967">
        <v>1.236</v>
      </c>
      <c r="U1967">
        <v>3.1E-2</v>
      </c>
      <c r="V1967">
        <v>42.451000000000001</v>
      </c>
      <c r="W1967">
        <v>2</v>
      </c>
      <c r="X1967">
        <v>0</v>
      </c>
      <c r="Y1967" t="s">
        <v>36</v>
      </c>
      <c r="Z1967">
        <v>34346</v>
      </c>
      <c r="AA1967">
        <v>24828</v>
      </c>
      <c r="AB1967">
        <v>4520</v>
      </c>
      <c r="AC1967" t="s">
        <v>687</v>
      </c>
      <c r="AD1967" t="str">
        <f t="shared" si="62"/>
        <v>US</v>
      </c>
      <c r="AE1967" t="str">
        <f>_xlfn.XLOOKUP(D1967,Mapping!A:A,Mapping!D:D,0,0)</f>
        <v>Keyword - Preroll</v>
      </c>
      <c r="AF1967" t="str">
        <f t="shared" si="63"/>
        <v>JB</v>
      </c>
    </row>
    <row r="1968" spans="1:32" x14ac:dyDescent="0.2">
      <c r="A1968" t="s">
        <v>1119</v>
      </c>
      <c r="B1968" t="s">
        <v>29</v>
      </c>
      <c r="C1968">
        <v>1013014311</v>
      </c>
      <c r="D1968" t="s">
        <v>936</v>
      </c>
      <c r="E1968" t="s">
        <v>31</v>
      </c>
      <c r="F1968" s="1">
        <v>0.67291666666666672</v>
      </c>
      <c r="G1968" t="s">
        <v>32</v>
      </c>
      <c r="H1968" t="s">
        <v>33</v>
      </c>
      <c r="I1968" t="s">
        <v>34</v>
      </c>
      <c r="J1968" t="s">
        <v>84</v>
      </c>
      <c r="K1968">
        <v>96</v>
      </c>
      <c r="L1968">
        <v>0</v>
      </c>
      <c r="M1968" t="s">
        <v>63</v>
      </c>
      <c r="N1968">
        <v>250</v>
      </c>
      <c r="O1968">
        <v>6331</v>
      </c>
      <c r="P1968">
        <v>260</v>
      </c>
      <c r="Q1968">
        <v>4.10677</v>
      </c>
      <c r="R1968">
        <v>0</v>
      </c>
      <c r="S1968">
        <v>16.29</v>
      </c>
      <c r="T1968">
        <v>2.5739999999999998</v>
      </c>
      <c r="U1968">
        <v>6.3E-2</v>
      </c>
      <c r="V1968">
        <v>0</v>
      </c>
      <c r="W1968">
        <v>1</v>
      </c>
      <c r="X1968">
        <v>0</v>
      </c>
      <c r="Y1968" t="s">
        <v>36</v>
      </c>
      <c r="Z1968">
        <v>6331</v>
      </c>
      <c r="AA1968">
        <v>4941</v>
      </c>
      <c r="AB1968">
        <v>676</v>
      </c>
      <c r="AC1968" t="s">
        <v>687</v>
      </c>
      <c r="AD1968" t="str">
        <f t="shared" si="62"/>
        <v>US</v>
      </c>
      <c r="AE1968" t="str">
        <f>_xlfn.XLOOKUP(D1968,Mapping!A:A,Mapping!D:D,0,0)</f>
        <v>Keyword - Preroll</v>
      </c>
      <c r="AF1968" t="str">
        <f t="shared" si="63"/>
        <v>JB</v>
      </c>
    </row>
    <row r="1969" spans="1:32" x14ac:dyDescent="0.2">
      <c r="A1969" t="s">
        <v>1119</v>
      </c>
      <c r="B1969" t="s">
        <v>39</v>
      </c>
      <c r="C1969">
        <v>1013014461</v>
      </c>
      <c r="D1969" t="s">
        <v>938</v>
      </c>
      <c r="E1969" t="s">
        <v>31</v>
      </c>
      <c r="F1969" s="1">
        <v>0.67291666666666672</v>
      </c>
      <c r="G1969" t="s">
        <v>32</v>
      </c>
      <c r="H1969" t="s">
        <v>33</v>
      </c>
      <c r="I1969" t="s">
        <v>41</v>
      </c>
      <c r="J1969" t="s">
        <v>62</v>
      </c>
      <c r="K1969">
        <v>90</v>
      </c>
      <c r="L1969">
        <v>0</v>
      </c>
      <c r="M1969" t="s">
        <v>63</v>
      </c>
      <c r="N1969">
        <v>250</v>
      </c>
      <c r="O1969">
        <v>0</v>
      </c>
      <c r="P1969">
        <v>0</v>
      </c>
      <c r="Q1969">
        <v>0</v>
      </c>
      <c r="S1969">
        <v>0</v>
      </c>
      <c r="T1969">
        <v>0</v>
      </c>
      <c r="U1969">
        <v>0</v>
      </c>
      <c r="V1969">
        <v>0</v>
      </c>
      <c r="W1969">
        <v>2</v>
      </c>
      <c r="X1969">
        <v>0</v>
      </c>
      <c r="Y1969" t="s">
        <v>36</v>
      </c>
      <c r="AC1969" t="s">
        <v>687</v>
      </c>
      <c r="AD1969" t="str">
        <f t="shared" si="62"/>
        <v>US</v>
      </c>
      <c r="AE1969" t="str">
        <f>_xlfn.XLOOKUP(D1969,Mapping!A:A,Mapping!D:D,0,0)</f>
        <v>Keyword - Preroll</v>
      </c>
      <c r="AF1969" t="str">
        <f t="shared" si="63"/>
        <v>JB</v>
      </c>
    </row>
    <row r="1970" spans="1:32" x14ac:dyDescent="0.2">
      <c r="A1970" t="s">
        <v>1119</v>
      </c>
      <c r="B1970" t="s">
        <v>29</v>
      </c>
      <c r="C1970">
        <v>1013014511</v>
      </c>
      <c r="D1970" t="s">
        <v>939</v>
      </c>
      <c r="E1970" t="s">
        <v>31</v>
      </c>
      <c r="F1970" s="1">
        <v>0.67291666666666672</v>
      </c>
      <c r="G1970" t="s">
        <v>32</v>
      </c>
      <c r="H1970" t="s">
        <v>33</v>
      </c>
      <c r="I1970" t="s">
        <v>41</v>
      </c>
      <c r="J1970" t="s">
        <v>62</v>
      </c>
      <c r="K1970">
        <v>114</v>
      </c>
      <c r="L1970">
        <v>0</v>
      </c>
      <c r="M1970" t="s">
        <v>63</v>
      </c>
      <c r="N1970">
        <v>250</v>
      </c>
      <c r="O1970">
        <v>13880</v>
      </c>
      <c r="P1970">
        <v>605</v>
      </c>
      <c r="Q1970">
        <v>4.3587899999999999</v>
      </c>
      <c r="R1970">
        <v>0</v>
      </c>
      <c r="S1970">
        <v>24.75</v>
      </c>
      <c r="T1970">
        <v>1.7829999999999999</v>
      </c>
      <c r="U1970">
        <v>4.1000000000000002E-2</v>
      </c>
      <c r="V1970">
        <v>0</v>
      </c>
      <c r="W1970">
        <v>2</v>
      </c>
      <c r="X1970">
        <v>0</v>
      </c>
      <c r="Y1970" t="s">
        <v>36</v>
      </c>
      <c r="Z1970">
        <v>13880</v>
      </c>
      <c r="AA1970">
        <v>12349</v>
      </c>
      <c r="AB1970">
        <v>916</v>
      </c>
      <c r="AC1970" t="s">
        <v>687</v>
      </c>
      <c r="AD1970" t="str">
        <f t="shared" si="62"/>
        <v>US</v>
      </c>
      <c r="AE1970" t="str">
        <f>_xlfn.XLOOKUP(D1970,Mapping!A:A,Mapping!D:D,0,0)</f>
        <v>Keyword - Preroll</v>
      </c>
      <c r="AF1970" t="str">
        <f t="shared" si="63"/>
        <v>JB</v>
      </c>
    </row>
    <row r="1971" spans="1:32" x14ac:dyDescent="0.2">
      <c r="A1971" t="s">
        <v>1119</v>
      </c>
      <c r="B1971" t="s">
        <v>29</v>
      </c>
      <c r="C1971">
        <v>1013016311</v>
      </c>
      <c r="D1971" t="s">
        <v>940</v>
      </c>
      <c r="E1971" t="s">
        <v>31</v>
      </c>
      <c r="F1971" s="1">
        <v>0.67291666666666672</v>
      </c>
      <c r="G1971" t="s">
        <v>32</v>
      </c>
      <c r="H1971" t="s">
        <v>33</v>
      </c>
      <c r="I1971" t="s">
        <v>34</v>
      </c>
      <c r="J1971" t="s">
        <v>84</v>
      </c>
      <c r="K1971">
        <v>80</v>
      </c>
      <c r="L1971">
        <v>0</v>
      </c>
      <c r="M1971" t="s">
        <v>63</v>
      </c>
      <c r="N1971">
        <v>250</v>
      </c>
      <c r="O1971">
        <v>5064</v>
      </c>
      <c r="P1971">
        <v>213</v>
      </c>
      <c r="Q1971">
        <v>4.2061500000000001</v>
      </c>
      <c r="R1971">
        <v>0</v>
      </c>
      <c r="S1971">
        <v>7.75</v>
      </c>
      <c r="T1971">
        <v>1.5309999999999999</v>
      </c>
      <c r="U1971">
        <v>3.5999999999999997E-2</v>
      </c>
      <c r="V1971">
        <v>0</v>
      </c>
      <c r="W1971">
        <v>2</v>
      </c>
      <c r="X1971">
        <v>0</v>
      </c>
      <c r="Y1971" t="s">
        <v>36</v>
      </c>
      <c r="Z1971">
        <v>5064</v>
      </c>
      <c r="AA1971">
        <v>3727</v>
      </c>
      <c r="AB1971">
        <v>743</v>
      </c>
      <c r="AC1971" t="s">
        <v>687</v>
      </c>
      <c r="AD1971" t="str">
        <f t="shared" si="62"/>
        <v>NZ</v>
      </c>
      <c r="AE1971" t="str">
        <f>_xlfn.XLOOKUP(D1971,Mapping!A:A,Mapping!D:D,0,0)</f>
        <v>Keyword - Preroll</v>
      </c>
      <c r="AF1971" t="str">
        <f t="shared" si="63"/>
        <v>JB</v>
      </c>
    </row>
    <row r="1972" spans="1:32" x14ac:dyDescent="0.2">
      <c r="A1972" t="s">
        <v>1119</v>
      </c>
      <c r="B1972" t="s">
        <v>29</v>
      </c>
      <c r="C1972">
        <v>1013017191</v>
      </c>
      <c r="D1972" t="s">
        <v>941</v>
      </c>
      <c r="E1972" t="s">
        <v>31</v>
      </c>
      <c r="F1972" s="1">
        <v>0.38611111111111113</v>
      </c>
      <c r="G1972" t="s">
        <v>32</v>
      </c>
      <c r="H1972" t="s">
        <v>33</v>
      </c>
      <c r="I1972" t="s">
        <v>41</v>
      </c>
      <c r="J1972" t="s">
        <v>942</v>
      </c>
      <c r="K1972">
        <v>3</v>
      </c>
      <c r="L1972">
        <v>2</v>
      </c>
      <c r="M1972" t="s">
        <v>36</v>
      </c>
      <c r="N1972" t="s">
        <v>37</v>
      </c>
      <c r="O1972">
        <v>113535</v>
      </c>
      <c r="P1972">
        <v>648</v>
      </c>
      <c r="Q1972">
        <v>0.57074999999999998</v>
      </c>
      <c r="R1972">
        <v>1</v>
      </c>
      <c r="S1972">
        <v>86.29</v>
      </c>
      <c r="T1972">
        <v>0.76</v>
      </c>
      <c r="U1972">
        <v>0.13300000000000001</v>
      </c>
      <c r="V1972">
        <v>86.287000000000006</v>
      </c>
      <c r="W1972">
        <v>2</v>
      </c>
      <c r="X1972">
        <v>0</v>
      </c>
      <c r="Y1972" t="s">
        <v>63</v>
      </c>
      <c r="Z1972">
        <v>113535</v>
      </c>
      <c r="AA1972">
        <v>0</v>
      </c>
      <c r="AB1972">
        <v>328</v>
      </c>
      <c r="AC1972" t="s">
        <v>687</v>
      </c>
      <c r="AD1972" t="str">
        <f t="shared" si="62"/>
        <v>US</v>
      </c>
      <c r="AE1972" t="str">
        <f>_xlfn.XLOOKUP(D1972,Mapping!A:A,Mapping!D:D,0,0)</f>
        <v>Shorties</v>
      </c>
      <c r="AF1972" t="str">
        <f t="shared" si="63"/>
        <v>TJ</v>
      </c>
    </row>
    <row r="1973" spans="1:32" x14ac:dyDescent="0.2">
      <c r="A1973" t="s">
        <v>1119</v>
      </c>
      <c r="B1973" t="s">
        <v>29</v>
      </c>
      <c r="C1973">
        <v>1013017281</v>
      </c>
      <c r="D1973" t="s">
        <v>943</v>
      </c>
      <c r="E1973" t="s">
        <v>31</v>
      </c>
      <c r="F1973" s="1">
        <v>0.67291666666666672</v>
      </c>
      <c r="G1973" t="s">
        <v>32</v>
      </c>
      <c r="H1973" t="s">
        <v>33</v>
      </c>
      <c r="I1973" t="s">
        <v>34</v>
      </c>
      <c r="J1973" t="s">
        <v>723</v>
      </c>
      <c r="K1973">
        <v>7</v>
      </c>
      <c r="L1973">
        <v>0</v>
      </c>
      <c r="M1973" t="s">
        <v>36</v>
      </c>
      <c r="N1973" t="s">
        <v>37</v>
      </c>
      <c r="O1973">
        <v>18340</v>
      </c>
      <c r="P1973">
        <v>756</v>
      </c>
      <c r="Q1973">
        <v>4.1221399999999999</v>
      </c>
      <c r="R1973">
        <v>0</v>
      </c>
      <c r="S1973">
        <v>55.39</v>
      </c>
      <c r="T1973">
        <v>3.02</v>
      </c>
      <c r="U1973">
        <v>7.2999999999999995E-2</v>
      </c>
      <c r="V1973">
        <v>0</v>
      </c>
      <c r="W1973">
        <v>2</v>
      </c>
      <c r="X1973">
        <v>0</v>
      </c>
      <c r="Y1973" t="s">
        <v>63</v>
      </c>
      <c r="Z1973">
        <v>18340</v>
      </c>
      <c r="AA1973">
        <v>14161</v>
      </c>
      <c r="AB1973">
        <v>1794</v>
      </c>
      <c r="AC1973" t="s">
        <v>687</v>
      </c>
      <c r="AD1973" t="str">
        <f t="shared" si="62"/>
        <v>US</v>
      </c>
      <c r="AE1973" t="str">
        <f>_xlfn.XLOOKUP(D1973,Mapping!A:A,Mapping!D:D,0,0)</f>
        <v>AI</v>
      </c>
      <c r="AF1973" t="str">
        <f t="shared" si="63"/>
        <v>TJ</v>
      </c>
    </row>
    <row r="1974" spans="1:32" x14ac:dyDescent="0.2">
      <c r="A1974" t="s">
        <v>1119</v>
      </c>
      <c r="B1974" t="s">
        <v>29</v>
      </c>
      <c r="C1974">
        <v>1013017291</v>
      </c>
      <c r="D1974" t="s">
        <v>944</v>
      </c>
      <c r="E1974" t="s">
        <v>31</v>
      </c>
      <c r="F1974" s="1">
        <v>0.67291666666666672</v>
      </c>
      <c r="G1974" t="s">
        <v>32</v>
      </c>
      <c r="H1974" t="s">
        <v>33</v>
      </c>
      <c r="I1974" t="s">
        <v>34</v>
      </c>
      <c r="J1974" t="s">
        <v>723</v>
      </c>
      <c r="K1974">
        <v>7</v>
      </c>
      <c r="L1974">
        <v>0</v>
      </c>
      <c r="M1974" t="s">
        <v>63</v>
      </c>
      <c r="N1974">
        <v>500</v>
      </c>
      <c r="O1974">
        <v>304</v>
      </c>
      <c r="P1974">
        <v>10</v>
      </c>
      <c r="Q1974">
        <v>3.2894700000000001</v>
      </c>
      <c r="R1974">
        <v>0</v>
      </c>
      <c r="S1974">
        <v>0.76</v>
      </c>
      <c r="T1974">
        <v>2.512</v>
      </c>
      <c r="U1974">
        <v>7.5999999999999998E-2</v>
      </c>
      <c r="V1974">
        <v>0</v>
      </c>
      <c r="W1974">
        <v>2</v>
      </c>
      <c r="X1974">
        <v>0</v>
      </c>
      <c r="Y1974" t="s">
        <v>63</v>
      </c>
      <c r="Z1974">
        <v>304</v>
      </c>
      <c r="AA1974">
        <v>223</v>
      </c>
      <c r="AB1974">
        <v>28</v>
      </c>
      <c r="AC1974" t="s">
        <v>687</v>
      </c>
      <c r="AD1974" t="str">
        <f t="shared" si="62"/>
        <v>UK</v>
      </c>
      <c r="AE1974" t="str">
        <f>_xlfn.XLOOKUP(D1974,Mapping!A:A,Mapping!D:D,0,0)</f>
        <v>AI</v>
      </c>
      <c r="AF1974" t="str">
        <f t="shared" si="63"/>
        <v>TJ</v>
      </c>
    </row>
    <row r="1975" spans="1:32" x14ac:dyDescent="0.2">
      <c r="A1975" t="s">
        <v>1119</v>
      </c>
      <c r="B1975" t="s">
        <v>29</v>
      </c>
      <c r="C1975">
        <v>1013017301</v>
      </c>
      <c r="D1975" t="s">
        <v>945</v>
      </c>
      <c r="E1975" t="s">
        <v>31</v>
      </c>
      <c r="F1975" s="1">
        <v>0.67291666666666672</v>
      </c>
      <c r="G1975" t="s">
        <v>32</v>
      </c>
      <c r="H1975" t="s">
        <v>33</v>
      </c>
      <c r="I1975" t="s">
        <v>41</v>
      </c>
      <c r="J1975" t="s">
        <v>58</v>
      </c>
      <c r="K1975">
        <v>50</v>
      </c>
      <c r="L1975">
        <v>0</v>
      </c>
      <c r="M1975" t="s">
        <v>63</v>
      </c>
      <c r="N1975">
        <v>250</v>
      </c>
      <c r="O1975">
        <v>52355</v>
      </c>
      <c r="P1975">
        <v>3119</v>
      </c>
      <c r="Q1975">
        <v>5.9574100000000003</v>
      </c>
      <c r="R1975">
        <v>0</v>
      </c>
      <c r="S1975">
        <v>115.62</v>
      </c>
      <c r="T1975">
        <v>2.2080000000000002</v>
      </c>
      <c r="U1975">
        <v>3.6999999999999998E-2</v>
      </c>
      <c r="V1975">
        <v>0</v>
      </c>
      <c r="W1975">
        <v>2</v>
      </c>
      <c r="X1975">
        <v>0</v>
      </c>
      <c r="Y1975" t="s">
        <v>36</v>
      </c>
      <c r="Z1975">
        <v>52355</v>
      </c>
      <c r="AA1975">
        <v>47208</v>
      </c>
      <c r="AB1975">
        <v>3276</v>
      </c>
      <c r="AC1975" t="s">
        <v>687</v>
      </c>
      <c r="AD1975" t="str">
        <f t="shared" si="62"/>
        <v>US</v>
      </c>
      <c r="AE1975" t="str">
        <f>_xlfn.XLOOKUP(D1975,Mapping!A:A,Mapping!D:D,0,0)</f>
        <v>Gay</v>
      </c>
      <c r="AF1975" t="str">
        <f t="shared" si="63"/>
        <v>JB</v>
      </c>
    </row>
    <row r="1976" spans="1:32" x14ac:dyDescent="0.2">
      <c r="A1976" t="s">
        <v>1119</v>
      </c>
      <c r="B1976" t="s">
        <v>29</v>
      </c>
      <c r="C1976">
        <v>1013017321</v>
      </c>
      <c r="D1976" t="s">
        <v>947</v>
      </c>
      <c r="E1976" t="s">
        <v>31</v>
      </c>
      <c r="F1976" s="1">
        <v>0.67291666666666672</v>
      </c>
      <c r="G1976" t="s">
        <v>32</v>
      </c>
      <c r="H1976" t="s">
        <v>33</v>
      </c>
      <c r="I1976" t="s">
        <v>41</v>
      </c>
      <c r="J1976" t="s">
        <v>867</v>
      </c>
      <c r="K1976">
        <v>2</v>
      </c>
      <c r="L1976">
        <v>2</v>
      </c>
      <c r="M1976" t="s">
        <v>63</v>
      </c>
      <c r="N1976">
        <v>500</v>
      </c>
      <c r="O1976">
        <v>87402</v>
      </c>
      <c r="P1976">
        <v>3818</v>
      </c>
      <c r="Q1976">
        <v>4.3683199999999998</v>
      </c>
      <c r="R1976">
        <v>1</v>
      </c>
      <c r="S1976">
        <v>190.71</v>
      </c>
      <c r="T1976">
        <v>2.1819999999999999</v>
      </c>
      <c r="U1976">
        <v>0.05</v>
      </c>
      <c r="V1976">
        <v>190.71100000000001</v>
      </c>
      <c r="W1976">
        <v>2</v>
      </c>
      <c r="X1976">
        <v>0</v>
      </c>
      <c r="Y1976" t="s">
        <v>36</v>
      </c>
      <c r="Z1976">
        <v>87402</v>
      </c>
      <c r="AA1976">
        <v>77779</v>
      </c>
      <c r="AB1976">
        <v>7054</v>
      </c>
      <c r="AC1976" t="s">
        <v>687</v>
      </c>
      <c r="AD1976" t="str">
        <f t="shared" si="62"/>
        <v>US</v>
      </c>
      <c r="AE1976" t="str">
        <f>_xlfn.XLOOKUP(D1976,Mapping!A:A,Mapping!D:D,0,0)</f>
        <v>Trans</v>
      </c>
      <c r="AF1976" t="str">
        <f t="shared" si="63"/>
        <v>TJ</v>
      </c>
    </row>
    <row r="1977" spans="1:32" x14ac:dyDescent="0.2">
      <c r="A1977" t="s">
        <v>1119</v>
      </c>
      <c r="B1977" t="s">
        <v>29</v>
      </c>
      <c r="C1977">
        <v>1013017331</v>
      </c>
      <c r="D1977" t="s">
        <v>948</v>
      </c>
      <c r="E1977" t="s">
        <v>31</v>
      </c>
      <c r="F1977" s="1">
        <v>0.67291666666666672</v>
      </c>
      <c r="G1977" t="s">
        <v>32</v>
      </c>
      <c r="H1977" t="s">
        <v>33</v>
      </c>
      <c r="I1977" t="s">
        <v>41</v>
      </c>
      <c r="J1977" t="s">
        <v>867</v>
      </c>
      <c r="K1977">
        <v>2</v>
      </c>
      <c r="L1977">
        <v>0</v>
      </c>
      <c r="M1977" t="s">
        <v>63</v>
      </c>
      <c r="N1977">
        <v>500</v>
      </c>
      <c r="O1977">
        <v>21692</v>
      </c>
      <c r="P1977">
        <v>1353</v>
      </c>
      <c r="Q1977">
        <v>6.2373200000000004</v>
      </c>
      <c r="R1977">
        <v>1</v>
      </c>
      <c r="S1977">
        <v>47.12</v>
      </c>
      <c r="T1977">
        <v>2.1720000000000002</v>
      </c>
      <c r="U1977">
        <v>3.5000000000000003E-2</v>
      </c>
      <c r="V1977">
        <v>47.115000000000002</v>
      </c>
      <c r="W1977">
        <v>2</v>
      </c>
      <c r="X1977">
        <v>0</v>
      </c>
      <c r="Y1977" t="s">
        <v>63</v>
      </c>
      <c r="Z1977">
        <v>21692</v>
      </c>
      <c r="AA1977">
        <v>18882</v>
      </c>
      <c r="AB1977">
        <v>2001</v>
      </c>
      <c r="AC1977" t="s">
        <v>687</v>
      </c>
      <c r="AD1977" t="str">
        <f t="shared" si="62"/>
        <v>US</v>
      </c>
      <c r="AE1977" t="str">
        <f>_xlfn.XLOOKUP(D1977,Mapping!A:A,Mapping!D:D,0,0)</f>
        <v>Trans</v>
      </c>
      <c r="AF1977" t="str">
        <f t="shared" si="63"/>
        <v>TJ</v>
      </c>
    </row>
    <row r="1978" spans="1:32" x14ac:dyDescent="0.2">
      <c r="A1978" t="s">
        <v>1119</v>
      </c>
      <c r="B1978" t="s">
        <v>39</v>
      </c>
      <c r="C1978">
        <v>1013017351</v>
      </c>
      <c r="D1978" t="s">
        <v>949</v>
      </c>
      <c r="E1978" t="s">
        <v>31</v>
      </c>
      <c r="F1978" s="1">
        <v>0.67291666666666672</v>
      </c>
      <c r="G1978" t="s">
        <v>32</v>
      </c>
      <c r="H1978" t="s">
        <v>33</v>
      </c>
      <c r="I1978" t="s">
        <v>41</v>
      </c>
      <c r="J1978" t="s">
        <v>58</v>
      </c>
      <c r="K1978">
        <v>50</v>
      </c>
      <c r="L1978">
        <v>0</v>
      </c>
      <c r="M1978" t="s">
        <v>63</v>
      </c>
      <c r="N1978">
        <v>250</v>
      </c>
      <c r="O1978">
        <v>0</v>
      </c>
      <c r="P1978">
        <v>0</v>
      </c>
      <c r="Q1978">
        <v>0</v>
      </c>
      <c r="S1978">
        <v>0</v>
      </c>
      <c r="T1978">
        <v>0</v>
      </c>
      <c r="U1978">
        <v>0</v>
      </c>
      <c r="V1978">
        <v>0</v>
      </c>
      <c r="W1978">
        <v>2</v>
      </c>
      <c r="X1978">
        <v>0</v>
      </c>
      <c r="Y1978" t="s">
        <v>36</v>
      </c>
      <c r="AC1978" t="s">
        <v>687</v>
      </c>
      <c r="AD1978" t="str">
        <f t="shared" si="62"/>
        <v>US</v>
      </c>
      <c r="AE1978" t="str">
        <f>_xlfn.XLOOKUP(D1978,Mapping!A:A,Mapping!D:D,0,0)</f>
        <v>Gay</v>
      </c>
      <c r="AF1978" t="str">
        <f t="shared" si="63"/>
        <v>JB</v>
      </c>
    </row>
    <row r="1979" spans="1:32" x14ac:dyDescent="0.2">
      <c r="A1979" t="s">
        <v>1119</v>
      </c>
      <c r="B1979" t="s">
        <v>29</v>
      </c>
      <c r="C1979">
        <v>1013017371</v>
      </c>
      <c r="D1979" t="s">
        <v>950</v>
      </c>
      <c r="E1979" t="s">
        <v>31</v>
      </c>
      <c r="F1979" s="1">
        <v>0.67291666666666672</v>
      </c>
      <c r="G1979" t="s">
        <v>32</v>
      </c>
      <c r="H1979" t="s">
        <v>33</v>
      </c>
      <c r="I1979" t="s">
        <v>34</v>
      </c>
      <c r="J1979" t="s">
        <v>124</v>
      </c>
      <c r="K1979">
        <v>20</v>
      </c>
      <c r="L1979">
        <v>0</v>
      </c>
      <c r="M1979" t="s">
        <v>36</v>
      </c>
      <c r="N1979" t="s">
        <v>37</v>
      </c>
      <c r="O1979">
        <v>51024</v>
      </c>
      <c r="P1979">
        <v>2652</v>
      </c>
      <c r="Q1979">
        <v>5.19754</v>
      </c>
      <c r="R1979">
        <v>2</v>
      </c>
      <c r="S1979">
        <v>251.37</v>
      </c>
      <c r="T1979">
        <v>4.9269999999999996</v>
      </c>
      <c r="U1979">
        <v>9.5000000000000001E-2</v>
      </c>
      <c r="V1979">
        <v>125.685</v>
      </c>
      <c r="W1979">
        <v>2</v>
      </c>
      <c r="X1979">
        <v>0</v>
      </c>
      <c r="Y1979" t="s">
        <v>36</v>
      </c>
      <c r="Z1979">
        <v>51024</v>
      </c>
      <c r="AA1979">
        <v>41465</v>
      </c>
      <c r="AB1979">
        <v>4714</v>
      </c>
      <c r="AC1979" t="s">
        <v>687</v>
      </c>
      <c r="AD1979" t="str">
        <f t="shared" si="62"/>
        <v>US</v>
      </c>
      <c r="AE1979" t="str">
        <f>_xlfn.XLOOKUP(D1979,Mapping!A:A,Mapping!D:D,0,0)</f>
        <v>Gay</v>
      </c>
      <c r="AF1979" t="str">
        <f t="shared" si="63"/>
        <v>JB</v>
      </c>
    </row>
    <row r="1980" spans="1:32" x14ac:dyDescent="0.2">
      <c r="A1980" t="s">
        <v>1119</v>
      </c>
      <c r="B1980" t="s">
        <v>29</v>
      </c>
      <c r="C1980">
        <v>1013017401</v>
      </c>
      <c r="D1980" t="s">
        <v>951</v>
      </c>
      <c r="E1980" t="s">
        <v>31</v>
      </c>
      <c r="F1980" s="1">
        <v>0.67291666666666672</v>
      </c>
      <c r="G1980" t="s">
        <v>32</v>
      </c>
      <c r="H1980" t="s">
        <v>33</v>
      </c>
      <c r="I1980" t="s">
        <v>34</v>
      </c>
      <c r="J1980" t="s">
        <v>124</v>
      </c>
      <c r="K1980">
        <v>20</v>
      </c>
      <c r="L1980">
        <v>0</v>
      </c>
      <c r="M1980" t="s">
        <v>36</v>
      </c>
      <c r="N1980" t="s">
        <v>37</v>
      </c>
      <c r="O1980">
        <v>1390</v>
      </c>
      <c r="P1980">
        <v>62</v>
      </c>
      <c r="Q1980">
        <v>4.4604200000000001</v>
      </c>
      <c r="R1980">
        <v>0</v>
      </c>
      <c r="S1980">
        <v>3.35</v>
      </c>
      <c r="T1980">
        <v>2.4129999999999998</v>
      </c>
      <c r="U1980">
        <v>5.3999999999999999E-2</v>
      </c>
      <c r="V1980">
        <v>0</v>
      </c>
      <c r="W1980">
        <v>2</v>
      </c>
      <c r="X1980">
        <v>0</v>
      </c>
      <c r="Y1980" t="s">
        <v>36</v>
      </c>
      <c r="Z1980">
        <v>1390</v>
      </c>
      <c r="AA1980">
        <v>1124</v>
      </c>
      <c r="AB1980">
        <v>155</v>
      </c>
      <c r="AC1980" t="s">
        <v>687</v>
      </c>
      <c r="AD1980" t="str">
        <f t="shared" si="62"/>
        <v>AU</v>
      </c>
      <c r="AE1980" t="str">
        <f>_xlfn.XLOOKUP(D1980,Mapping!A:A,Mapping!D:D,0,0)</f>
        <v>Gay</v>
      </c>
      <c r="AF1980" t="str">
        <f t="shared" si="63"/>
        <v>JB</v>
      </c>
    </row>
    <row r="1981" spans="1:32" x14ac:dyDescent="0.2">
      <c r="A1981" t="s">
        <v>1119</v>
      </c>
      <c r="B1981" t="s">
        <v>29</v>
      </c>
      <c r="C1981">
        <v>1013017411</v>
      </c>
      <c r="D1981" t="s">
        <v>952</v>
      </c>
      <c r="E1981" t="s">
        <v>31</v>
      </c>
      <c r="F1981" s="1">
        <v>0.67291666666666672</v>
      </c>
      <c r="G1981" t="s">
        <v>32</v>
      </c>
      <c r="H1981" t="s">
        <v>33</v>
      </c>
      <c r="I1981" t="s">
        <v>34</v>
      </c>
      <c r="J1981" t="s">
        <v>124</v>
      </c>
      <c r="K1981">
        <v>20</v>
      </c>
      <c r="L1981">
        <v>0</v>
      </c>
      <c r="M1981" t="s">
        <v>36</v>
      </c>
      <c r="N1981" t="s">
        <v>37</v>
      </c>
      <c r="O1981">
        <v>11099</v>
      </c>
      <c r="P1981">
        <v>542</v>
      </c>
      <c r="Q1981">
        <v>4.8833200000000003</v>
      </c>
      <c r="R1981">
        <v>1</v>
      </c>
      <c r="S1981">
        <v>18.079999999999998</v>
      </c>
      <c r="T1981">
        <v>1.629</v>
      </c>
      <c r="U1981">
        <v>3.3000000000000002E-2</v>
      </c>
      <c r="V1981">
        <v>18.077000000000002</v>
      </c>
      <c r="W1981">
        <v>2</v>
      </c>
      <c r="X1981">
        <v>0</v>
      </c>
      <c r="Y1981" t="s">
        <v>36</v>
      </c>
      <c r="Z1981">
        <v>11099</v>
      </c>
      <c r="AA1981">
        <v>9068</v>
      </c>
      <c r="AB1981">
        <v>965</v>
      </c>
      <c r="AC1981" t="s">
        <v>687</v>
      </c>
      <c r="AD1981" t="str">
        <f t="shared" si="62"/>
        <v>CA</v>
      </c>
      <c r="AE1981" t="str">
        <f>_xlfn.XLOOKUP(D1981,Mapping!A:A,Mapping!D:D,0,0)</f>
        <v>Gay</v>
      </c>
      <c r="AF1981" t="str">
        <f t="shared" si="63"/>
        <v>JB</v>
      </c>
    </row>
    <row r="1982" spans="1:32" x14ac:dyDescent="0.2">
      <c r="A1982" t="s">
        <v>1119</v>
      </c>
      <c r="B1982" t="s">
        <v>39</v>
      </c>
      <c r="C1982">
        <v>1013022481</v>
      </c>
      <c r="D1982" t="s">
        <v>953</v>
      </c>
      <c r="E1982" t="s">
        <v>31</v>
      </c>
      <c r="F1982" s="1">
        <v>0.67291666666666672</v>
      </c>
      <c r="G1982" t="s">
        <v>32</v>
      </c>
      <c r="H1982" t="s">
        <v>33</v>
      </c>
      <c r="I1982" t="s">
        <v>34</v>
      </c>
      <c r="J1982" t="s">
        <v>84</v>
      </c>
      <c r="K1982">
        <v>2</v>
      </c>
      <c r="L1982">
        <v>0</v>
      </c>
      <c r="M1982" t="s">
        <v>63</v>
      </c>
      <c r="N1982">
        <v>25</v>
      </c>
      <c r="O1982">
        <v>0</v>
      </c>
      <c r="P1982">
        <v>0</v>
      </c>
      <c r="Q1982">
        <v>0</v>
      </c>
      <c r="S1982">
        <v>0</v>
      </c>
      <c r="T1982">
        <v>0</v>
      </c>
      <c r="U1982">
        <v>0</v>
      </c>
      <c r="V1982">
        <v>0</v>
      </c>
      <c r="W1982">
        <v>2</v>
      </c>
      <c r="X1982">
        <v>0</v>
      </c>
      <c r="Y1982" t="s">
        <v>36</v>
      </c>
      <c r="AC1982" t="s">
        <v>687</v>
      </c>
      <c r="AD1982" t="str">
        <f t="shared" si="62"/>
        <v>TE</v>
      </c>
      <c r="AE1982" t="str">
        <f>_xlfn.XLOOKUP(D1982,Mapping!A:A,Mapping!D:D,0,0)</f>
        <v>JB-Testing</v>
      </c>
      <c r="AF1982" t="str">
        <f t="shared" si="63"/>
        <v>JB</v>
      </c>
    </row>
    <row r="1983" spans="1:32" x14ac:dyDescent="0.2">
      <c r="A1983" t="s">
        <v>1119</v>
      </c>
      <c r="B1983" t="s">
        <v>39</v>
      </c>
      <c r="C1983">
        <v>1013022491</v>
      </c>
      <c r="D1983" t="s">
        <v>955</v>
      </c>
      <c r="E1983" t="s">
        <v>31</v>
      </c>
      <c r="F1983" s="1">
        <v>0.67291666666666672</v>
      </c>
      <c r="G1983" t="s">
        <v>32</v>
      </c>
      <c r="H1983" t="s">
        <v>33</v>
      </c>
      <c r="I1983" t="s">
        <v>34</v>
      </c>
      <c r="J1983" t="s">
        <v>84</v>
      </c>
      <c r="K1983">
        <v>11</v>
      </c>
      <c r="L1983">
        <v>0</v>
      </c>
      <c r="M1983" t="s">
        <v>63</v>
      </c>
      <c r="N1983">
        <v>25</v>
      </c>
      <c r="O1983">
        <v>0</v>
      </c>
      <c r="P1983">
        <v>0</v>
      </c>
      <c r="Q1983">
        <v>0</v>
      </c>
      <c r="S1983">
        <v>0</v>
      </c>
      <c r="T1983">
        <v>0</v>
      </c>
      <c r="U1983">
        <v>0</v>
      </c>
      <c r="V1983">
        <v>0</v>
      </c>
      <c r="W1983">
        <v>2</v>
      </c>
      <c r="X1983">
        <v>0</v>
      </c>
      <c r="Y1983" t="s">
        <v>36</v>
      </c>
      <c r="AC1983" t="s">
        <v>687</v>
      </c>
      <c r="AD1983" t="str">
        <f t="shared" si="62"/>
        <v>TE</v>
      </c>
      <c r="AE1983" t="str">
        <f>_xlfn.XLOOKUP(D1983,Mapping!A:A,Mapping!D:D,0,0)</f>
        <v>JB-Testing</v>
      </c>
      <c r="AF1983" t="str">
        <f t="shared" si="63"/>
        <v>JB</v>
      </c>
    </row>
    <row r="1984" spans="1:32" x14ac:dyDescent="0.2">
      <c r="A1984" t="s">
        <v>1119</v>
      </c>
      <c r="B1984" t="s">
        <v>39</v>
      </c>
      <c r="C1984">
        <v>1013022501</v>
      </c>
      <c r="D1984" t="s">
        <v>956</v>
      </c>
      <c r="E1984" t="s">
        <v>31</v>
      </c>
      <c r="F1984" s="1">
        <v>0.67291666666666672</v>
      </c>
      <c r="G1984" t="s">
        <v>32</v>
      </c>
      <c r="H1984" t="s">
        <v>33</v>
      </c>
      <c r="I1984" t="s">
        <v>34</v>
      </c>
      <c r="J1984" t="s">
        <v>957</v>
      </c>
      <c r="K1984">
        <v>24</v>
      </c>
      <c r="L1984">
        <v>0</v>
      </c>
      <c r="M1984" t="s">
        <v>63</v>
      </c>
      <c r="N1984">
        <v>25</v>
      </c>
      <c r="O1984">
        <v>0</v>
      </c>
      <c r="P1984">
        <v>0</v>
      </c>
      <c r="Q1984">
        <v>0</v>
      </c>
      <c r="S1984">
        <v>0</v>
      </c>
      <c r="T1984">
        <v>0</v>
      </c>
      <c r="U1984">
        <v>0</v>
      </c>
      <c r="V1984">
        <v>0</v>
      </c>
      <c r="W1984">
        <v>2</v>
      </c>
      <c r="X1984">
        <v>0</v>
      </c>
      <c r="Y1984" t="s">
        <v>36</v>
      </c>
      <c r="AC1984" t="s">
        <v>687</v>
      </c>
      <c r="AD1984" t="str">
        <f t="shared" si="62"/>
        <v>TE</v>
      </c>
      <c r="AE1984" t="str">
        <f>_xlfn.XLOOKUP(D1984,Mapping!A:A,Mapping!D:D,0,0)</f>
        <v>Remarketing</v>
      </c>
      <c r="AF1984" t="str">
        <f t="shared" si="63"/>
        <v>JB</v>
      </c>
    </row>
    <row r="1985" spans="1:32" x14ac:dyDescent="0.2">
      <c r="A1985" t="s">
        <v>1119</v>
      </c>
      <c r="B1985" t="s">
        <v>29</v>
      </c>
      <c r="C1985">
        <v>1013024831</v>
      </c>
      <c r="D1985" t="s">
        <v>958</v>
      </c>
      <c r="E1985" t="s">
        <v>31</v>
      </c>
      <c r="F1985" s="1">
        <v>0.67291666666666672</v>
      </c>
      <c r="G1985" t="s">
        <v>32</v>
      </c>
      <c r="H1985" t="s">
        <v>33</v>
      </c>
      <c r="I1985" t="s">
        <v>34</v>
      </c>
      <c r="J1985" t="s">
        <v>723</v>
      </c>
      <c r="K1985">
        <v>7</v>
      </c>
      <c r="L1985">
        <v>0</v>
      </c>
      <c r="M1985" t="s">
        <v>63</v>
      </c>
      <c r="N1985">
        <v>500</v>
      </c>
      <c r="O1985">
        <v>2039</v>
      </c>
      <c r="P1985">
        <v>62</v>
      </c>
      <c r="Q1985">
        <v>3.0407099999999998</v>
      </c>
      <c r="R1985">
        <v>0</v>
      </c>
      <c r="S1985">
        <v>2.14</v>
      </c>
      <c r="T1985">
        <v>1.05</v>
      </c>
      <c r="U1985">
        <v>3.5000000000000003E-2</v>
      </c>
      <c r="V1985">
        <v>0</v>
      </c>
      <c r="W1985">
        <v>2</v>
      </c>
      <c r="X1985">
        <v>0</v>
      </c>
      <c r="Y1985" t="s">
        <v>63</v>
      </c>
      <c r="Z1985">
        <v>2039</v>
      </c>
      <c r="AA1985">
        <v>1488</v>
      </c>
      <c r="AB1985">
        <v>245</v>
      </c>
      <c r="AC1985" t="s">
        <v>687</v>
      </c>
      <c r="AD1985" t="str">
        <f t="shared" si="62"/>
        <v>CA</v>
      </c>
      <c r="AE1985" t="str">
        <f>_xlfn.XLOOKUP(D1985,Mapping!A:A,Mapping!D:D,0,0)</f>
        <v>AI</v>
      </c>
      <c r="AF1985" t="str">
        <f t="shared" si="63"/>
        <v>TJ</v>
      </c>
    </row>
    <row r="1986" spans="1:32" x14ac:dyDescent="0.2">
      <c r="A1986" t="s">
        <v>1119</v>
      </c>
      <c r="B1986" t="s">
        <v>29</v>
      </c>
      <c r="C1986">
        <v>1013024841</v>
      </c>
      <c r="D1986" t="s">
        <v>959</v>
      </c>
      <c r="E1986" t="s">
        <v>31</v>
      </c>
      <c r="F1986" s="1">
        <v>0.67291666666666672</v>
      </c>
      <c r="G1986" t="s">
        <v>32</v>
      </c>
      <c r="H1986" t="s">
        <v>33</v>
      </c>
      <c r="I1986" t="s">
        <v>34</v>
      </c>
      <c r="J1986" t="s">
        <v>723</v>
      </c>
      <c r="K1986">
        <v>7</v>
      </c>
      <c r="L1986">
        <v>0</v>
      </c>
      <c r="M1986" t="s">
        <v>63</v>
      </c>
      <c r="N1986">
        <v>500</v>
      </c>
      <c r="O1986">
        <v>1060</v>
      </c>
      <c r="P1986">
        <v>36</v>
      </c>
      <c r="Q1986">
        <v>3.3962300000000001</v>
      </c>
      <c r="R1986">
        <v>0</v>
      </c>
      <c r="S1986">
        <v>1.53</v>
      </c>
      <c r="T1986">
        <v>1.4430000000000001</v>
      </c>
      <c r="U1986">
        <v>4.2000000000000003E-2</v>
      </c>
      <c r="V1986">
        <v>0</v>
      </c>
      <c r="W1986">
        <v>2</v>
      </c>
      <c r="X1986">
        <v>0</v>
      </c>
      <c r="Y1986" t="s">
        <v>63</v>
      </c>
      <c r="Z1986">
        <v>1060</v>
      </c>
      <c r="AA1986">
        <v>795</v>
      </c>
      <c r="AB1986">
        <v>131</v>
      </c>
      <c r="AC1986" t="s">
        <v>687</v>
      </c>
      <c r="AD1986" t="str">
        <f t="shared" si="62"/>
        <v>AU</v>
      </c>
      <c r="AE1986" t="str">
        <f>_xlfn.XLOOKUP(D1986,Mapping!A:A,Mapping!D:D,0,0)</f>
        <v>AI</v>
      </c>
      <c r="AF1986" t="str">
        <f t="shared" si="63"/>
        <v>TJ</v>
      </c>
    </row>
    <row r="1987" spans="1:32" x14ac:dyDescent="0.2">
      <c r="A1987" t="s">
        <v>1119</v>
      </c>
      <c r="B1987" t="s">
        <v>29</v>
      </c>
      <c r="C1987">
        <v>1013024861</v>
      </c>
      <c r="D1987" t="s">
        <v>944</v>
      </c>
      <c r="E1987" t="s">
        <v>31</v>
      </c>
      <c r="F1987" s="1">
        <v>0.67291666666666672</v>
      </c>
      <c r="G1987" t="s">
        <v>32</v>
      </c>
      <c r="H1987" t="s">
        <v>33</v>
      </c>
      <c r="I1987" t="s">
        <v>34</v>
      </c>
      <c r="J1987" t="s">
        <v>723</v>
      </c>
      <c r="K1987">
        <v>7</v>
      </c>
      <c r="L1987">
        <v>0</v>
      </c>
      <c r="M1987" t="s">
        <v>63</v>
      </c>
      <c r="N1987">
        <v>500</v>
      </c>
      <c r="O1987">
        <v>121</v>
      </c>
      <c r="P1987">
        <v>3</v>
      </c>
      <c r="Q1987">
        <v>2.4793400000000001</v>
      </c>
      <c r="R1987">
        <v>0</v>
      </c>
      <c r="S1987">
        <v>0.3</v>
      </c>
      <c r="T1987">
        <v>2.472</v>
      </c>
      <c r="U1987">
        <v>0.1</v>
      </c>
      <c r="V1987">
        <v>0</v>
      </c>
      <c r="W1987">
        <v>2</v>
      </c>
      <c r="X1987">
        <v>0</v>
      </c>
      <c r="Y1987" t="s">
        <v>63</v>
      </c>
      <c r="Z1987">
        <v>121</v>
      </c>
      <c r="AA1987">
        <v>83</v>
      </c>
      <c r="AB1987">
        <v>9</v>
      </c>
      <c r="AC1987" t="s">
        <v>687</v>
      </c>
      <c r="AD1987" t="str">
        <f t="shared" si="62"/>
        <v>UK</v>
      </c>
      <c r="AE1987" t="str">
        <f>_xlfn.XLOOKUP(D1987,Mapping!A:A,Mapping!D:D,0,0)</f>
        <v>AI</v>
      </c>
      <c r="AF1987" t="str">
        <f t="shared" si="63"/>
        <v>TJ</v>
      </c>
    </row>
    <row r="1988" spans="1:32" x14ac:dyDescent="0.2">
      <c r="A1988" t="s">
        <v>1119</v>
      </c>
      <c r="B1988" t="s">
        <v>690</v>
      </c>
      <c r="C1988">
        <v>1013024881</v>
      </c>
      <c r="D1988" t="s">
        <v>960</v>
      </c>
      <c r="E1988" t="s">
        <v>31</v>
      </c>
      <c r="F1988" s="1">
        <v>0.67291666666666672</v>
      </c>
      <c r="G1988" t="s">
        <v>32</v>
      </c>
      <c r="H1988" t="s">
        <v>33</v>
      </c>
      <c r="I1988" t="s">
        <v>34</v>
      </c>
      <c r="J1988" t="s">
        <v>723</v>
      </c>
      <c r="K1988">
        <v>7</v>
      </c>
      <c r="L1988">
        <v>0</v>
      </c>
      <c r="M1988" t="s">
        <v>63</v>
      </c>
      <c r="N1988">
        <v>500</v>
      </c>
      <c r="O1988">
        <v>62</v>
      </c>
      <c r="P1988">
        <v>3</v>
      </c>
      <c r="Q1988">
        <v>4.8387099999999998</v>
      </c>
      <c r="R1988">
        <v>0</v>
      </c>
      <c r="S1988">
        <v>0.06</v>
      </c>
      <c r="T1988">
        <v>0.91500000000000004</v>
      </c>
      <c r="U1988">
        <v>1.9E-2</v>
      </c>
      <c r="V1988">
        <v>0</v>
      </c>
      <c r="W1988">
        <v>2</v>
      </c>
      <c r="X1988">
        <v>0</v>
      </c>
      <c r="Y1988" t="s">
        <v>63</v>
      </c>
      <c r="Z1988">
        <v>62</v>
      </c>
      <c r="AA1988">
        <v>43</v>
      </c>
      <c r="AB1988">
        <v>12</v>
      </c>
      <c r="AC1988" t="s">
        <v>687</v>
      </c>
      <c r="AD1988" t="str">
        <f t="shared" si="62"/>
        <v>NZ</v>
      </c>
      <c r="AE1988" t="str">
        <f>_xlfn.XLOOKUP(D1988,Mapping!A:A,Mapping!D:D,0,0)</f>
        <v>AI</v>
      </c>
      <c r="AF1988" t="str">
        <f t="shared" si="63"/>
        <v>TJ</v>
      </c>
    </row>
    <row r="1989" spans="1:32" x14ac:dyDescent="0.2">
      <c r="A1989" t="s">
        <v>1119</v>
      </c>
      <c r="B1989" t="s">
        <v>29</v>
      </c>
      <c r="C1989">
        <v>1013024901</v>
      </c>
      <c r="D1989" t="s">
        <v>961</v>
      </c>
      <c r="E1989" t="s">
        <v>31</v>
      </c>
      <c r="F1989" t="s">
        <v>246</v>
      </c>
      <c r="G1989" t="s">
        <v>247</v>
      </c>
      <c r="H1989" t="s">
        <v>33</v>
      </c>
      <c r="I1989" t="s">
        <v>41</v>
      </c>
      <c r="J1989" t="s">
        <v>58</v>
      </c>
      <c r="K1989">
        <v>15</v>
      </c>
      <c r="L1989">
        <v>3</v>
      </c>
      <c r="M1989" t="s">
        <v>36</v>
      </c>
      <c r="N1989" t="s">
        <v>37</v>
      </c>
      <c r="O1989">
        <v>1570610</v>
      </c>
      <c r="P1989">
        <v>1939</v>
      </c>
      <c r="Q1989">
        <v>0.12346</v>
      </c>
      <c r="R1989">
        <v>4</v>
      </c>
      <c r="S1989">
        <v>501.02</v>
      </c>
      <c r="T1989">
        <v>0.31900000000000001</v>
      </c>
      <c r="U1989">
        <v>0.25800000000000001</v>
      </c>
      <c r="V1989">
        <v>125.256</v>
      </c>
      <c r="W1989">
        <v>2</v>
      </c>
      <c r="X1989">
        <v>0</v>
      </c>
      <c r="Y1989" t="s">
        <v>63</v>
      </c>
      <c r="Z1989">
        <v>0</v>
      </c>
      <c r="AA1989">
        <v>0</v>
      </c>
      <c r="AB1989">
        <v>0</v>
      </c>
      <c r="AC1989" t="s">
        <v>687</v>
      </c>
      <c r="AD1989" t="str">
        <f t="shared" si="62"/>
        <v>US</v>
      </c>
      <c r="AE1989" t="str">
        <f>_xlfn.XLOOKUP(D1989,Mapping!A:A,Mapping!D:D,0,0)</f>
        <v>Native - Homepage</v>
      </c>
      <c r="AF1989" t="str">
        <f t="shared" si="63"/>
        <v>TJ</v>
      </c>
    </row>
    <row r="1990" spans="1:32" x14ac:dyDescent="0.2">
      <c r="A1990" t="s">
        <v>1119</v>
      </c>
      <c r="B1990" t="s">
        <v>29</v>
      </c>
      <c r="C1990">
        <v>1013025091</v>
      </c>
      <c r="D1990" t="s">
        <v>962</v>
      </c>
      <c r="E1990" t="s">
        <v>31</v>
      </c>
      <c r="F1990" t="s">
        <v>246</v>
      </c>
      <c r="G1990" t="s">
        <v>247</v>
      </c>
      <c r="H1990" t="s">
        <v>33</v>
      </c>
      <c r="I1990" t="s">
        <v>41</v>
      </c>
      <c r="J1990" t="s">
        <v>58</v>
      </c>
      <c r="K1990">
        <v>18</v>
      </c>
      <c r="L1990">
        <v>0</v>
      </c>
      <c r="M1990" t="s">
        <v>36</v>
      </c>
      <c r="N1990" t="s">
        <v>37</v>
      </c>
      <c r="O1990">
        <v>482327</v>
      </c>
      <c r="P1990">
        <v>460</v>
      </c>
      <c r="Q1990">
        <v>9.5369999999999996E-2</v>
      </c>
      <c r="R1990">
        <v>1</v>
      </c>
      <c r="S1990">
        <v>155.31</v>
      </c>
      <c r="T1990">
        <v>0.32200000000000001</v>
      </c>
      <c r="U1990">
        <v>0.33800000000000002</v>
      </c>
      <c r="V1990">
        <v>155.309</v>
      </c>
      <c r="W1990">
        <v>2</v>
      </c>
      <c r="X1990">
        <v>0</v>
      </c>
      <c r="Y1990" t="s">
        <v>63</v>
      </c>
      <c r="Z1990">
        <v>0</v>
      </c>
      <c r="AA1990">
        <v>0</v>
      </c>
      <c r="AB1990">
        <v>0</v>
      </c>
      <c r="AC1990" t="s">
        <v>687</v>
      </c>
      <c r="AD1990" t="str">
        <f t="shared" si="62"/>
        <v>AU</v>
      </c>
      <c r="AE1990" t="str">
        <f>_xlfn.XLOOKUP(D1990,Mapping!A:A,Mapping!D:D,0,0)</f>
        <v>Native - Homepage</v>
      </c>
      <c r="AF1990" t="str">
        <f t="shared" si="63"/>
        <v>TJ</v>
      </c>
    </row>
    <row r="1991" spans="1:32" x14ac:dyDescent="0.2">
      <c r="A1991" t="s">
        <v>1119</v>
      </c>
      <c r="B1991" t="s">
        <v>29</v>
      </c>
      <c r="C1991">
        <v>1013025101</v>
      </c>
      <c r="D1991" t="s">
        <v>963</v>
      </c>
      <c r="E1991" t="s">
        <v>31</v>
      </c>
      <c r="F1991" t="s">
        <v>246</v>
      </c>
      <c r="G1991" t="s">
        <v>247</v>
      </c>
      <c r="H1991" t="s">
        <v>33</v>
      </c>
      <c r="I1991" t="s">
        <v>41</v>
      </c>
      <c r="J1991" t="s">
        <v>58</v>
      </c>
      <c r="K1991">
        <v>18</v>
      </c>
      <c r="L1991">
        <v>0</v>
      </c>
      <c r="M1991" t="s">
        <v>63</v>
      </c>
      <c r="N1991">
        <v>500</v>
      </c>
      <c r="O1991">
        <v>332324</v>
      </c>
      <c r="P1991">
        <v>436</v>
      </c>
      <c r="Q1991">
        <v>0.13120000000000001</v>
      </c>
      <c r="R1991">
        <v>1</v>
      </c>
      <c r="S1991">
        <v>141.57</v>
      </c>
      <c r="T1991">
        <v>0.42599999999999999</v>
      </c>
      <c r="U1991">
        <v>0.32500000000000001</v>
      </c>
      <c r="V1991">
        <v>141.57</v>
      </c>
      <c r="W1991">
        <v>2</v>
      </c>
      <c r="X1991">
        <v>0</v>
      </c>
      <c r="Y1991" t="s">
        <v>63</v>
      </c>
      <c r="Z1991">
        <v>0</v>
      </c>
      <c r="AA1991">
        <v>0</v>
      </c>
      <c r="AB1991">
        <v>0</v>
      </c>
      <c r="AC1991" t="s">
        <v>687</v>
      </c>
      <c r="AD1991" t="str">
        <f t="shared" si="62"/>
        <v>UK</v>
      </c>
      <c r="AE1991" t="str">
        <f>_xlfn.XLOOKUP(D1991,Mapping!A:A,Mapping!D:D,0,0)</f>
        <v>Native - Homepage</v>
      </c>
      <c r="AF1991" t="str">
        <f t="shared" si="63"/>
        <v>TJ</v>
      </c>
    </row>
    <row r="1992" spans="1:32" x14ac:dyDescent="0.2">
      <c r="A1992" t="s">
        <v>1119</v>
      </c>
      <c r="B1992" t="s">
        <v>29</v>
      </c>
      <c r="C1992">
        <v>1013025111</v>
      </c>
      <c r="D1992" t="s">
        <v>964</v>
      </c>
      <c r="E1992" t="s">
        <v>31</v>
      </c>
      <c r="F1992" t="s">
        <v>246</v>
      </c>
      <c r="G1992" t="s">
        <v>247</v>
      </c>
      <c r="H1992" t="s">
        <v>33</v>
      </c>
      <c r="I1992" t="s">
        <v>41</v>
      </c>
      <c r="J1992" t="s">
        <v>58</v>
      </c>
      <c r="K1992">
        <v>4</v>
      </c>
      <c r="L1992">
        <v>0</v>
      </c>
      <c r="M1992" t="s">
        <v>36</v>
      </c>
      <c r="N1992" t="s">
        <v>37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2</v>
      </c>
      <c r="X1992">
        <v>0</v>
      </c>
      <c r="Y1992" t="s">
        <v>63</v>
      </c>
      <c r="Z1992">
        <v>0</v>
      </c>
      <c r="AA1992">
        <v>0</v>
      </c>
      <c r="AB1992">
        <v>0</v>
      </c>
      <c r="AC1992" t="s">
        <v>687</v>
      </c>
      <c r="AD1992" t="str">
        <f t="shared" si="62"/>
        <v>NZ</v>
      </c>
      <c r="AE1992" t="str">
        <f>_xlfn.XLOOKUP(D1992,Mapping!A:A,Mapping!D:D,0,0)</f>
        <v>Native - Homepage</v>
      </c>
      <c r="AF1992" t="str">
        <f t="shared" si="63"/>
        <v>TJ</v>
      </c>
    </row>
    <row r="1993" spans="1:32" x14ac:dyDescent="0.2">
      <c r="A1993" t="s">
        <v>1119</v>
      </c>
      <c r="B1993" t="s">
        <v>29</v>
      </c>
      <c r="C1993">
        <v>1013025121</v>
      </c>
      <c r="D1993" t="s">
        <v>908</v>
      </c>
      <c r="E1993" t="s">
        <v>31</v>
      </c>
      <c r="F1993" s="1">
        <v>0.67291666666666672</v>
      </c>
      <c r="G1993" t="s">
        <v>32</v>
      </c>
      <c r="H1993" t="s">
        <v>33</v>
      </c>
      <c r="I1993" t="s">
        <v>34</v>
      </c>
      <c r="J1993" t="s">
        <v>84</v>
      </c>
      <c r="K1993">
        <v>68</v>
      </c>
      <c r="L1993">
        <v>0</v>
      </c>
      <c r="M1993" t="s">
        <v>63</v>
      </c>
      <c r="N1993">
        <v>250</v>
      </c>
      <c r="O1993">
        <v>43514</v>
      </c>
      <c r="P1993">
        <v>2757</v>
      </c>
      <c r="Q1993">
        <v>6.33589</v>
      </c>
      <c r="R1993">
        <v>1</v>
      </c>
      <c r="S1993">
        <v>165.38</v>
      </c>
      <c r="T1993">
        <v>3.8010000000000002</v>
      </c>
      <c r="U1993">
        <v>0.06</v>
      </c>
      <c r="V1993">
        <v>165.38399999999999</v>
      </c>
      <c r="W1993">
        <v>2</v>
      </c>
      <c r="X1993">
        <v>0</v>
      </c>
      <c r="Y1993" t="s">
        <v>36</v>
      </c>
      <c r="Z1993">
        <v>43514</v>
      </c>
      <c r="AA1993">
        <v>34153</v>
      </c>
      <c r="AB1993">
        <v>4508</v>
      </c>
      <c r="AC1993" t="s">
        <v>687</v>
      </c>
      <c r="AD1993" t="str">
        <f t="shared" si="62"/>
        <v>US</v>
      </c>
      <c r="AE1993" t="str">
        <f>_xlfn.XLOOKUP(D1993,Mapping!A:A,Mapping!D:D,0,0)</f>
        <v>Hentai</v>
      </c>
      <c r="AF1993" t="str">
        <f t="shared" si="63"/>
        <v>JB</v>
      </c>
    </row>
    <row r="1994" spans="1:32" x14ac:dyDescent="0.2">
      <c r="A1994" t="s">
        <v>1119</v>
      </c>
      <c r="B1994" t="s">
        <v>29</v>
      </c>
      <c r="C1994">
        <v>1013025171</v>
      </c>
      <c r="D1994" t="s">
        <v>905</v>
      </c>
      <c r="E1994" t="s">
        <v>31</v>
      </c>
      <c r="F1994" s="1">
        <v>0.67291666666666672</v>
      </c>
      <c r="G1994" t="s">
        <v>32</v>
      </c>
      <c r="H1994" t="s">
        <v>33</v>
      </c>
      <c r="I1994" t="s">
        <v>34</v>
      </c>
      <c r="J1994" t="s">
        <v>84</v>
      </c>
      <c r="K1994">
        <v>68</v>
      </c>
      <c r="L1994">
        <v>0</v>
      </c>
      <c r="M1994" t="s">
        <v>36</v>
      </c>
      <c r="N1994" t="s">
        <v>37</v>
      </c>
      <c r="O1994">
        <v>44137</v>
      </c>
      <c r="P1994">
        <v>2908</v>
      </c>
      <c r="Q1994">
        <v>6.5885800000000003</v>
      </c>
      <c r="R1994">
        <v>4</v>
      </c>
      <c r="S1994">
        <v>167.78</v>
      </c>
      <c r="T1994">
        <v>3.8010000000000002</v>
      </c>
      <c r="U1994">
        <v>5.8000000000000003E-2</v>
      </c>
      <c r="V1994">
        <v>41.945</v>
      </c>
      <c r="W1994">
        <v>2</v>
      </c>
      <c r="X1994">
        <v>0</v>
      </c>
      <c r="Y1994" t="s">
        <v>36</v>
      </c>
      <c r="Z1994">
        <v>44137</v>
      </c>
      <c r="AA1994">
        <v>34626</v>
      </c>
      <c r="AB1994">
        <v>4576</v>
      </c>
      <c r="AC1994" t="s">
        <v>687</v>
      </c>
      <c r="AD1994" t="str">
        <f t="shared" si="62"/>
        <v>CA</v>
      </c>
      <c r="AE1994" t="str">
        <f>_xlfn.XLOOKUP(D1994,Mapping!A:A,Mapping!D:D,0,0)</f>
        <v>Hentai</v>
      </c>
      <c r="AF1994" t="str">
        <f t="shared" si="63"/>
        <v>JB</v>
      </c>
    </row>
    <row r="1995" spans="1:32" x14ac:dyDescent="0.2">
      <c r="A1995" t="s">
        <v>1119</v>
      </c>
      <c r="B1995" t="s">
        <v>29</v>
      </c>
      <c r="C1995">
        <v>1013025221</v>
      </c>
      <c r="D1995" t="s">
        <v>906</v>
      </c>
      <c r="E1995" t="s">
        <v>31</v>
      </c>
      <c r="F1995" s="1">
        <v>0.67291666666666672</v>
      </c>
      <c r="G1995" t="s">
        <v>32</v>
      </c>
      <c r="H1995" t="s">
        <v>33</v>
      </c>
      <c r="I1995" t="s">
        <v>41</v>
      </c>
      <c r="J1995" t="s">
        <v>62</v>
      </c>
      <c r="K1995">
        <v>173</v>
      </c>
      <c r="L1995">
        <v>0</v>
      </c>
      <c r="M1995" t="s">
        <v>63</v>
      </c>
      <c r="N1995">
        <v>250</v>
      </c>
      <c r="O1995">
        <v>36481</v>
      </c>
      <c r="P1995">
        <v>2917</v>
      </c>
      <c r="Q1995">
        <v>7.99594</v>
      </c>
      <c r="R1995">
        <v>0</v>
      </c>
      <c r="S1995">
        <v>74.2</v>
      </c>
      <c r="T1995">
        <v>2.0339999999999998</v>
      </c>
      <c r="U1995">
        <v>2.5000000000000001E-2</v>
      </c>
      <c r="V1995">
        <v>0</v>
      </c>
      <c r="W1995">
        <v>2</v>
      </c>
      <c r="X1995">
        <v>0</v>
      </c>
      <c r="Y1995" t="s">
        <v>36</v>
      </c>
      <c r="Z1995">
        <v>36481</v>
      </c>
      <c r="AA1995">
        <v>32659</v>
      </c>
      <c r="AB1995">
        <v>2489</v>
      </c>
      <c r="AC1995" t="s">
        <v>687</v>
      </c>
      <c r="AD1995" t="str">
        <f t="shared" si="62"/>
        <v>US</v>
      </c>
      <c r="AE1995" t="str">
        <f>_xlfn.XLOOKUP(D1995,Mapping!A:A,Mapping!D:D,0,0)</f>
        <v>Hentai</v>
      </c>
      <c r="AF1995" t="str">
        <f t="shared" si="63"/>
        <v>JB</v>
      </c>
    </row>
    <row r="1996" spans="1:32" x14ac:dyDescent="0.2">
      <c r="A1996" t="s">
        <v>1119</v>
      </c>
      <c r="B1996" t="s">
        <v>39</v>
      </c>
      <c r="C1996">
        <v>1013025241</v>
      </c>
      <c r="D1996" t="s">
        <v>903</v>
      </c>
      <c r="E1996" t="s">
        <v>31</v>
      </c>
      <c r="F1996" s="1">
        <v>0.67291666666666672</v>
      </c>
      <c r="G1996" t="s">
        <v>32</v>
      </c>
      <c r="H1996" t="s">
        <v>33</v>
      </c>
      <c r="I1996" t="s">
        <v>41</v>
      </c>
      <c r="J1996" t="s">
        <v>62</v>
      </c>
      <c r="K1996">
        <v>140</v>
      </c>
      <c r="L1996">
        <v>0</v>
      </c>
      <c r="M1996" t="s">
        <v>63</v>
      </c>
      <c r="N1996">
        <v>250</v>
      </c>
      <c r="O1996">
        <v>0</v>
      </c>
      <c r="P1996">
        <v>0</v>
      </c>
      <c r="Q1996">
        <v>0</v>
      </c>
      <c r="S1996">
        <v>0</v>
      </c>
      <c r="T1996">
        <v>0</v>
      </c>
      <c r="U1996">
        <v>0</v>
      </c>
      <c r="V1996">
        <v>0</v>
      </c>
      <c r="W1996">
        <v>2</v>
      </c>
      <c r="X1996">
        <v>0</v>
      </c>
      <c r="Y1996" t="s">
        <v>36</v>
      </c>
      <c r="AC1996" t="s">
        <v>687</v>
      </c>
      <c r="AD1996" t="str">
        <f t="shared" si="62"/>
        <v>CA</v>
      </c>
      <c r="AE1996" t="str">
        <f>_xlfn.XLOOKUP(D1996,Mapping!A:A,Mapping!D:D,0,0)</f>
        <v>Hentai</v>
      </c>
      <c r="AF1996" t="str">
        <f t="shared" si="63"/>
        <v>JB</v>
      </c>
    </row>
    <row r="1997" spans="1:32" x14ac:dyDescent="0.2">
      <c r="A1997" t="s">
        <v>1119</v>
      </c>
      <c r="B1997" t="s">
        <v>39</v>
      </c>
      <c r="C1997">
        <v>1013025281</v>
      </c>
      <c r="D1997" t="s">
        <v>965</v>
      </c>
      <c r="E1997" t="s">
        <v>31</v>
      </c>
      <c r="F1997" s="1">
        <v>0.67291666666666672</v>
      </c>
      <c r="G1997" t="s">
        <v>32</v>
      </c>
      <c r="H1997" t="s">
        <v>33</v>
      </c>
      <c r="I1997" t="s">
        <v>41</v>
      </c>
      <c r="J1997" t="s">
        <v>62</v>
      </c>
      <c r="K1997">
        <v>26</v>
      </c>
      <c r="L1997">
        <v>0</v>
      </c>
      <c r="M1997" t="s">
        <v>63</v>
      </c>
      <c r="N1997">
        <v>250</v>
      </c>
      <c r="O1997">
        <v>0</v>
      </c>
      <c r="P1997">
        <v>0</v>
      </c>
      <c r="Q1997">
        <v>0</v>
      </c>
      <c r="S1997">
        <v>0</v>
      </c>
      <c r="T1997">
        <v>0</v>
      </c>
      <c r="U1997">
        <v>0</v>
      </c>
      <c r="V1997">
        <v>0</v>
      </c>
      <c r="W1997">
        <v>2</v>
      </c>
      <c r="X1997">
        <v>0</v>
      </c>
      <c r="Y1997" t="s">
        <v>36</v>
      </c>
      <c r="AC1997" t="s">
        <v>687</v>
      </c>
      <c r="AD1997" t="str">
        <f t="shared" si="62"/>
        <v>CA</v>
      </c>
      <c r="AE1997" t="str">
        <f>_xlfn.XLOOKUP(D1997,Mapping!A:A,Mapping!D:D,0,0)</f>
        <v>Blowjob</v>
      </c>
      <c r="AF1997" t="str">
        <f t="shared" si="63"/>
        <v>JB</v>
      </c>
    </row>
    <row r="1998" spans="1:32" x14ac:dyDescent="0.2">
      <c r="A1998" t="s">
        <v>1119</v>
      </c>
      <c r="B1998" t="s">
        <v>29</v>
      </c>
      <c r="C1998">
        <v>1013028391</v>
      </c>
      <c r="D1998" t="s">
        <v>966</v>
      </c>
      <c r="E1998" t="s">
        <v>31</v>
      </c>
      <c r="F1998" s="1">
        <v>0.67291666666666672</v>
      </c>
      <c r="G1998" t="s">
        <v>32</v>
      </c>
      <c r="H1998" t="s">
        <v>33</v>
      </c>
      <c r="I1998" t="s">
        <v>737</v>
      </c>
      <c r="J1998" t="s">
        <v>759</v>
      </c>
      <c r="K1998">
        <v>5</v>
      </c>
      <c r="L1998">
        <v>0</v>
      </c>
      <c r="M1998" t="s">
        <v>63</v>
      </c>
      <c r="N1998">
        <v>250</v>
      </c>
      <c r="O1998">
        <v>3598474</v>
      </c>
      <c r="P1998">
        <v>199372</v>
      </c>
      <c r="Q1998">
        <v>5.5404600000000004</v>
      </c>
      <c r="R1998">
        <v>1</v>
      </c>
      <c r="S1998">
        <v>251.89</v>
      </c>
      <c r="T1998">
        <v>7.0000000000000007E-2</v>
      </c>
      <c r="U1998">
        <v>1E-3</v>
      </c>
      <c r="V1998">
        <v>251.893</v>
      </c>
      <c r="W1998">
        <v>2</v>
      </c>
      <c r="X1998">
        <v>0</v>
      </c>
      <c r="Y1998" t="s">
        <v>63</v>
      </c>
      <c r="Z1998">
        <v>3598474</v>
      </c>
      <c r="AA1998">
        <v>3186786</v>
      </c>
      <c r="AB1998">
        <v>227804</v>
      </c>
      <c r="AC1998" t="s">
        <v>687</v>
      </c>
      <c r="AD1998" t="str">
        <f t="shared" si="62"/>
        <v>PH</v>
      </c>
      <c r="AE1998" t="str">
        <f>_xlfn.XLOOKUP(D1998,Mapping!A:A,Mapping!D:D,0,0)</f>
        <v>General - Pre-roll</v>
      </c>
      <c r="AF1998" t="str">
        <f t="shared" si="63"/>
        <v>TJ</v>
      </c>
    </row>
    <row r="1999" spans="1:32" x14ac:dyDescent="0.2">
      <c r="A1999" t="s">
        <v>1119</v>
      </c>
      <c r="B1999" t="s">
        <v>29</v>
      </c>
      <c r="C1999">
        <v>1013028421</v>
      </c>
      <c r="D1999" t="s">
        <v>967</v>
      </c>
      <c r="E1999" t="s">
        <v>31</v>
      </c>
      <c r="F1999" s="1">
        <v>0.67291666666666672</v>
      </c>
      <c r="G1999" t="s">
        <v>32</v>
      </c>
      <c r="H1999" t="s">
        <v>33</v>
      </c>
      <c r="I1999" t="s">
        <v>737</v>
      </c>
      <c r="J1999" t="s">
        <v>942</v>
      </c>
      <c r="K1999">
        <v>5</v>
      </c>
      <c r="L1999">
        <v>0</v>
      </c>
      <c r="M1999" t="s">
        <v>36</v>
      </c>
      <c r="N1999" t="s">
        <v>37</v>
      </c>
      <c r="O1999">
        <v>466277</v>
      </c>
      <c r="P1999">
        <v>32888</v>
      </c>
      <c r="Q1999">
        <v>7.0533200000000003</v>
      </c>
      <c r="R1999">
        <v>0</v>
      </c>
      <c r="S1999">
        <v>46.63</v>
      </c>
      <c r="T1999">
        <v>0.1</v>
      </c>
      <c r="U1999">
        <v>1E-3</v>
      </c>
      <c r="V1999">
        <v>0</v>
      </c>
      <c r="W1999">
        <v>2</v>
      </c>
      <c r="X1999">
        <v>0</v>
      </c>
      <c r="Y1999" t="s">
        <v>63</v>
      </c>
      <c r="Z1999">
        <v>466277</v>
      </c>
      <c r="AA1999">
        <v>403490</v>
      </c>
      <c r="AB1999">
        <v>38822</v>
      </c>
      <c r="AC1999" t="s">
        <v>687</v>
      </c>
      <c r="AD1999" t="str">
        <f t="shared" si="62"/>
        <v>CO</v>
      </c>
      <c r="AE1999" t="str">
        <f>_xlfn.XLOOKUP(D1999,Mapping!A:A,Mapping!D:D,0,0)</f>
        <v>General - Pre-roll - T3</v>
      </c>
      <c r="AF1999" t="str">
        <f t="shared" si="63"/>
        <v>TJ</v>
      </c>
    </row>
    <row r="2000" spans="1:32" x14ac:dyDescent="0.2">
      <c r="A2000" t="s">
        <v>1119</v>
      </c>
      <c r="B2000" t="s">
        <v>29</v>
      </c>
      <c r="C2000">
        <v>1013028441</v>
      </c>
      <c r="D2000" t="s">
        <v>968</v>
      </c>
      <c r="E2000" t="s">
        <v>31</v>
      </c>
      <c r="F2000" t="s">
        <v>246</v>
      </c>
      <c r="G2000" t="s">
        <v>247</v>
      </c>
      <c r="H2000" t="s">
        <v>33</v>
      </c>
      <c r="I2000" t="s">
        <v>41</v>
      </c>
      <c r="J2000" t="s">
        <v>942</v>
      </c>
      <c r="K2000">
        <v>18</v>
      </c>
      <c r="L2000">
        <v>0</v>
      </c>
      <c r="M2000" t="s">
        <v>36</v>
      </c>
      <c r="N2000" t="s">
        <v>37</v>
      </c>
      <c r="O2000">
        <v>18957156</v>
      </c>
      <c r="P2000">
        <v>17069</v>
      </c>
      <c r="Q2000">
        <v>9.0039999999999995E-2</v>
      </c>
      <c r="R2000">
        <v>1</v>
      </c>
      <c r="S2000">
        <v>189.57</v>
      </c>
      <c r="T2000">
        <v>0.01</v>
      </c>
      <c r="U2000">
        <v>1.0999999999999999E-2</v>
      </c>
      <c r="V2000">
        <v>189.572</v>
      </c>
      <c r="W2000">
        <v>2</v>
      </c>
      <c r="X2000">
        <v>0</v>
      </c>
      <c r="Y2000" t="s">
        <v>63</v>
      </c>
      <c r="Z2000">
        <v>0</v>
      </c>
      <c r="AA2000">
        <v>0</v>
      </c>
      <c r="AB2000">
        <v>0</v>
      </c>
      <c r="AC2000" t="s">
        <v>687</v>
      </c>
      <c r="AD2000" t="str">
        <f t="shared" si="62"/>
        <v>MX</v>
      </c>
      <c r="AE2000" t="str">
        <f>_xlfn.XLOOKUP(D2000,Mapping!A:A,Mapping!D:D,0,0)</f>
        <v>Native - Watch</v>
      </c>
      <c r="AF2000" t="str">
        <f t="shared" si="63"/>
        <v>TJ</v>
      </c>
    </row>
    <row r="2001" spans="1:32" x14ac:dyDescent="0.2">
      <c r="A2001" t="s">
        <v>1119</v>
      </c>
      <c r="B2001" t="s">
        <v>29</v>
      </c>
      <c r="C2001">
        <v>1013028451</v>
      </c>
      <c r="D2001" t="s">
        <v>969</v>
      </c>
      <c r="E2001" t="s">
        <v>31</v>
      </c>
      <c r="F2001" t="s">
        <v>246</v>
      </c>
      <c r="G2001" t="s">
        <v>247</v>
      </c>
      <c r="H2001" t="s">
        <v>33</v>
      </c>
      <c r="I2001" t="s">
        <v>41</v>
      </c>
      <c r="J2001" t="s">
        <v>942</v>
      </c>
      <c r="K2001">
        <v>4</v>
      </c>
      <c r="L2001">
        <v>0</v>
      </c>
      <c r="M2001" t="s">
        <v>36</v>
      </c>
      <c r="N2001" t="s">
        <v>37</v>
      </c>
      <c r="O2001">
        <v>9706992</v>
      </c>
      <c r="P2001">
        <v>16455</v>
      </c>
      <c r="Q2001">
        <v>0.16952</v>
      </c>
      <c r="R2001">
        <v>0</v>
      </c>
      <c r="S2001">
        <v>97.07</v>
      </c>
      <c r="T2001">
        <v>0.01</v>
      </c>
      <c r="U2001">
        <v>6.0000000000000001E-3</v>
      </c>
      <c r="V2001">
        <v>0</v>
      </c>
      <c r="W2001">
        <v>2</v>
      </c>
      <c r="X2001">
        <v>0</v>
      </c>
      <c r="Y2001" t="s">
        <v>63</v>
      </c>
      <c r="Z2001">
        <v>0</v>
      </c>
      <c r="AA2001">
        <v>0</v>
      </c>
      <c r="AB2001">
        <v>0</v>
      </c>
      <c r="AC2001" t="s">
        <v>687</v>
      </c>
      <c r="AD2001" t="str">
        <f t="shared" si="62"/>
        <v>PH</v>
      </c>
      <c r="AE2001" t="str">
        <f>_xlfn.XLOOKUP(D2001,Mapping!A:A,Mapping!D:D,0,0)</f>
        <v>Native - Watch</v>
      </c>
      <c r="AF2001" t="str">
        <f t="shared" si="63"/>
        <v>TJ</v>
      </c>
    </row>
    <row r="2002" spans="1:32" x14ac:dyDescent="0.2">
      <c r="A2002" t="s">
        <v>1119</v>
      </c>
      <c r="B2002" t="s">
        <v>29</v>
      </c>
      <c r="C2002">
        <v>1013028461</v>
      </c>
      <c r="D2002" t="s">
        <v>970</v>
      </c>
      <c r="E2002" t="s">
        <v>31</v>
      </c>
      <c r="F2002" s="1">
        <v>0.67291666666666672</v>
      </c>
      <c r="G2002" t="s">
        <v>32</v>
      </c>
      <c r="H2002" t="s">
        <v>33</v>
      </c>
      <c r="I2002" t="s">
        <v>737</v>
      </c>
      <c r="J2002" t="s">
        <v>942</v>
      </c>
      <c r="K2002">
        <v>5</v>
      </c>
      <c r="L2002">
        <v>0</v>
      </c>
      <c r="M2002" t="s">
        <v>63</v>
      </c>
      <c r="N2002">
        <v>250</v>
      </c>
      <c r="O2002">
        <v>1468675</v>
      </c>
      <c r="P2002">
        <v>109032</v>
      </c>
      <c r="Q2002">
        <v>7.4238299999999997</v>
      </c>
      <c r="R2002">
        <v>0</v>
      </c>
      <c r="S2002">
        <v>146.87</v>
      </c>
      <c r="T2002">
        <v>0.1</v>
      </c>
      <c r="U2002">
        <v>1E-3</v>
      </c>
      <c r="V2002">
        <v>0</v>
      </c>
      <c r="W2002">
        <v>2</v>
      </c>
      <c r="X2002">
        <v>0</v>
      </c>
      <c r="Y2002" t="s">
        <v>63</v>
      </c>
      <c r="Z2002">
        <v>1468675</v>
      </c>
      <c r="AA2002">
        <v>1256585</v>
      </c>
      <c r="AB2002">
        <v>129520</v>
      </c>
      <c r="AC2002" t="s">
        <v>687</v>
      </c>
      <c r="AD2002" t="str">
        <f t="shared" si="62"/>
        <v>MA</v>
      </c>
      <c r="AE2002" t="str">
        <f>_xlfn.XLOOKUP(D2002,Mapping!A:A,Mapping!D:D,0,0)</f>
        <v>General - Pre-roll - T3</v>
      </c>
      <c r="AF2002" t="str">
        <f t="shared" si="63"/>
        <v>TJ</v>
      </c>
    </row>
    <row r="2003" spans="1:32" x14ac:dyDescent="0.2">
      <c r="A2003" t="s">
        <v>1119</v>
      </c>
      <c r="B2003" t="s">
        <v>29</v>
      </c>
      <c r="C2003">
        <v>1013028471</v>
      </c>
      <c r="D2003" t="s">
        <v>971</v>
      </c>
      <c r="E2003" t="s">
        <v>31</v>
      </c>
      <c r="F2003" t="s">
        <v>246</v>
      </c>
      <c r="G2003" t="s">
        <v>247</v>
      </c>
      <c r="H2003" t="s">
        <v>33</v>
      </c>
      <c r="I2003" t="s">
        <v>41</v>
      </c>
      <c r="J2003" t="s">
        <v>942</v>
      </c>
      <c r="K2003">
        <v>4</v>
      </c>
      <c r="L2003">
        <v>0</v>
      </c>
      <c r="M2003" t="s">
        <v>36</v>
      </c>
      <c r="N2003" t="s">
        <v>37</v>
      </c>
      <c r="O2003">
        <v>9702750</v>
      </c>
      <c r="P2003">
        <v>16479</v>
      </c>
      <c r="Q2003">
        <v>0.16983999999999999</v>
      </c>
      <c r="R2003">
        <v>0</v>
      </c>
      <c r="S2003">
        <v>97.03</v>
      </c>
      <c r="T2003">
        <v>0.01</v>
      </c>
      <c r="U2003">
        <v>6.0000000000000001E-3</v>
      </c>
      <c r="V2003">
        <v>0</v>
      </c>
      <c r="W2003">
        <v>2</v>
      </c>
      <c r="X2003">
        <v>0</v>
      </c>
      <c r="Y2003" t="s">
        <v>63</v>
      </c>
      <c r="Z2003">
        <v>0</v>
      </c>
      <c r="AA2003">
        <v>0</v>
      </c>
      <c r="AB2003">
        <v>0</v>
      </c>
      <c r="AC2003" t="s">
        <v>687</v>
      </c>
      <c r="AD2003" t="str">
        <f t="shared" si="62"/>
        <v>BR</v>
      </c>
      <c r="AE2003" t="str">
        <f>_xlfn.XLOOKUP(D2003,Mapping!A:A,Mapping!D:D,0,0)</f>
        <v>Native - Watch</v>
      </c>
      <c r="AF2003" t="str">
        <f t="shared" si="63"/>
        <v>TJ</v>
      </c>
    </row>
    <row r="2004" spans="1:32" x14ac:dyDescent="0.2">
      <c r="A2004" t="s">
        <v>1119</v>
      </c>
      <c r="B2004" t="s">
        <v>29</v>
      </c>
      <c r="C2004">
        <v>1013028481</v>
      </c>
      <c r="D2004" t="s">
        <v>972</v>
      </c>
      <c r="E2004" t="s">
        <v>31</v>
      </c>
      <c r="F2004" s="1">
        <v>0.67291666666666672</v>
      </c>
      <c r="G2004" t="s">
        <v>32</v>
      </c>
      <c r="H2004" t="s">
        <v>33</v>
      </c>
      <c r="I2004" t="s">
        <v>737</v>
      </c>
      <c r="J2004" t="s">
        <v>942</v>
      </c>
      <c r="K2004">
        <v>5</v>
      </c>
      <c r="L2004">
        <v>0</v>
      </c>
      <c r="M2004" t="s">
        <v>63</v>
      </c>
      <c r="N2004">
        <v>250</v>
      </c>
      <c r="O2004">
        <v>1562026</v>
      </c>
      <c r="P2004">
        <v>126731</v>
      </c>
      <c r="Q2004">
        <v>8.1132500000000007</v>
      </c>
      <c r="R2004">
        <v>0</v>
      </c>
      <c r="S2004">
        <v>156.19999999999999</v>
      </c>
      <c r="T2004">
        <v>0.1</v>
      </c>
      <c r="U2004">
        <v>1E-3</v>
      </c>
      <c r="V2004">
        <v>0</v>
      </c>
      <c r="W2004">
        <v>2</v>
      </c>
      <c r="X2004">
        <v>0</v>
      </c>
      <c r="Y2004" t="s">
        <v>63</v>
      </c>
      <c r="Z2004">
        <v>1562026</v>
      </c>
      <c r="AA2004">
        <v>1353259</v>
      </c>
      <c r="AB2004">
        <v>125908</v>
      </c>
      <c r="AC2004" t="s">
        <v>687</v>
      </c>
      <c r="AD2004" t="str">
        <f t="shared" si="62"/>
        <v>EG</v>
      </c>
      <c r="AE2004" t="str">
        <f>_xlfn.XLOOKUP(D2004,Mapping!A:A,Mapping!D:D,0,0)</f>
        <v>General - Pre-roll - T3</v>
      </c>
      <c r="AF2004" t="str">
        <f t="shared" si="63"/>
        <v>TJ</v>
      </c>
    </row>
    <row r="2005" spans="1:32" x14ac:dyDescent="0.2">
      <c r="A2005" t="s">
        <v>1119</v>
      </c>
      <c r="B2005" t="s">
        <v>29</v>
      </c>
      <c r="C2005">
        <v>1013028491</v>
      </c>
      <c r="D2005" t="s">
        <v>973</v>
      </c>
      <c r="E2005" t="s">
        <v>31</v>
      </c>
      <c r="F2005" s="1">
        <v>0.67291666666666672</v>
      </c>
      <c r="G2005" t="s">
        <v>32</v>
      </c>
      <c r="H2005" t="s">
        <v>33</v>
      </c>
      <c r="I2005" t="s">
        <v>737</v>
      </c>
      <c r="J2005" t="s">
        <v>942</v>
      </c>
      <c r="K2005">
        <v>5</v>
      </c>
      <c r="L2005">
        <v>0</v>
      </c>
      <c r="M2005" t="s">
        <v>63</v>
      </c>
      <c r="N2005">
        <v>250</v>
      </c>
      <c r="O2005">
        <v>1213751</v>
      </c>
      <c r="P2005">
        <v>105086</v>
      </c>
      <c r="Q2005">
        <v>8.6579499999999996</v>
      </c>
      <c r="R2005">
        <v>0</v>
      </c>
      <c r="S2005">
        <v>121.38</v>
      </c>
      <c r="T2005">
        <v>0.1</v>
      </c>
      <c r="U2005">
        <v>1E-3</v>
      </c>
      <c r="V2005">
        <v>0</v>
      </c>
      <c r="W2005">
        <v>2</v>
      </c>
      <c r="X2005">
        <v>0</v>
      </c>
      <c r="Y2005" t="s">
        <v>63</v>
      </c>
      <c r="Z2005">
        <v>1213751</v>
      </c>
      <c r="AA2005">
        <v>1068711</v>
      </c>
      <c r="AB2005">
        <v>91007</v>
      </c>
      <c r="AC2005" t="s">
        <v>687</v>
      </c>
      <c r="AD2005" t="str">
        <f t="shared" ref="AD2005:AD2068" si="64">LEFT(D2005,2)</f>
        <v>PE</v>
      </c>
      <c r="AE2005" t="str">
        <f>_xlfn.XLOOKUP(D2005,Mapping!A:A,Mapping!D:D,0,0)</f>
        <v>General - Pre-roll - T3</v>
      </c>
      <c r="AF2005" t="str">
        <f t="shared" ref="AF2005:AF2068" si="65">IFERROR(IF(SEARCH("_TJ",D2005)&gt;0,"TJ",NA()),IFERROR(IF(SEARCH("_JB",D2005)&gt;0,"JB",NA()),"OLD"))</f>
        <v>TJ</v>
      </c>
    </row>
    <row r="2006" spans="1:32" x14ac:dyDescent="0.2">
      <c r="A2006" t="s">
        <v>1119</v>
      </c>
      <c r="B2006" t="s">
        <v>29</v>
      </c>
      <c r="C2006">
        <v>1013028501</v>
      </c>
      <c r="D2006" t="s">
        <v>974</v>
      </c>
      <c r="E2006" t="s">
        <v>31</v>
      </c>
      <c r="F2006" t="s">
        <v>246</v>
      </c>
      <c r="G2006" t="s">
        <v>247</v>
      </c>
      <c r="H2006" t="s">
        <v>33</v>
      </c>
      <c r="I2006" t="s">
        <v>41</v>
      </c>
      <c r="J2006" t="s">
        <v>942</v>
      </c>
      <c r="K2006">
        <v>17</v>
      </c>
      <c r="L2006">
        <v>1</v>
      </c>
      <c r="M2006" t="s">
        <v>36</v>
      </c>
      <c r="N2006" t="s">
        <v>37</v>
      </c>
      <c r="O2006">
        <v>11207173</v>
      </c>
      <c r="P2006">
        <v>9309</v>
      </c>
      <c r="Q2006">
        <v>8.3059999999999995E-2</v>
      </c>
      <c r="R2006">
        <v>3</v>
      </c>
      <c r="S2006">
        <v>336.22</v>
      </c>
      <c r="T2006">
        <v>0.03</v>
      </c>
      <c r="U2006">
        <v>3.5999999999999997E-2</v>
      </c>
      <c r="V2006">
        <v>112.072</v>
      </c>
      <c r="W2006">
        <v>2</v>
      </c>
      <c r="X2006">
        <v>0</v>
      </c>
      <c r="Y2006" t="s">
        <v>36</v>
      </c>
      <c r="Z2006">
        <v>0</v>
      </c>
      <c r="AA2006">
        <v>0</v>
      </c>
      <c r="AB2006">
        <v>0</v>
      </c>
      <c r="AC2006" t="s">
        <v>687</v>
      </c>
      <c r="AD2006" t="str">
        <f t="shared" si="64"/>
        <v>DE</v>
      </c>
      <c r="AE2006" t="str">
        <f>_xlfn.XLOOKUP(D2006,Mapping!A:A,Mapping!D:D,0,0)</f>
        <v>Native - Watch</v>
      </c>
      <c r="AF2006" t="str">
        <f t="shared" si="65"/>
        <v>TJ</v>
      </c>
    </row>
    <row r="2007" spans="1:32" x14ac:dyDescent="0.2">
      <c r="A2007" t="s">
        <v>1119</v>
      </c>
      <c r="B2007" t="s">
        <v>29</v>
      </c>
      <c r="C2007">
        <v>1013028511</v>
      </c>
      <c r="D2007" t="s">
        <v>975</v>
      </c>
      <c r="E2007" t="s">
        <v>31</v>
      </c>
      <c r="F2007" s="1">
        <v>0.67291666666666672</v>
      </c>
      <c r="G2007" t="s">
        <v>32</v>
      </c>
      <c r="H2007" t="s">
        <v>33</v>
      </c>
      <c r="I2007" t="s">
        <v>737</v>
      </c>
      <c r="J2007" t="s">
        <v>942</v>
      </c>
      <c r="K2007">
        <v>5</v>
      </c>
      <c r="L2007">
        <v>0</v>
      </c>
      <c r="M2007" t="s">
        <v>36</v>
      </c>
      <c r="N2007" t="s">
        <v>37</v>
      </c>
      <c r="O2007">
        <v>383176</v>
      </c>
      <c r="P2007">
        <v>19493</v>
      </c>
      <c r="Q2007">
        <v>5.0872200000000003</v>
      </c>
      <c r="R2007">
        <v>0</v>
      </c>
      <c r="S2007">
        <v>38.32</v>
      </c>
      <c r="T2007">
        <v>0.1</v>
      </c>
      <c r="U2007">
        <v>2E-3</v>
      </c>
      <c r="V2007">
        <v>0</v>
      </c>
      <c r="W2007">
        <v>2</v>
      </c>
      <c r="X2007">
        <v>0</v>
      </c>
      <c r="Y2007" t="s">
        <v>63</v>
      </c>
      <c r="Z2007">
        <v>383176</v>
      </c>
      <c r="AA2007">
        <v>328903</v>
      </c>
      <c r="AB2007">
        <v>34499</v>
      </c>
      <c r="AC2007" t="s">
        <v>687</v>
      </c>
      <c r="AD2007" t="str">
        <f t="shared" si="64"/>
        <v>NL</v>
      </c>
      <c r="AE2007" t="str">
        <f>_xlfn.XLOOKUP(D2007,Mapping!A:A,Mapping!D:D,0,0)</f>
        <v>General - Pre-roll - T3</v>
      </c>
      <c r="AF2007" t="str">
        <f t="shared" si="65"/>
        <v>TJ</v>
      </c>
    </row>
    <row r="2008" spans="1:32" x14ac:dyDescent="0.2">
      <c r="A2008" t="s">
        <v>1119</v>
      </c>
      <c r="B2008" t="s">
        <v>29</v>
      </c>
      <c r="C2008">
        <v>1013028521</v>
      </c>
      <c r="D2008" t="s">
        <v>976</v>
      </c>
      <c r="E2008" t="s">
        <v>31</v>
      </c>
      <c r="F2008" t="s">
        <v>246</v>
      </c>
      <c r="G2008" t="s">
        <v>247</v>
      </c>
      <c r="H2008" t="s">
        <v>33</v>
      </c>
      <c r="I2008" t="s">
        <v>41</v>
      </c>
      <c r="J2008" t="s">
        <v>942</v>
      </c>
      <c r="K2008">
        <v>18</v>
      </c>
      <c r="L2008">
        <v>0</v>
      </c>
      <c r="M2008" t="s">
        <v>36</v>
      </c>
      <c r="N2008" t="s">
        <v>37</v>
      </c>
      <c r="O2008">
        <v>15032207</v>
      </c>
      <c r="P2008">
        <v>20459</v>
      </c>
      <c r="Q2008">
        <v>0.1361</v>
      </c>
      <c r="R2008">
        <v>2</v>
      </c>
      <c r="S2008">
        <v>150.32</v>
      </c>
      <c r="T2008">
        <v>0.01</v>
      </c>
      <c r="U2008">
        <v>7.0000000000000001E-3</v>
      </c>
      <c r="V2008">
        <v>75.161000000000001</v>
      </c>
      <c r="W2008">
        <v>2</v>
      </c>
      <c r="X2008">
        <v>0</v>
      </c>
      <c r="Y2008" t="s">
        <v>63</v>
      </c>
      <c r="Z2008">
        <v>0</v>
      </c>
      <c r="AA2008">
        <v>0</v>
      </c>
      <c r="AB2008">
        <v>0</v>
      </c>
      <c r="AC2008" t="s">
        <v>687</v>
      </c>
      <c r="AD2008" t="str">
        <f t="shared" si="64"/>
        <v>AR</v>
      </c>
      <c r="AE2008" t="str">
        <f>_xlfn.XLOOKUP(D2008,Mapping!A:A,Mapping!D:D,0,0)</f>
        <v>Native - Watch</v>
      </c>
      <c r="AF2008" t="str">
        <f t="shared" si="65"/>
        <v>TJ</v>
      </c>
    </row>
    <row r="2009" spans="1:32" x14ac:dyDescent="0.2">
      <c r="A2009" t="s">
        <v>1119</v>
      </c>
      <c r="B2009" t="s">
        <v>29</v>
      </c>
      <c r="C2009">
        <v>1013028531</v>
      </c>
      <c r="D2009" t="s">
        <v>977</v>
      </c>
      <c r="E2009" t="s">
        <v>31</v>
      </c>
      <c r="F2009" s="1">
        <v>0.67291666666666672</v>
      </c>
      <c r="G2009" t="s">
        <v>32</v>
      </c>
      <c r="H2009" t="s">
        <v>33</v>
      </c>
      <c r="I2009" t="s">
        <v>737</v>
      </c>
      <c r="J2009" t="s">
        <v>942</v>
      </c>
      <c r="K2009">
        <v>5</v>
      </c>
      <c r="L2009">
        <v>0</v>
      </c>
      <c r="M2009" t="s">
        <v>36</v>
      </c>
      <c r="N2009" t="s">
        <v>37</v>
      </c>
      <c r="O2009">
        <v>846748</v>
      </c>
      <c r="P2009">
        <v>66109</v>
      </c>
      <c r="Q2009">
        <v>7.8074000000000003</v>
      </c>
      <c r="R2009">
        <v>0</v>
      </c>
      <c r="S2009">
        <v>84.67</v>
      </c>
      <c r="T2009">
        <v>0.1</v>
      </c>
      <c r="U2009">
        <v>1E-3</v>
      </c>
      <c r="V2009">
        <v>0</v>
      </c>
      <c r="W2009">
        <v>2</v>
      </c>
      <c r="X2009">
        <v>0</v>
      </c>
      <c r="Y2009" t="s">
        <v>63</v>
      </c>
      <c r="Z2009">
        <v>846748</v>
      </c>
      <c r="AA2009">
        <v>740623</v>
      </c>
      <c r="AB2009">
        <v>67968</v>
      </c>
      <c r="AC2009" t="s">
        <v>687</v>
      </c>
      <c r="AD2009" t="str">
        <f t="shared" si="64"/>
        <v>EC</v>
      </c>
      <c r="AE2009" t="str">
        <f>_xlfn.XLOOKUP(D2009,Mapping!A:A,Mapping!D:D,0,0)</f>
        <v>General - Pre-roll - T3</v>
      </c>
      <c r="AF2009" t="str">
        <f t="shared" si="65"/>
        <v>TJ</v>
      </c>
    </row>
    <row r="2010" spans="1:32" x14ac:dyDescent="0.2">
      <c r="A2010" t="s">
        <v>1119</v>
      </c>
      <c r="B2010" t="s">
        <v>29</v>
      </c>
      <c r="C2010">
        <v>1013028541</v>
      </c>
      <c r="D2010" t="s">
        <v>978</v>
      </c>
      <c r="E2010" t="s">
        <v>31</v>
      </c>
      <c r="F2010" s="1">
        <v>0.67291666666666672</v>
      </c>
      <c r="G2010" t="s">
        <v>32</v>
      </c>
      <c r="H2010" t="s">
        <v>33</v>
      </c>
      <c r="I2010" t="s">
        <v>737</v>
      </c>
      <c r="J2010" t="s">
        <v>942</v>
      </c>
      <c r="K2010">
        <v>5</v>
      </c>
      <c r="L2010">
        <v>0</v>
      </c>
      <c r="M2010" t="s">
        <v>36</v>
      </c>
      <c r="N2010" t="s">
        <v>37</v>
      </c>
      <c r="O2010">
        <v>42105</v>
      </c>
      <c r="P2010">
        <v>2353</v>
      </c>
      <c r="Q2010">
        <v>5.5884099999999997</v>
      </c>
      <c r="R2010">
        <v>0</v>
      </c>
      <c r="S2010">
        <v>4.21</v>
      </c>
      <c r="T2010">
        <v>0.1</v>
      </c>
      <c r="U2010">
        <v>2E-3</v>
      </c>
      <c r="V2010">
        <v>0</v>
      </c>
      <c r="W2010">
        <v>2</v>
      </c>
      <c r="X2010">
        <v>0</v>
      </c>
      <c r="Y2010" t="s">
        <v>63</v>
      </c>
      <c r="Z2010">
        <v>42105</v>
      </c>
      <c r="AA2010">
        <v>36538</v>
      </c>
      <c r="AB2010">
        <v>3877</v>
      </c>
      <c r="AC2010" t="s">
        <v>687</v>
      </c>
      <c r="AD2010" t="str">
        <f t="shared" si="64"/>
        <v>ES</v>
      </c>
      <c r="AE2010" t="str">
        <f>_xlfn.XLOOKUP(D2010,Mapping!A:A,Mapping!D:D,0,0)</f>
        <v>General</v>
      </c>
      <c r="AF2010" t="str">
        <f t="shared" si="65"/>
        <v>TJ</v>
      </c>
    </row>
    <row r="2011" spans="1:32" x14ac:dyDescent="0.2">
      <c r="A2011" t="s">
        <v>1119</v>
      </c>
      <c r="B2011" t="s">
        <v>29</v>
      </c>
      <c r="C2011">
        <v>1013028551</v>
      </c>
      <c r="D2011" t="s">
        <v>979</v>
      </c>
      <c r="E2011" t="s">
        <v>31</v>
      </c>
      <c r="F2011" t="s">
        <v>246</v>
      </c>
      <c r="G2011" t="s">
        <v>247</v>
      </c>
      <c r="H2011" t="s">
        <v>33</v>
      </c>
      <c r="I2011" t="s">
        <v>41</v>
      </c>
      <c r="J2011" t="s">
        <v>942</v>
      </c>
      <c r="K2011">
        <v>18</v>
      </c>
      <c r="L2011">
        <v>0</v>
      </c>
      <c r="M2011" t="s">
        <v>36</v>
      </c>
      <c r="N2011" t="s">
        <v>37</v>
      </c>
      <c r="O2011">
        <v>12205754</v>
      </c>
      <c r="P2011">
        <v>22247</v>
      </c>
      <c r="Q2011">
        <v>0.18226999999999999</v>
      </c>
      <c r="R2011">
        <v>0</v>
      </c>
      <c r="S2011">
        <v>122.06</v>
      </c>
      <c r="T2011">
        <v>0.01</v>
      </c>
      <c r="U2011">
        <v>5.0000000000000001E-3</v>
      </c>
      <c r="V2011">
        <v>0</v>
      </c>
      <c r="W2011">
        <v>2</v>
      </c>
      <c r="X2011">
        <v>0</v>
      </c>
      <c r="Y2011" t="s">
        <v>63</v>
      </c>
      <c r="Z2011">
        <v>0</v>
      </c>
      <c r="AA2011">
        <v>0</v>
      </c>
      <c r="AB2011">
        <v>0</v>
      </c>
      <c r="AC2011" t="s">
        <v>687</v>
      </c>
      <c r="AD2011" t="str">
        <f t="shared" si="64"/>
        <v>CO</v>
      </c>
      <c r="AE2011" t="str">
        <f>_xlfn.XLOOKUP(D2011,Mapping!A:A,Mapping!D:D,0,0)</f>
        <v>Native - Watch</v>
      </c>
      <c r="AF2011" t="str">
        <f t="shared" si="65"/>
        <v>TJ</v>
      </c>
    </row>
    <row r="2012" spans="1:32" x14ac:dyDescent="0.2">
      <c r="A2012" t="s">
        <v>1119</v>
      </c>
      <c r="B2012" t="s">
        <v>29</v>
      </c>
      <c r="C2012">
        <v>1013028561</v>
      </c>
      <c r="D2012" t="s">
        <v>980</v>
      </c>
      <c r="E2012" t="s">
        <v>31</v>
      </c>
      <c r="F2012" s="1">
        <v>0.67291666666666672</v>
      </c>
      <c r="G2012" t="s">
        <v>32</v>
      </c>
      <c r="H2012" t="s">
        <v>33</v>
      </c>
      <c r="I2012" t="s">
        <v>737</v>
      </c>
      <c r="J2012" t="s">
        <v>942</v>
      </c>
      <c r="K2012">
        <v>5</v>
      </c>
      <c r="L2012">
        <v>0</v>
      </c>
      <c r="M2012" t="s">
        <v>36</v>
      </c>
      <c r="N2012" t="s">
        <v>37</v>
      </c>
      <c r="O2012">
        <v>596680</v>
      </c>
      <c r="P2012">
        <v>42133</v>
      </c>
      <c r="Q2012">
        <v>7.0612399999999997</v>
      </c>
      <c r="R2012">
        <v>0</v>
      </c>
      <c r="S2012">
        <v>59.67</v>
      </c>
      <c r="T2012">
        <v>0.1</v>
      </c>
      <c r="U2012">
        <v>1E-3</v>
      </c>
      <c r="V2012">
        <v>0</v>
      </c>
      <c r="W2012">
        <v>2</v>
      </c>
      <c r="X2012">
        <v>0</v>
      </c>
      <c r="Y2012" t="s">
        <v>63</v>
      </c>
      <c r="Z2012">
        <v>596680</v>
      </c>
      <c r="AA2012">
        <v>505405</v>
      </c>
      <c r="AB2012">
        <v>58716</v>
      </c>
      <c r="AC2012" t="s">
        <v>687</v>
      </c>
      <c r="AD2012" t="str">
        <f t="shared" si="64"/>
        <v>LK</v>
      </c>
      <c r="AE2012" t="str">
        <f>_xlfn.XLOOKUP(D2012,Mapping!A:A,Mapping!D:D,0,0)</f>
        <v>General - Pre-roll - T3</v>
      </c>
      <c r="AF2012" t="str">
        <f t="shared" si="65"/>
        <v>TJ</v>
      </c>
    </row>
    <row r="2013" spans="1:32" x14ac:dyDescent="0.2">
      <c r="A2013" t="s">
        <v>1119</v>
      </c>
      <c r="B2013" t="s">
        <v>29</v>
      </c>
      <c r="C2013">
        <v>1013028571</v>
      </c>
      <c r="D2013" t="s">
        <v>981</v>
      </c>
      <c r="E2013" t="s">
        <v>31</v>
      </c>
      <c r="F2013" s="1">
        <v>0.67291666666666672</v>
      </c>
      <c r="G2013" t="s">
        <v>32</v>
      </c>
      <c r="H2013" t="s">
        <v>33</v>
      </c>
      <c r="I2013" t="s">
        <v>737</v>
      </c>
      <c r="J2013" t="s">
        <v>942</v>
      </c>
      <c r="K2013">
        <v>5</v>
      </c>
      <c r="L2013">
        <v>0</v>
      </c>
      <c r="M2013" t="s">
        <v>36</v>
      </c>
      <c r="N2013" t="s">
        <v>37</v>
      </c>
      <c r="O2013">
        <v>561602</v>
      </c>
      <c r="P2013">
        <v>43034</v>
      </c>
      <c r="Q2013">
        <v>7.6627200000000002</v>
      </c>
      <c r="R2013">
        <v>0</v>
      </c>
      <c r="S2013">
        <v>56.16</v>
      </c>
      <c r="T2013">
        <v>0.1</v>
      </c>
      <c r="U2013">
        <v>1E-3</v>
      </c>
      <c r="V2013">
        <v>0</v>
      </c>
      <c r="W2013">
        <v>2</v>
      </c>
      <c r="X2013">
        <v>0</v>
      </c>
      <c r="Y2013" t="s">
        <v>63</v>
      </c>
      <c r="Z2013">
        <v>561602</v>
      </c>
      <c r="AA2013">
        <v>486079</v>
      </c>
      <c r="AB2013">
        <v>48089</v>
      </c>
      <c r="AC2013" t="s">
        <v>687</v>
      </c>
      <c r="AD2013" t="str">
        <f t="shared" si="64"/>
        <v>BR</v>
      </c>
      <c r="AE2013" t="str">
        <f>_xlfn.XLOOKUP(D2013,Mapping!A:A,Mapping!D:D,0,0)</f>
        <v>General - Pre-roll - T3</v>
      </c>
      <c r="AF2013" t="str">
        <f t="shared" si="65"/>
        <v>TJ</v>
      </c>
    </row>
    <row r="2014" spans="1:32" x14ac:dyDescent="0.2">
      <c r="A2014" t="s">
        <v>1119</v>
      </c>
      <c r="B2014" t="s">
        <v>29</v>
      </c>
      <c r="C2014">
        <v>1013028581</v>
      </c>
      <c r="D2014" t="s">
        <v>982</v>
      </c>
      <c r="E2014" t="s">
        <v>31</v>
      </c>
      <c r="F2014" s="1">
        <v>0.67291666666666672</v>
      </c>
      <c r="G2014" t="s">
        <v>32</v>
      </c>
      <c r="H2014" t="s">
        <v>33</v>
      </c>
      <c r="I2014" t="s">
        <v>737</v>
      </c>
      <c r="J2014" t="s">
        <v>942</v>
      </c>
      <c r="K2014">
        <v>5</v>
      </c>
      <c r="L2014">
        <v>0</v>
      </c>
      <c r="M2014" t="s">
        <v>36</v>
      </c>
      <c r="N2014" t="s">
        <v>37</v>
      </c>
      <c r="O2014">
        <v>492342</v>
      </c>
      <c r="P2014">
        <v>40167</v>
      </c>
      <c r="Q2014">
        <v>8.1583500000000004</v>
      </c>
      <c r="R2014">
        <v>0</v>
      </c>
      <c r="S2014">
        <v>49.23</v>
      </c>
      <c r="T2014">
        <v>0.1</v>
      </c>
      <c r="U2014">
        <v>1E-3</v>
      </c>
      <c r="V2014">
        <v>0</v>
      </c>
      <c r="W2014">
        <v>2</v>
      </c>
      <c r="X2014">
        <v>0</v>
      </c>
      <c r="Y2014" t="s">
        <v>63</v>
      </c>
      <c r="Z2014">
        <v>492342</v>
      </c>
      <c r="AA2014">
        <v>429891</v>
      </c>
      <c r="AB2014">
        <v>38427</v>
      </c>
      <c r="AC2014" t="s">
        <v>687</v>
      </c>
      <c r="AD2014" t="str">
        <f t="shared" si="64"/>
        <v>BO</v>
      </c>
      <c r="AE2014" t="str">
        <f>_xlfn.XLOOKUP(D2014,Mapping!A:A,Mapping!D:D,0,0)</f>
        <v>General - Pre-roll - T3</v>
      </c>
      <c r="AF2014" t="str">
        <f t="shared" si="65"/>
        <v>TJ</v>
      </c>
    </row>
    <row r="2015" spans="1:32" x14ac:dyDescent="0.2">
      <c r="A2015" t="s">
        <v>1119</v>
      </c>
      <c r="B2015" t="s">
        <v>29</v>
      </c>
      <c r="C2015">
        <v>1013028591</v>
      </c>
      <c r="D2015" t="s">
        <v>983</v>
      </c>
      <c r="E2015" t="s">
        <v>31</v>
      </c>
      <c r="F2015" t="s">
        <v>246</v>
      </c>
      <c r="G2015" t="s">
        <v>247</v>
      </c>
      <c r="H2015" t="s">
        <v>33</v>
      </c>
      <c r="I2015" t="s">
        <v>41</v>
      </c>
      <c r="J2015" t="s">
        <v>942</v>
      </c>
      <c r="K2015">
        <v>4</v>
      </c>
      <c r="L2015">
        <v>0</v>
      </c>
      <c r="M2015" t="s">
        <v>36</v>
      </c>
      <c r="N2015" t="s">
        <v>37</v>
      </c>
      <c r="O2015">
        <v>7854420</v>
      </c>
      <c r="P2015">
        <v>6479</v>
      </c>
      <c r="Q2015">
        <v>8.2489999999999994E-2</v>
      </c>
      <c r="R2015">
        <v>0</v>
      </c>
      <c r="S2015">
        <v>78.540000000000006</v>
      </c>
      <c r="T2015">
        <v>0.01</v>
      </c>
      <c r="U2015">
        <v>1.2E-2</v>
      </c>
      <c r="V2015">
        <v>0</v>
      </c>
      <c r="W2015">
        <v>2</v>
      </c>
      <c r="X2015">
        <v>0</v>
      </c>
      <c r="Y2015" t="s">
        <v>63</v>
      </c>
      <c r="Z2015">
        <v>0</v>
      </c>
      <c r="AA2015">
        <v>0</v>
      </c>
      <c r="AB2015">
        <v>0</v>
      </c>
      <c r="AC2015" t="s">
        <v>687</v>
      </c>
      <c r="AD2015" t="str">
        <f t="shared" si="64"/>
        <v>NL</v>
      </c>
      <c r="AE2015" t="str">
        <f>_xlfn.XLOOKUP(D2015,Mapping!A:A,Mapping!D:D,0,0)</f>
        <v>Native - Watch</v>
      </c>
      <c r="AF2015" t="str">
        <f t="shared" si="65"/>
        <v>TJ</v>
      </c>
    </row>
    <row r="2016" spans="1:32" x14ac:dyDescent="0.2">
      <c r="A2016" t="s">
        <v>1119</v>
      </c>
      <c r="B2016" t="s">
        <v>29</v>
      </c>
      <c r="C2016">
        <v>1013028601</v>
      </c>
      <c r="D2016" t="s">
        <v>984</v>
      </c>
      <c r="E2016" t="s">
        <v>31</v>
      </c>
      <c r="F2016" s="1">
        <v>0.67291666666666672</v>
      </c>
      <c r="G2016" t="s">
        <v>32</v>
      </c>
      <c r="H2016" t="s">
        <v>33</v>
      </c>
      <c r="I2016" t="s">
        <v>737</v>
      </c>
      <c r="J2016" t="s">
        <v>942</v>
      </c>
      <c r="K2016">
        <v>5</v>
      </c>
      <c r="L2016">
        <v>0</v>
      </c>
      <c r="M2016" t="s">
        <v>36</v>
      </c>
      <c r="N2016" t="s">
        <v>37</v>
      </c>
      <c r="O2016">
        <v>654197</v>
      </c>
      <c r="P2016">
        <v>53079</v>
      </c>
      <c r="Q2016">
        <v>8.1136099999999995</v>
      </c>
      <c r="R2016">
        <v>0</v>
      </c>
      <c r="S2016">
        <v>65.42</v>
      </c>
      <c r="T2016">
        <v>0.1</v>
      </c>
      <c r="U2016">
        <v>1E-3</v>
      </c>
      <c r="V2016">
        <v>0</v>
      </c>
      <c r="W2016">
        <v>2</v>
      </c>
      <c r="X2016">
        <v>0</v>
      </c>
      <c r="Y2016" t="s">
        <v>63</v>
      </c>
      <c r="Z2016">
        <v>654197</v>
      </c>
      <c r="AA2016">
        <v>538070</v>
      </c>
      <c r="AB2016">
        <v>60115</v>
      </c>
      <c r="AC2016" t="s">
        <v>687</v>
      </c>
      <c r="AD2016" t="str">
        <f t="shared" si="64"/>
        <v>SG</v>
      </c>
      <c r="AE2016" t="str">
        <f>_xlfn.XLOOKUP(D2016,Mapping!A:A,Mapping!D:D,0,0)</f>
        <v>General - Pre-roll - T3</v>
      </c>
      <c r="AF2016" t="str">
        <f t="shared" si="65"/>
        <v>TJ</v>
      </c>
    </row>
    <row r="2017" spans="1:32" x14ac:dyDescent="0.2">
      <c r="A2017" t="s">
        <v>1119</v>
      </c>
      <c r="B2017" t="s">
        <v>29</v>
      </c>
      <c r="C2017">
        <v>1013028611</v>
      </c>
      <c r="D2017" t="s">
        <v>985</v>
      </c>
      <c r="E2017" t="s">
        <v>31</v>
      </c>
      <c r="F2017" s="1">
        <v>0.67291666666666672</v>
      </c>
      <c r="G2017" t="s">
        <v>32</v>
      </c>
      <c r="H2017" t="s">
        <v>33</v>
      </c>
      <c r="I2017" t="s">
        <v>737</v>
      </c>
      <c r="J2017" t="s">
        <v>942</v>
      </c>
      <c r="K2017">
        <v>5</v>
      </c>
      <c r="L2017">
        <v>0</v>
      </c>
      <c r="M2017" t="s">
        <v>36</v>
      </c>
      <c r="N2017" t="s">
        <v>37</v>
      </c>
      <c r="O2017">
        <v>501081</v>
      </c>
      <c r="P2017">
        <v>36583</v>
      </c>
      <c r="Q2017">
        <v>7.3008199999999999</v>
      </c>
      <c r="R2017">
        <v>0</v>
      </c>
      <c r="S2017">
        <v>50.11</v>
      </c>
      <c r="T2017">
        <v>0.1</v>
      </c>
      <c r="U2017">
        <v>1E-3</v>
      </c>
      <c r="V2017">
        <v>0</v>
      </c>
      <c r="W2017">
        <v>2</v>
      </c>
      <c r="X2017">
        <v>0</v>
      </c>
      <c r="Y2017" t="s">
        <v>63</v>
      </c>
      <c r="Z2017">
        <v>501081</v>
      </c>
      <c r="AA2017">
        <v>433848</v>
      </c>
      <c r="AB2017">
        <v>41773</v>
      </c>
      <c r="AC2017" t="s">
        <v>687</v>
      </c>
      <c r="AD2017" t="str">
        <f t="shared" si="64"/>
        <v>TN</v>
      </c>
      <c r="AE2017" t="str">
        <f>_xlfn.XLOOKUP(D2017,Mapping!A:A,Mapping!D:D,0,0)</f>
        <v>General - Pre-roll - T3</v>
      </c>
      <c r="AF2017" t="str">
        <f t="shared" si="65"/>
        <v>TJ</v>
      </c>
    </row>
    <row r="2018" spans="1:32" x14ac:dyDescent="0.2">
      <c r="A2018" t="s">
        <v>1119</v>
      </c>
      <c r="B2018" t="s">
        <v>29</v>
      </c>
      <c r="C2018">
        <v>1013028621</v>
      </c>
      <c r="D2018" t="s">
        <v>986</v>
      </c>
      <c r="E2018" t="s">
        <v>31</v>
      </c>
      <c r="F2018" s="1">
        <v>0.67291666666666672</v>
      </c>
      <c r="G2018" t="s">
        <v>32</v>
      </c>
      <c r="H2018" t="s">
        <v>33</v>
      </c>
      <c r="I2018" t="s">
        <v>737</v>
      </c>
      <c r="J2018" t="s">
        <v>942</v>
      </c>
      <c r="K2018">
        <v>5</v>
      </c>
      <c r="L2018">
        <v>0</v>
      </c>
      <c r="M2018" t="s">
        <v>36</v>
      </c>
      <c r="N2018" t="s">
        <v>37</v>
      </c>
      <c r="O2018">
        <v>551488</v>
      </c>
      <c r="P2018">
        <v>33942</v>
      </c>
      <c r="Q2018">
        <v>6.1546200000000004</v>
      </c>
      <c r="R2018">
        <v>1</v>
      </c>
      <c r="S2018">
        <v>55.15</v>
      </c>
      <c r="T2018">
        <v>0.1</v>
      </c>
      <c r="U2018">
        <v>2E-3</v>
      </c>
      <c r="V2018">
        <v>55.149000000000001</v>
      </c>
      <c r="W2018">
        <v>2</v>
      </c>
      <c r="X2018">
        <v>0</v>
      </c>
      <c r="Y2018" t="s">
        <v>63</v>
      </c>
      <c r="Z2018">
        <v>551488</v>
      </c>
      <c r="AA2018">
        <v>482458</v>
      </c>
      <c r="AB2018">
        <v>46052</v>
      </c>
      <c r="AC2018" t="s">
        <v>687</v>
      </c>
      <c r="AD2018" t="str">
        <f t="shared" si="64"/>
        <v>AZ</v>
      </c>
      <c r="AE2018" t="str">
        <f>_xlfn.XLOOKUP(D2018,Mapping!A:A,Mapping!D:D,0,0)</f>
        <v>General - Pre-roll - T3</v>
      </c>
      <c r="AF2018" t="str">
        <f t="shared" si="65"/>
        <v>TJ</v>
      </c>
    </row>
    <row r="2019" spans="1:32" x14ac:dyDescent="0.2">
      <c r="A2019" t="s">
        <v>1119</v>
      </c>
      <c r="B2019" t="s">
        <v>29</v>
      </c>
      <c r="C2019">
        <v>1013028631</v>
      </c>
      <c r="D2019" t="s">
        <v>987</v>
      </c>
      <c r="E2019" t="s">
        <v>31</v>
      </c>
      <c r="F2019" s="1">
        <v>0.67291666666666672</v>
      </c>
      <c r="G2019" t="s">
        <v>32</v>
      </c>
      <c r="H2019" t="s">
        <v>33</v>
      </c>
      <c r="I2019" t="s">
        <v>737</v>
      </c>
      <c r="J2019" t="s">
        <v>942</v>
      </c>
      <c r="K2019">
        <v>5</v>
      </c>
      <c r="L2019">
        <v>0</v>
      </c>
      <c r="M2019" t="s">
        <v>36</v>
      </c>
      <c r="N2019" t="s">
        <v>37</v>
      </c>
      <c r="O2019">
        <v>358351</v>
      </c>
      <c r="P2019">
        <v>29985</v>
      </c>
      <c r="Q2019">
        <v>8.3674900000000001</v>
      </c>
      <c r="R2019">
        <v>0</v>
      </c>
      <c r="S2019">
        <v>35.840000000000003</v>
      </c>
      <c r="T2019">
        <v>0.1</v>
      </c>
      <c r="U2019">
        <v>1E-3</v>
      </c>
      <c r="V2019">
        <v>0</v>
      </c>
      <c r="W2019">
        <v>2</v>
      </c>
      <c r="X2019">
        <v>0</v>
      </c>
      <c r="Y2019" t="s">
        <v>63</v>
      </c>
      <c r="Z2019">
        <v>358351</v>
      </c>
      <c r="AA2019">
        <v>311106</v>
      </c>
      <c r="AB2019">
        <v>28110</v>
      </c>
      <c r="AC2019" t="s">
        <v>687</v>
      </c>
      <c r="AD2019" t="str">
        <f t="shared" si="64"/>
        <v>HN</v>
      </c>
      <c r="AE2019" t="str">
        <f>_xlfn.XLOOKUP(D2019,Mapping!A:A,Mapping!D:D,0,0)</f>
        <v>General</v>
      </c>
      <c r="AF2019" t="str">
        <f t="shared" si="65"/>
        <v>TJ</v>
      </c>
    </row>
    <row r="2020" spans="1:32" x14ac:dyDescent="0.2">
      <c r="A2020" t="s">
        <v>1119</v>
      </c>
      <c r="B2020" t="s">
        <v>29</v>
      </c>
      <c r="C2020">
        <v>1013028641</v>
      </c>
      <c r="D2020" t="s">
        <v>988</v>
      </c>
      <c r="E2020" t="s">
        <v>31</v>
      </c>
      <c r="F2020" s="1">
        <v>0.67291666666666672</v>
      </c>
      <c r="G2020" t="s">
        <v>32</v>
      </c>
      <c r="H2020" t="s">
        <v>33</v>
      </c>
      <c r="I2020" t="s">
        <v>737</v>
      </c>
      <c r="J2020" t="s">
        <v>942</v>
      </c>
      <c r="K2020">
        <v>5</v>
      </c>
      <c r="L2020">
        <v>0</v>
      </c>
      <c r="M2020" t="s">
        <v>36</v>
      </c>
      <c r="N2020" t="s">
        <v>37</v>
      </c>
      <c r="O2020">
        <v>157037</v>
      </c>
      <c r="P2020">
        <v>12079</v>
      </c>
      <c r="Q2020">
        <v>7.6918199999999999</v>
      </c>
      <c r="R2020">
        <v>1</v>
      </c>
      <c r="S2020">
        <v>15.7</v>
      </c>
      <c r="T2020">
        <v>0.1</v>
      </c>
      <c r="U2020">
        <v>1E-3</v>
      </c>
      <c r="V2020">
        <v>15.704000000000001</v>
      </c>
      <c r="W2020">
        <v>2</v>
      </c>
      <c r="X2020">
        <v>0</v>
      </c>
      <c r="Y2020" t="s">
        <v>63</v>
      </c>
      <c r="Z2020">
        <v>157037</v>
      </c>
      <c r="AA2020">
        <v>137294</v>
      </c>
      <c r="AB2020">
        <v>12502</v>
      </c>
      <c r="AC2020" t="s">
        <v>687</v>
      </c>
      <c r="AD2020" t="str">
        <f t="shared" si="64"/>
        <v>PY</v>
      </c>
      <c r="AE2020" t="str">
        <f>_xlfn.XLOOKUP(D2020,Mapping!A:A,Mapping!D:D,0,0)</f>
        <v>General</v>
      </c>
      <c r="AF2020" t="str">
        <f t="shared" si="65"/>
        <v>TJ</v>
      </c>
    </row>
    <row r="2021" spans="1:32" x14ac:dyDescent="0.2">
      <c r="A2021" t="s">
        <v>1119</v>
      </c>
      <c r="B2021" t="s">
        <v>29</v>
      </c>
      <c r="C2021">
        <v>1013028651</v>
      </c>
      <c r="D2021" t="s">
        <v>989</v>
      </c>
      <c r="E2021" t="s">
        <v>31</v>
      </c>
      <c r="F2021" s="1">
        <v>0.67291666666666672</v>
      </c>
      <c r="G2021" t="s">
        <v>32</v>
      </c>
      <c r="H2021" t="s">
        <v>33</v>
      </c>
      <c r="I2021" t="s">
        <v>737</v>
      </c>
      <c r="J2021" t="s">
        <v>942</v>
      </c>
      <c r="K2021">
        <v>5</v>
      </c>
      <c r="L2021">
        <v>0</v>
      </c>
      <c r="M2021" t="s">
        <v>36</v>
      </c>
      <c r="N2021" t="s">
        <v>37</v>
      </c>
      <c r="O2021">
        <v>342113</v>
      </c>
      <c r="P2021">
        <v>26234</v>
      </c>
      <c r="Q2021">
        <v>7.6682300000000003</v>
      </c>
      <c r="R2021">
        <v>0</v>
      </c>
      <c r="S2021">
        <v>34.21</v>
      </c>
      <c r="T2021">
        <v>0.1</v>
      </c>
      <c r="U2021">
        <v>1E-3</v>
      </c>
      <c r="V2021">
        <v>0</v>
      </c>
      <c r="W2021">
        <v>2</v>
      </c>
      <c r="X2021">
        <v>0</v>
      </c>
      <c r="Y2021" t="s">
        <v>63</v>
      </c>
      <c r="Z2021">
        <v>342113</v>
      </c>
      <c r="AA2021">
        <v>298396</v>
      </c>
      <c r="AB2021">
        <v>27597</v>
      </c>
      <c r="AC2021" t="s">
        <v>687</v>
      </c>
      <c r="AD2021" t="str">
        <f t="shared" si="64"/>
        <v>SV</v>
      </c>
      <c r="AE2021" t="str">
        <f>_xlfn.XLOOKUP(D2021,Mapping!A:A,Mapping!D:D,0,0)</f>
        <v>General</v>
      </c>
      <c r="AF2021" t="str">
        <f t="shared" si="65"/>
        <v>TJ</v>
      </c>
    </row>
    <row r="2022" spans="1:32" x14ac:dyDescent="0.2">
      <c r="A2022" t="s">
        <v>1119</v>
      </c>
      <c r="B2022" t="s">
        <v>29</v>
      </c>
      <c r="C2022">
        <v>1013028661</v>
      </c>
      <c r="D2022" t="s">
        <v>990</v>
      </c>
      <c r="E2022" t="s">
        <v>31</v>
      </c>
      <c r="F2022" t="s">
        <v>246</v>
      </c>
      <c r="G2022" t="s">
        <v>247</v>
      </c>
      <c r="H2022" t="s">
        <v>33</v>
      </c>
      <c r="I2022" t="s">
        <v>41</v>
      </c>
      <c r="J2022" t="s">
        <v>942</v>
      </c>
      <c r="K2022">
        <v>4</v>
      </c>
      <c r="L2022">
        <v>0</v>
      </c>
      <c r="M2022" t="s">
        <v>36</v>
      </c>
      <c r="N2022" t="s">
        <v>37</v>
      </c>
      <c r="O2022">
        <v>7484336</v>
      </c>
      <c r="P2022">
        <v>16701</v>
      </c>
      <c r="Q2022">
        <v>0.22314999999999999</v>
      </c>
      <c r="R2022">
        <v>0</v>
      </c>
      <c r="S2022">
        <v>74.84</v>
      </c>
      <c r="T2022">
        <v>0.01</v>
      </c>
      <c r="U2022">
        <v>4.0000000000000001E-3</v>
      </c>
      <c r="V2022">
        <v>0</v>
      </c>
      <c r="W2022">
        <v>2</v>
      </c>
      <c r="X2022">
        <v>0</v>
      </c>
      <c r="Y2022" t="s">
        <v>63</v>
      </c>
      <c r="Z2022">
        <v>0</v>
      </c>
      <c r="AA2022">
        <v>0</v>
      </c>
      <c r="AB2022">
        <v>0</v>
      </c>
      <c r="AC2022" t="s">
        <v>687</v>
      </c>
      <c r="AD2022" t="str">
        <f t="shared" si="64"/>
        <v>UA</v>
      </c>
      <c r="AE2022" t="str">
        <f>_xlfn.XLOOKUP(D2022,Mapping!A:A,Mapping!D:D,0,0)</f>
        <v>Native - Watch</v>
      </c>
      <c r="AF2022" t="str">
        <f t="shared" si="65"/>
        <v>TJ</v>
      </c>
    </row>
    <row r="2023" spans="1:32" x14ac:dyDescent="0.2">
      <c r="A2023" t="s">
        <v>1119</v>
      </c>
      <c r="B2023" t="s">
        <v>29</v>
      </c>
      <c r="C2023">
        <v>1013028681</v>
      </c>
      <c r="D2023" t="s">
        <v>991</v>
      </c>
      <c r="E2023" t="s">
        <v>31</v>
      </c>
      <c r="F2023" t="s">
        <v>246</v>
      </c>
      <c r="G2023" t="s">
        <v>247</v>
      </c>
      <c r="H2023" t="s">
        <v>33</v>
      </c>
      <c r="I2023" t="s">
        <v>41</v>
      </c>
      <c r="J2023" t="s">
        <v>942</v>
      </c>
      <c r="K2023">
        <v>4</v>
      </c>
      <c r="L2023">
        <v>0</v>
      </c>
      <c r="M2023" t="s">
        <v>36</v>
      </c>
      <c r="N2023" t="s">
        <v>37</v>
      </c>
      <c r="O2023">
        <v>3823921</v>
      </c>
      <c r="P2023">
        <v>2555</v>
      </c>
      <c r="Q2023">
        <v>6.6820000000000004E-2</v>
      </c>
      <c r="R2023">
        <v>0</v>
      </c>
      <c r="S2023">
        <v>38.24</v>
      </c>
      <c r="T2023">
        <v>0.01</v>
      </c>
      <c r="U2023">
        <v>1.4999999999999999E-2</v>
      </c>
      <c r="V2023">
        <v>0</v>
      </c>
      <c r="W2023">
        <v>2</v>
      </c>
      <c r="X2023">
        <v>0</v>
      </c>
      <c r="Y2023" t="s">
        <v>63</v>
      </c>
      <c r="Z2023">
        <v>0</v>
      </c>
      <c r="AA2023">
        <v>0</v>
      </c>
      <c r="AB2023">
        <v>0</v>
      </c>
      <c r="AC2023" t="s">
        <v>687</v>
      </c>
      <c r="AD2023" t="str">
        <f t="shared" si="64"/>
        <v>EG</v>
      </c>
      <c r="AE2023" t="str">
        <f>_xlfn.XLOOKUP(D2023,Mapping!A:A,Mapping!D:D,0,0)</f>
        <v>Native - Watch</v>
      </c>
      <c r="AF2023" t="str">
        <f t="shared" si="65"/>
        <v>TJ</v>
      </c>
    </row>
    <row r="2024" spans="1:32" x14ac:dyDescent="0.2">
      <c r="A2024" t="s">
        <v>1119</v>
      </c>
      <c r="B2024" t="s">
        <v>29</v>
      </c>
      <c r="C2024">
        <v>1013028691</v>
      </c>
      <c r="D2024" t="s">
        <v>992</v>
      </c>
      <c r="E2024" t="s">
        <v>31</v>
      </c>
      <c r="F2024" t="s">
        <v>246</v>
      </c>
      <c r="G2024" t="s">
        <v>247</v>
      </c>
      <c r="H2024" t="s">
        <v>33</v>
      </c>
      <c r="I2024" t="s">
        <v>41</v>
      </c>
      <c r="J2024" t="s">
        <v>942</v>
      </c>
      <c r="K2024">
        <v>4</v>
      </c>
      <c r="L2024">
        <v>0</v>
      </c>
      <c r="M2024" t="s">
        <v>36</v>
      </c>
      <c r="N2024" t="s">
        <v>37</v>
      </c>
      <c r="O2024">
        <v>6730532</v>
      </c>
      <c r="P2024">
        <v>7873</v>
      </c>
      <c r="Q2024">
        <v>0.11697</v>
      </c>
      <c r="R2024">
        <v>0</v>
      </c>
      <c r="S2024">
        <v>67.31</v>
      </c>
      <c r="T2024">
        <v>0.01</v>
      </c>
      <c r="U2024">
        <v>8.9999999999999993E-3</v>
      </c>
      <c r="V2024">
        <v>0</v>
      </c>
      <c r="W2024">
        <v>2</v>
      </c>
      <c r="X2024">
        <v>0</v>
      </c>
      <c r="Y2024" t="s">
        <v>63</v>
      </c>
      <c r="Z2024">
        <v>0</v>
      </c>
      <c r="AA2024">
        <v>0</v>
      </c>
      <c r="AB2024">
        <v>0</v>
      </c>
      <c r="AC2024" t="s">
        <v>687</v>
      </c>
      <c r="AD2024" t="str">
        <f t="shared" si="64"/>
        <v>MA</v>
      </c>
      <c r="AE2024" t="str">
        <f>_xlfn.XLOOKUP(D2024,Mapping!A:A,Mapping!D:D,0,0)</f>
        <v>Native - Watch</v>
      </c>
      <c r="AF2024" t="str">
        <f t="shared" si="65"/>
        <v>TJ</v>
      </c>
    </row>
    <row r="2025" spans="1:32" x14ac:dyDescent="0.2">
      <c r="A2025" t="s">
        <v>1119</v>
      </c>
      <c r="B2025" t="s">
        <v>29</v>
      </c>
      <c r="C2025">
        <v>1013028701</v>
      </c>
      <c r="D2025" t="s">
        <v>993</v>
      </c>
      <c r="E2025" t="s">
        <v>31</v>
      </c>
      <c r="F2025" t="s">
        <v>246</v>
      </c>
      <c r="G2025" t="s">
        <v>247</v>
      </c>
      <c r="H2025" t="s">
        <v>33</v>
      </c>
      <c r="I2025" t="s">
        <v>41</v>
      </c>
      <c r="J2025" t="s">
        <v>942</v>
      </c>
      <c r="K2025">
        <v>4</v>
      </c>
      <c r="L2025">
        <v>0</v>
      </c>
      <c r="M2025" t="s">
        <v>36</v>
      </c>
      <c r="N2025" t="s">
        <v>37</v>
      </c>
      <c r="O2025">
        <v>5966641</v>
      </c>
      <c r="P2025">
        <v>8961</v>
      </c>
      <c r="Q2025">
        <v>0.15018000000000001</v>
      </c>
      <c r="R2025">
        <v>0</v>
      </c>
      <c r="S2025">
        <v>59.67</v>
      </c>
      <c r="T2025">
        <v>0.01</v>
      </c>
      <c r="U2025">
        <v>7.0000000000000001E-3</v>
      </c>
      <c r="V2025">
        <v>0</v>
      </c>
      <c r="W2025">
        <v>2</v>
      </c>
      <c r="X2025">
        <v>0</v>
      </c>
      <c r="Y2025" t="s">
        <v>63</v>
      </c>
      <c r="Z2025">
        <v>0</v>
      </c>
      <c r="AA2025">
        <v>0</v>
      </c>
      <c r="AB2025">
        <v>0</v>
      </c>
      <c r="AC2025" t="s">
        <v>687</v>
      </c>
      <c r="AD2025" t="str">
        <f t="shared" si="64"/>
        <v>PE</v>
      </c>
      <c r="AE2025" t="str">
        <f>_xlfn.XLOOKUP(D2025,Mapping!A:A,Mapping!D:D,0,0)</f>
        <v>Native - Watch</v>
      </c>
      <c r="AF2025" t="str">
        <f t="shared" si="65"/>
        <v>TJ</v>
      </c>
    </row>
    <row r="2026" spans="1:32" x14ac:dyDescent="0.2">
      <c r="A2026" t="s">
        <v>1119</v>
      </c>
      <c r="B2026" t="s">
        <v>29</v>
      </c>
      <c r="C2026">
        <v>1013028711</v>
      </c>
      <c r="D2026" t="s">
        <v>994</v>
      </c>
      <c r="E2026" t="s">
        <v>31</v>
      </c>
      <c r="F2026" t="s">
        <v>246</v>
      </c>
      <c r="G2026" t="s">
        <v>247</v>
      </c>
      <c r="H2026" t="s">
        <v>33</v>
      </c>
      <c r="I2026" t="s">
        <v>41</v>
      </c>
      <c r="J2026" t="s">
        <v>942</v>
      </c>
      <c r="K2026">
        <v>4</v>
      </c>
      <c r="L2026">
        <v>0</v>
      </c>
      <c r="M2026" t="s">
        <v>36</v>
      </c>
      <c r="N2026" t="s">
        <v>37</v>
      </c>
      <c r="O2026">
        <v>7370341</v>
      </c>
      <c r="P2026">
        <v>10568</v>
      </c>
      <c r="Q2026">
        <v>0.14338000000000001</v>
      </c>
      <c r="R2026">
        <v>1</v>
      </c>
      <c r="S2026">
        <v>73.7</v>
      </c>
      <c r="T2026">
        <v>0.01</v>
      </c>
      <c r="U2026">
        <v>7.0000000000000001E-3</v>
      </c>
      <c r="V2026">
        <v>73.703000000000003</v>
      </c>
      <c r="W2026">
        <v>2</v>
      </c>
      <c r="X2026">
        <v>0</v>
      </c>
      <c r="Y2026" t="s">
        <v>63</v>
      </c>
      <c r="Z2026">
        <v>0</v>
      </c>
      <c r="AA2026">
        <v>0</v>
      </c>
      <c r="AB2026">
        <v>0</v>
      </c>
      <c r="AC2026" t="s">
        <v>687</v>
      </c>
      <c r="AD2026" t="str">
        <f t="shared" si="64"/>
        <v>PO</v>
      </c>
      <c r="AE2026" t="str">
        <f>_xlfn.XLOOKUP(D2026,Mapping!A:A,Mapping!D:D,0,0)</f>
        <v>Native - Watch</v>
      </c>
      <c r="AF2026" t="str">
        <f t="shared" si="65"/>
        <v>TJ</v>
      </c>
    </row>
    <row r="2027" spans="1:32" x14ac:dyDescent="0.2">
      <c r="A2027" t="s">
        <v>1119</v>
      </c>
      <c r="B2027" t="s">
        <v>29</v>
      </c>
      <c r="C2027">
        <v>1013028731</v>
      </c>
      <c r="D2027" t="s">
        <v>995</v>
      </c>
      <c r="E2027" t="s">
        <v>31</v>
      </c>
      <c r="F2027" t="s">
        <v>246</v>
      </c>
      <c r="G2027" t="s">
        <v>247</v>
      </c>
      <c r="H2027" t="s">
        <v>33</v>
      </c>
      <c r="I2027" t="s">
        <v>41</v>
      </c>
      <c r="J2027" t="s">
        <v>942</v>
      </c>
      <c r="K2027">
        <v>4</v>
      </c>
      <c r="L2027">
        <v>0</v>
      </c>
      <c r="M2027" t="s">
        <v>36</v>
      </c>
      <c r="N2027" t="s">
        <v>37</v>
      </c>
      <c r="O2027">
        <v>2967382</v>
      </c>
      <c r="P2027">
        <v>2086</v>
      </c>
      <c r="Q2027">
        <v>7.0300000000000001E-2</v>
      </c>
      <c r="R2027">
        <v>0</v>
      </c>
      <c r="S2027">
        <v>59.35</v>
      </c>
      <c r="T2027">
        <v>0.02</v>
      </c>
      <c r="U2027">
        <v>2.8000000000000001E-2</v>
      </c>
      <c r="V2027">
        <v>0</v>
      </c>
      <c r="W2027">
        <v>2</v>
      </c>
      <c r="X2027">
        <v>0</v>
      </c>
      <c r="Y2027" t="s">
        <v>63</v>
      </c>
      <c r="Z2027">
        <v>0</v>
      </c>
      <c r="AA2027">
        <v>0</v>
      </c>
      <c r="AB2027">
        <v>0</v>
      </c>
      <c r="AC2027" t="s">
        <v>687</v>
      </c>
      <c r="AD2027" t="str">
        <f t="shared" si="64"/>
        <v>AU</v>
      </c>
      <c r="AE2027" t="str">
        <f>_xlfn.XLOOKUP(D2027,Mapping!A:A,Mapping!D:D,0,0)</f>
        <v>Native - Watch</v>
      </c>
      <c r="AF2027" t="str">
        <f t="shared" si="65"/>
        <v>TJ</v>
      </c>
    </row>
    <row r="2028" spans="1:32" x14ac:dyDescent="0.2">
      <c r="A2028" t="s">
        <v>1119</v>
      </c>
      <c r="B2028" t="s">
        <v>29</v>
      </c>
      <c r="C2028">
        <v>1013028741</v>
      </c>
      <c r="D2028" t="s">
        <v>996</v>
      </c>
      <c r="E2028" t="s">
        <v>31</v>
      </c>
      <c r="F2028" t="s">
        <v>246</v>
      </c>
      <c r="G2028" t="s">
        <v>247</v>
      </c>
      <c r="H2028" t="s">
        <v>33</v>
      </c>
      <c r="I2028" t="s">
        <v>41</v>
      </c>
      <c r="J2028" t="s">
        <v>942</v>
      </c>
      <c r="K2028">
        <v>4</v>
      </c>
      <c r="L2028">
        <v>0</v>
      </c>
      <c r="M2028" t="s">
        <v>36</v>
      </c>
      <c r="N2028" t="s">
        <v>37</v>
      </c>
      <c r="O2028">
        <v>9435268</v>
      </c>
      <c r="P2028">
        <v>15185</v>
      </c>
      <c r="Q2028">
        <v>0.16094</v>
      </c>
      <c r="R2028">
        <v>1</v>
      </c>
      <c r="S2028">
        <v>94.35</v>
      </c>
      <c r="T2028">
        <v>0.01</v>
      </c>
      <c r="U2028">
        <v>6.0000000000000001E-3</v>
      </c>
      <c r="V2028">
        <v>94.352999999999994</v>
      </c>
      <c r="W2028">
        <v>2</v>
      </c>
      <c r="X2028">
        <v>0</v>
      </c>
      <c r="Y2028" t="s">
        <v>63</v>
      </c>
      <c r="Z2028">
        <v>0</v>
      </c>
      <c r="AA2028">
        <v>0</v>
      </c>
      <c r="AB2028">
        <v>0</v>
      </c>
      <c r="AC2028" t="s">
        <v>687</v>
      </c>
      <c r="AD2028" t="str">
        <f t="shared" si="64"/>
        <v>ES</v>
      </c>
      <c r="AE2028" t="str">
        <f>_xlfn.XLOOKUP(D2028,Mapping!A:A,Mapping!D:D,0,0)</f>
        <v>Native - Watch</v>
      </c>
      <c r="AF2028" t="str">
        <f t="shared" si="65"/>
        <v>TJ</v>
      </c>
    </row>
    <row r="2029" spans="1:32" x14ac:dyDescent="0.2">
      <c r="A2029" t="s">
        <v>1119</v>
      </c>
      <c r="B2029" t="s">
        <v>29</v>
      </c>
      <c r="C2029">
        <v>1013028761</v>
      </c>
      <c r="D2029" t="s">
        <v>997</v>
      </c>
      <c r="E2029" t="s">
        <v>31</v>
      </c>
      <c r="F2029" t="s">
        <v>246</v>
      </c>
      <c r="G2029" t="s">
        <v>247</v>
      </c>
      <c r="H2029" t="s">
        <v>33</v>
      </c>
      <c r="I2029" t="s">
        <v>41</v>
      </c>
      <c r="J2029" t="s">
        <v>942</v>
      </c>
      <c r="K2029">
        <v>4</v>
      </c>
      <c r="L2029">
        <v>0</v>
      </c>
      <c r="M2029" t="s">
        <v>36</v>
      </c>
      <c r="N2029" t="s">
        <v>37</v>
      </c>
      <c r="O2029">
        <v>3028542</v>
      </c>
      <c r="P2029">
        <v>6861</v>
      </c>
      <c r="Q2029">
        <v>0.22653999999999999</v>
      </c>
      <c r="R2029">
        <v>0</v>
      </c>
      <c r="S2029">
        <v>30.29</v>
      </c>
      <c r="T2029">
        <v>0.01</v>
      </c>
      <c r="U2029">
        <v>4.0000000000000001E-3</v>
      </c>
      <c r="V2029">
        <v>0</v>
      </c>
      <c r="W2029">
        <v>2</v>
      </c>
      <c r="X2029">
        <v>0</v>
      </c>
      <c r="Y2029" t="s">
        <v>63</v>
      </c>
      <c r="Z2029">
        <v>0</v>
      </c>
      <c r="AA2029">
        <v>0</v>
      </c>
      <c r="AB2029">
        <v>0</v>
      </c>
      <c r="AC2029" t="s">
        <v>687</v>
      </c>
      <c r="AD2029" t="str">
        <f t="shared" si="64"/>
        <v>ZA</v>
      </c>
      <c r="AE2029" t="str">
        <f>_xlfn.XLOOKUP(D2029,Mapping!A:A,Mapping!D:D,0,0)</f>
        <v>Native - Watch</v>
      </c>
      <c r="AF2029" t="str">
        <f t="shared" si="65"/>
        <v>TJ</v>
      </c>
    </row>
    <row r="2030" spans="1:32" x14ac:dyDescent="0.2">
      <c r="A2030" t="s">
        <v>1119</v>
      </c>
      <c r="B2030" t="s">
        <v>29</v>
      </c>
      <c r="C2030">
        <v>1013028771</v>
      </c>
      <c r="D2030" t="s">
        <v>998</v>
      </c>
      <c r="E2030" t="s">
        <v>31</v>
      </c>
      <c r="F2030" t="s">
        <v>246</v>
      </c>
      <c r="G2030" t="s">
        <v>247</v>
      </c>
      <c r="H2030" t="s">
        <v>33</v>
      </c>
      <c r="I2030" t="s">
        <v>41</v>
      </c>
      <c r="J2030" t="s">
        <v>942</v>
      </c>
      <c r="K2030">
        <v>4</v>
      </c>
      <c r="L2030">
        <v>0</v>
      </c>
      <c r="M2030" t="s">
        <v>36</v>
      </c>
      <c r="N2030" t="s">
        <v>37</v>
      </c>
      <c r="O2030">
        <v>4945065</v>
      </c>
      <c r="P2030">
        <v>3769</v>
      </c>
      <c r="Q2030">
        <v>7.6219999999999996E-2</v>
      </c>
      <c r="R2030">
        <v>0</v>
      </c>
      <c r="S2030">
        <v>49.45</v>
      </c>
      <c r="T2030">
        <v>0.01</v>
      </c>
      <c r="U2030">
        <v>1.2999999999999999E-2</v>
      </c>
      <c r="V2030">
        <v>0</v>
      </c>
      <c r="W2030">
        <v>2</v>
      </c>
      <c r="X2030">
        <v>0</v>
      </c>
      <c r="Y2030" t="s">
        <v>63</v>
      </c>
      <c r="Z2030">
        <v>0</v>
      </c>
      <c r="AA2030">
        <v>0</v>
      </c>
      <c r="AB2030">
        <v>0</v>
      </c>
      <c r="AC2030" t="s">
        <v>687</v>
      </c>
      <c r="AD2030" t="str">
        <f t="shared" si="64"/>
        <v>SG</v>
      </c>
      <c r="AE2030" t="str">
        <f>_xlfn.XLOOKUP(D2030,Mapping!A:A,Mapping!D:D,0,0)</f>
        <v>Native - Watch</v>
      </c>
      <c r="AF2030" t="str">
        <f t="shared" si="65"/>
        <v>TJ</v>
      </c>
    </row>
    <row r="2031" spans="1:32" x14ac:dyDescent="0.2">
      <c r="A2031" t="s">
        <v>1119</v>
      </c>
      <c r="B2031" t="s">
        <v>29</v>
      </c>
      <c r="C2031">
        <v>1013028781</v>
      </c>
      <c r="D2031" t="s">
        <v>999</v>
      </c>
      <c r="E2031" t="s">
        <v>31</v>
      </c>
      <c r="F2031" t="s">
        <v>246</v>
      </c>
      <c r="G2031" t="s">
        <v>247</v>
      </c>
      <c r="H2031" t="s">
        <v>33</v>
      </c>
      <c r="I2031" t="s">
        <v>41</v>
      </c>
      <c r="J2031" t="s">
        <v>942</v>
      </c>
      <c r="K2031">
        <v>4</v>
      </c>
      <c r="L2031">
        <v>0</v>
      </c>
      <c r="M2031" t="s">
        <v>36</v>
      </c>
      <c r="N2031" t="s">
        <v>37</v>
      </c>
      <c r="O2031">
        <v>3735902</v>
      </c>
      <c r="P2031">
        <v>4591</v>
      </c>
      <c r="Q2031">
        <v>0.12289</v>
      </c>
      <c r="R2031">
        <v>0</v>
      </c>
      <c r="S2031">
        <v>37.36</v>
      </c>
      <c r="T2031">
        <v>0.01</v>
      </c>
      <c r="U2031">
        <v>8.0000000000000002E-3</v>
      </c>
      <c r="V2031">
        <v>0</v>
      </c>
      <c r="W2031">
        <v>2</v>
      </c>
      <c r="X2031">
        <v>0</v>
      </c>
      <c r="Y2031" t="s">
        <v>63</v>
      </c>
      <c r="Z2031">
        <v>0</v>
      </c>
      <c r="AA2031">
        <v>0</v>
      </c>
      <c r="AB2031">
        <v>0</v>
      </c>
      <c r="AC2031" t="s">
        <v>687</v>
      </c>
      <c r="AD2031" t="str">
        <f t="shared" si="64"/>
        <v>EC</v>
      </c>
      <c r="AE2031" t="str">
        <f>_xlfn.XLOOKUP(D2031,Mapping!A:A,Mapping!D:D,0,0)</f>
        <v>Native - Watch</v>
      </c>
      <c r="AF2031" t="str">
        <f t="shared" si="65"/>
        <v>TJ</v>
      </c>
    </row>
    <row r="2032" spans="1:32" x14ac:dyDescent="0.2">
      <c r="A2032" t="s">
        <v>1119</v>
      </c>
      <c r="B2032" t="s">
        <v>29</v>
      </c>
      <c r="C2032">
        <v>1013028791</v>
      </c>
      <c r="D2032" t="s">
        <v>1000</v>
      </c>
      <c r="E2032" t="s">
        <v>31</v>
      </c>
      <c r="F2032" t="s">
        <v>246</v>
      </c>
      <c r="G2032" t="s">
        <v>247</v>
      </c>
      <c r="H2032" t="s">
        <v>33</v>
      </c>
      <c r="I2032" t="s">
        <v>41</v>
      </c>
      <c r="J2032" t="s">
        <v>942</v>
      </c>
      <c r="K2032">
        <v>4</v>
      </c>
      <c r="L2032">
        <v>0</v>
      </c>
      <c r="M2032" t="s">
        <v>36</v>
      </c>
      <c r="N2032" t="s">
        <v>37</v>
      </c>
      <c r="O2032">
        <v>2130258</v>
      </c>
      <c r="P2032">
        <v>3549</v>
      </c>
      <c r="Q2032">
        <v>0.1666</v>
      </c>
      <c r="R2032">
        <v>0</v>
      </c>
      <c r="S2032">
        <v>21.3</v>
      </c>
      <c r="T2032">
        <v>0.01</v>
      </c>
      <c r="U2032">
        <v>6.0000000000000001E-3</v>
      </c>
      <c r="V2032">
        <v>0</v>
      </c>
      <c r="W2032">
        <v>2</v>
      </c>
      <c r="X2032">
        <v>0</v>
      </c>
      <c r="Y2032" t="s">
        <v>63</v>
      </c>
      <c r="Z2032">
        <v>0</v>
      </c>
      <c r="AA2032">
        <v>0</v>
      </c>
      <c r="AB2032">
        <v>0</v>
      </c>
      <c r="AC2032" t="s">
        <v>687</v>
      </c>
      <c r="AD2032" t="str">
        <f t="shared" si="64"/>
        <v>JP</v>
      </c>
      <c r="AE2032" t="str">
        <f>_xlfn.XLOOKUP(D2032,Mapping!A:A,Mapping!D:D,0,0)</f>
        <v>Native - Watch</v>
      </c>
      <c r="AF2032" t="str">
        <f t="shared" si="65"/>
        <v>TJ</v>
      </c>
    </row>
    <row r="2033" spans="1:32" x14ac:dyDescent="0.2">
      <c r="A2033" t="s">
        <v>1119</v>
      </c>
      <c r="B2033" t="s">
        <v>29</v>
      </c>
      <c r="C2033">
        <v>1013028801</v>
      </c>
      <c r="D2033" t="s">
        <v>1001</v>
      </c>
      <c r="E2033" t="s">
        <v>31</v>
      </c>
      <c r="F2033" s="1">
        <v>0.67291666666666672</v>
      </c>
      <c r="G2033" t="s">
        <v>32</v>
      </c>
      <c r="H2033" t="s">
        <v>33</v>
      </c>
      <c r="I2033" t="s">
        <v>737</v>
      </c>
      <c r="J2033" t="s">
        <v>942</v>
      </c>
      <c r="K2033">
        <v>8</v>
      </c>
      <c r="L2033">
        <v>0</v>
      </c>
      <c r="M2033" t="s">
        <v>36</v>
      </c>
      <c r="N2033" t="s">
        <v>37</v>
      </c>
      <c r="O2033">
        <v>110881</v>
      </c>
      <c r="P2033">
        <v>3676</v>
      </c>
      <c r="Q2033">
        <v>3.3152699999999999</v>
      </c>
      <c r="R2033">
        <v>0</v>
      </c>
      <c r="S2033">
        <v>11.09</v>
      </c>
      <c r="T2033">
        <v>0.1</v>
      </c>
      <c r="U2033">
        <v>3.0000000000000001E-3</v>
      </c>
      <c r="V2033">
        <v>0</v>
      </c>
      <c r="W2033">
        <v>2</v>
      </c>
      <c r="X2033">
        <v>0</v>
      </c>
      <c r="Y2033" t="s">
        <v>63</v>
      </c>
      <c r="Z2033">
        <v>110881</v>
      </c>
      <c r="AA2033">
        <v>81555</v>
      </c>
      <c r="AB2033">
        <v>15405</v>
      </c>
      <c r="AC2033" t="s">
        <v>687</v>
      </c>
      <c r="AD2033" t="str">
        <f t="shared" si="64"/>
        <v>ES</v>
      </c>
      <c r="AE2033" t="str">
        <f>_xlfn.XLOOKUP(D2033,Mapping!A:A,Mapping!D:D,0,0)</f>
        <v>General</v>
      </c>
      <c r="AF2033" t="str">
        <f t="shared" si="65"/>
        <v>TJ</v>
      </c>
    </row>
    <row r="2034" spans="1:32" x14ac:dyDescent="0.2">
      <c r="A2034" t="s">
        <v>1119</v>
      </c>
      <c r="B2034" t="s">
        <v>29</v>
      </c>
      <c r="C2034">
        <v>1013028811</v>
      </c>
      <c r="D2034" t="s">
        <v>1002</v>
      </c>
      <c r="E2034" t="s">
        <v>31</v>
      </c>
      <c r="F2034" t="s">
        <v>246</v>
      </c>
      <c r="G2034" t="s">
        <v>247</v>
      </c>
      <c r="H2034" t="s">
        <v>33</v>
      </c>
      <c r="I2034" t="s">
        <v>41</v>
      </c>
      <c r="J2034" t="s">
        <v>942</v>
      </c>
      <c r="K2034">
        <v>4</v>
      </c>
      <c r="L2034">
        <v>0</v>
      </c>
      <c r="M2034" t="s">
        <v>36</v>
      </c>
      <c r="N2034" t="s">
        <v>37</v>
      </c>
      <c r="O2034">
        <v>4001362</v>
      </c>
      <c r="P2034">
        <v>7221</v>
      </c>
      <c r="Q2034">
        <v>0.18046000000000001</v>
      </c>
      <c r="R2034">
        <v>0</v>
      </c>
      <c r="S2034">
        <v>40.01</v>
      </c>
      <c r="T2034">
        <v>0.01</v>
      </c>
      <c r="U2034">
        <v>6.0000000000000001E-3</v>
      </c>
      <c r="V2034">
        <v>0</v>
      </c>
      <c r="W2034">
        <v>2</v>
      </c>
      <c r="X2034">
        <v>0</v>
      </c>
      <c r="Y2034" t="s">
        <v>63</v>
      </c>
      <c r="Z2034">
        <v>0</v>
      </c>
      <c r="AA2034">
        <v>0</v>
      </c>
      <c r="AB2034">
        <v>0</v>
      </c>
      <c r="AC2034" t="s">
        <v>687</v>
      </c>
      <c r="AD2034" t="str">
        <f t="shared" si="64"/>
        <v>LK</v>
      </c>
      <c r="AE2034" t="str">
        <f>_xlfn.XLOOKUP(D2034,Mapping!A:A,Mapping!D:D,0,0)</f>
        <v>Native - Watch</v>
      </c>
      <c r="AF2034" t="str">
        <f t="shared" si="65"/>
        <v>TJ</v>
      </c>
    </row>
    <row r="2035" spans="1:32" x14ac:dyDescent="0.2">
      <c r="A2035" t="s">
        <v>1119</v>
      </c>
      <c r="B2035" t="s">
        <v>29</v>
      </c>
      <c r="C2035">
        <v>1013028831</v>
      </c>
      <c r="D2035" t="s">
        <v>1003</v>
      </c>
      <c r="E2035" t="s">
        <v>31</v>
      </c>
      <c r="F2035" t="s">
        <v>246</v>
      </c>
      <c r="G2035" t="s">
        <v>247</v>
      </c>
      <c r="H2035" t="s">
        <v>33</v>
      </c>
      <c r="I2035" t="s">
        <v>41</v>
      </c>
      <c r="J2035" t="s">
        <v>942</v>
      </c>
      <c r="K2035">
        <v>4</v>
      </c>
      <c r="L2035">
        <v>0</v>
      </c>
      <c r="M2035" t="s">
        <v>36</v>
      </c>
      <c r="N2035" t="s">
        <v>37</v>
      </c>
      <c r="O2035">
        <v>3296757</v>
      </c>
      <c r="P2035">
        <v>4399</v>
      </c>
      <c r="Q2035">
        <v>0.13342999999999999</v>
      </c>
      <c r="R2035">
        <v>0</v>
      </c>
      <c r="S2035">
        <v>32.97</v>
      </c>
      <c r="T2035">
        <v>0.01</v>
      </c>
      <c r="U2035">
        <v>7.0000000000000001E-3</v>
      </c>
      <c r="V2035">
        <v>0</v>
      </c>
      <c r="W2035">
        <v>2</v>
      </c>
      <c r="X2035">
        <v>0</v>
      </c>
      <c r="Y2035" t="s">
        <v>63</v>
      </c>
      <c r="Z2035">
        <v>0</v>
      </c>
      <c r="AA2035">
        <v>0</v>
      </c>
      <c r="AB2035">
        <v>0</v>
      </c>
      <c r="AC2035" t="s">
        <v>687</v>
      </c>
      <c r="AD2035" t="str">
        <f t="shared" si="64"/>
        <v>GT</v>
      </c>
      <c r="AE2035" t="str">
        <f>_xlfn.XLOOKUP(D2035,Mapping!A:A,Mapping!D:D,0,0)</f>
        <v>Native - Watch</v>
      </c>
      <c r="AF2035" t="str">
        <f t="shared" si="65"/>
        <v>TJ</v>
      </c>
    </row>
    <row r="2036" spans="1:32" x14ac:dyDescent="0.2">
      <c r="A2036" t="s">
        <v>1119</v>
      </c>
      <c r="B2036" t="s">
        <v>29</v>
      </c>
      <c r="C2036">
        <v>1013028841</v>
      </c>
      <c r="D2036" t="s">
        <v>1004</v>
      </c>
      <c r="E2036" t="s">
        <v>31</v>
      </c>
      <c r="F2036" s="1">
        <v>0.67291666666666672</v>
      </c>
      <c r="G2036" t="s">
        <v>32</v>
      </c>
      <c r="H2036" t="s">
        <v>33</v>
      </c>
      <c r="I2036" t="s">
        <v>737</v>
      </c>
      <c r="J2036" t="s">
        <v>942</v>
      </c>
      <c r="K2036">
        <v>5</v>
      </c>
      <c r="L2036">
        <v>0</v>
      </c>
      <c r="M2036" t="s">
        <v>36</v>
      </c>
      <c r="N2036" t="s">
        <v>37</v>
      </c>
      <c r="O2036">
        <v>48366</v>
      </c>
      <c r="P2036">
        <v>2670</v>
      </c>
      <c r="Q2036">
        <v>5.52041</v>
      </c>
      <c r="R2036">
        <v>0</v>
      </c>
      <c r="S2036">
        <v>4.84</v>
      </c>
      <c r="T2036">
        <v>0.1</v>
      </c>
      <c r="U2036">
        <v>2E-3</v>
      </c>
      <c r="V2036">
        <v>0</v>
      </c>
      <c r="W2036">
        <v>2</v>
      </c>
      <c r="X2036">
        <v>0</v>
      </c>
      <c r="Y2036" t="s">
        <v>63</v>
      </c>
      <c r="Z2036">
        <v>48366</v>
      </c>
      <c r="AA2036">
        <v>36700</v>
      </c>
      <c r="AB2036">
        <v>5810</v>
      </c>
      <c r="AC2036" t="s">
        <v>687</v>
      </c>
      <c r="AD2036" t="str">
        <f t="shared" si="64"/>
        <v>DE</v>
      </c>
      <c r="AE2036" t="str">
        <f>_xlfn.XLOOKUP(D2036,Mapping!A:A,Mapping!D:D,0,0)</f>
        <v>General</v>
      </c>
      <c r="AF2036" t="str">
        <f t="shared" si="65"/>
        <v>TJ</v>
      </c>
    </row>
    <row r="2037" spans="1:32" x14ac:dyDescent="0.2">
      <c r="A2037" t="s">
        <v>1119</v>
      </c>
      <c r="B2037" t="s">
        <v>29</v>
      </c>
      <c r="C2037">
        <v>1013028851</v>
      </c>
      <c r="D2037" t="s">
        <v>1005</v>
      </c>
      <c r="E2037" t="s">
        <v>31</v>
      </c>
      <c r="F2037" s="1">
        <v>0.67291666666666672</v>
      </c>
      <c r="G2037" t="s">
        <v>32</v>
      </c>
      <c r="H2037" t="s">
        <v>33</v>
      </c>
      <c r="I2037" t="s">
        <v>737</v>
      </c>
      <c r="J2037" t="s">
        <v>942</v>
      </c>
      <c r="K2037">
        <v>5</v>
      </c>
      <c r="L2037">
        <v>0</v>
      </c>
      <c r="M2037" t="s">
        <v>36</v>
      </c>
      <c r="N2037" t="s">
        <v>37</v>
      </c>
      <c r="O2037">
        <v>136925</v>
      </c>
      <c r="P2037">
        <v>4002</v>
      </c>
      <c r="Q2037">
        <v>2.9227699999999999</v>
      </c>
      <c r="R2037">
        <v>1</v>
      </c>
      <c r="S2037">
        <v>13.69</v>
      </c>
      <c r="T2037">
        <v>0.1</v>
      </c>
      <c r="U2037">
        <v>3.0000000000000001E-3</v>
      </c>
      <c r="V2037">
        <v>13.693</v>
      </c>
      <c r="W2037">
        <v>2</v>
      </c>
      <c r="X2037">
        <v>0</v>
      </c>
      <c r="Y2037" t="s">
        <v>63</v>
      </c>
      <c r="Z2037">
        <v>136925</v>
      </c>
      <c r="AA2037">
        <v>69274</v>
      </c>
      <c r="AB2037">
        <v>55019</v>
      </c>
      <c r="AC2037" t="s">
        <v>687</v>
      </c>
      <c r="AD2037" t="str">
        <f t="shared" si="64"/>
        <v>CO</v>
      </c>
      <c r="AE2037" t="str">
        <f>_xlfn.XLOOKUP(D2037,Mapping!A:A,Mapping!D:D,0,0)</f>
        <v>General</v>
      </c>
      <c r="AF2037" t="str">
        <f t="shared" si="65"/>
        <v>TJ</v>
      </c>
    </row>
    <row r="2038" spans="1:32" x14ac:dyDescent="0.2">
      <c r="A2038" t="s">
        <v>1119</v>
      </c>
      <c r="B2038" t="s">
        <v>29</v>
      </c>
      <c r="C2038">
        <v>1013028861</v>
      </c>
      <c r="D2038" t="s">
        <v>1006</v>
      </c>
      <c r="E2038" t="s">
        <v>31</v>
      </c>
      <c r="F2038" s="1">
        <v>0.67291666666666672</v>
      </c>
      <c r="G2038" t="s">
        <v>32</v>
      </c>
      <c r="H2038" t="s">
        <v>33</v>
      </c>
      <c r="I2038" t="s">
        <v>737</v>
      </c>
      <c r="J2038" t="s">
        <v>942</v>
      </c>
      <c r="K2038">
        <v>5</v>
      </c>
      <c r="L2038">
        <v>0</v>
      </c>
      <c r="M2038" t="s">
        <v>36</v>
      </c>
      <c r="N2038" t="s">
        <v>37</v>
      </c>
      <c r="O2038">
        <v>158211</v>
      </c>
      <c r="P2038">
        <v>6044</v>
      </c>
      <c r="Q2038">
        <v>3.8202099999999999</v>
      </c>
      <c r="R2038">
        <v>1</v>
      </c>
      <c r="S2038">
        <v>15.82</v>
      </c>
      <c r="T2038">
        <v>0.1</v>
      </c>
      <c r="U2038">
        <v>3.0000000000000001E-3</v>
      </c>
      <c r="V2038">
        <v>15.821</v>
      </c>
      <c r="W2038">
        <v>2</v>
      </c>
      <c r="X2038">
        <v>0</v>
      </c>
      <c r="Y2038" t="s">
        <v>63</v>
      </c>
      <c r="Z2038">
        <v>158211</v>
      </c>
      <c r="AA2038">
        <v>121483</v>
      </c>
      <c r="AB2038">
        <v>16363</v>
      </c>
      <c r="AC2038" t="s">
        <v>687</v>
      </c>
      <c r="AD2038" t="str">
        <f t="shared" si="64"/>
        <v>IT</v>
      </c>
      <c r="AE2038" t="str">
        <f>_xlfn.XLOOKUP(D2038,Mapping!A:A,Mapping!D:D,0,0)</f>
        <v>General</v>
      </c>
      <c r="AF2038" t="str">
        <f t="shared" si="65"/>
        <v>TJ</v>
      </c>
    </row>
    <row r="2039" spans="1:32" x14ac:dyDescent="0.2">
      <c r="A2039" t="s">
        <v>1119</v>
      </c>
      <c r="B2039" t="s">
        <v>29</v>
      </c>
      <c r="C2039">
        <v>1013028881</v>
      </c>
      <c r="D2039" t="s">
        <v>1007</v>
      </c>
      <c r="E2039" t="s">
        <v>31</v>
      </c>
      <c r="F2039" t="s">
        <v>246</v>
      </c>
      <c r="G2039" t="s">
        <v>247</v>
      </c>
      <c r="H2039" t="s">
        <v>33</v>
      </c>
      <c r="I2039" t="s">
        <v>41</v>
      </c>
      <c r="J2039" t="s">
        <v>942</v>
      </c>
      <c r="K2039">
        <v>4</v>
      </c>
      <c r="L2039">
        <v>0</v>
      </c>
      <c r="M2039" t="s">
        <v>36</v>
      </c>
      <c r="N2039" t="s">
        <v>37</v>
      </c>
      <c r="O2039">
        <v>9708327</v>
      </c>
      <c r="P2039">
        <v>16565</v>
      </c>
      <c r="Q2039">
        <v>0.17063</v>
      </c>
      <c r="R2039">
        <v>1</v>
      </c>
      <c r="S2039">
        <v>97.08</v>
      </c>
      <c r="T2039">
        <v>0.01</v>
      </c>
      <c r="U2039">
        <v>6.0000000000000001E-3</v>
      </c>
      <c r="V2039">
        <v>97.082999999999998</v>
      </c>
      <c r="W2039">
        <v>2</v>
      </c>
      <c r="X2039">
        <v>0</v>
      </c>
      <c r="Y2039" t="s">
        <v>63</v>
      </c>
      <c r="Z2039">
        <v>0</v>
      </c>
      <c r="AA2039">
        <v>0</v>
      </c>
      <c r="AB2039">
        <v>0</v>
      </c>
      <c r="AC2039" t="s">
        <v>687</v>
      </c>
      <c r="AD2039" t="str">
        <f t="shared" si="64"/>
        <v>PH</v>
      </c>
      <c r="AE2039" t="str">
        <f>_xlfn.XLOOKUP(D2039,Mapping!A:A,Mapping!D:D,0,0)</f>
        <v>Native - Search</v>
      </c>
      <c r="AF2039" t="str">
        <f t="shared" si="65"/>
        <v>TJ</v>
      </c>
    </row>
    <row r="2040" spans="1:32" x14ac:dyDescent="0.2">
      <c r="A2040" t="s">
        <v>1119</v>
      </c>
      <c r="B2040" t="s">
        <v>29</v>
      </c>
      <c r="C2040">
        <v>1013028891</v>
      </c>
      <c r="D2040" t="s">
        <v>1008</v>
      </c>
      <c r="E2040" t="s">
        <v>31</v>
      </c>
      <c r="F2040" s="1">
        <v>0.67291666666666672</v>
      </c>
      <c r="G2040" t="s">
        <v>32</v>
      </c>
      <c r="H2040" t="s">
        <v>33</v>
      </c>
      <c r="I2040" t="s">
        <v>737</v>
      </c>
      <c r="J2040" t="s">
        <v>942</v>
      </c>
      <c r="K2040">
        <v>10</v>
      </c>
      <c r="L2040">
        <v>0</v>
      </c>
      <c r="M2040" t="s">
        <v>36</v>
      </c>
      <c r="N2040" t="s">
        <v>37</v>
      </c>
      <c r="O2040">
        <v>453681</v>
      </c>
      <c r="P2040">
        <v>31631</v>
      </c>
      <c r="Q2040">
        <v>6.9720800000000001</v>
      </c>
      <c r="R2040">
        <v>0</v>
      </c>
      <c r="S2040">
        <v>45.37</v>
      </c>
      <c r="T2040">
        <v>0.1</v>
      </c>
      <c r="U2040">
        <v>1E-3</v>
      </c>
      <c r="V2040">
        <v>0</v>
      </c>
      <c r="W2040">
        <v>2</v>
      </c>
      <c r="X2040">
        <v>0</v>
      </c>
      <c r="Y2040" t="s">
        <v>63</v>
      </c>
      <c r="Z2040">
        <v>453681</v>
      </c>
      <c r="AA2040">
        <v>375812</v>
      </c>
      <c r="AB2040">
        <v>31735</v>
      </c>
      <c r="AC2040" t="s">
        <v>687</v>
      </c>
      <c r="AD2040" t="str">
        <f t="shared" si="64"/>
        <v>IN</v>
      </c>
      <c r="AE2040" t="str">
        <f>_xlfn.XLOOKUP(D2040,Mapping!A:A,Mapping!D:D,0,0)</f>
        <v>General - Pre-roll - T3</v>
      </c>
      <c r="AF2040" t="str">
        <f t="shared" si="65"/>
        <v>TJ</v>
      </c>
    </row>
    <row r="2041" spans="1:32" x14ac:dyDescent="0.2">
      <c r="A2041" t="s">
        <v>1119</v>
      </c>
      <c r="B2041" t="s">
        <v>29</v>
      </c>
      <c r="C2041">
        <v>1013028901</v>
      </c>
      <c r="D2041" t="s">
        <v>1009</v>
      </c>
      <c r="E2041" t="s">
        <v>31</v>
      </c>
      <c r="F2041" t="s">
        <v>246</v>
      </c>
      <c r="G2041" t="s">
        <v>247</v>
      </c>
      <c r="H2041" t="s">
        <v>33</v>
      </c>
      <c r="I2041" t="s">
        <v>41</v>
      </c>
      <c r="J2041" t="s">
        <v>942</v>
      </c>
      <c r="K2041">
        <v>18</v>
      </c>
      <c r="L2041">
        <v>0</v>
      </c>
      <c r="M2041" t="s">
        <v>36</v>
      </c>
      <c r="N2041" t="s">
        <v>37</v>
      </c>
      <c r="O2041">
        <v>18962900</v>
      </c>
      <c r="P2041">
        <v>17613</v>
      </c>
      <c r="Q2041">
        <v>9.2880000000000004E-2</v>
      </c>
      <c r="R2041">
        <v>1</v>
      </c>
      <c r="S2041">
        <v>189.63</v>
      </c>
      <c r="T2041">
        <v>0.01</v>
      </c>
      <c r="U2041">
        <v>1.0999999999999999E-2</v>
      </c>
      <c r="V2041">
        <v>189.62899999999999</v>
      </c>
      <c r="W2041">
        <v>2</v>
      </c>
      <c r="X2041">
        <v>0</v>
      </c>
      <c r="Y2041" t="s">
        <v>63</v>
      </c>
      <c r="Z2041">
        <v>0</v>
      </c>
      <c r="AA2041">
        <v>0</v>
      </c>
      <c r="AB2041">
        <v>0</v>
      </c>
      <c r="AC2041" t="s">
        <v>687</v>
      </c>
      <c r="AD2041" t="str">
        <f t="shared" si="64"/>
        <v>MX</v>
      </c>
      <c r="AE2041" t="str">
        <f>_xlfn.XLOOKUP(D2041,Mapping!A:A,Mapping!D:D,0,0)</f>
        <v>Native - Search</v>
      </c>
      <c r="AF2041" t="str">
        <f t="shared" si="65"/>
        <v>TJ</v>
      </c>
    </row>
    <row r="2042" spans="1:32" x14ac:dyDescent="0.2">
      <c r="A2042" t="s">
        <v>1119</v>
      </c>
      <c r="B2042" t="s">
        <v>29</v>
      </c>
      <c r="C2042">
        <v>1013028921</v>
      </c>
      <c r="D2042" t="s">
        <v>1010</v>
      </c>
      <c r="E2042" t="s">
        <v>31</v>
      </c>
      <c r="F2042" t="s">
        <v>246</v>
      </c>
      <c r="G2042" t="s">
        <v>247</v>
      </c>
      <c r="H2042" t="s">
        <v>33</v>
      </c>
      <c r="I2042" t="s">
        <v>41</v>
      </c>
      <c r="J2042" t="s">
        <v>942</v>
      </c>
      <c r="K2042">
        <v>4</v>
      </c>
      <c r="L2042">
        <v>0</v>
      </c>
      <c r="M2042" t="s">
        <v>36</v>
      </c>
      <c r="N2042" t="s">
        <v>37</v>
      </c>
      <c r="O2042">
        <v>3824206</v>
      </c>
      <c r="P2042">
        <v>2532</v>
      </c>
      <c r="Q2042">
        <v>6.6210000000000005E-2</v>
      </c>
      <c r="R2042">
        <v>0</v>
      </c>
      <c r="S2042">
        <v>38.24</v>
      </c>
      <c r="T2042">
        <v>0.01</v>
      </c>
      <c r="U2042">
        <v>1.4999999999999999E-2</v>
      </c>
      <c r="V2042">
        <v>0</v>
      </c>
      <c r="W2042">
        <v>2</v>
      </c>
      <c r="X2042">
        <v>0</v>
      </c>
      <c r="Y2042" t="s">
        <v>63</v>
      </c>
      <c r="Z2042">
        <v>0</v>
      </c>
      <c r="AA2042">
        <v>0</v>
      </c>
      <c r="AB2042">
        <v>0</v>
      </c>
      <c r="AC2042" t="s">
        <v>687</v>
      </c>
      <c r="AD2042" t="str">
        <f t="shared" si="64"/>
        <v>EG</v>
      </c>
      <c r="AE2042" t="str">
        <f>_xlfn.XLOOKUP(D2042,Mapping!A:A,Mapping!D:D,0,0)</f>
        <v>Native - Search</v>
      </c>
      <c r="AF2042" t="str">
        <f t="shared" si="65"/>
        <v>TJ</v>
      </c>
    </row>
    <row r="2043" spans="1:32" x14ac:dyDescent="0.2">
      <c r="A2043" t="s">
        <v>1119</v>
      </c>
      <c r="B2043" t="s">
        <v>29</v>
      </c>
      <c r="C2043">
        <v>1013028931</v>
      </c>
      <c r="D2043" t="s">
        <v>1011</v>
      </c>
      <c r="E2043" t="s">
        <v>31</v>
      </c>
      <c r="F2043" t="s">
        <v>246</v>
      </c>
      <c r="G2043" t="s">
        <v>247</v>
      </c>
      <c r="H2043" t="s">
        <v>33</v>
      </c>
      <c r="I2043" t="s">
        <v>41</v>
      </c>
      <c r="J2043" t="s">
        <v>942</v>
      </c>
      <c r="K2043">
        <v>15</v>
      </c>
      <c r="L2043">
        <v>3</v>
      </c>
      <c r="M2043" t="s">
        <v>36</v>
      </c>
      <c r="N2043" t="s">
        <v>37</v>
      </c>
      <c r="O2043">
        <v>11213849</v>
      </c>
      <c r="P2043">
        <v>9308</v>
      </c>
      <c r="Q2043">
        <v>8.3000000000000004E-2</v>
      </c>
      <c r="R2043">
        <v>2</v>
      </c>
      <c r="S2043">
        <v>336.42</v>
      </c>
      <c r="T2043">
        <v>0.03</v>
      </c>
      <c r="U2043">
        <v>3.5999999999999997E-2</v>
      </c>
      <c r="V2043">
        <v>168.208</v>
      </c>
      <c r="W2043">
        <v>2</v>
      </c>
      <c r="X2043">
        <v>0</v>
      </c>
      <c r="Y2043" t="s">
        <v>63</v>
      </c>
      <c r="Z2043">
        <v>0</v>
      </c>
      <c r="AA2043">
        <v>0</v>
      </c>
      <c r="AB2043">
        <v>0</v>
      </c>
      <c r="AC2043" t="s">
        <v>687</v>
      </c>
      <c r="AD2043" t="str">
        <f t="shared" si="64"/>
        <v>DE</v>
      </c>
      <c r="AE2043" t="str">
        <f>_xlfn.XLOOKUP(D2043,Mapping!A:A,Mapping!D:D,0,0)</f>
        <v>Native - Search</v>
      </c>
      <c r="AF2043" t="str">
        <f t="shared" si="65"/>
        <v>TJ</v>
      </c>
    </row>
    <row r="2044" spans="1:32" x14ac:dyDescent="0.2">
      <c r="A2044" t="s">
        <v>1119</v>
      </c>
      <c r="B2044" t="s">
        <v>29</v>
      </c>
      <c r="C2044">
        <v>1013028951</v>
      </c>
      <c r="D2044" t="s">
        <v>1012</v>
      </c>
      <c r="E2044" t="s">
        <v>31</v>
      </c>
      <c r="F2044" s="1">
        <v>0.67291666666666672</v>
      </c>
      <c r="G2044" t="s">
        <v>32</v>
      </c>
      <c r="H2044" t="s">
        <v>33</v>
      </c>
      <c r="I2044" t="s">
        <v>737</v>
      </c>
      <c r="J2044" t="s">
        <v>942</v>
      </c>
      <c r="K2044">
        <v>10</v>
      </c>
      <c r="L2044">
        <v>0</v>
      </c>
      <c r="M2044" t="s">
        <v>36</v>
      </c>
      <c r="N2044" t="s">
        <v>37</v>
      </c>
      <c r="O2044">
        <v>160523</v>
      </c>
      <c r="P2044">
        <v>15023</v>
      </c>
      <c r="Q2044">
        <v>9.3587799999999994</v>
      </c>
      <c r="R2044">
        <v>0</v>
      </c>
      <c r="S2044">
        <v>16.05</v>
      </c>
      <c r="T2044">
        <v>0.1</v>
      </c>
      <c r="U2044">
        <v>1E-3</v>
      </c>
      <c r="V2044">
        <v>0</v>
      </c>
      <c r="W2044">
        <v>2</v>
      </c>
      <c r="X2044">
        <v>0</v>
      </c>
      <c r="Y2044" t="s">
        <v>63</v>
      </c>
      <c r="Z2044">
        <v>160523</v>
      </c>
      <c r="AA2044">
        <v>143749</v>
      </c>
      <c r="AB2044">
        <v>9499</v>
      </c>
      <c r="AC2044" t="s">
        <v>687</v>
      </c>
      <c r="AD2044" t="str">
        <f t="shared" si="64"/>
        <v>PH</v>
      </c>
      <c r="AE2044" t="str">
        <f>_xlfn.XLOOKUP(D2044,Mapping!A:A,Mapping!D:D,0,0)</f>
        <v>General</v>
      </c>
      <c r="AF2044" t="str">
        <f t="shared" si="65"/>
        <v>TJ</v>
      </c>
    </row>
    <row r="2045" spans="1:32" x14ac:dyDescent="0.2">
      <c r="A2045" t="s">
        <v>1119</v>
      </c>
      <c r="B2045" t="s">
        <v>29</v>
      </c>
      <c r="C2045">
        <v>1013028991</v>
      </c>
      <c r="D2045" t="s">
        <v>1013</v>
      </c>
      <c r="E2045" t="s">
        <v>31</v>
      </c>
      <c r="F2045" t="s">
        <v>246</v>
      </c>
      <c r="G2045" t="s">
        <v>247</v>
      </c>
      <c r="H2045" t="s">
        <v>33</v>
      </c>
      <c r="I2045" t="s">
        <v>41</v>
      </c>
      <c r="J2045" t="s">
        <v>942</v>
      </c>
      <c r="K2045">
        <v>4</v>
      </c>
      <c r="L2045">
        <v>0</v>
      </c>
      <c r="M2045" t="s">
        <v>36</v>
      </c>
      <c r="N2045" t="s">
        <v>37</v>
      </c>
      <c r="O2045">
        <v>9707119</v>
      </c>
      <c r="P2045">
        <v>16221</v>
      </c>
      <c r="Q2045">
        <v>0.1671</v>
      </c>
      <c r="R2045">
        <v>0</v>
      </c>
      <c r="S2045">
        <v>97.07</v>
      </c>
      <c r="T2045">
        <v>0.01</v>
      </c>
      <c r="U2045">
        <v>6.0000000000000001E-3</v>
      </c>
      <c r="V2045">
        <v>0</v>
      </c>
      <c r="W2045">
        <v>2</v>
      </c>
      <c r="X2045">
        <v>0</v>
      </c>
      <c r="Y2045" t="s">
        <v>63</v>
      </c>
      <c r="Z2045">
        <v>0</v>
      </c>
      <c r="AA2045">
        <v>0</v>
      </c>
      <c r="AB2045">
        <v>0</v>
      </c>
      <c r="AC2045" t="s">
        <v>687</v>
      </c>
      <c r="AD2045" t="str">
        <f t="shared" si="64"/>
        <v>PH</v>
      </c>
      <c r="AE2045" t="str">
        <f>_xlfn.XLOOKUP(D2045,Mapping!A:A,Mapping!D:D,0,0)</f>
        <v>Native - Homepage</v>
      </c>
      <c r="AF2045" t="str">
        <f t="shared" si="65"/>
        <v>TJ</v>
      </c>
    </row>
    <row r="2046" spans="1:32" x14ac:dyDescent="0.2">
      <c r="A2046" t="s">
        <v>1119</v>
      </c>
      <c r="B2046" t="s">
        <v>29</v>
      </c>
      <c r="C2046">
        <v>1013040421</v>
      </c>
      <c r="D2046" t="s">
        <v>1014</v>
      </c>
      <c r="E2046" t="s">
        <v>31</v>
      </c>
      <c r="F2046" s="1">
        <v>0.67291666666666672</v>
      </c>
      <c r="G2046" t="s">
        <v>32</v>
      </c>
      <c r="H2046" t="s">
        <v>33</v>
      </c>
      <c r="I2046" t="s">
        <v>34</v>
      </c>
      <c r="J2046" t="s">
        <v>1015</v>
      </c>
      <c r="K2046">
        <v>28</v>
      </c>
      <c r="L2046">
        <v>0</v>
      </c>
      <c r="M2046" t="s">
        <v>36</v>
      </c>
      <c r="N2046" t="s">
        <v>37</v>
      </c>
      <c r="O2046">
        <v>14831</v>
      </c>
      <c r="P2046">
        <v>1059</v>
      </c>
      <c r="Q2046">
        <v>7.1404500000000004</v>
      </c>
      <c r="R2046">
        <v>0</v>
      </c>
      <c r="S2046">
        <v>36.33</v>
      </c>
      <c r="T2046">
        <v>2.4500000000000002</v>
      </c>
      <c r="U2046">
        <v>3.4000000000000002E-2</v>
      </c>
      <c r="V2046">
        <v>0</v>
      </c>
      <c r="W2046">
        <v>2</v>
      </c>
      <c r="X2046">
        <v>0</v>
      </c>
      <c r="Y2046" t="s">
        <v>63</v>
      </c>
      <c r="Z2046">
        <v>14831</v>
      </c>
      <c r="AA2046">
        <v>11623</v>
      </c>
      <c r="AB2046">
        <v>1501</v>
      </c>
      <c r="AC2046" t="s">
        <v>687</v>
      </c>
      <c r="AD2046" t="str">
        <f t="shared" si="64"/>
        <v>US</v>
      </c>
      <c r="AE2046" t="str">
        <f>_xlfn.XLOOKUP(D2046,Mapping!A:A,Mapping!D:D,0,0)</f>
        <v>Remarketing</v>
      </c>
      <c r="AF2046" t="str">
        <f t="shared" si="65"/>
        <v>TJ</v>
      </c>
    </row>
    <row r="2047" spans="1:32" x14ac:dyDescent="0.2">
      <c r="A2047" t="s">
        <v>1119</v>
      </c>
      <c r="B2047" t="s">
        <v>29</v>
      </c>
      <c r="C2047">
        <v>1013040451</v>
      </c>
      <c r="D2047" t="s">
        <v>1016</v>
      </c>
      <c r="E2047" t="s">
        <v>31</v>
      </c>
      <c r="F2047" s="1">
        <v>0.67291666666666672</v>
      </c>
      <c r="G2047" t="s">
        <v>32</v>
      </c>
      <c r="H2047" t="s">
        <v>33</v>
      </c>
      <c r="I2047" t="s">
        <v>34</v>
      </c>
      <c r="J2047" t="s">
        <v>1015</v>
      </c>
      <c r="K2047">
        <v>28</v>
      </c>
      <c r="L2047">
        <v>0</v>
      </c>
      <c r="M2047" t="s">
        <v>36</v>
      </c>
      <c r="N2047" t="s">
        <v>37</v>
      </c>
      <c r="O2047">
        <v>763</v>
      </c>
      <c r="P2047">
        <v>72</v>
      </c>
      <c r="Q2047">
        <v>9.4364299999999997</v>
      </c>
      <c r="R2047">
        <v>0</v>
      </c>
      <c r="S2047">
        <v>0.28000000000000003</v>
      </c>
      <c r="T2047">
        <v>0.37</v>
      </c>
      <c r="U2047">
        <v>4.0000000000000001E-3</v>
      </c>
      <c r="V2047">
        <v>0</v>
      </c>
      <c r="W2047">
        <v>2</v>
      </c>
      <c r="X2047">
        <v>0</v>
      </c>
      <c r="Y2047" t="s">
        <v>63</v>
      </c>
      <c r="Z2047">
        <v>763</v>
      </c>
      <c r="AA2047">
        <v>570</v>
      </c>
      <c r="AB2047">
        <v>93</v>
      </c>
      <c r="AC2047" t="s">
        <v>687</v>
      </c>
      <c r="AD2047" t="str">
        <f t="shared" si="64"/>
        <v>MX</v>
      </c>
      <c r="AE2047" t="str">
        <f>_xlfn.XLOOKUP(D2047,Mapping!A:A,Mapping!D:D,0,0)</f>
        <v>Remarketing</v>
      </c>
      <c r="AF2047" t="str">
        <f t="shared" si="65"/>
        <v>TJ</v>
      </c>
    </row>
    <row r="2048" spans="1:32" x14ac:dyDescent="0.2">
      <c r="A2048" t="s">
        <v>1119</v>
      </c>
      <c r="B2048" t="s">
        <v>29</v>
      </c>
      <c r="C2048">
        <v>1013040531</v>
      </c>
      <c r="D2048" t="s">
        <v>1017</v>
      </c>
      <c r="E2048" t="s">
        <v>31</v>
      </c>
      <c r="F2048" s="1">
        <v>0.67291666666666672</v>
      </c>
      <c r="G2048" t="s">
        <v>32</v>
      </c>
      <c r="H2048" t="s">
        <v>33</v>
      </c>
      <c r="I2048" t="s">
        <v>34</v>
      </c>
      <c r="J2048" t="s">
        <v>1015</v>
      </c>
      <c r="K2048">
        <v>28</v>
      </c>
      <c r="L2048">
        <v>0</v>
      </c>
      <c r="M2048" t="s">
        <v>36</v>
      </c>
      <c r="N2048" t="s">
        <v>37</v>
      </c>
      <c r="O2048">
        <v>4356</v>
      </c>
      <c r="P2048">
        <v>365</v>
      </c>
      <c r="Q2048">
        <v>8.3792500000000008</v>
      </c>
      <c r="R2048">
        <v>0</v>
      </c>
      <c r="S2048">
        <v>4.59</v>
      </c>
      <c r="T2048">
        <v>1.054</v>
      </c>
      <c r="U2048">
        <v>1.2999999999999999E-2</v>
      </c>
      <c r="V2048">
        <v>0</v>
      </c>
      <c r="W2048">
        <v>2</v>
      </c>
      <c r="X2048">
        <v>0</v>
      </c>
      <c r="Y2048" t="s">
        <v>63</v>
      </c>
      <c r="Z2048">
        <v>4356</v>
      </c>
      <c r="AA2048">
        <v>3337</v>
      </c>
      <c r="AB2048">
        <v>430</v>
      </c>
      <c r="AC2048" t="s">
        <v>687</v>
      </c>
      <c r="AD2048" t="str">
        <f t="shared" si="64"/>
        <v>CA</v>
      </c>
      <c r="AE2048" t="str">
        <f>_xlfn.XLOOKUP(D2048,Mapping!A:A,Mapping!D:D,0,0)</f>
        <v>Remarketing</v>
      </c>
      <c r="AF2048" t="str">
        <f t="shared" si="65"/>
        <v>TJ</v>
      </c>
    </row>
    <row r="2049" spans="1:32" x14ac:dyDescent="0.2">
      <c r="A2049" t="s">
        <v>1119</v>
      </c>
      <c r="B2049" t="s">
        <v>29</v>
      </c>
      <c r="C2049">
        <v>1013040561</v>
      </c>
      <c r="D2049" t="s">
        <v>1018</v>
      </c>
      <c r="E2049" t="s">
        <v>31</v>
      </c>
      <c r="F2049" s="1">
        <v>0.67291666666666672</v>
      </c>
      <c r="G2049" t="s">
        <v>32</v>
      </c>
      <c r="H2049" t="s">
        <v>33</v>
      </c>
      <c r="I2049" t="s">
        <v>34</v>
      </c>
      <c r="J2049" t="s">
        <v>1015</v>
      </c>
      <c r="K2049">
        <v>28</v>
      </c>
      <c r="L2049">
        <v>0</v>
      </c>
      <c r="M2049" t="s">
        <v>36</v>
      </c>
      <c r="N2049" t="s">
        <v>37</v>
      </c>
      <c r="O2049">
        <v>1253</v>
      </c>
      <c r="P2049">
        <v>89</v>
      </c>
      <c r="Q2049">
        <v>7.1029499999999999</v>
      </c>
      <c r="R2049">
        <v>0</v>
      </c>
      <c r="S2049">
        <v>1.58</v>
      </c>
      <c r="T2049">
        <v>1.26</v>
      </c>
      <c r="U2049">
        <v>1.7999999999999999E-2</v>
      </c>
      <c r="V2049">
        <v>0</v>
      </c>
      <c r="W2049">
        <v>2</v>
      </c>
      <c r="X2049">
        <v>0</v>
      </c>
      <c r="Y2049" t="s">
        <v>63</v>
      </c>
      <c r="Z2049">
        <v>1253</v>
      </c>
      <c r="AA2049">
        <v>981</v>
      </c>
      <c r="AB2049">
        <v>114</v>
      </c>
      <c r="AC2049" t="s">
        <v>687</v>
      </c>
      <c r="AD2049" t="str">
        <f t="shared" si="64"/>
        <v>AU</v>
      </c>
      <c r="AE2049" t="str">
        <f>_xlfn.XLOOKUP(D2049,Mapping!A:A,Mapping!D:D,0,0)</f>
        <v>Remarketing</v>
      </c>
      <c r="AF2049" t="str">
        <f t="shared" si="65"/>
        <v>TJ</v>
      </c>
    </row>
    <row r="2050" spans="1:32" x14ac:dyDescent="0.2">
      <c r="A2050" t="s">
        <v>1119</v>
      </c>
      <c r="B2050" t="s">
        <v>29</v>
      </c>
      <c r="C2050">
        <v>1013040581</v>
      </c>
      <c r="D2050" t="s">
        <v>1019</v>
      </c>
      <c r="E2050" t="s">
        <v>31</v>
      </c>
      <c r="F2050" s="1">
        <v>0.67291666666666672</v>
      </c>
      <c r="G2050" t="s">
        <v>32</v>
      </c>
      <c r="H2050" t="s">
        <v>33</v>
      </c>
      <c r="I2050" t="s">
        <v>34</v>
      </c>
      <c r="J2050" t="s">
        <v>1015</v>
      </c>
      <c r="K2050">
        <v>28</v>
      </c>
      <c r="L2050">
        <v>0</v>
      </c>
      <c r="M2050" t="s">
        <v>36</v>
      </c>
      <c r="N2050" t="s">
        <v>37</v>
      </c>
      <c r="O2050">
        <v>789</v>
      </c>
      <c r="P2050">
        <v>39</v>
      </c>
      <c r="Q2050">
        <v>4.9429699999999999</v>
      </c>
      <c r="R2050">
        <v>0</v>
      </c>
      <c r="S2050">
        <v>2</v>
      </c>
      <c r="T2050">
        <v>2.532</v>
      </c>
      <c r="U2050">
        <v>5.0999999999999997E-2</v>
      </c>
      <c r="V2050">
        <v>0</v>
      </c>
      <c r="W2050">
        <v>2</v>
      </c>
      <c r="X2050">
        <v>0</v>
      </c>
      <c r="Y2050" t="s">
        <v>63</v>
      </c>
      <c r="Z2050">
        <v>789</v>
      </c>
      <c r="AA2050">
        <v>625</v>
      </c>
      <c r="AB2050">
        <v>78</v>
      </c>
      <c r="AC2050" t="s">
        <v>687</v>
      </c>
      <c r="AD2050" t="str">
        <f t="shared" si="64"/>
        <v>UK</v>
      </c>
      <c r="AE2050" t="str">
        <f>_xlfn.XLOOKUP(D2050,Mapping!A:A,Mapping!D:D,0,0)</f>
        <v>Remarketing</v>
      </c>
      <c r="AF2050" t="str">
        <f t="shared" si="65"/>
        <v>TJ</v>
      </c>
    </row>
    <row r="2051" spans="1:32" x14ac:dyDescent="0.2">
      <c r="A2051" t="s">
        <v>1119</v>
      </c>
      <c r="B2051" t="s">
        <v>29</v>
      </c>
      <c r="C2051">
        <v>1013040591</v>
      </c>
      <c r="D2051" t="s">
        <v>1020</v>
      </c>
      <c r="E2051" t="s">
        <v>31</v>
      </c>
      <c r="F2051" s="1">
        <v>0.67291666666666672</v>
      </c>
      <c r="G2051" t="s">
        <v>32</v>
      </c>
      <c r="H2051" t="s">
        <v>33</v>
      </c>
      <c r="I2051" t="s">
        <v>34</v>
      </c>
      <c r="J2051" t="s">
        <v>1015</v>
      </c>
      <c r="K2051">
        <v>28</v>
      </c>
      <c r="L2051">
        <v>0</v>
      </c>
      <c r="M2051" t="s">
        <v>36</v>
      </c>
      <c r="N2051" t="s">
        <v>37</v>
      </c>
      <c r="O2051">
        <v>110</v>
      </c>
      <c r="P2051">
        <v>8</v>
      </c>
      <c r="Q2051">
        <v>7.2727300000000001</v>
      </c>
      <c r="R2051">
        <v>1</v>
      </c>
      <c r="S2051">
        <v>0.12</v>
      </c>
      <c r="T2051">
        <v>1.0549999999999999</v>
      </c>
      <c r="U2051">
        <v>1.4999999999999999E-2</v>
      </c>
      <c r="V2051">
        <v>0.11600000000000001</v>
      </c>
      <c r="W2051">
        <v>2</v>
      </c>
      <c r="X2051">
        <v>0</v>
      </c>
      <c r="Y2051" t="s">
        <v>63</v>
      </c>
      <c r="Z2051">
        <v>110</v>
      </c>
      <c r="AA2051">
        <v>83</v>
      </c>
      <c r="AB2051">
        <v>9</v>
      </c>
      <c r="AC2051" t="s">
        <v>687</v>
      </c>
      <c r="AD2051" t="str">
        <f t="shared" si="64"/>
        <v>NZ</v>
      </c>
      <c r="AE2051" t="str">
        <f>_xlfn.XLOOKUP(D2051,Mapping!A:A,Mapping!D:D,0,0)</f>
        <v>Remarketing</v>
      </c>
      <c r="AF2051" t="str">
        <f t="shared" si="65"/>
        <v>TJ</v>
      </c>
    </row>
    <row r="2052" spans="1:32" x14ac:dyDescent="0.2">
      <c r="A2052" t="s">
        <v>1119</v>
      </c>
      <c r="B2052" t="s">
        <v>29</v>
      </c>
      <c r="C2052">
        <v>1013046201</v>
      </c>
      <c r="D2052" t="s">
        <v>1021</v>
      </c>
      <c r="E2052" t="s">
        <v>31</v>
      </c>
      <c r="F2052" s="1">
        <v>0.67291666666666672</v>
      </c>
      <c r="G2052" t="s">
        <v>32</v>
      </c>
      <c r="H2052" t="s">
        <v>33</v>
      </c>
      <c r="I2052" t="s">
        <v>41</v>
      </c>
      <c r="J2052" t="s">
        <v>1015</v>
      </c>
      <c r="K2052">
        <v>28</v>
      </c>
      <c r="L2052">
        <v>0</v>
      </c>
      <c r="M2052" t="s">
        <v>36</v>
      </c>
      <c r="N2052" t="s">
        <v>37</v>
      </c>
      <c r="O2052">
        <v>1336252</v>
      </c>
      <c r="P2052">
        <v>55947</v>
      </c>
      <c r="Q2052">
        <v>4.1868600000000002</v>
      </c>
      <c r="R2052">
        <v>15</v>
      </c>
      <c r="S2052">
        <v>2822.16</v>
      </c>
      <c r="T2052">
        <v>2.1120000000000001</v>
      </c>
      <c r="U2052">
        <v>0.05</v>
      </c>
      <c r="V2052">
        <v>188.14400000000001</v>
      </c>
      <c r="W2052">
        <v>2</v>
      </c>
      <c r="X2052">
        <v>0</v>
      </c>
      <c r="Y2052" t="s">
        <v>36</v>
      </c>
      <c r="Z2052">
        <v>1336252</v>
      </c>
      <c r="AA2052">
        <v>1179624</v>
      </c>
      <c r="AB2052">
        <v>108645</v>
      </c>
      <c r="AC2052" t="s">
        <v>687</v>
      </c>
      <c r="AD2052" t="str">
        <f t="shared" si="64"/>
        <v>US</v>
      </c>
      <c r="AE2052" t="str">
        <f>_xlfn.XLOOKUP(D2052,Mapping!A:A,Mapping!D:D,0,0)</f>
        <v>Remarketing</v>
      </c>
      <c r="AF2052" t="str">
        <f t="shared" si="65"/>
        <v>TJ</v>
      </c>
    </row>
    <row r="2053" spans="1:32" x14ac:dyDescent="0.2">
      <c r="A2053" t="s">
        <v>1119</v>
      </c>
      <c r="B2053" t="s">
        <v>29</v>
      </c>
      <c r="C2053">
        <v>1013046221</v>
      </c>
      <c r="D2053" t="s">
        <v>1022</v>
      </c>
      <c r="E2053" t="s">
        <v>31</v>
      </c>
      <c r="F2053" s="1">
        <v>0.67291666666666672</v>
      </c>
      <c r="G2053" t="s">
        <v>32</v>
      </c>
      <c r="H2053" t="s">
        <v>33</v>
      </c>
      <c r="I2053" t="s">
        <v>41</v>
      </c>
      <c r="J2053" t="s">
        <v>1023</v>
      </c>
      <c r="K2053">
        <v>28</v>
      </c>
      <c r="L2053">
        <v>0</v>
      </c>
      <c r="M2053" t="s">
        <v>36</v>
      </c>
      <c r="N2053" t="s">
        <v>37</v>
      </c>
      <c r="O2053">
        <v>57174</v>
      </c>
      <c r="P2053">
        <v>2669</v>
      </c>
      <c r="Q2053">
        <v>4.6682100000000002</v>
      </c>
      <c r="R2053">
        <v>0</v>
      </c>
      <c r="S2053">
        <v>72.34</v>
      </c>
      <c r="T2053">
        <v>1.2649999999999999</v>
      </c>
      <c r="U2053">
        <v>2.7E-2</v>
      </c>
      <c r="V2053">
        <v>0</v>
      </c>
      <c r="W2053">
        <v>2</v>
      </c>
      <c r="X2053">
        <v>0</v>
      </c>
      <c r="Y2053" t="s">
        <v>63</v>
      </c>
      <c r="Z2053">
        <v>57174</v>
      </c>
      <c r="AA2053">
        <v>50899</v>
      </c>
      <c r="AB2053">
        <v>3999</v>
      </c>
      <c r="AC2053" t="s">
        <v>687</v>
      </c>
      <c r="AD2053" t="str">
        <f t="shared" si="64"/>
        <v>CA</v>
      </c>
      <c r="AE2053" t="str">
        <f>_xlfn.XLOOKUP(D2053,Mapping!A:A,Mapping!D:D,0,0)</f>
        <v>Remarketing</v>
      </c>
      <c r="AF2053" t="str">
        <f t="shared" si="65"/>
        <v>TJ</v>
      </c>
    </row>
    <row r="2054" spans="1:32" x14ac:dyDescent="0.2">
      <c r="A2054" t="s">
        <v>1119</v>
      </c>
      <c r="B2054" t="s">
        <v>29</v>
      </c>
      <c r="C2054">
        <v>1013046231</v>
      </c>
      <c r="D2054" t="s">
        <v>1024</v>
      </c>
      <c r="E2054" t="s">
        <v>31</v>
      </c>
      <c r="F2054" s="1">
        <v>0.67291666666666672</v>
      </c>
      <c r="G2054" t="s">
        <v>32</v>
      </c>
      <c r="H2054" t="s">
        <v>33</v>
      </c>
      <c r="I2054" t="s">
        <v>41</v>
      </c>
      <c r="J2054" t="s">
        <v>1023</v>
      </c>
      <c r="K2054">
        <v>28</v>
      </c>
      <c r="L2054">
        <v>0</v>
      </c>
      <c r="M2054" t="s">
        <v>36</v>
      </c>
      <c r="N2054" t="s">
        <v>37</v>
      </c>
      <c r="O2054">
        <v>18168</v>
      </c>
      <c r="P2054">
        <v>1040</v>
      </c>
      <c r="Q2054">
        <v>5.7243500000000003</v>
      </c>
      <c r="R2054">
        <v>0</v>
      </c>
      <c r="S2054">
        <v>46.92</v>
      </c>
      <c r="T2054">
        <v>2.5830000000000002</v>
      </c>
      <c r="U2054">
        <v>4.4999999999999998E-2</v>
      </c>
      <c r="V2054">
        <v>0</v>
      </c>
      <c r="W2054">
        <v>2</v>
      </c>
      <c r="X2054">
        <v>0</v>
      </c>
      <c r="Y2054" t="s">
        <v>63</v>
      </c>
      <c r="Z2054">
        <v>18168</v>
      </c>
      <c r="AA2054">
        <v>15985</v>
      </c>
      <c r="AB2054">
        <v>1382</v>
      </c>
      <c r="AC2054" t="s">
        <v>687</v>
      </c>
      <c r="AD2054" t="str">
        <f t="shared" si="64"/>
        <v>UK</v>
      </c>
      <c r="AE2054" t="str">
        <f>_xlfn.XLOOKUP(D2054,Mapping!A:A,Mapping!D:D,0,0)</f>
        <v>Remarketing</v>
      </c>
      <c r="AF2054" t="str">
        <f t="shared" si="65"/>
        <v>TJ</v>
      </c>
    </row>
    <row r="2055" spans="1:32" x14ac:dyDescent="0.2">
      <c r="A2055" t="s">
        <v>1119</v>
      </c>
      <c r="B2055" t="s">
        <v>29</v>
      </c>
      <c r="C2055">
        <v>1013046251</v>
      </c>
      <c r="D2055" t="s">
        <v>1025</v>
      </c>
      <c r="E2055" t="s">
        <v>31</v>
      </c>
      <c r="F2055" s="1">
        <v>0.67291666666666672</v>
      </c>
      <c r="G2055" t="s">
        <v>32</v>
      </c>
      <c r="H2055" t="s">
        <v>33</v>
      </c>
      <c r="I2055" t="s">
        <v>41</v>
      </c>
      <c r="J2055" t="s">
        <v>1023</v>
      </c>
      <c r="K2055">
        <v>28</v>
      </c>
      <c r="L2055">
        <v>0</v>
      </c>
      <c r="M2055" t="s">
        <v>36</v>
      </c>
      <c r="N2055" t="s">
        <v>37</v>
      </c>
      <c r="O2055">
        <v>82819</v>
      </c>
      <c r="P2055">
        <v>3427</v>
      </c>
      <c r="Q2055">
        <v>4.1379400000000004</v>
      </c>
      <c r="R2055">
        <v>2</v>
      </c>
      <c r="S2055">
        <v>156.97</v>
      </c>
      <c r="T2055">
        <v>1.895</v>
      </c>
      <c r="U2055">
        <v>4.5999999999999999E-2</v>
      </c>
      <c r="V2055">
        <v>78.483000000000004</v>
      </c>
      <c r="W2055">
        <v>2</v>
      </c>
      <c r="X2055">
        <v>0</v>
      </c>
      <c r="Y2055" t="s">
        <v>63</v>
      </c>
      <c r="Z2055">
        <v>82819</v>
      </c>
      <c r="AA2055">
        <v>72620</v>
      </c>
      <c r="AB2055">
        <v>7443</v>
      </c>
      <c r="AC2055" t="s">
        <v>687</v>
      </c>
      <c r="AD2055" t="str">
        <f t="shared" si="64"/>
        <v>AU</v>
      </c>
      <c r="AE2055" t="str">
        <f>_xlfn.XLOOKUP(D2055,Mapping!A:A,Mapping!D:D,0,0)</f>
        <v>Remarketing</v>
      </c>
      <c r="AF2055" t="str">
        <f t="shared" si="65"/>
        <v>TJ</v>
      </c>
    </row>
    <row r="2056" spans="1:32" x14ac:dyDescent="0.2">
      <c r="A2056" t="s">
        <v>1119</v>
      </c>
      <c r="B2056" t="s">
        <v>29</v>
      </c>
      <c r="C2056">
        <v>1013046271</v>
      </c>
      <c r="D2056" t="s">
        <v>1026</v>
      </c>
      <c r="E2056" t="s">
        <v>31</v>
      </c>
      <c r="F2056" s="1">
        <v>0.67291666666666672</v>
      </c>
      <c r="G2056" t="s">
        <v>32</v>
      </c>
      <c r="H2056" t="s">
        <v>33</v>
      </c>
      <c r="I2056" t="s">
        <v>41</v>
      </c>
      <c r="J2056" t="s">
        <v>1023</v>
      </c>
      <c r="K2056">
        <v>28</v>
      </c>
      <c r="L2056">
        <v>0</v>
      </c>
      <c r="M2056" t="s">
        <v>36</v>
      </c>
      <c r="N2056" t="s">
        <v>37</v>
      </c>
      <c r="O2056">
        <v>10527</v>
      </c>
      <c r="P2056">
        <v>609</v>
      </c>
      <c r="Q2056">
        <v>5.78512</v>
      </c>
      <c r="R2056">
        <v>0</v>
      </c>
      <c r="S2056">
        <v>12.35</v>
      </c>
      <c r="T2056">
        <v>1.173</v>
      </c>
      <c r="U2056">
        <v>0.02</v>
      </c>
      <c r="V2056">
        <v>0</v>
      </c>
      <c r="W2056">
        <v>2</v>
      </c>
      <c r="X2056">
        <v>0</v>
      </c>
      <c r="Y2056" t="s">
        <v>63</v>
      </c>
      <c r="Z2056">
        <v>10527</v>
      </c>
      <c r="AA2056">
        <v>8881</v>
      </c>
      <c r="AB2056">
        <v>895</v>
      </c>
      <c r="AC2056" t="s">
        <v>687</v>
      </c>
      <c r="AD2056" t="str">
        <f t="shared" si="64"/>
        <v>NZ</v>
      </c>
      <c r="AE2056" t="str">
        <f>_xlfn.XLOOKUP(D2056,Mapping!A:A,Mapping!D:D,0,0)</f>
        <v>Remarketing</v>
      </c>
      <c r="AF2056" t="str">
        <f t="shared" si="65"/>
        <v>TJ</v>
      </c>
    </row>
    <row r="2057" spans="1:32" x14ac:dyDescent="0.2">
      <c r="A2057" t="s">
        <v>1119</v>
      </c>
      <c r="B2057" t="s">
        <v>29</v>
      </c>
      <c r="C2057">
        <v>1013046321</v>
      </c>
      <c r="D2057" t="s">
        <v>1027</v>
      </c>
      <c r="E2057" t="s">
        <v>31</v>
      </c>
      <c r="F2057" s="1">
        <v>0.67291666666666672</v>
      </c>
      <c r="G2057" t="s">
        <v>32</v>
      </c>
      <c r="H2057" t="s">
        <v>33</v>
      </c>
      <c r="I2057" t="s">
        <v>41</v>
      </c>
      <c r="J2057" t="s">
        <v>1023</v>
      </c>
      <c r="K2057">
        <v>28</v>
      </c>
      <c r="L2057">
        <v>0</v>
      </c>
      <c r="M2057" t="s">
        <v>36</v>
      </c>
      <c r="N2057" t="s">
        <v>37</v>
      </c>
      <c r="O2057">
        <v>135844</v>
      </c>
      <c r="P2057">
        <v>11948</v>
      </c>
      <c r="Q2057">
        <v>8.7953799999999998</v>
      </c>
      <c r="R2057">
        <v>0</v>
      </c>
      <c r="S2057">
        <v>32.06</v>
      </c>
      <c r="T2057">
        <v>0.23599999999999999</v>
      </c>
      <c r="U2057">
        <v>3.0000000000000001E-3</v>
      </c>
      <c r="V2057">
        <v>0</v>
      </c>
      <c r="W2057">
        <v>2</v>
      </c>
      <c r="X2057">
        <v>0</v>
      </c>
      <c r="Y2057" t="s">
        <v>63</v>
      </c>
      <c r="Z2057">
        <v>135844</v>
      </c>
      <c r="AA2057">
        <v>113472</v>
      </c>
      <c r="AB2057">
        <v>13982</v>
      </c>
      <c r="AC2057" t="s">
        <v>687</v>
      </c>
      <c r="AD2057" t="str">
        <f t="shared" si="64"/>
        <v>MX</v>
      </c>
      <c r="AE2057" t="str">
        <f>_xlfn.XLOOKUP(D2057,Mapping!A:A,Mapping!D:D,0,0)</f>
        <v>Remarketing</v>
      </c>
      <c r="AF2057" t="str">
        <f t="shared" si="65"/>
        <v>TJ</v>
      </c>
    </row>
    <row r="2058" spans="1:32" x14ac:dyDescent="0.2">
      <c r="A2058" t="s">
        <v>1119</v>
      </c>
      <c r="B2058" t="s">
        <v>29</v>
      </c>
      <c r="C2058">
        <v>1013046531</v>
      </c>
      <c r="D2058" t="s">
        <v>1028</v>
      </c>
      <c r="E2058" t="s">
        <v>31</v>
      </c>
      <c r="F2058" t="s">
        <v>246</v>
      </c>
      <c r="G2058" t="s">
        <v>247</v>
      </c>
      <c r="H2058" t="s">
        <v>33</v>
      </c>
      <c r="I2058" t="s">
        <v>41</v>
      </c>
      <c r="J2058" t="s">
        <v>759</v>
      </c>
      <c r="K2058">
        <v>60</v>
      </c>
      <c r="L2058">
        <v>0</v>
      </c>
      <c r="M2058" t="s">
        <v>36</v>
      </c>
      <c r="N2058" t="s">
        <v>37</v>
      </c>
      <c r="O2058">
        <v>12285011</v>
      </c>
      <c r="P2058">
        <v>35068</v>
      </c>
      <c r="Q2058">
        <v>0.28544000000000003</v>
      </c>
      <c r="R2058">
        <v>0</v>
      </c>
      <c r="S2058">
        <v>226.63</v>
      </c>
      <c r="T2058">
        <v>1.7999999999999999E-2</v>
      </c>
      <c r="U2058">
        <v>6.0000000000000001E-3</v>
      </c>
      <c r="V2058">
        <v>0</v>
      </c>
      <c r="W2058">
        <v>2</v>
      </c>
      <c r="X2058">
        <v>0</v>
      </c>
      <c r="Y2058" t="s">
        <v>63</v>
      </c>
      <c r="Z2058">
        <v>0</v>
      </c>
      <c r="AA2058">
        <v>0</v>
      </c>
      <c r="AB2058">
        <v>0</v>
      </c>
      <c r="AC2058" t="s">
        <v>687</v>
      </c>
      <c r="AD2058" t="str">
        <f t="shared" si="64"/>
        <v>LA</v>
      </c>
      <c r="AE2058" t="str">
        <f>_xlfn.XLOOKUP(D2058,Mapping!A:A,Mapping!D:D,0,0)</f>
        <v>General - Pre-roll - T3</v>
      </c>
      <c r="AF2058" t="str">
        <f t="shared" si="65"/>
        <v>TJ</v>
      </c>
    </row>
    <row r="2059" spans="1:32" x14ac:dyDescent="0.2">
      <c r="A2059" t="s">
        <v>1119</v>
      </c>
      <c r="B2059" t="s">
        <v>29</v>
      </c>
      <c r="C2059">
        <v>1013046601</v>
      </c>
      <c r="D2059" t="s">
        <v>1029</v>
      </c>
      <c r="E2059" t="s">
        <v>31</v>
      </c>
      <c r="F2059" t="s">
        <v>246</v>
      </c>
      <c r="G2059" t="s">
        <v>247</v>
      </c>
      <c r="H2059" t="s">
        <v>33</v>
      </c>
      <c r="I2059" t="s">
        <v>34</v>
      </c>
      <c r="J2059" t="s">
        <v>759</v>
      </c>
      <c r="K2059">
        <v>60</v>
      </c>
      <c r="L2059">
        <v>0</v>
      </c>
      <c r="M2059" t="s">
        <v>36</v>
      </c>
      <c r="N2059" t="s">
        <v>37</v>
      </c>
      <c r="O2059">
        <v>687278</v>
      </c>
      <c r="P2059">
        <v>2253</v>
      </c>
      <c r="Q2059">
        <v>0.32780999999999999</v>
      </c>
      <c r="R2059">
        <v>0</v>
      </c>
      <c r="S2059">
        <v>13.31</v>
      </c>
      <c r="T2059">
        <v>1.9E-2</v>
      </c>
      <c r="U2059">
        <v>6.0000000000000001E-3</v>
      </c>
      <c r="V2059">
        <v>0</v>
      </c>
      <c r="W2059">
        <v>2</v>
      </c>
      <c r="X2059">
        <v>0</v>
      </c>
      <c r="Y2059" t="s">
        <v>63</v>
      </c>
      <c r="Z2059">
        <v>0</v>
      </c>
      <c r="AA2059">
        <v>0</v>
      </c>
      <c r="AB2059">
        <v>0</v>
      </c>
      <c r="AC2059" t="s">
        <v>687</v>
      </c>
      <c r="AD2059" t="str">
        <f t="shared" si="64"/>
        <v>LA</v>
      </c>
      <c r="AE2059" t="str">
        <f>_xlfn.XLOOKUP(D2059,Mapping!A:A,Mapping!D:D,0,0)</f>
        <v>General</v>
      </c>
      <c r="AF2059" t="str">
        <f t="shared" si="65"/>
        <v>TJ</v>
      </c>
    </row>
    <row r="2060" spans="1:32" x14ac:dyDescent="0.2">
      <c r="A2060" t="s">
        <v>1119</v>
      </c>
      <c r="B2060" t="s">
        <v>29</v>
      </c>
      <c r="C2060">
        <v>1013046671</v>
      </c>
      <c r="D2060" t="s">
        <v>1030</v>
      </c>
      <c r="E2060" t="s">
        <v>31</v>
      </c>
      <c r="F2060" t="s">
        <v>246</v>
      </c>
      <c r="G2060" t="s">
        <v>247</v>
      </c>
      <c r="H2060" t="s">
        <v>33</v>
      </c>
      <c r="I2060" t="s">
        <v>41</v>
      </c>
      <c r="J2060" t="s">
        <v>1031</v>
      </c>
      <c r="K2060">
        <v>35</v>
      </c>
      <c r="L2060">
        <v>0</v>
      </c>
      <c r="M2060" t="s">
        <v>36</v>
      </c>
      <c r="N2060" t="s">
        <v>37</v>
      </c>
      <c r="O2060">
        <v>13307</v>
      </c>
      <c r="P2060">
        <v>55</v>
      </c>
      <c r="Q2060">
        <v>0.41332000000000002</v>
      </c>
      <c r="R2060">
        <v>1</v>
      </c>
      <c r="S2060">
        <v>2.57</v>
      </c>
      <c r="T2060">
        <v>0.193</v>
      </c>
      <c r="U2060">
        <v>4.7E-2</v>
      </c>
      <c r="V2060">
        <v>2.5739999999999998</v>
      </c>
      <c r="W2060">
        <v>2</v>
      </c>
      <c r="X2060">
        <v>0</v>
      </c>
      <c r="Y2060" t="s">
        <v>63</v>
      </c>
      <c r="Z2060">
        <v>0</v>
      </c>
      <c r="AA2060">
        <v>0</v>
      </c>
      <c r="AB2060">
        <v>0</v>
      </c>
      <c r="AC2060" t="s">
        <v>687</v>
      </c>
      <c r="AD2060" t="str">
        <f t="shared" si="64"/>
        <v>AU</v>
      </c>
      <c r="AE2060" t="str">
        <f>_xlfn.XLOOKUP(D2060,Mapping!A:A,Mapping!D:D,0,0)</f>
        <v>Remarketing</v>
      </c>
      <c r="AF2060" t="str">
        <f t="shared" si="65"/>
        <v>TJ</v>
      </c>
    </row>
    <row r="2061" spans="1:32" x14ac:dyDescent="0.2">
      <c r="A2061" t="s">
        <v>1119</v>
      </c>
      <c r="B2061" t="s">
        <v>29</v>
      </c>
      <c r="C2061">
        <v>1013046711</v>
      </c>
      <c r="D2061" t="s">
        <v>1032</v>
      </c>
      <c r="E2061" t="s">
        <v>31</v>
      </c>
      <c r="F2061" t="s">
        <v>246</v>
      </c>
      <c r="G2061" t="s">
        <v>247</v>
      </c>
      <c r="H2061" t="s">
        <v>33</v>
      </c>
      <c r="I2061" t="s">
        <v>41</v>
      </c>
      <c r="J2061" t="s">
        <v>1031</v>
      </c>
      <c r="K2061">
        <v>35</v>
      </c>
      <c r="L2061">
        <v>0</v>
      </c>
      <c r="M2061" t="s">
        <v>36</v>
      </c>
      <c r="N2061" t="s">
        <v>37</v>
      </c>
      <c r="O2061">
        <v>26895</v>
      </c>
      <c r="P2061">
        <v>113</v>
      </c>
      <c r="Q2061">
        <v>0.42015000000000002</v>
      </c>
      <c r="R2061">
        <v>1</v>
      </c>
      <c r="S2061">
        <v>3.94</v>
      </c>
      <c r="T2061">
        <v>0.14699999999999999</v>
      </c>
      <c r="U2061">
        <v>3.5000000000000003E-2</v>
      </c>
      <c r="V2061">
        <v>3.94</v>
      </c>
      <c r="W2061">
        <v>2</v>
      </c>
      <c r="X2061">
        <v>0</v>
      </c>
      <c r="Y2061" t="s">
        <v>63</v>
      </c>
      <c r="Z2061">
        <v>0</v>
      </c>
      <c r="AA2061">
        <v>0</v>
      </c>
      <c r="AB2061">
        <v>0</v>
      </c>
      <c r="AC2061" t="s">
        <v>687</v>
      </c>
      <c r="AD2061" t="str">
        <f t="shared" si="64"/>
        <v>CA</v>
      </c>
      <c r="AE2061" t="str">
        <f>_xlfn.XLOOKUP(D2061,Mapping!A:A,Mapping!D:D,0,0)</f>
        <v>Remarketing</v>
      </c>
      <c r="AF2061" t="str">
        <f t="shared" si="65"/>
        <v>TJ</v>
      </c>
    </row>
    <row r="2062" spans="1:32" x14ac:dyDescent="0.2">
      <c r="A2062" t="s">
        <v>1119</v>
      </c>
      <c r="B2062" t="s">
        <v>29</v>
      </c>
      <c r="C2062">
        <v>1013046731</v>
      </c>
      <c r="D2062" t="s">
        <v>1033</v>
      </c>
      <c r="E2062" t="s">
        <v>31</v>
      </c>
      <c r="F2062" t="s">
        <v>246</v>
      </c>
      <c r="G2062" t="s">
        <v>247</v>
      </c>
      <c r="H2062" t="s">
        <v>33</v>
      </c>
      <c r="I2062" t="s">
        <v>41</v>
      </c>
      <c r="J2062" t="s">
        <v>1031</v>
      </c>
      <c r="K2062">
        <v>35</v>
      </c>
      <c r="L2062">
        <v>0</v>
      </c>
      <c r="M2062" t="s">
        <v>36</v>
      </c>
      <c r="N2062" t="s">
        <v>37</v>
      </c>
      <c r="O2062">
        <v>6224</v>
      </c>
      <c r="P2062">
        <v>25</v>
      </c>
      <c r="Q2062">
        <v>0.40167000000000003</v>
      </c>
      <c r="R2062">
        <v>0</v>
      </c>
      <c r="S2062">
        <v>2.4</v>
      </c>
      <c r="T2062">
        <v>0.38600000000000001</v>
      </c>
      <c r="U2062">
        <v>9.6000000000000002E-2</v>
      </c>
      <c r="V2062">
        <v>0</v>
      </c>
      <c r="W2062">
        <v>2</v>
      </c>
      <c r="X2062">
        <v>0</v>
      </c>
      <c r="Y2062" t="s">
        <v>63</v>
      </c>
      <c r="Z2062">
        <v>0</v>
      </c>
      <c r="AA2062">
        <v>0</v>
      </c>
      <c r="AB2062">
        <v>0</v>
      </c>
      <c r="AC2062" t="s">
        <v>687</v>
      </c>
      <c r="AD2062" t="str">
        <f t="shared" si="64"/>
        <v>UK</v>
      </c>
      <c r="AE2062" t="str">
        <f>_xlfn.XLOOKUP(D2062,Mapping!A:A,Mapping!D:D,0,0)</f>
        <v>Remarketing</v>
      </c>
      <c r="AF2062" t="str">
        <f t="shared" si="65"/>
        <v>TJ</v>
      </c>
    </row>
    <row r="2063" spans="1:32" x14ac:dyDescent="0.2">
      <c r="A2063" t="s">
        <v>1119</v>
      </c>
      <c r="B2063" t="s">
        <v>29</v>
      </c>
      <c r="C2063">
        <v>1013046741</v>
      </c>
      <c r="D2063" t="s">
        <v>1034</v>
      </c>
      <c r="E2063" t="s">
        <v>31</v>
      </c>
      <c r="F2063" t="s">
        <v>246</v>
      </c>
      <c r="G2063" t="s">
        <v>247</v>
      </c>
      <c r="H2063" t="s">
        <v>33</v>
      </c>
      <c r="I2063" t="s">
        <v>41</v>
      </c>
      <c r="J2063" t="s">
        <v>1031</v>
      </c>
      <c r="K2063">
        <v>35</v>
      </c>
      <c r="L2063">
        <v>0</v>
      </c>
      <c r="M2063" t="s">
        <v>36</v>
      </c>
      <c r="N2063" t="s">
        <v>37</v>
      </c>
      <c r="O2063">
        <v>150927</v>
      </c>
      <c r="P2063">
        <v>561</v>
      </c>
      <c r="Q2063">
        <v>0.37169999999999997</v>
      </c>
      <c r="R2063">
        <v>4</v>
      </c>
      <c r="S2063">
        <v>41.28</v>
      </c>
      <c r="T2063">
        <v>0.27400000000000002</v>
      </c>
      <c r="U2063">
        <v>7.3999999999999996E-2</v>
      </c>
      <c r="V2063">
        <v>10.319000000000001</v>
      </c>
      <c r="W2063">
        <v>2</v>
      </c>
      <c r="X2063">
        <v>0</v>
      </c>
      <c r="Y2063" t="s">
        <v>63</v>
      </c>
      <c r="Z2063">
        <v>0</v>
      </c>
      <c r="AA2063">
        <v>0</v>
      </c>
      <c r="AB2063">
        <v>0</v>
      </c>
      <c r="AC2063" t="s">
        <v>687</v>
      </c>
      <c r="AD2063" t="str">
        <f t="shared" si="64"/>
        <v>US</v>
      </c>
      <c r="AE2063" t="str">
        <f>_xlfn.XLOOKUP(D2063,Mapping!A:A,Mapping!D:D,0,0)</f>
        <v>Remarketing</v>
      </c>
      <c r="AF2063" t="str">
        <f t="shared" si="65"/>
        <v>TJ</v>
      </c>
    </row>
    <row r="2064" spans="1:32" x14ac:dyDescent="0.2">
      <c r="A2064" t="s">
        <v>1119</v>
      </c>
      <c r="B2064" t="s">
        <v>29</v>
      </c>
      <c r="C2064">
        <v>1013046751</v>
      </c>
      <c r="D2064" t="s">
        <v>1035</v>
      </c>
      <c r="E2064" t="s">
        <v>31</v>
      </c>
      <c r="F2064" t="s">
        <v>246</v>
      </c>
      <c r="G2064" t="s">
        <v>247</v>
      </c>
      <c r="H2064" t="s">
        <v>33</v>
      </c>
      <c r="I2064" t="s">
        <v>41</v>
      </c>
      <c r="J2064" t="s">
        <v>1031</v>
      </c>
      <c r="K2064">
        <v>35</v>
      </c>
      <c r="L2064">
        <v>0</v>
      </c>
      <c r="M2064" t="s">
        <v>36</v>
      </c>
      <c r="N2064" t="s">
        <v>37</v>
      </c>
      <c r="O2064">
        <v>1455</v>
      </c>
      <c r="P2064">
        <v>5</v>
      </c>
      <c r="Q2064">
        <v>0.34364</v>
      </c>
      <c r="R2064">
        <v>0</v>
      </c>
      <c r="S2064">
        <v>0.02</v>
      </c>
      <c r="T2064">
        <v>1.7000000000000001E-2</v>
      </c>
      <c r="U2064">
        <v>5.0000000000000001E-3</v>
      </c>
      <c r="V2064">
        <v>0</v>
      </c>
      <c r="W2064">
        <v>2</v>
      </c>
      <c r="X2064">
        <v>0</v>
      </c>
      <c r="Y2064" t="s">
        <v>63</v>
      </c>
      <c r="Z2064">
        <v>0</v>
      </c>
      <c r="AA2064">
        <v>0</v>
      </c>
      <c r="AB2064">
        <v>0</v>
      </c>
      <c r="AC2064" t="s">
        <v>687</v>
      </c>
      <c r="AD2064" t="str">
        <f t="shared" si="64"/>
        <v>MX</v>
      </c>
      <c r="AE2064" t="str">
        <f>_xlfn.XLOOKUP(D2064,Mapping!A:A,Mapping!D:D,0,0)</f>
        <v>Remarketing</v>
      </c>
      <c r="AF2064" t="str">
        <f t="shared" si="65"/>
        <v>TJ</v>
      </c>
    </row>
    <row r="2065" spans="1:32" x14ac:dyDescent="0.2">
      <c r="A2065" t="s">
        <v>1119</v>
      </c>
      <c r="B2065" t="s">
        <v>29</v>
      </c>
      <c r="C2065">
        <v>1013046761</v>
      </c>
      <c r="D2065" t="s">
        <v>1036</v>
      </c>
      <c r="E2065" t="s">
        <v>31</v>
      </c>
      <c r="F2065" t="s">
        <v>246</v>
      </c>
      <c r="G2065" t="s">
        <v>247</v>
      </c>
      <c r="H2065" t="s">
        <v>33</v>
      </c>
      <c r="I2065" t="s">
        <v>41</v>
      </c>
      <c r="J2065" t="s">
        <v>1031</v>
      </c>
      <c r="K2065">
        <v>35</v>
      </c>
      <c r="L2065">
        <v>0</v>
      </c>
      <c r="M2065" t="s">
        <v>36</v>
      </c>
      <c r="N2065" t="s">
        <v>37</v>
      </c>
      <c r="O2065">
        <v>1332</v>
      </c>
      <c r="P2065">
        <v>3</v>
      </c>
      <c r="Q2065">
        <v>0.22523000000000001</v>
      </c>
      <c r="R2065">
        <v>0</v>
      </c>
      <c r="S2065">
        <v>0.14000000000000001</v>
      </c>
      <c r="T2065">
        <v>0.10299999999999999</v>
      </c>
      <c r="U2065">
        <v>4.5999999999999999E-2</v>
      </c>
      <c r="V2065">
        <v>0</v>
      </c>
      <c r="W2065">
        <v>2</v>
      </c>
      <c r="X2065">
        <v>0</v>
      </c>
      <c r="Y2065" t="s">
        <v>63</v>
      </c>
      <c r="Z2065">
        <v>0</v>
      </c>
      <c r="AA2065">
        <v>0</v>
      </c>
      <c r="AB2065">
        <v>0</v>
      </c>
      <c r="AC2065" t="s">
        <v>687</v>
      </c>
      <c r="AD2065" t="str">
        <f t="shared" si="64"/>
        <v>NZ</v>
      </c>
      <c r="AE2065" t="str">
        <f>_xlfn.XLOOKUP(D2065,Mapping!A:A,Mapping!D:D,0,0)</f>
        <v>Remarketing</v>
      </c>
      <c r="AF2065" t="str">
        <f t="shared" si="65"/>
        <v>TJ</v>
      </c>
    </row>
    <row r="2066" spans="1:32" x14ac:dyDescent="0.2">
      <c r="A2066" t="s">
        <v>1119</v>
      </c>
      <c r="B2066" t="s">
        <v>39</v>
      </c>
      <c r="C2066">
        <v>1013047181</v>
      </c>
      <c r="D2066" t="s">
        <v>1037</v>
      </c>
      <c r="E2066" t="s">
        <v>31</v>
      </c>
      <c r="F2066" t="s">
        <v>246</v>
      </c>
      <c r="G2066" t="s">
        <v>247</v>
      </c>
      <c r="H2066" t="s">
        <v>33</v>
      </c>
      <c r="I2066" t="s">
        <v>41</v>
      </c>
      <c r="J2066" t="s">
        <v>1031</v>
      </c>
      <c r="K2066">
        <v>45</v>
      </c>
      <c r="L2066">
        <v>0</v>
      </c>
      <c r="M2066" t="s">
        <v>63</v>
      </c>
      <c r="N2066">
        <v>25</v>
      </c>
      <c r="O2066">
        <v>85</v>
      </c>
      <c r="P2066">
        <v>0</v>
      </c>
      <c r="Q2066">
        <v>0</v>
      </c>
      <c r="R2066">
        <v>0</v>
      </c>
      <c r="S2066">
        <v>0.01</v>
      </c>
      <c r="T2066">
        <v>0.105</v>
      </c>
      <c r="U2066">
        <v>0</v>
      </c>
      <c r="V2066">
        <v>0</v>
      </c>
      <c r="W2066">
        <v>2</v>
      </c>
      <c r="X2066">
        <v>0</v>
      </c>
      <c r="Y2066" t="s">
        <v>63</v>
      </c>
      <c r="Z2066">
        <v>0</v>
      </c>
      <c r="AA2066">
        <v>0</v>
      </c>
      <c r="AB2066">
        <v>0</v>
      </c>
      <c r="AC2066" t="s">
        <v>687</v>
      </c>
      <c r="AD2066" t="str">
        <f t="shared" si="64"/>
        <v>JB</v>
      </c>
      <c r="AE2066" t="str">
        <f>_xlfn.XLOOKUP(D2066,Mapping!A:A,Mapping!D:D,0,0)</f>
        <v>Remarketing</v>
      </c>
      <c r="AF2066" t="str">
        <f t="shared" si="65"/>
        <v>OLD</v>
      </c>
    </row>
    <row r="2067" spans="1:32" x14ac:dyDescent="0.2">
      <c r="A2067" t="s">
        <v>1119</v>
      </c>
      <c r="B2067" t="s">
        <v>29</v>
      </c>
      <c r="C2067">
        <v>1013050271</v>
      </c>
      <c r="D2067" t="s">
        <v>1038</v>
      </c>
      <c r="E2067" t="s">
        <v>31</v>
      </c>
      <c r="F2067" s="1">
        <v>0.38611111111111113</v>
      </c>
      <c r="G2067" t="s">
        <v>32</v>
      </c>
      <c r="H2067" t="s">
        <v>33</v>
      </c>
      <c r="I2067" t="s">
        <v>41</v>
      </c>
      <c r="J2067" t="s">
        <v>942</v>
      </c>
      <c r="K2067">
        <v>5</v>
      </c>
      <c r="L2067">
        <v>0</v>
      </c>
      <c r="M2067" t="s">
        <v>36</v>
      </c>
      <c r="N2067" t="s">
        <v>37</v>
      </c>
      <c r="O2067">
        <v>1639</v>
      </c>
      <c r="P2067">
        <v>14</v>
      </c>
      <c r="Q2067">
        <v>0.85418000000000005</v>
      </c>
      <c r="R2067">
        <v>0</v>
      </c>
      <c r="S2067">
        <v>0.18</v>
      </c>
      <c r="T2067">
        <v>0.11</v>
      </c>
      <c r="U2067">
        <v>1.2999999999999999E-2</v>
      </c>
      <c r="V2067">
        <v>0</v>
      </c>
      <c r="W2067">
        <v>2</v>
      </c>
      <c r="X2067">
        <v>0</v>
      </c>
      <c r="Y2067" t="s">
        <v>63</v>
      </c>
      <c r="Z2067">
        <v>1639</v>
      </c>
      <c r="AA2067">
        <v>0</v>
      </c>
      <c r="AB2067">
        <v>20</v>
      </c>
      <c r="AC2067" t="s">
        <v>687</v>
      </c>
      <c r="AD2067" t="str">
        <f t="shared" si="64"/>
        <v>UA</v>
      </c>
      <c r="AE2067" t="str">
        <f>_xlfn.XLOOKUP(D2067,Mapping!A:A,Mapping!D:D,0,0)</f>
        <v>Shorties</v>
      </c>
      <c r="AF2067" t="str">
        <f t="shared" si="65"/>
        <v>TJ</v>
      </c>
    </row>
    <row r="2068" spans="1:32" x14ac:dyDescent="0.2">
      <c r="A2068" t="s">
        <v>1119</v>
      </c>
      <c r="B2068" t="s">
        <v>29</v>
      </c>
      <c r="C2068">
        <v>1013050281</v>
      </c>
      <c r="D2068" t="s">
        <v>1039</v>
      </c>
      <c r="E2068" t="s">
        <v>31</v>
      </c>
      <c r="F2068" s="1">
        <v>0.38611111111111113</v>
      </c>
      <c r="G2068" t="s">
        <v>32</v>
      </c>
      <c r="H2068" t="s">
        <v>33</v>
      </c>
      <c r="I2068" t="s">
        <v>41</v>
      </c>
      <c r="J2068" t="s">
        <v>942</v>
      </c>
      <c r="K2068">
        <v>5</v>
      </c>
      <c r="L2068">
        <v>0</v>
      </c>
      <c r="M2068" t="s">
        <v>36</v>
      </c>
      <c r="N2068" t="s">
        <v>37</v>
      </c>
      <c r="O2068">
        <v>2444</v>
      </c>
      <c r="P2068">
        <v>21</v>
      </c>
      <c r="Q2068">
        <v>0.85924999999999996</v>
      </c>
      <c r="R2068">
        <v>0</v>
      </c>
      <c r="S2068">
        <v>0.27</v>
      </c>
      <c r="T2068">
        <v>0.11</v>
      </c>
      <c r="U2068">
        <v>1.2999999999999999E-2</v>
      </c>
      <c r="V2068">
        <v>0</v>
      </c>
      <c r="W2068">
        <v>2</v>
      </c>
      <c r="X2068">
        <v>0</v>
      </c>
      <c r="Y2068" t="s">
        <v>63</v>
      </c>
      <c r="Z2068">
        <v>2444</v>
      </c>
      <c r="AA2068">
        <v>0</v>
      </c>
      <c r="AB2068">
        <v>22</v>
      </c>
      <c r="AC2068" t="s">
        <v>687</v>
      </c>
      <c r="AD2068" t="str">
        <f t="shared" si="64"/>
        <v>PL</v>
      </c>
      <c r="AE2068" t="str">
        <f>_xlfn.XLOOKUP(D2068,Mapping!A:A,Mapping!D:D,0,0)</f>
        <v>Shorties</v>
      </c>
      <c r="AF2068" t="str">
        <f t="shared" si="65"/>
        <v>TJ</v>
      </c>
    </row>
    <row r="2069" spans="1:32" x14ac:dyDescent="0.2">
      <c r="A2069" t="s">
        <v>1119</v>
      </c>
      <c r="B2069" t="s">
        <v>29</v>
      </c>
      <c r="C2069">
        <v>1013050291</v>
      </c>
      <c r="D2069" t="s">
        <v>1040</v>
      </c>
      <c r="E2069" t="s">
        <v>31</v>
      </c>
      <c r="F2069" s="1">
        <v>0.38611111111111113</v>
      </c>
      <c r="G2069" t="s">
        <v>32</v>
      </c>
      <c r="H2069" t="s">
        <v>33</v>
      </c>
      <c r="I2069" t="s">
        <v>41</v>
      </c>
      <c r="J2069" t="s">
        <v>942</v>
      </c>
      <c r="K2069">
        <v>5</v>
      </c>
      <c r="L2069">
        <v>0</v>
      </c>
      <c r="M2069" t="s">
        <v>36</v>
      </c>
      <c r="N2069" t="s">
        <v>37</v>
      </c>
      <c r="O2069">
        <v>8333</v>
      </c>
      <c r="P2069">
        <v>51</v>
      </c>
      <c r="Q2069">
        <v>0.61202000000000001</v>
      </c>
      <c r="R2069">
        <v>0</v>
      </c>
      <c r="S2069">
        <v>0.92</v>
      </c>
      <c r="T2069">
        <v>0.11</v>
      </c>
      <c r="U2069">
        <v>1.7999999999999999E-2</v>
      </c>
      <c r="V2069">
        <v>0</v>
      </c>
      <c r="W2069">
        <v>2</v>
      </c>
      <c r="X2069">
        <v>0</v>
      </c>
      <c r="Y2069" t="s">
        <v>63</v>
      </c>
      <c r="Z2069">
        <v>8333</v>
      </c>
      <c r="AA2069">
        <v>0</v>
      </c>
      <c r="AB2069">
        <v>33</v>
      </c>
      <c r="AC2069" t="s">
        <v>687</v>
      </c>
      <c r="AD2069" t="str">
        <f t="shared" ref="AD2069:AD2087" si="66">LEFT(D2069,2)</f>
        <v>MX</v>
      </c>
      <c r="AE2069" t="str">
        <f>_xlfn.XLOOKUP(D2069,Mapping!A:A,Mapping!D:D,0,0)</f>
        <v>Shorties</v>
      </c>
      <c r="AF2069" t="str">
        <f t="shared" ref="AF2069:AF2087" si="67">IFERROR(IF(SEARCH("_TJ",D2069)&gt;0,"TJ",NA()),IFERROR(IF(SEARCH("_JB",D2069)&gt;0,"JB",NA()),"OLD"))</f>
        <v>TJ</v>
      </c>
    </row>
    <row r="2070" spans="1:32" x14ac:dyDescent="0.2">
      <c r="A2070" t="s">
        <v>1119</v>
      </c>
      <c r="B2070" t="s">
        <v>29</v>
      </c>
      <c r="C2070">
        <v>1013050301</v>
      </c>
      <c r="D2070" t="s">
        <v>1041</v>
      </c>
      <c r="E2070" t="s">
        <v>31</v>
      </c>
      <c r="F2070" s="1">
        <v>0.38611111111111113</v>
      </c>
      <c r="G2070" t="s">
        <v>32</v>
      </c>
      <c r="H2070" t="s">
        <v>33</v>
      </c>
      <c r="I2070" t="s">
        <v>41</v>
      </c>
      <c r="J2070" t="s">
        <v>942</v>
      </c>
      <c r="K2070">
        <v>5</v>
      </c>
      <c r="L2070">
        <v>0</v>
      </c>
      <c r="M2070" t="s">
        <v>36</v>
      </c>
      <c r="N2070" t="s">
        <v>37</v>
      </c>
      <c r="O2070">
        <v>3016</v>
      </c>
      <c r="P2070">
        <v>37</v>
      </c>
      <c r="Q2070">
        <v>1.22679</v>
      </c>
      <c r="R2070">
        <v>0</v>
      </c>
      <c r="S2070">
        <v>0.33</v>
      </c>
      <c r="T2070">
        <v>0.11</v>
      </c>
      <c r="U2070">
        <v>8.9999999999999993E-3</v>
      </c>
      <c r="V2070">
        <v>0</v>
      </c>
      <c r="W2070">
        <v>2</v>
      </c>
      <c r="X2070">
        <v>0</v>
      </c>
      <c r="Y2070" t="s">
        <v>63</v>
      </c>
      <c r="Z2070">
        <v>3016</v>
      </c>
      <c r="AA2070">
        <v>0</v>
      </c>
      <c r="AB2070">
        <v>34</v>
      </c>
      <c r="AC2070" t="s">
        <v>687</v>
      </c>
      <c r="AD2070" t="str">
        <f t="shared" si="66"/>
        <v>PH</v>
      </c>
      <c r="AE2070" t="str">
        <f>_xlfn.XLOOKUP(D2070,Mapping!A:A,Mapping!D:D,0,0)</f>
        <v>Shorties</v>
      </c>
      <c r="AF2070" t="str">
        <f t="shared" si="67"/>
        <v>TJ</v>
      </c>
    </row>
    <row r="2071" spans="1:32" x14ac:dyDescent="0.2">
      <c r="A2071" t="s">
        <v>1119</v>
      </c>
      <c r="B2071" t="s">
        <v>29</v>
      </c>
      <c r="C2071">
        <v>1013050311</v>
      </c>
      <c r="D2071" t="s">
        <v>1042</v>
      </c>
      <c r="E2071" t="s">
        <v>31</v>
      </c>
      <c r="F2071" s="1">
        <v>0.38611111111111113</v>
      </c>
      <c r="G2071" t="s">
        <v>32</v>
      </c>
      <c r="H2071" t="s">
        <v>33</v>
      </c>
      <c r="I2071" t="s">
        <v>41</v>
      </c>
      <c r="J2071" t="s">
        <v>942</v>
      </c>
      <c r="K2071">
        <v>5</v>
      </c>
      <c r="L2071">
        <v>0</v>
      </c>
      <c r="M2071" t="s">
        <v>36</v>
      </c>
      <c r="N2071" t="s">
        <v>37</v>
      </c>
      <c r="O2071">
        <v>3818</v>
      </c>
      <c r="P2071">
        <v>44</v>
      </c>
      <c r="Q2071">
        <v>1.1524300000000001</v>
      </c>
      <c r="R2071">
        <v>0</v>
      </c>
      <c r="S2071">
        <v>0.42</v>
      </c>
      <c r="T2071">
        <v>0.11</v>
      </c>
      <c r="U2071">
        <v>0.01</v>
      </c>
      <c r="V2071">
        <v>0</v>
      </c>
      <c r="W2071">
        <v>2</v>
      </c>
      <c r="X2071">
        <v>0</v>
      </c>
      <c r="Y2071" t="s">
        <v>63</v>
      </c>
      <c r="Z2071">
        <v>3818</v>
      </c>
      <c r="AA2071">
        <v>0</v>
      </c>
      <c r="AB2071">
        <v>17</v>
      </c>
      <c r="AC2071" t="s">
        <v>687</v>
      </c>
      <c r="AD2071" t="str">
        <f t="shared" si="66"/>
        <v>AR</v>
      </c>
      <c r="AE2071" t="str">
        <f>_xlfn.XLOOKUP(D2071,Mapping!A:A,Mapping!D:D,0,0)</f>
        <v>Shorties</v>
      </c>
      <c r="AF2071" t="str">
        <f t="shared" si="67"/>
        <v>TJ</v>
      </c>
    </row>
    <row r="2072" spans="1:32" x14ac:dyDescent="0.2">
      <c r="A2072" t="s">
        <v>1119</v>
      </c>
      <c r="B2072" t="s">
        <v>29</v>
      </c>
      <c r="C2072">
        <v>1013050321</v>
      </c>
      <c r="D2072" t="s">
        <v>1043</v>
      </c>
      <c r="E2072" t="s">
        <v>31</v>
      </c>
      <c r="F2072" s="1">
        <v>0.38611111111111113</v>
      </c>
      <c r="G2072" t="s">
        <v>32</v>
      </c>
      <c r="H2072" t="s">
        <v>33</v>
      </c>
      <c r="I2072" t="s">
        <v>41</v>
      </c>
      <c r="J2072" t="s">
        <v>942</v>
      </c>
      <c r="K2072">
        <v>5</v>
      </c>
      <c r="L2072">
        <v>0</v>
      </c>
      <c r="M2072" t="s">
        <v>36</v>
      </c>
      <c r="N2072" t="s">
        <v>37</v>
      </c>
      <c r="O2072">
        <v>1456</v>
      </c>
      <c r="P2072">
        <v>8</v>
      </c>
      <c r="Q2072">
        <v>0.54944999999999999</v>
      </c>
      <c r="R2072">
        <v>0</v>
      </c>
      <c r="S2072">
        <v>0.16</v>
      </c>
      <c r="T2072">
        <v>0.11</v>
      </c>
      <c r="U2072">
        <v>0.02</v>
      </c>
      <c r="V2072">
        <v>0</v>
      </c>
      <c r="W2072">
        <v>2</v>
      </c>
      <c r="X2072">
        <v>0</v>
      </c>
      <c r="Y2072" t="s">
        <v>63</v>
      </c>
      <c r="Z2072">
        <v>1456</v>
      </c>
      <c r="AA2072">
        <v>0</v>
      </c>
      <c r="AB2072">
        <v>8</v>
      </c>
      <c r="AC2072" t="s">
        <v>687</v>
      </c>
      <c r="AD2072" t="str">
        <f t="shared" si="66"/>
        <v>DE</v>
      </c>
      <c r="AE2072" t="str">
        <f>_xlfn.XLOOKUP(D2072,Mapping!A:A,Mapping!D:D,0,0)</f>
        <v>Shorties</v>
      </c>
      <c r="AF2072" t="str">
        <f t="shared" si="67"/>
        <v>TJ</v>
      </c>
    </row>
    <row r="2073" spans="1:32" x14ac:dyDescent="0.2">
      <c r="A2073" t="s">
        <v>1119</v>
      </c>
      <c r="B2073" t="s">
        <v>29</v>
      </c>
      <c r="C2073">
        <v>1013050331</v>
      </c>
      <c r="D2073" t="s">
        <v>1044</v>
      </c>
      <c r="E2073" t="s">
        <v>31</v>
      </c>
      <c r="F2073" s="1">
        <v>0.38611111111111113</v>
      </c>
      <c r="G2073" t="s">
        <v>32</v>
      </c>
      <c r="H2073" t="s">
        <v>33</v>
      </c>
      <c r="I2073" t="s">
        <v>41</v>
      </c>
      <c r="J2073" t="s">
        <v>942</v>
      </c>
      <c r="K2073">
        <v>5</v>
      </c>
      <c r="L2073">
        <v>0</v>
      </c>
      <c r="M2073" t="s">
        <v>36</v>
      </c>
      <c r="N2073" t="s">
        <v>37</v>
      </c>
      <c r="O2073">
        <v>4770</v>
      </c>
      <c r="P2073">
        <v>37</v>
      </c>
      <c r="Q2073">
        <v>0.77568000000000004</v>
      </c>
      <c r="R2073">
        <v>0</v>
      </c>
      <c r="S2073">
        <v>0.52</v>
      </c>
      <c r="T2073">
        <v>0.11</v>
      </c>
      <c r="U2073">
        <v>1.4E-2</v>
      </c>
      <c r="V2073">
        <v>0</v>
      </c>
      <c r="W2073">
        <v>2</v>
      </c>
      <c r="X2073">
        <v>0</v>
      </c>
      <c r="Y2073" t="s">
        <v>63</v>
      </c>
      <c r="Z2073">
        <v>4770</v>
      </c>
      <c r="AA2073">
        <v>0</v>
      </c>
      <c r="AB2073">
        <v>34</v>
      </c>
      <c r="AC2073" t="s">
        <v>687</v>
      </c>
      <c r="AD2073" t="str">
        <f t="shared" si="66"/>
        <v>CO</v>
      </c>
      <c r="AE2073" t="str">
        <f>_xlfn.XLOOKUP(D2073,Mapping!A:A,Mapping!D:D,0,0)</f>
        <v>Shorties</v>
      </c>
      <c r="AF2073" t="str">
        <f t="shared" si="67"/>
        <v>TJ</v>
      </c>
    </row>
    <row r="2074" spans="1:32" x14ac:dyDescent="0.2">
      <c r="A2074" t="s">
        <v>1119</v>
      </c>
      <c r="B2074" t="s">
        <v>29</v>
      </c>
      <c r="C2074">
        <v>1013050341</v>
      </c>
      <c r="D2074" t="s">
        <v>1045</v>
      </c>
      <c r="E2074" t="s">
        <v>31</v>
      </c>
      <c r="F2074" s="1">
        <v>0.38611111111111113</v>
      </c>
      <c r="G2074" t="s">
        <v>32</v>
      </c>
      <c r="H2074" t="s">
        <v>33</v>
      </c>
      <c r="I2074" t="s">
        <v>41</v>
      </c>
      <c r="J2074" t="s">
        <v>942</v>
      </c>
      <c r="K2074">
        <v>5</v>
      </c>
      <c r="L2074">
        <v>0</v>
      </c>
      <c r="M2074" t="s">
        <v>36</v>
      </c>
      <c r="N2074" t="s">
        <v>37</v>
      </c>
      <c r="O2074">
        <v>2802</v>
      </c>
      <c r="P2074">
        <v>28</v>
      </c>
      <c r="Q2074">
        <v>0.99929000000000001</v>
      </c>
      <c r="R2074">
        <v>0</v>
      </c>
      <c r="S2074">
        <v>0.31</v>
      </c>
      <c r="T2074">
        <v>0.11</v>
      </c>
      <c r="U2074">
        <v>1.0999999999999999E-2</v>
      </c>
      <c r="V2074">
        <v>0</v>
      </c>
      <c r="W2074">
        <v>2</v>
      </c>
      <c r="X2074">
        <v>0</v>
      </c>
      <c r="Y2074" t="s">
        <v>63</v>
      </c>
      <c r="Z2074">
        <v>2802</v>
      </c>
      <c r="AA2074">
        <v>0</v>
      </c>
      <c r="AB2074">
        <v>17</v>
      </c>
      <c r="AC2074" t="s">
        <v>687</v>
      </c>
      <c r="AD2074" t="str">
        <f t="shared" si="66"/>
        <v>CL</v>
      </c>
      <c r="AE2074" t="str">
        <f>_xlfn.XLOOKUP(D2074,Mapping!A:A,Mapping!D:D,0,0)</f>
        <v>Shorties</v>
      </c>
      <c r="AF2074" t="str">
        <f t="shared" si="67"/>
        <v>TJ</v>
      </c>
    </row>
    <row r="2075" spans="1:32" x14ac:dyDescent="0.2">
      <c r="A2075" t="s">
        <v>1119</v>
      </c>
      <c r="B2075" t="s">
        <v>29</v>
      </c>
      <c r="C2075">
        <v>1013050371</v>
      </c>
      <c r="D2075" t="s">
        <v>1046</v>
      </c>
      <c r="E2075" t="s">
        <v>31</v>
      </c>
      <c r="F2075" s="1">
        <v>0.38611111111111113</v>
      </c>
      <c r="G2075" t="s">
        <v>32</v>
      </c>
      <c r="H2075" t="s">
        <v>33</v>
      </c>
      <c r="I2075" t="s">
        <v>41</v>
      </c>
      <c r="J2075" t="s">
        <v>942</v>
      </c>
      <c r="K2075">
        <v>5</v>
      </c>
      <c r="L2075">
        <v>0</v>
      </c>
      <c r="M2075" t="s">
        <v>36</v>
      </c>
      <c r="N2075" t="s">
        <v>37</v>
      </c>
      <c r="O2075">
        <v>1704</v>
      </c>
      <c r="P2075">
        <v>5</v>
      </c>
      <c r="Q2075">
        <v>0.29343000000000002</v>
      </c>
      <c r="R2075">
        <v>0</v>
      </c>
      <c r="S2075">
        <v>0.7</v>
      </c>
      <c r="T2075">
        <v>0.41</v>
      </c>
      <c r="U2075">
        <v>0.14000000000000001</v>
      </c>
      <c r="V2075">
        <v>0</v>
      </c>
      <c r="W2075">
        <v>2</v>
      </c>
      <c r="X2075">
        <v>0</v>
      </c>
      <c r="Y2075" t="s">
        <v>63</v>
      </c>
      <c r="Z2075">
        <v>1704</v>
      </c>
      <c r="AA2075">
        <v>0</v>
      </c>
      <c r="AB2075">
        <v>1</v>
      </c>
      <c r="AC2075" t="s">
        <v>687</v>
      </c>
      <c r="AD2075" t="str">
        <f t="shared" si="66"/>
        <v>AU</v>
      </c>
      <c r="AE2075" t="str">
        <f>_xlfn.XLOOKUP(D2075,Mapping!A:A,Mapping!D:D,0,0)</f>
        <v>Shorties</v>
      </c>
      <c r="AF2075" t="str">
        <f t="shared" si="67"/>
        <v>TJ</v>
      </c>
    </row>
    <row r="2076" spans="1:32" x14ac:dyDescent="0.2">
      <c r="A2076" t="s">
        <v>1119</v>
      </c>
      <c r="B2076" t="s">
        <v>29</v>
      </c>
      <c r="C2076">
        <v>1013050381</v>
      </c>
      <c r="D2076" t="s">
        <v>1047</v>
      </c>
      <c r="E2076" t="s">
        <v>31</v>
      </c>
      <c r="F2076" s="1">
        <v>0.38611111111111113</v>
      </c>
      <c r="G2076" t="s">
        <v>32</v>
      </c>
      <c r="H2076" t="s">
        <v>33</v>
      </c>
      <c r="I2076" t="s">
        <v>41</v>
      </c>
      <c r="J2076" t="s">
        <v>942</v>
      </c>
      <c r="K2076">
        <v>5</v>
      </c>
      <c r="L2076">
        <v>0</v>
      </c>
      <c r="M2076" t="s">
        <v>36</v>
      </c>
      <c r="N2076" t="s">
        <v>37</v>
      </c>
      <c r="O2076">
        <v>2551</v>
      </c>
      <c r="P2076">
        <v>21</v>
      </c>
      <c r="Q2076">
        <v>0.82321</v>
      </c>
      <c r="R2076">
        <v>0</v>
      </c>
      <c r="S2076">
        <v>0.33</v>
      </c>
      <c r="T2076">
        <v>0.13</v>
      </c>
      <c r="U2076">
        <v>1.6E-2</v>
      </c>
      <c r="V2076">
        <v>0</v>
      </c>
      <c r="W2076">
        <v>2</v>
      </c>
      <c r="X2076">
        <v>0</v>
      </c>
      <c r="Y2076" t="s">
        <v>63</v>
      </c>
      <c r="Z2076">
        <v>2551</v>
      </c>
      <c r="AA2076">
        <v>0</v>
      </c>
      <c r="AB2076">
        <v>12</v>
      </c>
      <c r="AC2076" t="s">
        <v>687</v>
      </c>
      <c r="AD2076" t="str">
        <f t="shared" si="66"/>
        <v>NL</v>
      </c>
      <c r="AE2076" t="str">
        <f>_xlfn.XLOOKUP(D2076,Mapping!A:A,Mapping!D:D,0,0)</f>
        <v>Shorties</v>
      </c>
      <c r="AF2076" t="str">
        <f t="shared" si="67"/>
        <v>TJ</v>
      </c>
    </row>
    <row r="2077" spans="1:32" x14ac:dyDescent="0.2">
      <c r="A2077" t="s">
        <v>1119</v>
      </c>
      <c r="B2077" t="s">
        <v>29</v>
      </c>
      <c r="C2077">
        <v>1013054421</v>
      </c>
      <c r="D2077" t="s">
        <v>1048</v>
      </c>
      <c r="E2077" t="s">
        <v>31</v>
      </c>
      <c r="F2077" t="s">
        <v>246</v>
      </c>
      <c r="G2077" t="s">
        <v>247</v>
      </c>
      <c r="H2077" t="s">
        <v>33</v>
      </c>
      <c r="I2077" t="s">
        <v>34</v>
      </c>
      <c r="J2077" t="s">
        <v>1031</v>
      </c>
      <c r="K2077">
        <v>42</v>
      </c>
      <c r="L2077">
        <v>0</v>
      </c>
      <c r="M2077" t="s">
        <v>36</v>
      </c>
      <c r="N2077" t="s">
        <v>37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2</v>
      </c>
      <c r="X2077">
        <v>0</v>
      </c>
      <c r="Y2077" t="s">
        <v>63</v>
      </c>
      <c r="Z2077">
        <v>0</v>
      </c>
      <c r="AA2077">
        <v>0</v>
      </c>
      <c r="AB2077">
        <v>0</v>
      </c>
      <c r="AC2077" t="s">
        <v>687</v>
      </c>
      <c r="AD2077" t="str">
        <f t="shared" si="66"/>
        <v>US</v>
      </c>
      <c r="AE2077" t="str">
        <f>_xlfn.XLOOKUP(D2077,Mapping!A:A,Mapping!D:D,0,0)</f>
        <v>Remarketing</v>
      </c>
      <c r="AF2077" t="str">
        <f t="shared" si="67"/>
        <v>TJ</v>
      </c>
    </row>
    <row r="2078" spans="1:32" x14ac:dyDescent="0.2">
      <c r="A2078" t="s">
        <v>1119</v>
      </c>
      <c r="B2078" t="s">
        <v>29</v>
      </c>
      <c r="C2078">
        <v>1013054431</v>
      </c>
      <c r="D2078" t="s">
        <v>1049</v>
      </c>
      <c r="E2078" t="s">
        <v>31</v>
      </c>
      <c r="F2078" t="s">
        <v>246</v>
      </c>
      <c r="G2078" t="s">
        <v>247</v>
      </c>
      <c r="H2078" t="s">
        <v>33</v>
      </c>
      <c r="I2078" t="s">
        <v>34</v>
      </c>
      <c r="J2078" t="s">
        <v>1031</v>
      </c>
      <c r="K2078">
        <v>42</v>
      </c>
      <c r="L2078">
        <v>0</v>
      </c>
      <c r="M2078" t="s">
        <v>36</v>
      </c>
      <c r="N2078" t="s">
        <v>37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2</v>
      </c>
      <c r="X2078">
        <v>0</v>
      </c>
      <c r="Y2078" t="s">
        <v>63</v>
      </c>
      <c r="Z2078">
        <v>0</v>
      </c>
      <c r="AA2078">
        <v>0</v>
      </c>
      <c r="AB2078">
        <v>0</v>
      </c>
      <c r="AC2078" t="s">
        <v>687</v>
      </c>
      <c r="AD2078" t="str">
        <f t="shared" si="66"/>
        <v>CA</v>
      </c>
      <c r="AE2078" t="str">
        <f>_xlfn.XLOOKUP(D2078,Mapping!A:A,Mapping!D:D,0,0)</f>
        <v>Remarketing</v>
      </c>
      <c r="AF2078" t="str">
        <f t="shared" si="67"/>
        <v>TJ</v>
      </c>
    </row>
    <row r="2079" spans="1:32" x14ac:dyDescent="0.2">
      <c r="A2079" t="s">
        <v>1119</v>
      </c>
      <c r="B2079" t="s">
        <v>29</v>
      </c>
      <c r="C2079">
        <v>1013054441</v>
      </c>
      <c r="D2079" t="s">
        <v>1050</v>
      </c>
      <c r="E2079" t="s">
        <v>31</v>
      </c>
      <c r="F2079" t="s">
        <v>246</v>
      </c>
      <c r="G2079" t="s">
        <v>247</v>
      </c>
      <c r="H2079" t="s">
        <v>33</v>
      </c>
      <c r="I2079" t="s">
        <v>34</v>
      </c>
      <c r="J2079" t="s">
        <v>1031</v>
      </c>
      <c r="K2079">
        <v>42</v>
      </c>
      <c r="L2079">
        <v>0</v>
      </c>
      <c r="M2079" t="s">
        <v>36</v>
      </c>
      <c r="N2079" t="s">
        <v>37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2</v>
      </c>
      <c r="X2079">
        <v>0</v>
      </c>
      <c r="Y2079" t="s">
        <v>63</v>
      </c>
      <c r="Z2079">
        <v>0</v>
      </c>
      <c r="AA2079">
        <v>0</v>
      </c>
      <c r="AB2079">
        <v>0</v>
      </c>
      <c r="AC2079" t="s">
        <v>687</v>
      </c>
      <c r="AD2079" t="str">
        <f t="shared" si="66"/>
        <v>UK</v>
      </c>
      <c r="AE2079" t="str">
        <f>_xlfn.XLOOKUP(D2079,Mapping!A:A,Mapping!D:D,0,0)</f>
        <v>Remarketing</v>
      </c>
      <c r="AF2079" t="str">
        <f t="shared" si="67"/>
        <v>TJ</v>
      </c>
    </row>
    <row r="2080" spans="1:32" x14ac:dyDescent="0.2">
      <c r="A2080" t="s">
        <v>1119</v>
      </c>
      <c r="B2080" t="s">
        <v>29</v>
      </c>
      <c r="C2080">
        <v>1013054451</v>
      </c>
      <c r="D2080" t="s">
        <v>1051</v>
      </c>
      <c r="E2080" t="s">
        <v>31</v>
      </c>
      <c r="F2080" t="s">
        <v>246</v>
      </c>
      <c r="G2080" t="s">
        <v>247</v>
      </c>
      <c r="H2080" t="s">
        <v>33</v>
      </c>
      <c r="I2080" t="s">
        <v>34</v>
      </c>
      <c r="J2080" t="s">
        <v>1031</v>
      </c>
      <c r="K2080">
        <v>42</v>
      </c>
      <c r="L2080">
        <v>0</v>
      </c>
      <c r="M2080" t="s">
        <v>36</v>
      </c>
      <c r="N2080" t="s">
        <v>37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2</v>
      </c>
      <c r="X2080">
        <v>0</v>
      </c>
      <c r="Y2080" t="s">
        <v>63</v>
      </c>
      <c r="Z2080">
        <v>0</v>
      </c>
      <c r="AA2080">
        <v>0</v>
      </c>
      <c r="AB2080">
        <v>0</v>
      </c>
      <c r="AC2080" t="s">
        <v>687</v>
      </c>
      <c r="AD2080" t="str">
        <f t="shared" si="66"/>
        <v>AU</v>
      </c>
      <c r="AE2080" t="str">
        <f>_xlfn.XLOOKUP(D2080,Mapping!A:A,Mapping!D:D,0,0)</f>
        <v>Remarketing</v>
      </c>
      <c r="AF2080" t="str">
        <f t="shared" si="67"/>
        <v>TJ</v>
      </c>
    </row>
    <row r="2081" spans="1:32" x14ac:dyDescent="0.2">
      <c r="A2081" t="s">
        <v>1119</v>
      </c>
      <c r="B2081" t="s">
        <v>29</v>
      </c>
      <c r="C2081">
        <v>1013054461</v>
      </c>
      <c r="D2081" t="s">
        <v>1052</v>
      </c>
      <c r="E2081" t="s">
        <v>31</v>
      </c>
      <c r="F2081" t="s">
        <v>246</v>
      </c>
      <c r="G2081" t="s">
        <v>247</v>
      </c>
      <c r="H2081" t="s">
        <v>33</v>
      </c>
      <c r="I2081" t="s">
        <v>34</v>
      </c>
      <c r="J2081" t="s">
        <v>1031</v>
      </c>
      <c r="K2081">
        <v>42</v>
      </c>
      <c r="L2081">
        <v>0</v>
      </c>
      <c r="M2081" t="s">
        <v>36</v>
      </c>
      <c r="N2081" t="s">
        <v>37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2</v>
      </c>
      <c r="X2081">
        <v>0</v>
      </c>
      <c r="Y2081" t="s">
        <v>63</v>
      </c>
      <c r="Z2081">
        <v>0</v>
      </c>
      <c r="AA2081">
        <v>0</v>
      </c>
      <c r="AB2081">
        <v>0</v>
      </c>
      <c r="AC2081" t="s">
        <v>687</v>
      </c>
      <c r="AD2081" t="str">
        <f t="shared" si="66"/>
        <v>MX</v>
      </c>
      <c r="AE2081" t="str">
        <f>_xlfn.XLOOKUP(D2081,Mapping!A:A,Mapping!D:D,0,0)</f>
        <v>Remarketing</v>
      </c>
      <c r="AF2081" t="str">
        <f t="shared" si="67"/>
        <v>TJ</v>
      </c>
    </row>
    <row r="2082" spans="1:32" x14ac:dyDescent="0.2">
      <c r="A2082" t="s">
        <v>1119</v>
      </c>
      <c r="B2082" t="s">
        <v>29</v>
      </c>
      <c r="C2082">
        <v>1013054471</v>
      </c>
      <c r="D2082" t="s">
        <v>1053</v>
      </c>
      <c r="E2082" t="s">
        <v>31</v>
      </c>
      <c r="F2082" t="s">
        <v>246</v>
      </c>
      <c r="G2082" t="s">
        <v>247</v>
      </c>
      <c r="H2082" t="s">
        <v>33</v>
      </c>
      <c r="I2082" t="s">
        <v>34</v>
      </c>
      <c r="J2082" t="s">
        <v>1031</v>
      </c>
      <c r="K2082">
        <v>42</v>
      </c>
      <c r="L2082">
        <v>0</v>
      </c>
      <c r="M2082" t="s">
        <v>36</v>
      </c>
      <c r="N2082" t="s">
        <v>37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2</v>
      </c>
      <c r="X2082">
        <v>0</v>
      </c>
      <c r="Y2082" t="s">
        <v>63</v>
      </c>
      <c r="Z2082">
        <v>0</v>
      </c>
      <c r="AA2082">
        <v>0</v>
      </c>
      <c r="AB2082">
        <v>0</v>
      </c>
      <c r="AC2082" t="s">
        <v>687</v>
      </c>
      <c r="AD2082" t="str">
        <f t="shared" si="66"/>
        <v>NZ</v>
      </c>
      <c r="AE2082" t="str">
        <f>_xlfn.XLOOKUP(D2082,Mapping!A:A,Mapping!D:D,0,0)</f>
        <v>Remarketing</v>
      </c>
      <c r="AF2082" t="str">
        <f t="shared" si="67"/>
        <v>TJ</v>
      </c>
    </row>
    <row r="2083" spans="1:32" x14ac:dyDescent="0.2">
      <c r="A2083" t="s">
        <v>1119</v>
      </c>
      <c r="B2083" t="s">
        <v>29</v>
      </c>
      <c r="C2083">
        <v>1013054541</v>
      </c>
      <c r="D2083" t="s">
        <v>1054</v>
      </c>
      <c r="E2083" t="s">
        <v>31</v>
      </c>
      <c r="F2083" s="1">
        <v>0.67291666666666672</v>
      </c>
      <c r="G2083" t="s">
        <v>32</v>
      </c>
      <c r="H2083" t="s">
        <v>33</v>
      </c>
      <c r="I2083" t="s">
        <v>737</v>
      </c>
      <c r="J2083" t="s">
        <v>84</v>
      </c>
      <c r="K2083">
        <v>126</v>
      </c>
      <c r="L2083">
        <v>0</v>
      </c>
      <c r="M2083" t="s">
        <v>36</v>
      </c>
      <c r="N2083" t="s">
        <v>37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2</v>
      </c>
      <c r="X2083">
        <v>0</v>
      </c>
      <c r="Y2083" t="s">
        <v>63</v>
      </c>
      <c r="Z2083">
        <v>0</v>
      </c>
      <c r="AA2083">
        <v>0</v>
      </c>
      <c r="AB2083">
        <v>0</v>
      </c>
      <c r="AC2083" t="s">
        <v>687</v>
      </c>
      <c r="AD2083" t="str">
        <f t="shared" si="66"/>
        <v>US</v>
      </c>
      <c r="AE2083" t="str">
        <f>_xlfn.XLOOKUP(D2083,Mapping!A:A,Mapping!D:D,0,0)</f>
        <v>Remarketing</v>
      </c>
      <c r="AF2083" t="str">
        <f t="shared" si="67"/>
        <v>TJ</v>
      </c>
    </row>
    <row r="2084" spans="1:32" x14ac:dyDescent="0.2">
      <c r="A2084" t="s">
        <v>1119</v>
      </c>
      <c r="B2084" t="s">
        <v>29</v>
      </c>
      <c r="C2084">
        <v>1013054571</v>
      </c>
      <c r="D2084" t="s">
        <v>1055</v>
      </c>
      <c r="E2084" t="s">
        <v>31</v>
      </c>
      <c r="F2084" t="s">
        <v>246</v>
      </c>
      <c r="G2084" t="s">
        <v>247</v>
      </c>
      <c r="H2084" t="s">
        <v>33</v>
      </c>
      <c r="I2084" t="s">
        <v>41</v>
      </c>
      <c r="J2084" t="s">
        <v>58</v>
      </c>
      <c r="K2084">
        <v>23</v>
      </c>
      <c r="L2084">
        <v>0</v>
      </c>
      <c r="M2084" t="s">
        <v>36</v>
      </c>
      <c r="N2084" t="s">
        <v>37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 t="s">
        <v>36</v>
      </c>
      <c r="Z2084">
        <v>0</v>
      </c>
      <c r="AA2084">
        <v>0</v>
      </c>
      <c r="AB2084">
        <v>0</v>
      </c>
      <c r="AC2084" t="s">
        <v>687</v>
      </c>
      <c r="AD2084" t="str">
        <f t="shared" si="66"/>
        <v>US</v>
      </c>
      <c r="AE2084" t="str">
        <f>_xlfn.XLOOKUP(D2084,Mapping!A:A,Mapping!D:D,0,0)</f>
        <v>Remarketing</v>
      </c>
      <c r="AF2084" t="str">
        <f t="shared" si="67"/>
        <v>TJ</v>
      </c>
    </row>
    <row r="2085" spans="1:32" x14ac:dyDescent="0.2">
      <c r="A2085" t="s">
        <v>1119</v>
      </c>
      <c r="B2085" t="s">
        <v>39</v>
      </c>
      <c r="C2085">
        <v>1013059081</v>
      </c>
      <c r="D2085" t="s">
        <v>1056</v>
      </c>
      <c r="E2085" t="s">
        <v>31</v>
      </c>
      <c r="F2085" t="s">
        <v>671</v>
      </c>
      <c r="G2085" t="s">
        <v>247</v>
      </c>
      <c r="H2085" t="s">
        <v>33</v>
      </c>
      <c r="I2085" t="s">
        <v>34</v>
      </c>
      <c r="J2085" t="s">
        <v>942</v>
      </c>
      <c r="K2085">
        <v>30</v>
      </c>
      <c r="L2085">
        <v>0</v>
      </c>
      <c r="M2085" t="s">
        <v>36</v>
      </c>
      <c r="N2085" t="s">
        <v>37</v>
      </c>
      <c r="O2085">
        <v>0</v>
      </c>
      <c r="P2085">
        <v>0</v>
      </c>
      <c r="Q2085">
        <v>0</v>
      </c>
      <c r="S2085">
        <v>0</v>
      </c>
      <c r="T2085">
        <v>0</v>
      </c>
      <c r="U2085">
        <v>0</v>
      </c>
      <c r="V2085">
        <v>0</v>
      </c>
      <c r="W2085">
        <v>2</v>
      </c>
      <c r="X2085">
        <v>0</v>
      </c>
      <c r="Y2085" t="s">
        <v>63</v>
      </c>
      <c r="AC2085" t="s">
        <v>687</v>
      </c>
      <c r="AD2085" t="str">
        <f t="shared" si="66"/>
        <v>US</v>
      </c>
      <c r="AE2085" t="str">
        <f>_xlfn.XLOOKUP(D2085,Mapping!A:A,Mapping!D:D,0,0)</f>
        <v>General</v>
      </c>
      <c r="AF2085" t="str">
        <f t="shared" si="67"/>
        <v>TJ</v>
      </c>
    </row>
    <row r="2086" spans="1:32" x14ac:dyDescent="0.2">
      <c r="A2086" t="s">
        <v>1119</v>
      </c>
      <c r="B2086" t="s">
        <v>39</v>
      </c>
      <c r="C2086">
        <v>1013059101</v>
      </c>
      <c r="D2086" t="s">
        <v>1057</v>
      </c>
      <c r="E2086" t="s">
        <v>31</v>
      </c>
      <c r="F2086" t="s">
        <v>671</v>
      </c>
      <c r="G2086" t="s">
        <v>247</v>
      </c>
      <c r="H2086" t="s">
        <v>33</v>
      </c>
      <c r="I2086" t="s">
        <v>41</v>
      </c>
      <c r="J2086" t="s">
        <v>942</v>
      </c>
      <c r="K2086">
        <v>6</v>
      </c>
      <c r="L2086">
        <v>0</v>
      </c>
      <c r="M2086" t="s">
        <v>36</v>
      </c>
      <c r="N2086" t="s">
        <v>37</v>
      </c>
      <c r="O2086">
        <v>0</v>
      </c>
      <c r="P2086">
        <v>0</v>
      </c>
      <c r="Q2086">
        <v>0</v>
      </c>
      <c r="S2086">
        <v>0</v>
      </c>
      <c r="T2086">
        <v>0</v>
      </c>
      <c r="U2086">
        <v>0</v>
      </c>
      <c r="V2086">
        <v>0</v>
      </c>
      <c r="W2086">
        <v>2</v>
      </c>
      <c r="X2086">
        <v>0</v>
      </c>
      <c r="Y2086" t="s">
        <v>63</v>
      </c>
      <c r="AC2086" t="s">
        <v>687</v>
      </c>
      <c r="AD2086" t="str">
        <f t="shared" si="66"/>
        <v>MX</v>
      </c>
      <c r="AE2086" t="str">
        <f>_xlfn.XLOOKUP(D2086,Mapping!A:A,Mapping!D:D,0,0)</f>
        <v>General</v>
      </c>
      <c r="AF2086" t="str">
        <f t="shared" si="67"/>
        <v>TJ</v>
      </c>
    </row>
    <row r="2087" spans="1:32" x14ac:dyDescent="0.2">
      <c r="A2087" t="s">
        <v>1119</v>
      </c>
      <c r="B2087" t="s">
        <v>39</v>
      </c>
      <c r="C2087">
        <v>1013059151</v>
      </c>
      <c r="D2087" t="s">
        <v>1058</v>
      </c>
      <c r="E2087" t="s">
        <v>31</v>
      </c>
      <c r="F2087" t="s">
        <v>671</v>
      </c>
      <c r="G2087" t="s">
        <v>247</v>
      </c>
      <c r="H2087" t="s">
        <v>33</v>
      </c>
      <c r="I2087" t="s">
        <v>41</v>
      </c>
      <c r="J2087" t="s">
        <v>942</v>
      </c>
      <c r="K2087">
        <v>6</v>
      </c>
      <c r="L2087">
        <v>0</v>
      </c>
      <c r="M2087" t="s">
        <v>36</v>
      </c>
      <c r="N2087" t="s">
        <v>37</v>
      </c>
      <c r="O2087">
        <v>0</v>
      </c>
      <c r="P2087">
        <v>0</v>
      </c>
      <c r="Q2087">
        <v>0</v>
      </c>
      <c r="S2087">
        <v>0</v>
      </c>
      <c r="T2087">
        <v>0</v>
      </c>
      <c r="U2087">
        <v>0</v>
      </c>
      <c r="V2087">
        <v>0</v>
      </c>
      <c r="W2087">
        <v>2</v>
      </c>
      <c r="X2087">
        <v>0</v>
      </c>
      <c r="Y2087" t="s">
        <v>63</v>
      </c>
      <c r="AC2087" t="s">
        <v>687</v>
      </c>
      <c r="AD2087" t="str">
        <f t="shared" si="66"/>
        <v>BR</v>
      </c>
      <c r="AE2087" t="str">
        <f>_xlfn.XLOOKUP(D2087,Mapping!A:A,Mapping!D:D,0,0)</f>
        <v>General</v>
      </c>
      <c r="AF2087" t="str">
        <f t="shared" si="67"/>
        <v>TJ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Change Analysis</vt:lpstr>
      <vt:lpstr>Overall Analysis</vt:lpstr>
      <vt:lpstr>Nov Extract</vt:lpstr>
      <vt:lpstr>Mapping</vt:lpstr>
      <vt:lpstr>Specific Extracts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Dommett</dc:creator>
  <cp:lastModifiedBy>Scott Dommett</cp:lastModifiedBy>
  <dcterms:created xsi:type="dcterms:W3CDTF">2025-11-14T02:30:51Z</dcterms:created>
  <dcterms:modified xsi:type="dcterms:W3CDTF">2025-11-14T02:30:51Z</dcterms:modified>
</cp:coreProperties>
</file>